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er\Downloads\"/>
    </mc:Choice>
  </mc:AlternateContent>
  <xr:revisionPtr revIDLastSave="0" documentId="8_{66DAFD7C-94BC-4340-8840-E5D3F0136E6F}" xr6:coauthVersionLast="47" xr6:coauthVersionMax="47" xr10:uidLastSave="{00000000-0000-0000-0000-000000000000}"/>
  <bookViews>
    <workbookView xWindow="-120" yWindow="-120" windowWidth="29040" windowHeight="15720" tabRatio="775" xr2:uid="{00000000-000D-0000-FFFF-FFFF00000000}"/>
  </bookViews>
  <sheets>
    <sheet name="LISTE A SAISIR" sheetId="15" r:id="rId1"/>
    <sheet name="SEANCE 1" sheetId="13" r:id="rId2"/>
    <sheet name="Global seances" sheetId="27" r:id="rId3"/>
    <sheet name="Evaluation" sheetId="29" r:id="rId4"/>
    <sheet name="recap S1" sheetId="16" state="hidden" r:id="rId5"/>
  </sheets>
  <definedNames>
    <definedName name="_xlnm._FilterDatabase" localSheetId="4" hidden="1">'recap S1'!#REF!</definedName>
    <definedName name="_xlnm._FilterDatabase" localSheetId="1" hidden="1">'SEANCE 1'!$B$1:$G$300</definedName>
    <definedName name="BaseVoies">'LISTE A SAISIR'!$E$3:$O$20</definedName>
    <definedName name="_xlnm.Criteria" localSheetId="1">'SEANCE 1'!$K$1</definedName>
    <definedName name="_xlnm.Extract" localSheetId="1">'SEANCE 1'!$L$1:$R$1</definedName>
    <definedName name="L_NOMS">'SEANCE 1'!#REF!</definedName>
    <definedName name="List10" localSheetId="3">OFFSET(#REF!,,,COUNTA(#REF!)-1)</definedName>
    <definedName name="List10">OFFSET(#REF!,,,COUNTA(#REF!)-1)</definedName>
    <definedName name="list2" localSheetId="3">OFFSET(#REF!,,,COUNTA(#REF!)-1)</definedName>
    <definedName name="list2">OFFSET(#REF!,,,COUNTA(#REF!)-1)</definedName>
    <definedName name="List3" localSheetId="3">OFFSET(#REF!,,,COUNTA(#REF!)-1)</definedName>
    <definedName name="List3">OFFSET(#REF!,,,COUNTA(#REF!)-1)</definedName>
    <definedName name="List4" localSheetId="3">OFFSET(#REF!,,,COUNTA(#REF!)-1)</definedName>
    <definedName name="List4">OFFSET(#REF!,,,COUNTA(#REF!)-1)</definedName>
    <definedName name="list5" localSheetId="3">OFFSET(#REF!,,,COUNTA(#REF!)-1)</definedName>
    <definedName name="list5">OFFSET(#REF!,,,COUNTA(#REF!)-1)</definedName>
    <definedName name="List6" localSheetId="3">OFFSET(#REF!,,,COUNTA(#REF!)-1)</definedName>
    <definedName name="List6">OFFSET(#REF!,,,COUNTA(#REF!)-1)</definedName>
    <definedName name="List7" localSheetId="3">OFFSET(#REF!,,,COUNTA(#REF!)-1)</definedName>
    <definedName name="List7">OFFSET(#REF!,,,COUNTA(#REF!)-1)</definedName>
    <definedName name="List8" localSheetId="3">OFFSET(#REF!,,,COUNTA(#REF!)-1)</definedName>
    <definedName name="List8">OFFSET(#REF!,,,COUNTA(#REF!)-1)</definedName>
    <definedName name="List9" localSheetId="3">OFFSET(#REF!,,,COUNTA(#REF!)-1)</definedName>
    <definedName name="List9">OFFSET(#REF!,,,COUNTA(#REF!)-1)</definedName>
    <definedName name="ListeB" localSheetId="3">OFFSET(#REF!,,,COUNTA(#REF!)-1)</definedName>
    <definedName name="ListeB">OFFSET('SEANCE 1'!$B$2,,,COUNTA('SEANCE 1'!$B:$B)-1)</definedName>
    <definedName name="NbreS1" localSheetId="3">OFFSET(Evaluation!Seance1,,7)</definedName>
    <definedName name="NbreS1">OFFSET(Seance1,,7)</definedName>
    <definedName name="Seance1" localSheetId="3">OFFSET(#REF!,,,COUNTA(#REF!)-1)</definedName>
    <definedName name="Seance1">OFFSET('SEANCE 1'!$B$2,,,COUNTA('SEANCE 1'!$B:$B)-1)</definedName>
  </definedNames>
  <calcPr calcId="191029" iterate="1" concurrentCalc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" i="27" l="1" a="1"/>
  <c r="B6" i="27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Y2" i="13"/>
  <c r="Z2" i="13"/>
  <c r="AA2" i="13"/>
  <c r="AB2" i="13"/>
  <c r="F2" i="13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C6" i="27"/>
  <c r="B4" i="16" a="1"/>
  <c r="B4" i="16"/>
  <c r="Y11" i="13"/>
  <c r="Z11" i="13"/>
  <c r="AA11" i="13"/>
  <c r="AB11" i="13"/>
  <c r="F11" i="13"/>
  <c r="Y3" i="13"/>
  <c r="Z3" i="13"/>
  <c r="AA3" i="13"/>
  <c r="F3" i="13"/>
  <c r="Y4" i="13"/>
  <c r="F4" i="13"/>
  <c r="Y5" i="13"/>
  <c r="Z5" i="13"/>
  <c r="AA5" i="13"/>
  <c r="AB5" i="13"/>
  <c r="F5" i="13"/>
  <c r="Y6" i="13"/>
  <c r="Z6" i="13"/>
  <c r="F6" i="13"/>
  <c r="Y7" i="13"/>
  <c r="Z7" i="13"/>
  <c r="AA7" i="13"/>
  <c r="AB7" i="13"/>
  <c r="F7" i="13"/>
  <c r="Y8" i="13"/>
  <c r="Z8" i="13"/>
  <c r="AA8" i="13"/>
  <c r="F8" i="13"/>
  <c r="Y9" i="13"/>
  <c r="Z9" i="13"/>
  <c r="AA9" i="13"/>
  <c r="F9" i="13"/>
  <c r="Y10" i="13"/>
  <c r="Z10" i="13"/>
  <c r="F10" i="13"/>
  <c r="C4" i="16"/>
  <c r="D4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B5" i="16" a="1"/>
  <c r="B5" i="16"/>
  <c r="C5" i="16"/>
  <c r="D5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B6" i="16" a="1"/>
  <c r="B6" i="16"/>
  <c r="C6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B7" i="16" a="1"/>
  <c r="B7" i="16"/>
  <c r="C7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B8" i="16" a="1"/>
  <c r="B8" i="16"/>
  <c r="C8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B9" i="16" a="1"/>
  <c r="B9" i="16"/>
  <c r="C9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B10" i="16" a="1"/>
  <c r="B10" i="16"/>
  <c r="C10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B11" i="16" a="1"/>
  <c r="B11" i="16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B12" i="16" a="1"/>
  <c r="B12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B13" i="16" a="1"/>
  <c r="B13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B14" i="16" a="1"/>
  <c r="B14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B15" i="16" a="1"/>
  <c r="B15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B16" i="16" a="1"/>
  <c r="B16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R16" i="16"/>
  <c r="AS16" i="16"/>
  <c r="AT16" i="16"/>
  <c r="AU16" i="16"/>
  <c r="AV16" i="16"/>
  <c r="AW16" i="16"/>
  <c r="AX16" i="16"/>
  <c r="AY16" i="16"/>
  <c r="B17" i="16" a="1"/>
  <c r="B17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M17" i="16"/>
  <c r="AN17" i="16"/>
  <c r="AO17" i="16"/>
  <c r="AP17" i="16"/>
  <c r="AQ17" i="16"/>
  <c r="AR17" i="16"/>
  <c r="AS17" i="16"/>
  <c r="AT17" i="16"/>
  <c r="AU17" i="16"/>
  <c r="AV17" i="16"/>
  <c r="AW17" i="16"/>
  <c r="AX17" i="16"/>
  <c r="AY17" i="16"/>
  <c r="B18" i="16" a="1"/>
  <c r="B18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B19" i="16" a="1"/>
  <c r="B19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B20" i="16" a="1"/>
  <c r="B20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M20" i="16"/>
  <c r="AN20" i="16"/>
  <c r="AO20" i="16"/>
  <c r="AP20" i="16"/>
  <c r="AQ20" i="16"/>
  <c r="AR20" i="16"/>
  <c r="AS20" i="16"/>
  <c r="AT20" i="16"/>
  <c r="AU20" i="16"/>
  <c r="AV20" i="16"/>
  <c r="AW20" i="16"/>
  <c r="AX20" i="16"/>
  <c r="AY20" i="16"/>
  <c r="B21" i="16" a="1"/>
  <c r="B21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AN21" i="16"/>
  <c r="AO21" i="16"/>
  <c r="AP21" i="16"/>
  <c r="AQ21" i="16"/>
  <c r="AR21" i="16"/>
  <c r="AS21" i="16"/>
  <c r="AT21" i="16"/>
  <c r="AU21" i="16"/>
  <c r="AV21" i="16"/>
  <c r="AW21" i="16"/>
  <c r="AX21" i="16"/>
  <c r="AY21" i="16"/>
  <c r="B22" i="16" a="1"/>
  <c r="B22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AN22" i="16"/>
  <c r="AO22" i="16"/>
  <c r="AP22" i="16"/>
  <c r="AQ22" i="16"/>
  <c r="AR22" i="16"/>
  <c r="AS22" i="16"/>
  <c r="AT22" i="16"/>
  <c r="AU22" i="16"/>
  <c r="AV22" i="16"/>
  <c r="AW22" i="16"/>
  <c r="AX22" i="16"/>
  <c r="AY22" i="16"/>
  <c r="B23" i="16" a="1"/>
  <c r="B23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AO23" i="16"/>
  <c r="AP23" i="16"/>
  <c r="AQ23" i="16"/>
  <c r="AR23" i="16"/>
  <c r="AS23" i="16"/>
  <c r="AT23" i="16"/>
  <c r="AU23" i="16"/>
  <c r="AV23" i="16"/>
  <c r="AW23" i="16"/>
  <c r="AX23" i="16"/>
  <c r="AY23" i="16"/>
  <c r="B24" i="16" a="1"/>
  <c r="B24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AJ24" i="16"/>
  <c r="AK24" i="16"/>
  <c r="AL24" i="16"/>
  <c r="AM24" i="16"/>
  <c r="AN24" i="16"/>
  <c r="AO24" i="16"/>
  <c r="AP24" i="16"/>
  <c r="AQ24" i="16"/>
  <c r="AR24" i="16"/>
  <c r="AS24" i="16"/>
  <c r="AT24" i="16"/>
  <c r="AU24" i="16"/>
  <c r="AV24" i="16"/>
  <c r="AW24" i="16"/>
  <c r="AX24" i="16"/>
  <c r="AY24" i="16"/>
  <c r="B25" i="16" a="1"/>
  <c r="B25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AJ25" i="16"/>
  <c r="AK25" i="16"/>
  <c r="AL25" i="16"/>
  <c r="AM25" i="16"/>
  <c r="AN25" i="16"/>
  <c r="AO25" i="16"/>
  <c r="AP25" i="16"/>
  <c r="AQ25" i="16"/>
  <c r="AR25" i="16"/>
  <c r="AS25" i="16"/>
  <c r="AT25" i="16"/>
  <c r="AU25" i="16"/>
  <c r="AV25" i="16"/>
  <c r="AW25" i="16"/>
  <c r="AX25" i="16"/>
  <c r="AY25" i="16"/>
  <c r="B26" i="16" a="1"/>
  <c r="B26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AN26" i="16"/>
  <c r="AO26" i="16"/>
  <c r="AP26" i="16"/>
  <c r="AQ26" i="16"/>
  <c r="AR26" i="16"/>
  <c r="AS26" i="16"/>
  <c r="AT26" i="16"/>
  <c r="AU26" i="16"/>
  <c r="AV26" i="16"/>
  <c r="AW26" i="16"/>
  <c r="AX26" i="16"/>
  <c r="AY26" i="16"/>
  <c r="B27" i="16" a="1"/>
  <c r="B27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AH27" i="16"/>
  <c r="AI27" i="16"/>
  <c r="AJ27" i="16"/>
  <c r="AK27" i="16"/>
  <c r="AL27" i="16"/>
  <c r="AM27" i="16"/>
  <c r="AN27" i="16"/>
  <c r="AO27" i="16"/>
  <c r="AP27" i="16"/>
  <c r="AQ27" i="16"/>
  <c r="AR27" i="16"/>
  <c r="AS27" i="16"/>
  <c r="AT27" i="16"/>
  <c r="AU27" i="16"/>
  <c r="AV27" i="16"/>
  <c r="AW27" i="16"/>
  <c r="AX27" i="16"/>
  <c r="AY27" i="16"/>
  <c r="B28" i="16" a="1"/>
  <c r="B28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M28" i="16"/>
  <c r="AN28" i="16"/>
  <c r="AO28" i="16"/>
  <c r="AP28" i="16"/>
  <c r="AQ28" i="16"/>
  <c r="AR28" i="16"/>
  <c r="AS28" i="16"/>
  <c r="AT28" i="16"/>
  <c r="AU28" i="16"/>
  <c r="AV28" i="16"/>
  <c r="AW28" i="16"/>
  <c r="AX28" i="16"/>
  <c r="AY28" i="16"/>
  <c r="B29" i="16" a="1"/>
  <c r="B29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AJ29" i="16"/>
  <c r="AK29" i="16"/>
  <c r="AL29" i="16"/>
  <c r="AM29" i="16"/>
  <c r="AN29" i="16"/>
  <c r="AO29" i="16"/>
  <c r="AP29" i="16"/>
  <c r="AQ29" i="16"/>
  <c r="AR29" i="16"/>
  <c r="AS29" i="16"/>
  <c r="AT29" i="16"/>
  <c r="AU29" i="16"/>
  <c r="AV29" i="16"/>
  <c r="AW29" i="16"/>
  <c r="AX29" i="16"/>
  <c r="AY29" i="16"/>
  <c r="B30" i="16" a="1"/>
  <c r="B30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AN30" i="16"/>
  <c r="AO30" i="16"/>
  <c r="AP30" i="16"/>
  <c r="AQ30" i="16"/>
  <c r="AR30" i="16"/>
  <c r="AS30" i="16"/>
  <c r="AT30" i="16"/>
  <c r="AU30" i="16"/>
  <c r="AV30" i="16"/>
  <c r="AW30" i="16"/>
  <c r="AX30" i="16"/>
  <c r="AY30" i="16"/>
  <c r="B31" i="16" a="1"/>
  <c r="B31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AN31" i="16"/>
  <c r="AO31" i="16"/>
  <c r="AP31" i="16"/>
  <c r="AQ31" i="16"/>
  <c r="AR31" i="16"/>
  <c r="AS31" i="16"/>
  <c r="AT31" i="16"/>
  <c r="AU31" i="16"/>
  <c r="AV31" i="16"/>
  <c r="AW31" i="16"/>
  <c r="AX31" i="16"/>
  <c r="AY31" i="16"/>
  <c r="B32" i="16" a="1"/>
  <c r="B32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AN32" i="16"/>
  <c r="AO32" i="16"/>
  <c r="AP32" i="16"/>
  <c r="AQ32" i="16"/>
  <c r="AR32" i="16"/>
  <c r="AS32" i="16"/>
  <c r="AT32" i="16"/>
  <c r="AU32" i="16"/>
  <c r="AV32" i="16"/>
  <c r="AW32" i="16"/>
  <c r="AX32" i="16"/>
  <c r="AY32" i="16"/>
  <c r="B33" i="16" a="1"/>
  <c r="B33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AN33" i="16"/>
  <c r="AO33" i="16"/>
  <c r="AP33" i="16"/>
  <c r="AQ33" i="16"/>
  <c r="AR33" i="16"/>
  <c r="AS33" i="16"/>
  <c r="AT33" i="16"/>
  <c r="AU33" i="16"/>
  <c r="AV33" i="16"/>
  <c r="AW33" i="16"/>
  <c r="AX33" i="16"/>
  <c r="AY33" i="16"/>
  <c r="B34" i="16" a="1"/>
  <c r="B34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AN34" i="16"/>
  <c r="AO34" i="16"/>
  <c r="AP34" i="16"/>
  <c r="AQ34" i="16"/>
  <c r="AR34" i="16"/>
  <c r="AS34" i="16"/>
  <c r="AT34" i="16"/>
  <c r="AU34" i="16"/>
  <c r="AV34" i="16"/>
  <c r="AW34" i="16"/>
  <c r="AX34" i="16"/>
  <c r="AY34" i="16"/>
  <c r="B35" i="16" a="1"/>
  <c r="B35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AN35" i="16"/>
  <c r="AO35" i="16"/>
  <c r="AP35" i="16"/>
  <c r="AQ35" i="16"/>
  <c r="AR35" i="16"/>
  <c r="AS35" i="16"/>
  <c r="AT35" i="16"/>
  <c r="AU35" i="16"/>
  <c r="AV35" i="16"/>
  <c r="AW35" i="16"/>
  <c r="AX35" i="16"/>
  <c r="AY35" i="16"/>
  <c r="B36" i="16" a="1"/>
  <c r="B36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AN36" i="16"/>
  <c r="AO36" i="16"/>
  <c r="AP36" i="16"/>
  <c r="AQ36" i="16"/>
  <c r="AR36" i="16"/>
  <c r="AS36" i="16"/>
  <c r="AT36" i="16"/>
  <c r="AU36" i="16"/>
  <c r="AV36" i="16"/>
  <c r="AW36" i="16"/>
  <c r="AX36" i="16"/>
  <c r="AY36" i="16"/>
  <c r="B37" i="16" a="1"/>
  <c r="B37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AN37" i="16"/>
  <c r="AO37" i="16"/>
  <c r="AP37" i="16"/>
  <c r="AQ37" i="16"/>
  <c r="AR37" i="16"/>
  <c r="AS37" i="16"/>
  <c r="AT37" i="16"/>
  <c r="AU37" i="16"/>
  <c r="AV37" i="16"/>
  <c r="AW37" i="16"/>
  <c r="AX37" i="16"/>
  <c r="AY37" i="16"/>
  <c r="B38" i="16" a="1"/>
  <c r="B38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AN38" i="16"/>
  <c r="AO38" i="16"/>
  <c r="AP38" i="16"/>
  <c r="AQ38" i="16"/>
  <c r="AR38" i="16"/>
  <c r="AS38" i="16"/>
  <c r="AT38" i="16"/>
  <c r="AU38" i="16"/>
  <c r="AV38" i="16"/>
  <c r="AW38" i="16"/>
  <c r="AX38" i="16"/>
  <c r="AY38" i="16"/>
  <c r="B39" i="16" a="1"/>
  <c r="B39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M39" i="16"/>
  <c r="AN39" i="16"/>
  <c r="AO39" i="16"/>
  <c r="AP39" i="16"/>
  <c r="AQ39" i="16"/>
  <c r="AR39" i="16"/>
  <c r="AS39" i="16"/>
  <c r="AT39" i="16"/>
  <c r="AU39" i="16"/>
  <c r="AV39" i="16"/>
  <c r="AW39" i="16"/>
  <c r="AX39" i="16"/>
  <c r="AY39" i="16"/>
  <c r="B40" i="16" a="1"/>
  <c r="B40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AN40" i="16"/>
  <c r="AO40" i="16"/>
  <c r="AP40" i="16"/>
  <c r="AQ40" i="16"/>
  <c r="AR40" i="16"/>
  <c r="AS40" i="16"/>
  <c r="AT40" i="16"/>
  <c r="AU40" i="16"/>
  <c r="AV40" i="16"/>
  <c r="AW40" i="16"/>
  <c r="AX40" i="16"/>
  <c r="AY40" i="16"/>
  <c r="B41" i="16" a="1"/>
  <c r="B41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Z41" i="16"/>
  <c r="AA41" i="16"/>
  <c r="AB41" i="16"/>
  <c r="AC41" i="16"/>
  <c r="AD41" i="16"/>
  <c r="AE41" i="16"/>
  <c r="AF41" i="16"/>
  <c r="AG41" i="16"/>
  <c r="AH41" i="16"/>
  <c r="AI41" i="16"/>
  <c r="AJ41" i="16"/>
  <c r="AK41" i="16"/>
  <c r="AL41" i="16"/>
  <c r="AM41" i="16"/>
  <c r="AN41" i="16"/>
  <c r="AO41" i="16"/>
  <c r="AP41" i="16"/>
  <c r="AQ41" i="16"/>
  <c r="AR41" i="16"/>
  <c r="AS41" i="16"/>
  <c r="AT41" i="16"/>
  <c r="AU41" i="16"/>
  <c r="AV41" i="16"/>
  <c r="AW41" i="16"/>
  <c r="AX41" i="16"/>
  <c r="AY41" i="16"/>
  <c r="B42" i="16" a="1"/>
  <c r="B42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AJ42" i="16"/>
  <c r="AK42" i="16"/>
  <c r="AL42" i="16"/>
  <c r="AM42" i="16"/>
  <c r="AN42" i="16"/>
  <c r="AO42" i="16"/>
  <c r="AP42" i="16"/>
  <c r="AQ42" i="16"/>
  <c r="AR42" i="16"/>
  <c r="AS42" i="16"/>
  <c r="AT42" i="16"/>
  <c r="AU42" i="16"/>
  <c r="AV42" i="16"/>
  <c r="AW42" i="16"/>
  <c r="AX42" i="16"/>
  <c r="AY42" i="16"/>
  <c r="B43" i="16" a="1"/>
  <c r="B43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D43" i="16"/>
  <c r="AE43" i="16"/>
  <c r="AF43" i="16"/>
  <c r="AG43" i="16"/>
  <c r="AH43" i="16"/>
  <c r="AI43" i="16"/>
  <c r="AJ43" i="16"/>
  <c r="AK43" i="16"/>
  <c r="AL43" i="16"/>
  <c r="AM43" i="16"/>
  <c r="AN43" i="16"/>
  <c r="AO43" i="16"/>
  <c r="AP43" i="16"/>
  <c r="AQ43" i="16"/>
  <c r="AR43" i="16"/>
  <c r="AS43" i="16"/>
  <c r="AT43" i="16"/>
  <c r="AU43" i="16"/>
  <c r="AV43" i="16"/>
  <c r="AW43" i="16"/>
  <c r="AX43" i="16"/>
  <c r="AY43" i="16"/>
  <c r="B44" i="16" a="1"/>
  <c r="B44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AJ44" i="16"/>
  <c r="AK44" i="16"/>
  <c r="AL44" i="16"/>
  <c r="AM44" i="16"/>
  <c r="AN44" i="16"/>
  <c r="AO44" i="16"/>
  <c r="AP44" i="16"/>
  <c r="AQ44" i="16"/>
  <c r="AR44" i="16"/>
  <c r="AS44" i="16"/>
  <c r="AT44" i="16"/>
  <c r="AU44" i="16"/>
  <c r="AV44" i="16"/>
  <c r="AW44" i="16"/>
  <c r="AX44" i="16"/>
  <c r="AY44" i="16"/>
  <c r="B45" i="16" a="1"/>
  <c r="B45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AJ45" i="16"/>
  <c r="AK45" i="16"/>
  <c r="AL45" i="16"/>
  <c r="AM45" i="16"/>
  <c r="AN45" i="16"/>
  <c r="AO45" i="16"/>
  <c r="AP45" i="16"/>
  <c r="AQ45" i="16"/>
  <c r="AR45" i="16"/>
  <c r="AS45" i="16"/>
  <c r="AT45" i="16"/>
  <c r="AU45" i="16"/>
  <c r="AV45" i="16"/>
  <c r="AW45" i="16"/>
  <c r="AX45" i="16"/>
  <c r="AY45" i="16"/>
  <c r="B46" i="16" a="1"/>
  <c r="B46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AJ46" i="16"/>
  <c r="AK46" i="16"/>
  <c r="AL46" i="16"/>
  <c r="AM46" i="16"/>
  <c r="AN46" i="16"/>
  <c r="AO46" i="16"/>
  <c r="AP46" i="16"/>
  <c r="AQ46" i="16"/>
  <c r="AR46" i="16"/>
  <c r="AS46" i="16"/>
  <c r="AT46" i="16"/>
  <c r="AU46" i="16"/>
  <c r="AV46" i="16"/>
  <c r="AW46" i="16"/>
  <c r="AX46" i="16"/>
  <c r="AY46" i="16"/>
  <c r="B47" i="16" a="1"/>
  <c r="B47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AM47" i="16"/>
  <c r="AN47" i="16"/>
  <c r="AO47" i="16"/>
  <c r="AP47" i="16"/>
  <c r="AQ47" i="16"/>
  <c r="AR47" i="16"/>
  <c r="AS47" i="16"/>
  <c r="AT47" i="16"/>
  <c r="AU47" i="16"/>
  <c r="AV47" i="16"/>
  <c r="AW47" i="16"/>
  <c r="AX47" i="16"/>
  <c r="AY47" i="16"/>
  <c r="B48" i="16" a="1"/>
  <c r="B48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Z48" i="16"/>
  <c r="AA48" i="16"/>
  <c r="AB48" i="16"/>
  <c r="AC48" i="16"/>
  <c r="AD48" i="16"/>
  <c r="AE48" i="16"/>
  <c r="AF48" i="16"/>
  <c r="AG48" i="16"/>
  <c r="AH48" i="16"/>
  <c r="AI48" i="16"/>
  <c r="AJ48" i="16"/>
  <c r="AK48" i="16"/>
  <c r="AL48" i="16"/>
  <c r="AM48" i="16"/>
  <c r="AN48" i="16"/>
  <c r="AO48" i="16"/>
  <c r="AP48" i="16"/>
  <c r="AQ48" i="16"/>
  <c r="AR48" i="16"/>
  <c r="AS48" i="16"/>
  <c r="AT48" i="16"/>
  <c r="AU48" i="16"/>
  <c r="AV48" i="16"/>
  <c r="AW48" i="16"/>
  <c r="AX48" i="16"/>
  <c r="AY48" i="16"/>
  <c r="B49" i="16" a="1"/>
  <c r="B49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Z49" i="16"/>
  <c r="AA49" i="16"/>
  <c r="AB49" i="16"/>
  <c r="AC49" i="16"/>
  <c r="AD49" i="16"/>
  <c r="AE49" i="16"/>
  <c r="AF49" i="16"/>
  <c r="AG49" i="16"/>
  <c r="AH49" i="16"/>
  <c r="AI49" i="16"/>
  <c r="AJ49" i="16"/>
  <c r="AK49" i="16"/>
  <c r="AL49" i="16"/>
  <c r="AM49" i="16"/>
  <c r="AN49" i="16"/>
  <c r="AO49" i="16"/>
  <c r="AP49" i="16"/>
  <c r="AQ49" i="16"/>
  <c r="AR49" i="16"/>
  <c r="AS49" i="16"/>
  <c r="AT49" i="16"/>
  <c r="AU49" i="16"/>
  <c r="AV49" i="16"/>
  <c r="AW49" i="16"/>
  <c r="AX49" i="16"/>
  <c r="AY49" i="16"/>
  <c r="B50" i="16" a="1"/>
  <c r="B50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Z50" i="16"/>
  <c r="AA50" i="16"/>
  <c r="AB50" i="16"/>
  <c r="AC50" i="16"/>
  <c r="AD50" i="16"/>
  <c r="AE50" i="16"/>
  <c r="AF50" i="16"/>
  <c r="AG50" i="16"/>
  <c r="AH50" i="16"/>
  <c r="AI50" i="16"/>
  <c r="AJ50" i="16"/>
  <c r="AK50" i="16"/>
  <c r="AL50" i="16"/>
  <c r="AM50" i="16"/>
  <c r="AN50" i="16"/>
  <c r="AO50" i="16"/>
  <c r="AP50" i="16"/>
  <c r="AQ50" i="16"/>
  <c r="AR50" i="16"/>
  <c r="AS50" i="16"/>
  <c r="AT50" i="16"/>
  <c r="AU50" i="16"/>
  <c r="AV50" i="16"/>
  <c r="AW50" i="16"/>
  <c r="AX50" i="16"/>
  <c r="AY50" i="16"/>
  <c r="B51" i="16" a="1"/>
  <c r="B51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Z51" i="16"/>
  <c r="AA51" i="16"/>
  <c r="AB51" i="16"/>
  <c r="AC51" i="16"/>
  <c r="AD51" i="16"/>
  <c r="AE51" i="16"/>
  <c r="AF51" i="16"/>
  <c r="AG51" i="16"/>
  <c r="AH51" i="16"/>
  <c r="AI51" i="16"/>
  <c r="AJ51" i="16"/>
  <c r="AK51" i="16"/>
  <c r="AL51" i="16"/>
  <c r="AM51" i="16"/>
  <c r="AN51" i="16"/>
  <c r="AO51" i="16"/>
  <c r="AP51" i="16"/>
  <c r="AQ51" i="16"/>
  <c r="AR51" i="16"/>
  <c r="AS51" i="16"/>
  <c r="AT51" i="16"/>
  <c r="AU51" i="16"/>
  <c r="AV51" i="16"/>
  <c r="AW51" i="16"/>
  <c r="AX51" i="16"/>
  <c r="AY51" i="16"/>
  <c r="B52" i="16" a="1"/>
  <c r="B52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P52" i="16"/>
  <c r="Q52" i="16"/>
  <c r="R52" i="16"/>
  <c r="S52" i="16"/>
  <c r="T52" i="16"/>
  <c r="U52" i="16"/>
  <c r="V52" i="16"/>
  <c r="W52" i="16"/>
  <c r="X52" i="16"/>
  <c r="Y52" i="16"/>
  <c r="Z52" i="16"/>
  <c r="AA52" i="16"/>
  <c r="AB52" i="16"/>
  <c r="AC52" i="16"/>
  <c r="AD52" i="16"/>
  <c r="AE52" i="16"/>
  <c r="AF52" i="16"/>
  <c r="AG52" i="16"/>
  <c r="AH52" i="16"/>
  <c r="AI52" i="16"/>
  <c r="AJ52" i="16"/>
  <c r="AK52" i="16"/>
  <c r="AL52" i="16"/>
  <c r="AM52" i="16"/>
  <c r="AN52" i="16"/>
  <c r="AO52" i="16"/>
  <c r="AP52" i="16"/>
  <c r="AQ52" i="16"/>
  <c r="AR52" i="16"/>
  <c r="AS52" i="16"/>
  <c r="AT52" i="16"/>
  <c r="AU52" i="16"/>
  <c r="AV52" i="16"/>
  <c r="AW52" i="16"/>
  <c r="AX52" i="16"/>
  <c r="AY52" i="16"/>
  <c r="B53" i="16" a="1"/>
  <c r="B53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Z53" i="16"/>
  <c r="AA53" i="16"/>
  <c r="AB53" i="16"/>
  <c r="AC53" i="16"/>
  <c r="AD53" i="16"/>
  <c r="AE53" i="16"/>
  <c r="AF53" i="16"/>
  <c r="AG53" i="16"/>
  <c r="AH53" i="16"/>
  <c r="AI53" i="16"/>
  <c r="AJ53" i="16"/>
  <c r="AK53" i="16"/>
  <c r="AL53" i="16"/>
  <c r="AM53" i="16"/>
  <c r="AN53" i="16"/>
  <c r="AO53" i="16"/>
  <c r="AP53" i="16"/>
  <c r="AQ53" i="16"/>
  <c r="AR53" i="16"/>
  <c r="AS53" i="16"/>
  <c r="AT53" i="16"/>
  <c r="AU53" i="16"/>
  <c r="AV53" i="16"/>
  <c r="AW53" i="16"/>
  <c r="AX53" i="16"/>
  <c r="AY53" i="16"/>
  <c r="B54" i="16" a="1"/>
  <c r="B54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P54" i="16"/>
  <c r="Q54" i="16"/>
  <c r="R54" i="16"/>
  <c r="S54" i="16"/>
  <c r="T54" i="16"/>
  <c r="U54" i="16"/>
  <c r="V54" i="16"/>
  <c r="W54" i="16"/>
  <c r="X54" i="16"/>
  <c r="Y54" i="16"/>
  <c r="Z54" i="16"/>
  <c r="AA54" i="16"/>
  <c r="AB54" i="16"/>
  <c r="AC54" i="16"/>
  <c r="AD54" i="16"/>
  <c r="AE54" i="16"/>
  <c r="AF54" i="16"/>
  <c r="AG54" i="16"/>
  <c r="AH54" i="16"/>
  <c r="AI54" i="16"/>
  <c r="AJ54" i="16"/>
  <c r="AK54" i="16"/>
  <c r="AL54" i="16"/>
  <c r="AM54" i="16"/>
  <c r="AN54" i="16"/>
  <c r="AO54" i="16"/>
  <c r="AP54" i="16"/>
  <c r="AQ54" i="16"/>
  <c r="AR54" i="16"/>
  <c r="AS54" i="16"/>
  <c r="AT54" i="16"/>
  <c r="AU54" i="16"/>
  <c r="AV54" i="16"/>
  <c r="AW54" i="16"/>
  <c r="AX54" i="16"/>
  <c r="AY54" i="16"/>
  <c r="B55" i="16" a="1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B56" i="16" a="1"/>
  <c r="B56" i="16"/>
  <c r="C56" i="16"/>
  <c r="D56" i="16"/>
  <c r="E56" i="16"/>
  <c r="F56" i="16"/>
  <c r="G56" i="16"/>
  <c r="H56" i="16"/>
  <c r="I56" i="16"/>
  <c r="J56" i="16"/>
  <c r="K56" i="16"/>
  <c r="L56" i="16"/>
  <c r="M56" i="16"/>
  <c r="N56" i="16"/>
  <c r="O56" i="16"/>
  <c r="P56" i="16"/>
  <c r="Q56" i="16"/>
  <c r="R56" i="16"/>
  <c r="S56" i="16"/>
  <c r="T56" i="16"/>
  <c r="U56" i="16"/>
  <c r="V56" i="16"/>
  <c r="W56" i="16"/>
  <c r="X56" i="16"/>
  <c r="Y56" i="16"/>
  <c r="Z56" i="16"/>
  <c r="AA56" i="16"/>
  <c r="AB56" i="16"/>
  <c r="AC56" i="16"/>
  <c r="AD56" i="16"/>
  <c r="AE56" i="16"/>
  <c r="AF56" i="16"/>
  <c r="AG56" i="16"/>
  <c r="AH56" i="16"/>
  <c r="AI56" i="16"/>
  <c r="AJ56" i="16"/>
  <c r="AK56" i="16"/>
  <c r="AL56" i="16"/>
  <c r="AM56" i="16"/>
  <c r="AN56" i="16"/>
  <c r="AO56" i="16"/>
  <c r="AP56" i="16"/>
  <c r="AQ56" i="16"/>
  <c r="AR56" i="16"/>
  <c r="AS56" i="16"/>
  <c r="AT56" i="16"/>
  <c r="AU56" i="16"/>
  <c r="AV56" i="16"/>
  <c r="AW56" i="16"/>
  <c r="AX56" i="16"/>
  <c r="AY56" i="16"/>
  <c r="B57" i="16" a="1"/>
  <c r="B57" i="16"/>
  <c r="C57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P57" i="16"/>
  <c r="Q57" i="16"/>
  <c r="R57" i="16"/>
  <c r="S57" i="16"/>
  <c r="T57" i="16"/>
  <c r="U57" i="16"/>
  <c r="V57" i="16"/>
  <c r="W57" i="16"/>
  <c r="X57" i="16"/>
  <c r="Y57" i="16"/>
  <c r="Z57" i="16"/>
  <c r="AA57" i="16"/>
  <c r="AB57" i="16"/>
  <c r="AC57" i="16"/>
  <c r="AD57" i="16"/>
  <c r="AE57" i="16"/>
  <c r="AF57" i="16"/>
  <c r="AG57" i="16"/>
  <c r="AH57" i="16"/>
  <c r="AI57" i="16"/>
  <c r="AJ57" i="16"/>
  <c r="AK57" i="16"/>
  <c r="AL57" i="16"/>
  <c r="AM57" i="16"/>
  <c r="AN57" i="16"/>
  <c r="AO57" i="16"/>
  <c r="AP57" i="16"/>
  <c r="AQ57" i="16"/>
  <c r="AR57" i="16"/>
  <c r="AS57" i="16"/>
  <c r="AT57" i="16"/>
  <c r="AU57" i="16"/>
  <c r="AV57" i="16"/>
  <c r="AW57" i="16"/>
  <c r="AX57" i="16"/>
  <c r="AY57" i="16"/>
  <c r="B58" i="16" a="1"/>
  <c r="B58" i="16"/>
  <c r="C58" i="16"/>
  <c r="D58" i="16"/>
  <c r="E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AE58" i="16"/>
  <c r="AF58" i="16"/>
  <c r="AG58" i="16"/>
  <c r="AH58" i="16"/>
  <c r="AI58" i="16"/>
  <c r="AJ58" i="16"/>
  <c r="AK58" i="16"/>
  <c r="AL58" i="16"/>
  <c r="AM58" i="16"/>
  <c r="AN58" i="16"/>
  <c r="AO58" i="16"/>
  <c r="AP58" i="16"/>
  <c r="AQ58" i="16"/>
  <c r="AR58" i="16"/>
  <c r="AS58" i="16"/>
  <c r="AT58" i="16"/>
  <c r="AU58" i="16"/>
  <c r="AV58" i="16"/>
  <c r="AW58" i="16"/>
  <c r="AX58" i="16"/>
  <c r="AY58" i="16"/>
  <c r="B59" i="16" a="1"/>
  <c r="B59" i="16"/>
  <c r="C59" i="16"/>
  <c r="D59" i="16"/>
  <c r="E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AE59" i="16"/>
  <c r="AF59" i="16"/>
  <c r="AG59" i="16"/>
  <c r="AH59" i="16"/>
  <c r="AI59" i="16"/>
  <c r="AJ59" i="16"/>
  <c r="AK59" i="16"/>
  <c r="AL59" i="16"/>
  <c r="AM59" i="16"/>
  <c r="AN59" i="16"/>
  <c r="AO59" i="16"/>
  <c r="AP59" i="16"/>
  <c r="AQ59" i="16"/>
  <c r="AR59" i="16"/>
  <c r="AS59" i="16"/>
  <c r="AT59" i="16"/>
  <c r="AU59" i="16"/>
  <c r="AV59" i="16"/>
  <c r="AW59" i="16"/>
  <c r="AX59" i="16"/>
  <c r="AY59" i="16"/>
  <c r="B60" i="16" a="1"/>
  <c r="B60" i="16"/>
  <c r="C60" i="16"/>
  <c r="D60" i="16"/>
  <c r="F60" i="16"/>
  <c r="G60" i="16"/>
  <c r="I60" i="16"/>
  <c r="J60" i="16"/>
  <c r="K60" i="16"/>
  <c r="M60" i="16"/>
  <c r="N60" i="16"/>
  <c r="P60" i="16"/>
  <c r="Q60" i="16"/>
  <c r="S60" i="16"/>
  <c r="T60" i="16"/>
  <c r="U60" i="16"/>
  <c r="W60" i="16"/>
  <c r="Y60" i="16"/>
  <c r="Z60" i="16"/>
  <c r="AA60" i="16"/>
  <c r="AC60" i="16"/>
  <c r="AE60" i="16"/>
  <c r="AF60" i="16"/>
  <c r="AH60" i="16"/>
  <c r="AI60" i="16"/>
  <c r="AJ60" i="16"/>
  <c r="AL60" i="16"/>
  <c r="AN60" i="16"/>
  <c r="AO60" i="16"/>
  <c r="AS60" i="16"/>
  <c r="AT60" i="16"/>
  <c r="AV60" i="16"/>
  <c r="AW60" i="16"/>
  <c r="AX60" i="16"/>
  <c r="B61" i="16" a="1"/>
  <c r="B61" i="16"/>
  <c r="C61" i="16"/>
  <c r="D61" i="16"/>
  <c r="F61" i="16"/>
  <c r="G61" i="16"/>
  <c r="I61" i="16"/>
  <c r="J61" i="16"/>
  <c r="K61" i="16"/>
  <c r="M61" i="16"/>
  <c r="N61" i="16"/>
  <c r="P61" i="16"/>
  <c r="Q61" i="16"/>
  <c r="S61" i="16"/>
  <c r="T61" i="16"/>
  <c r="U61" i="16"/>
  <c r="W61" i="16"/>
  <c r="Y61" i="16"/>
  <c r="Z61" i="16"/>
  <c r="AA61" i="16"/>
  <c r="AC61" i="16"/>
  <c r="AE61" i="16"/>
  <c r="AF61" i="16"/>
  <c r="AH61" i="16"/>
  <c r="AI61" i="16"/>
  <c r="AJ61" i="16"/>
  <c r="AL61" i="16"/>
  <c r="AN61" i="16"/>
  <c r="AO61" i="16"/>
  <c r="AS61" i="16"/>
  <c r="AT61" i="16"/>
  <c r="AV61" i="16"/>
  <c r="AW61" i="16"/>
  <c r="AX61" i="16"/>
  <c r="B62" i="16" a="1"/>
  <c r="B62" i="16"/>
  <c r="C62" i="16"/>
  <c r="D62" i="16"/>
  <c r="F62" i="16"/>
  <c r="G62" i="16"/>
  <c r="I62" i="16"/>
  <c r="J62" i="16"/>
  <c r="K62" i="16"/>
  <c r="M62" i="16"/>
  <c r="N62" i="16"/>
  <c r="P62" i="16"/>
  <c r="Q62" i="16"/>
  <c r="S62" i="16"/>
  <c r="T62" i="16"/>
  <c r="U62" i="16"/>
  <c r="W62" i="16"/>
  <c r="Y62" i="16"/>
  <c r="Z62" i="16"/>
  <c r="AA62" i="16"/>
  <c r="AC62" i="16"/>
  <c r="AE62" i="16"/>
  <c r="AF62" i="16"/>
  <c r="AH62" i="16"/>
  <c r="AI62" i="16"/>
  <c r="AJ62" i="16"/>
  <c r="AL62" i="16"/>
  <c r="AN62" i="16"/>
  <c r="AO62" i="16"/>
  <c r="AS62" i="16"/>
  <c r="AT62" i="16"/>
  <c r="AV62" i="16"/>
  <c r="AW62" i="16"/>
  <c r="AX62" i="16"/>
  <c r="B63" i="16" a="1"/>
  <c r="B63" i="16"/>
  <c r="C63" i="16"/>
  <c r="D63" i="16"/>
  <c r="F63" i="16"/>
  <c r="G63" i="16"/>
  <c r="I63" i="16"/>
  <c r="J63" i="16"/>
  <c r="K63" i="16"/>
  <c r="M63" i="16"/>
  <c r="N63" i="16"/>
  <c r="P63" i="16"/>
  <c r="Q63" i="16"/>
  <c r="S63" i="16"/>
  <c r="T63" i="16"/>
  <c r="U63" i="16"/>
  <c r="W63" i="16"/>
  <c r="Y63" i="16"/>
  <c r="Z63" i="16"/>
  <c r="AA63" i="16"/>
  <c r="AC63" i="16"/>
  <c r="AE63" i="16"/>
  <c r="AF63" i="16"/>
  <c r="AH63" i="16"/>
  <c r="AI63" i="16"/>
  <c r="AJ63" i="16"/>
  <c r="AL63" i="16"/>
  <c r="AN63" i="16"/>
  <c r="AO63" i="16"/>
  <c r="AS63" i="16"/>
  <c r="AT63" i="16"/>
  <c r="AV63" i="16"/>
  <c r="AW63" i="16"/>
  <c r="AX63" i="16"/>
  <c r="B64" i="16" a="1"/>
  <c r="B64" i="16"/>
  <c r="C64" i="16"/>
  <c r="D64" i="16"/>
  <c r="F64" i="16"/>
  <c r="G64" i="16"/>
  <c r="I64" i="16"/>
  <c r="J64" i="16"/>
  <c r="K64" i="16"/>
  <c r="M64" i="16"/>
  <c r="N64" i="16"/>
  <c r="P64" i="16"/>
  <c r="Q64" i="16"/>
  <c r="S64" i="16"/>
  <c r="T64" i="16"/>
  <c r="U64" i="16"/>
  <c r="W64" i="16"/>
  <c r="Y64" i="16"/>
  <c r="Z64" i="16"/>
  <c r="AA64" i="16"/>
  <c r="AC64" i="16"/>
  <c r="AE64" i="16"/>
  <c r="AF64" i="16"/>
  <c r="AH64" i="16"/>
  <c r="AI64" i="16"/>
  <c r="AJ64" i="16"/>
  <c r="AL64" i="16"/>
  <c r="AN64" i="16"/>
  <c r="AO64" i="16"/>
  <c r="AS64" i="16"/>
  <c r="AT64" i="16"/>
  <c r="AV64" i="16"/>
  <c r="AW64" i="16"/>
  <c r="AX64" i="16"/>
  <c r="B65" i="16" a="1"/>
  <c r="B65" i="16"/>
  <c r="C65" i="16"/>
  <c r="D65" i="16"/>
  <c r="F65" i="16"/>
  <c r="G65" i="16"/>
  <c r="I65" i="16"/>
  <c r="J65" i="16"/>
  <c r="K65" i="16"/>
  <c r="M65" i="16"/>
  <c r="N65" i="16"/>
  <c r="P65" i="16"/>
  <c r="Q65" i="16"/>
  <c r="S65" i="16"/>
  <c r="T65" i="16"/>
  <c r="U65" i="16"/>
  <c r="W65" i="16"/>
  <c r="Y65" i="16"/>
  <c r="Z65" i="16"/>
  <c r="AA65" i="16"/>
  <c r="AC65" i="16"/>
  <c r="AE65" i="16"/>
  <c r="AF65" i="16"/>
  <c r="AH65" i="16"/>
  <c r="AI65" i="16"/>
  <c r="AJ65" i="16"/>
  <c r="AL65" i="16"/>
  <c r="AN65" i="16"/>
  <c r="AO65" i="16"/>
  <c r="AS65" i="16"/>
  <c r="AT65" i="16"/>
  <c r="AV65" i="16"/>
  <c r="AW65" i="16"/>
  <c r="AX65" i="16"/>
  <c r="B66" i="16" a="1"/>
  <c r="B66" i="16"/>
  <c r="C66" i="16"/>
  <c r="D66" i="16"/>
  <c r="F66" i="16"/>
  <c r="G66" i="16"/>
  <c r="I66" i="16"/>
  <c r="J66" i="16"/>
  <c r="K66" i="16"/>
  <c r="M66" i="16"/>
  <c r="N66" i="16"/>
  <c r="P66" i="16"/>
  <c r="Q66" i="16"/>
  <c r="S66" i="16"/>
  <c r="T66" i="16"/>
  <c r="U66" i="16"/>
  <c r="W66" i="16"/>
  <c r="Y66" i="16"/>
  <c r="Z66" i="16"/>
  <c r="AA66" i="16"/>
  <c r="AC66" i="16"/>
  <c r="AE66" i="16"/>
  <c r="AF66" i="16"/>
  <c r="AH66" i="16"/>
  <c r="AI66" i="16"/>
  <c r="AJ66" i="16"/>
  <c r="AL66" i="16"/>
  <c r="AN66" i="16"/>
  <c r="AO66" i="16"/>
  <c r="AS66" i="16"/>
  <c r="AT66" i="16"/>
  <c r="AV66" i="16"/>
  <c r="AW66" i="16"/>
  <c r="AX66" i="16"/>
  <c r="B67" i="16" a="1"/>
  <c r="B67" i="16"/>
  <c r="C67" i="16"/>
  <c r="D67" i="16"/>
  <c r="F67" i="16"/>
  <c r="G67" i="16"/>
  <c r="I67" i="16"/>
  <c r="J67" i="16"/>
  <c r="K67" i="16"/>
  <c r="M67" i="16"/>
  <c r="N67" i="16"/>
  <c r="P67" i="16"/>
  <c r="Q67" i="16"/>
  <c r="S67" i="16"/>
  <c r="T67" i="16"/>
  <c r="U67" i="16"/>
  <c r="W67" i="16"/>
  <c r="Y67" i="16"/>
  <c r="Z67" i="16"/>
  <c r="AA67" i="16"/>
  <c r="AC67" i="16"/>
  <c r="AE67" i="16"/>
  <c r="AF67" i="16"/>
  <c r="AH67" i="16"/>
  <c r="AI67" i="16"/>
  <c r="AJ67" i="16"/>
  <c r="AL67" i="16"/>
  <c r="AN67" i="16"/>
  <c r="AO67" i="16"/>
  <c r="AS67" i="16"/>
  <c r="AT67" i="16"/>
  <c r="AV67" i="16"/>
  <c r="AW67" i="16"/>
  <c r="AX67" i="16"/>
  <c r="B68" i="16" a="1"/>
  <c r="B68" i="16"/>
  <c r="C68" i="16"/>
  <c r="D68" i="16"/>
  <c r="F68" i="16"/>
  <c r="G68" i="16"/>
  <c r="I68" i="16"/>
  <c r="J68" i="16"/>
  <c r="K68" i="16"/>
  <c r="M68" i="16"/>
  <c r="N68" i="16"/>
  <c r="P68" i="16"/>
  <c r="Q68" i="16"/>
  <c r="S68" i="16"/>
  <c r="T68" i="16"/>
  <c r="U68" i="16"/>
  <c r="W68" i="16"/>
  <c r="Y68" i="16"/>
  <c r="Z68" i="16"/>
  <c r="AA68" i="16"/>
  <c r="AC68" i="16"/>
  <c r="AE68" i="16"/>
  <c r="AF68" i="16"/>
  <c r="AH68" i="16"/>
  <c r="AI68" i="16"/>
  <c r="AJ68" i="16"/>
  <c r="AL68" i="16"/>
  <c r="AN68" i="16"/>
  <c r="AO68" i="16"/>
  <c r="AS68" i="16"/>
  <c r="AT68" i="16"/>
  <c r="AV68" i="16"/>
  <c r="AW68" i="16"/>
  <c r="AX68" i="16"/>
  <c r="B69" i="16" a="1"/>
  <c r="B69" i="16"/>
  <c r="C69" i="16"/>
  <c r="D69" i="16"/>
  <c r="F69" i="16"/>
  <c r="G69" i="16"/>
  <c r="I69" i="16"/>
  <c r="J69" i="16"/>
  <c r="K69" i="16"/>
  <c r="M69" i="16"/>
  <c r="N69" i="16"/>
  <c r="P69" i="16"/>
  <c r="Q69" i="16"/>
  <c r="S69" i="16"/>
  <c r="T69" i="16"/>
  <c r="U69" i="16"/>
  <c r="W69" i="16"/>
  <c r="Y69" i="16"/>
  <c r="Z69" i="16"/>
  <c r="AA69" i="16"/>
  <c r="AC69" i="16"/>
  <c r="AE69" i="16"/>
  <c r="AF69" i="16"/>
  <c r="AH69" i="16"/>
  <c r="AI69" i="16"/>
  <c r="AJ69" i="16"/>
  <c r="AL69" i="16"/>
  <c r="AN69" i="16"/>
  <c r="AO69" i="16"/>
  <c r="AS69" i="16"/>
  <c r="AT69" i="16"/>
  <c r="AV69" i="16"/>
  <c r="AW69" i="16"/>
  <c r="AX69" i="16"/>
  <c r="B70" i="16" a="1"/>
  <c r="B70" i="16"/>
  <c r="C70" i="16"/>
  <c r="D70" i="16"/>
  <c r="F70" i="16"/>
  <c r="G70" i="16"/>
  <c r="I70" i="16"/>
  <c r="J70" i="16"/>
  <c r="K70" i="16"/>
  <c r="M70" i="16"/>
  <c r="N70" i="16"/>
  <c r="P70" i="16"/>
  <c r="Q70" i="16"/>
  <c r="S70" i="16"/>
  <c r="T70" i="16"/>
  <c r="U70" i="16"/>
  <c r="W70" i="16"/>
  <c r="Y70" i="16"/>
  <c r="Z70" i="16"/>
  <c r="AA70" i="16"/>
  <c r="AC70" i="16"/>
  <c r="AE70" i="16"/>
  <c r="AF70" i="16"/>
  <c r="AH70" i="16"/>
  <c r="AI70" i="16"/>
  <c r="AJ70" i="16"/>
  <c r="AL70" i="16"/>
  <c r="AN70" i="16"/>
  <c r="AO70" i="16"/>
  <c r="AS70" i="16"/>
  <c r="AT70" i="16"/>
  <c r="AV70" i="16"/>
  <c r="AW70" i="16"/>
  <c r="AX70" i="16"/>
  <c r="B71" i="16" a="1"/>
  <c r="B71" i="16"/>
  <c r="C71" i="16"/>
  <c r="D71" i="16"/>
  <c r="F71" i="16"/>
  <c r="G71" i="16"/>
  <c r="I71" i="16"/>
  <c r="J71" i="16"/>
  <c r="K71" i="16"/>
  <c r="M71" i="16"/>
  <c r="N71" i="16"/>
  <c r="P71" i="16"/>
  <c r="Q71" i="16"/>
  <c r="S71" i="16"/>
  <c r="T71" i="16"/>
  <c r="U71" i="16"/>
  <c r="W71" i="16"/>
  <c r="Y71" i="16"/>
  <c r="Z71" i="16"/>
  <c r="AA71" i="16"/>
  <c r="AC71" i="16"/>
  <c r="AE71" i="16"/>
  <c r="AF71" i="16"/>
  <c r="AH71" i="16"/>
  <c r="AI71" i="16"/>
  <c r="AJ71" i="16"/>
  <c r="AL71" i="16"/>
  <c r="AN71" i="16"/>
  <c r="AO71" i="16"/>
  <c r="AS71" i="16"/>
  <c r="AT71" i="16"/>
  <c r="AV71" i="16"/>
  <c r="AW71" i="16"/>
  <c r="AX71" i="16"/>
  <c r="B72" i="16" a="1"/>
  <c r="B72" i="16"/>
  <c r="C72" i="16"/>
  <c r="D72" i="16"/>
  <c r="F72" i="16"/>
  <c r="G72" i="16"/>
  <c r="I72" i="16"/>
  <c r="J72" i="16"/>
  <c r="K72" i="16"/>
  <c r="M72" i="16"/>
  <c r="N72" i="16"/>
  <c r="P72" i="16"/>
  <c r="Q72" i="16"/>
  <c r="S72" i="16"/>
  <c r="T72" i="16"/>
  <c r="U72" i="16"/>
  <c r="W72" i="16"/>
  <c r="Y72" i="16"/>
  <c r="Z72" i="16"/>
  <c r="AA72" i="16"/>
  <c r="AC72" i="16"/>
  <c r="AE72" i="16"/>
  <c r="AF72" i="16"/>
  <c r="AH72" i="16"/>
  <c r="AI72" i="16"/>
  <c r="AJ72" i="16"/>
  <c r="AL72" i="16"/>
  <c r="AN72" i="16"/>
  <c r="AO72" i="16"/>
  <c r="AS72" i="16"/>
  <c r="AT72" i="16"/>
  <c r="AV72" i="16"/>
  <c r="AW72" i="16"/>
  <c r="AX72" i="16"/>
  <c r="B73" i="16" a="1"/>
  <c r="B73" i="16"/>
  <c r="C73" i="16"/>
  <c r="D73" i="16"/>
  <c r="F73" i="16"/>
  <c r="G73" i="16"/>
  <c r="I73" i="16"/>
  <c r="J73" i="16"/>
  <c r="K73" i="16"/>
  <c r="M73" i="16"/>
  <c r="N73" i="16"/>
  <c r="P73" i="16"/>
  <c r="Q73" i="16"/>
  <c r="S73" i="16"/>
  <c r="T73" i="16"/>
  <c r="U73" i="16"/>
  <c r="W73" i="16"/>
  <c r="Y73" i="16"/>
  <c r="Z73" i="16"/>
  <c r="AA73" i="16"/>
  <c r="AC73" i="16"/>
  <c r="AE73" i="16"/>
  <c r="AF73" i="16"/>
  <c r="AH73" i="16"/>
  <c r="AI73" i="16"/>
  <c r="AJ73" i="16"/>
  <c r="AL73" i="16"/>
  <c r="AN73" i="16"/>
  <c r="AO73" i="16"/>
  <c r="AS73" i="16"/>
  <c r="AT73" i="16"/>
  <c r="AV73" i="16"/>
  <c r="AW73" i="16"/>
  <c r="AX73" i="16"/>
  <c r="B74" i="16" a="1"/>
  <c r="B74" i="16"/>
  <c r="C74" i="16"/>
  <c r="D74" i="16"/>
  <c r="F74" i="16"/>
  <c r="G74" i="16"/>
  <c r="I74" i="16"/>
  <c r="J74" i="16"/>
  <c r="K74" i="16"/>
  <c r="M74" i="16"/>
  <c r="N74" i="16"/>
  <c r="P74" i="16"/>
  <c r="Q74" i="16"/>
  <c r="S74" i="16"/>
  <c r="T74" i="16"/>
  <c r="U74" i="16"/>
  <c r="W74" i="16"/>
  <c r="Y74" i="16"/>
  <c r="Z74" i="16"/>
  <c r="AA74" i="16"/>
  <c r="AC74" i="16"/>
  <c r="AE74" i="16"/>
  <c r="AF74" i="16"/>
  <c r="AH74" i="16"/>
  <c r="AI74" i="16"/>
  <c r="AJ74" i="16"/>
  <c r="AL74" i="16"/>
  <c r="AN74" i="16"/>
  <c r="AO74" i="16"/>
  <c r="AS74" i="16"/>
  <c r="AT74" i="16"/>
  <c r="AV74" i="16"/>
  <c r="AW74" i="16"/>
  <c r="AX74" i="16"/>
  <c r="B75" i="16" a="1"/>
  <c r="B75" i="16"/>
  <c r="C75" i="16"/>
  <c r="D75" i="16"/>
  <c r="F75" i="16"/>
  <c r="G75" i="16"/>
  <c r="I75" i="16"/>
  <c r="J75" i="16"/>
  <c r="K75" i="16"/>
  <c r="M75" i="16"/>
  <c r="N75" i="16"/>
  <c r="P75" i="16"/>
  <c r="Q75" i="16"/>
  <c r="S75" i="16"/>
  <c r="T75" i="16"/>
  <c r="U75" i="16"/>
  <c r="W75" i="16"/>
  <c r="Y75" i="16"/>
  <c r="Z75" i="16"/>
  <c r="AA75" i="16"/>
  <c r="AC75" i="16"/>
  <c r="AE75" i="16"/>
  <c r="AF75" i="16"/>
  <c r="AH75" i="16"/>
  <c r="AI75" i="16"/>
  <c r="AJ75" i="16"/>
  <c r="AL75" i="16"/>
  <c r="AN75" i="16"/>
  <c r="AO75" i="16"/>
  <c r="AS75" i="16"/>
  <c r="AT75" i="16"/>
  <c r="AV75" i="16"/>
  <c r="AW75" i="16"/>
  <c r="AX75" i="16"/>
  <c r="B76" i="16" a="1"/>
  <c r="B76" i="16"/>
  <c r="C76" i="16"/>
  <c r="D76" i="16"/>
  <c r="F76" i="16"/>
  <c r="G76" i="16"/>
  <c r="I76" i="16"/>
  <c r="J76" i="16"/>
  <c r="K76" i="16"/>
  <c r="M76" i="16"/>
  <c r="N76" i="16"/>
  <c r="P76" i="16"/>
  <c r="Q76" i="16"/>
  <c r="S76" i="16"/>
  <c r="T76" i="16"/>
  <c r="U76" i="16"/>
  <c r="W76" i="16"/>
  <c r="Y76" i="16"/>
  <c r="Z76" i="16"/>
  <c r="AA76" i="16"/>
  <c r="AC76" i="16"/>
  <c r="AE76" i="16"/>
  <c r="AF76" i="16"/>
  <c r="AH76" i="16"/>
  <c r="AI76" i="16"/>
  <c r="AJ76" i="16"/>
  <c r="AL76" i="16"/>
  <c r="AN76" i="16"/>
  <c r="AO76" i="16"/>
  <c r="AS76" i="16"/>
  <c r="AT76" i="16"/>
  <c r="AV76" i="16"/>
  <c r="AW76" i="16"/>
  <c r="AX76" i="16"/>
  <c r="B77" i="16" a="1"/>
  <c r="B77" i="16"/>
  <c r="C77" i="16"/>
  <c r="D77" i="16"/>
  <c r="F77" i="16"/>
  <c r="G77" i="16"/>
  <c r="I77" i="16"/>
  <c r="J77" i="16"/>
  <c r="K77" i="16"/>
  <c r="M77" i="16"/>
  <c r="N77" i="16"/>
  <c r="P77" i="16"/>
  <c r="Q77" i="16"/>
  <c r="S77" i="16"/>
  <c r="T77" i="16"/>
  <c r="U77" i="16"/>
  <c r="W77" i="16"/>
  <c r="Y77" i="16"/>
  <c r="Z77" i="16"/>
  <c r="AA77" i="16"/>
  <c r="AC77" i="16"/>
  <c r="AE77" i="16"/>
  <c r="AF77" i="16"/>
  <c r="AH77" i="16"/>
  <c r="AI77" i="16"/>
  <c r="AJ77" i="16"/>
  <c r="AL77" i="16"/>
  <c r="AN77" i="16"/>
  <c r="AO77" i="16"/>
  <c r="AS77" i="16"/>
  <c r="AT77" i="16"/>
  <c r="AV77" i="16"/>
  <c r="AW77" i="16"/>
  <c r="AX77" i="16"/>
  <c r="B78" i="16" a="1"/>
  <c r="B78" i="16"/>
  <c r="C78" i="16"/>
  <c r="D78" i="16"/>
  <c r="F78" i="16"/>
  <c r="G78" i="16"/>
  <c r="I78" i="16"/>
  <c r="J78" i="16"/>
  <c r="K78" i="16"/>
  <c r="M78" i="16"/>
  <c r="N78" i="16"/>
  <c r="P78" i="16"/>
  <c r="Q78" i="16"/>
  <c r="S78" i="16"/>
  <c r="T78" i="16"/>
  <c r="U78" i="16"/>
  <c r="W78" i="16"/>
  <c r="Y78" i="16"/>
  <c r="Z78" i="16"/>
  <c r="AA78" i="16"/>
  <c r="AC78" i="16"/>
  <c r="AE78" i="16"/>
  <c r="AF78" i="16"/>
  <c r="AH78" i="16"/>
  <c r="AI78" i="16"/>
  <c r="AJ78" i="16"/>
  <c r="AL78" i="16"/>
  <c r="AN78" i="16"/>
  <c r="AO78" i="16"/>
  <c r="AS78" i="16"/>
  <c r="AT78" i="16"/>
  <c r="AV78" i="16"/>
  <c r="AW78" i="16"/>
  <c r="AX78" i="16"/>
  <c r="B79" i="16" a="1"/>
  <c r="B79" i="16"/>
  <c r="C79" i="16"/>
  <c r="D79" i="16"/>
  <c r="F79" i="16"/>
  <c r="G79" i="16"/>
  <c r="I79" i="16"/>
  <c r="J79" i="16"/>
  <c r="K79" i="16"/>
  <c r="M79" i="16"/>
  <c r="N79" i="16"/>
  <c r="P79" i="16"/>
  <c r="Q79" i="16"/>
  <c r="S79" i="16"/>
  <c r="T79" i="16"/>
  <c r="U79" i="16"/>
  <c r="W79" i="16"/>
  <c r="Y79" i="16"/>
  <c r="Z79" i="16"/>
  <c r="AA79" i="16"/>
  <c r="AC79" i="16"/>
  <c r="AE79" i="16"/>
  <c r="AF79" i="16"/>
  <c r="AH79" i="16"/>
  <c r="AI79" i="16"/>
  <c r="AJ79" i="16"/>
  <c r="AL79" i="16"/>
  <c r="AN79" i="16"/>
  <c r="AO79" i="16"/>
  <c r="AS79" i="16"/>
  <c r="AT79" i="16"/>
  <c r="AV79" i="16"/>
  <c r="AW79" i="16"/>
  <c r="AX79" i="16"/>
  <c r="B80" i="16" a="1"/>
  <c r="B80" i="16"/>
  <c r="C80" i="16"/>
  <c r="D80" i="16"/>
  <c r="F80" i="16"/>
  <c r="G80" i="16"/>
  <c r="I80" i="16"/>
  <c r="J80" i="16"/>
  <c r="K80" i="16"/>
  <c r="M80" i="16"/>
  <c r="N80" i="16"/>
  <c r="P80" i="16"/>
  <c r="Q80" i="16"/>
  <c r="S80" i="16"/>
  <c r="T80" i="16"/>
  <c r="U80" i="16"/>
  <c r="W80" i="16"/>
  <c r="Y80" i="16"/>
  <c r="Z80" i="16"/>
  <c r="AA80" i="16"/>
  <c r="AC80" i="16"/>
  <c r="AE80" i="16"/>
  <c r="AF80" i="16"/>
  <c r="AH80" i="16"/>
  <c r="AI80" i="16"/>
  <c r="AJ80" i="16"/>
  <c r="AL80" i="16"/>
  <c r="AN80" i="16"/>
  <c r="AO80" i="16"/>
  <c r="AS80" i="16"/>
  <c r="AT80" i="16"/>
  <c r="AV80" i="16"/>
  <c r="AW80" i="16"/>
  <c r="AX80" i="16"/>
  <c r="B81" i="16" a="1"/>
  <c r="B81" i="16"/>
  <c r="C81" i="16"/>
  <c r="D81" i="16"/>
  <c r="F81" i="16"/>
  <c r="G81" i="16"/>
  <c r="I81" i="16"/>
  <c r="J81" i="16"/>
  <c r="K81" i="16"/>
  <c r="M81" i="16"/>
  <c r="N81" i="16"/>
  <c r="P81" i="16"/>
  <c r="Q81" i="16"/>
  <c r="S81" i="16"/>
  <c r="T81" i="16"/>
  <c r="U81" i="16"/>
  <c r="W81" i="16"/>
  <c r="Y81" i="16"/>
  <c r="Z81" i="16"/>
  <c r="AA81" i="16"/>
  <c r="AC81" i="16"/>
  <c r="AE81" i="16"/>
  <c r="AF81" i="16"/>
  <c r="AH81" i="16"/>
  <c r="AI81" i="16"/>
  <c r="AJ81" i="16"/>
  <c r="AL81" i="16"/>
  <c r="AN81" i="16"/>
  <c r="AO81" i="16"/>
  <c r="AS81" i="16"/>
  <c r="AT81" i="16"/>
  <c r="AV81" i="16"/>
  <c r="AW81" i="16"/>
  <c r="AX81" i="16"/>
  <c r="B82" i="16" a="1"/>
  <c r="B82" i="16"/>
  <c r="C82" i="16"/>
  <c r="D82" i="16"/>
  <c r="F82" i="16"/>
  <c r="G82" i="16"/>
  <c r="I82" i="16"/>
  <c r="J82" i="16"/>
  <c r="K82" i="16"/>
  <c r="M82" i="16"/>
  <c r="N82" i="16"/>
  <c r="P82" i="16"/>
  <c r="Q82" i="16"/>
  <c r="S82" i="16"/>
  <c r="T82" i="16"/>
  <c r="U82" i="16"/>
  <c r="W82" i="16"/>
  <c r="Y82" i="16"/>
  <c r="Z82" i="16"/>
  <c r="AA82" i="16"/>
  <c r="AC82" i="16"/>
  <c r="AE82" i="16"/>
  <c r="AF82" i="16"/>
  <c r="AH82" i="16"/>
  <c r="AI82" i="16"/>
  <c r="AJ82" i="16"/>
  <c r="AL82" i="16"/>
  <c r="AN82" i="16"/>
  <c r="AO82" i="16"/>
  <c r="AS82" i="16"/>
  <c r="AT82" i="16"/>
  <c r="AV82" i="16"/>
  <c r="AW82" i="16"/>
  <c r="AX82" i="16"/>
  <c r="B83" i="16" a="1"/>
  <c r="B83" i="16"/>
  <c r="C83" i="16"/>
  <c r="D83" i="16"/>
  <c r="F83" i="16"/>
  <c r="G83" i="16"/>
  <c r="I83" i="16"/>
  <c r="J83" i="16"/>
  <c r="K83" i="16"/>
  <c r="M83" i="16"/>
  <c r="N83" i="16"/>
  <c r="P83" i="16"/>
  <c r="Q83" i="16"/>
  <c r="S83" i="16"/>
  <c r="T83" i="16"/>
  <c r="U83" i="16"/>
  <c r="W83" i="16"/>
  <c r="Y83" i="16"/>
  <c r="Z83" i="16"/>
  <c r="AA83" i="16"/>
  <c r="AC83" i="16"/>
  <c r="AE83" i="16"/>
  <c r="AF83" i="16"/>
  <c r="AH83" i="16"/>
  <c r="AI83" i="16"/>
  <c r="AJ83" i="16"/>
  <c r="AL83" i="16"/>
  <c r="AN83" i="16"/>
  <c r="AO83" i="16"/>
  <c r="AS83" i="16"/>
  <c r="AT83" i="16"/>
  <c r="AV83" i="16"/>
  <c r="AW83" i="16"/>
  <c r="AX83" i="16"/>
  <c r="B84" i="16" a="1"/>
  <c r="B84" i="16"/>
  <c r="C84" i="16"/>
  <c r="D84" i="16"/>
  <c r="F84" i="16"/>
  <c r="G84" i="16"/>
  <c r="I84" i="16"/>
  <c r="J84" i="16"/>
  <c r="K84" i="16"/>
  <c r="M84" i="16"/>
  <c r="N84" i="16"/>
  <c r="P84" i="16"/>
  <c r="Q84" i="16"/>
  <c r="S84" i="16"/>
  <c r="T84" i="16"/>
  <c r="U84" i="16"/>
  <c r="W84" i="16"/>
  <c r="Y84" i="16"/>
  <c r="Z84" i="16"/>
  <c r="AA84" i="16"/>
  <c r="AC84" i="16"/>
  <c r="AE84" i="16"/>
  <c r="AF84" i="16"/>
  <c r="AH84" i="16"/>
  <c r="AI84" i="16"/>
  <c r="AJ84" i="16"/>
  <c r="AL84" i="16"/>
  <c r="AN84" i="16"/>
  <c r="AO84" i="16"/>
  <c r="AS84" i="16"/>
  <c r="AT84" i="16"/>
  <c r="AV84" i="16"/>
  <c r="AW84" i="16"/>
  <c r="AX84" i="16"/>
  <c r="B85" i="16" a="1"/>
  <c r="B85" i="16"/>
  <c r="C85" i="16"/>
  <c r="D85" i="16"/>
  <c r="F85" i="16"/>
  <c r="G85" i="16"/>
  <c r="I85" i="16"/>
  <c r="J85" i="16"/>
  <c r="K85" i="16"/>
  <c r="M85" i="16"/>
  <c r="N85" i="16"/>
  <c r="P85" i="16"/>
  <c r="Q85" i="16"/>
  <c r="S85" i="16"/>
  <c r="T85" i="16"/>
  <c r="U85" i="16"/>
  <c r="W85" i="16"/>
  <c r="Y85" i="16"/>
  <c r="Z85" i="16"/>
  <c r="AA85" i="16"/>
  <c r="AC85" i="16"/>
  <c r="AE85" i="16"/>
  <c r="AF85" i="16"/>
  <c r="AH85" i="16"/>
  <c r="AI85" i="16"/>
  <c r="AJ85" i="16"/>
  <c r="AL85" i="16"/>
  <c r="AN85" i="16"/>
  <c r="AO85" i="16"/>
  <c r="AS85" i="16"/>
  <c r="AT85" i="16"/>
  <c r="AV85" i="16"/>
  <c r="AW85" i="16"/>
  <c r="AX85" i="16"/>
  <c r="B86" i="16" a="1"/>
  <c r="B86" i="16"/>
  <c r="C86" i="16"/>
  <c r="D86" i="16"/>
  <c r="F86" i="16"/>
  <c r="G86" i="16"/>
  <c r="I86" i="16"/>
  <c r="J86" i="16"/>
  <c r="K86" i="16"/>
  <c r="M86" i="16"/>
  <c r="N86" i="16"/>
  <c r="P86" i="16"/>
  <c r="Q86" i="16"/>
  <c r="S86" i="16"/>
  <c r="T86" i="16"/>
  <c r="U86" i="16"/>
  <c r="W86" i="16"/>
  <c r="Y86" i="16"/>
  <c r="Z86" i="16"/>
  <c r="AA86" i="16"/>
  <c r="AC86" i="16"/>
  <c r="AE86" i="16"/>
  <c r="AF86" i="16"/>
  <c r="AH86" i="16"/>
  <c r="AI86" i="16"/>
  <c r="AJ86" i="16"/>
  <c r="AL86" i="16"/>
  <c r="AN86" i="16"/>
  <c r="AO86" i="16"/>
  <c r="AS86" i="16"/>
  <c r="AT86" i="16"/>
  <c r="AV86" i="16"/>
  <c r="AW86" i="16"/>
  <c r="AX86" i="16"/>
  <c r="B87" i="16" a="1"/>
  <c r="B87" i="16"/>
  <c r="C87" i="16"/>
  <c r="D87" i="16"/>
  <c r="F87" i="16"/>
  <c r="G87" i="16"/>
  <c r="I87" i="16"/>
  <c r="J87" i="16"/>
  <c r="K87" i="16"/>
  <c r="M87" i="16"/>
  <c r="N87" i="16"/>
  <c r="P87" i="16"/>
  <c r="Q87" i="16"/>
  <c r="S87" i="16"/>
  <c r="T87" i="16"/>
  <c r="U87" i="16"/>
  <c r="W87" i="16"/>
  <c r="Y87" i="16"/>
  <c r="Z87" i="16"/>
  <c r="AA87" i="16"/>
  <c r="AC87" i="16"/>
  <c r="AE87" i="16"/>
  <c r="AF87" i="16"/>
  <c r="AH87" i="16"/>
  <c r="AI87" i="16"/>
  <c r="AJ87" i="16"/>
  <c r="AL87" i="16"/>
  <c r="AN87" i="16"/>
  <c r="AO87" i="16"/>
  <c r="AS87" i="16"/>
  <c r="AT87" i="16"/>
  <c r="AV87" i="16"/>
  <c r="AW87" i="16"/>
  <c r="AX87" i="16"/>
  <c r="B88" i="16" a="1"/>
  <c r="B88" i="16"/>
  <c r="C88" i="16"/>
  <c r="D88" i="16"/>
  <c r="F88" i="16"/>
  <c r="G88" i="16"/>
  <c r="I88" i="16"/>
  <c r="J88" i="16"/>
  <c r="K88" i="16"/>
  <c r="M88" i="16"/>
  <c r="N88" i="16"/>
  <c r="P88" i="16"/>
  <c r="Q88" i="16"/>
  <c r="S88" i="16"/>
  <c r="T88" i="16"/>
  <c r="U88" i="16"/>
  <c r="W88" i="16"/>
  <c r="Y88" i="16"/>
  <c r="Z88" i="16"/>
  <c r="AA88" i="16"/>
  <c r="AC88" i="16"/>
  <c r="AE88" i="16"/>
  <c r="AF88" i="16"/>
  <c r="AH88" i="16"/>
  <c r="AI88" i="16"/>
  <c r="AJ88" i="16"/>
  <c r="AL88" i="16"/>
  <c r="AN88" i="16"/>
  <c r="AO88" i="16"/>
  <c r="AS88" i="16"/>
  <c r="AT88" i="16"/>
  <c r="AV88" i="16"/>
  <c r="AW88" i="16"/>
  <c r="AX88" i="16"/>
  <c r="B89" i="16" a="1"/>
  <c r="B89" i="16"/>
  <c r="C89" i="16"/>
  <c r="D89" i="16"/>
  <c r="F89" i="16"/>
  <c r="G89" i="16"/>
  <c r="I89" i="16"/>
  <c r="J89" i="16"/>
  <c r="K89" i="16"/>
  <c r="M89" i="16"/>
  <c r="N89" i="16"/>
  <c r="P89" i="16"/>
  <c r="Q89" i="16"/>
  <c r="S89" i="16"/>
  <c r="T89" i="16"/>
  <c r="U89" i="16"/>
  <c r="W89" i="16"/>
  <c r="Y89" i="16"/>
  <c r="Z89" i="16"/>
  <c r="AA89" i="16"/>
  <c r="AC89" i="16"/>
  <c r="AE89" i="16"/>
  <c r="AF89" i="16"/>
  <c r="AH89" i="16"/>
  <c r="AI89" i="16"/>
  <c r="AJ89" i="16"/>
  <c r="AL89" i="16"/>
  <c r="AN89" i="16"/>
  <c r="AO89" i="16"/>
  <c r="AS89" i="16"/>
  <c r="AT89" i="16"/>
  <c r="AV89" i="16"/>
  <c r="AW89" i="16"/>
  <c r="AX89" i="16"/>
  <c r="B90" i="16" a="1"/>
  <c r="B90" i="16"/>
  <c r="C90" i="16"/>
  <c r="D90" i="16"/>
  <c r="F90" i="16"/>
  <c r="G90" i="16"/>
  <c r="I90" i="16"/>
  <c r="J90" i="16"/>
  <c r="K90" i="16"/>
  <c r="M90" i="16"/>
  <c r="N90" i="16"/>
  <c r="P90" i="16"/>
  <c r="Q90" i="16"/>
  <c r="S90" i="16"/>
  <c r="T90" i="16"/>
  <c r="U90" i="16"/>
  <c r="W90" i="16"/>
  <c r="Y90" i="16"/>
  <c r="Z90" i="16"/>
  <c r="AA90" i="16"/>
  <c r="AC90" i="16"/>
  <c r="AE90" i="16"/>
  <c r="AF90" i="16"/>
  <c r="AH90" i="16"/>
  <c r="AI90" i="16"/>
  <c r="AJ90" i="16"/>
  <c r="AL90" i="16"/>
  <c r="AN90" i="16"/>
  <c r="AO90" i="16"/>
  <c r="AS90" i="16"/>
  <c r="AT90" i="16"/>
  <c r="AV90" i="16"/>
  <c r="AW90" i="16"/>
  <c r="AX90" i="16"/>
  <c r="B91" i="16" a="1"/>
  <c r="B91" i="16"/>
  <c r="C91" i="16"/>
  <c r="D91" i="16"/>
  <c r="F91" i="16"/>
  <c r="G91" i="16"/>
  <c r="I91" i="16"/>
  <c r="J91" i="16"/>
  <c r="K91" i="16"/>
  <c r="M91" i="16"/>
  <c r="N91" i="16"/>
  <c r="P91" i="16"/>
  <c r="Q91" i="16"/>
  <c r="S91" i="16"/>
  <c r="T91" i="16"/>
  <c r="U91" i="16"/>
  <c r="W91" i="16"/>
  <c r="Y91" i="16"/>
  <c r="Z91" i="16"/>
  <c r="AA91" i="16"/>
  <c r="AC91" i="16"/>
  <c r="AE91" i="16"/>
  <c r="AF91" i="16"/>
  <c r="AH91" i="16"/>
  <c r="AI91" i="16"/>
  <c r="AJ91" i="16"/>
  <c r="AL91" i="16"/>
  <c r="AN91" i="16"/>
  <c r="AO91" i="16"/>
  <c r="AS91" i="16"/>
  <c r="AT91" i="16"/>
  <c r="AV91" i="16"/>
  <c r="AW91" i="16"/>
  <c r="AX91" i="16"/>
  <c r="B92" i="16" a="1"/>
  <c r="B92" i="16"/>
  <c r="C92" i="16"/>
  <c r="D92" i="16"/>
  <c r="F92" i="16"/>
  <c r="G92" i="16"/>
  <c r="I92" i="16"/>
  <c r="J92" i="16"/>
  <c r="K92" i="16"/>
  <c r="M92" i="16"/>
  <c r="N92" i="16"/>
  <c r="P92" i="16"/>
  <c r="Q92" i="16"/>
  <c r="S92" i="16"/>
  <c r="T92" i="16"/>
  <c r="U92" i="16"/>
  <c r="W92" i="16"/>
  <c r="Y92" i="16"/>
  <c r="Z92" i="16"/>
  <c r="AA92" i="16"/>
  <c r="AC92" i="16"/>
  <c r="AE92" i="16"/>
  <c r="AF92" i="16"/>
  <c r="AH92" i="16"/>
  <c r="AI92" i="16"/>
  <c r="AJ92" i="16"/>
  <c r="AL92" i="16"/>
  <c r="AN92" i="16"/>
  <c r="AO92" i="16"/>
  <c r="AS92" i="16"/>
  <c r="AT92" i="16"/>
  <c r="AV92" i="16"/>
  <c r="AW92" i="16"/>
  <c r="AX92" i="16"/>
  <c r="B93" i="16" a="1"/>
  <c r="B93" i="16"/>
  <c r="C93" i="16"/>
  <c r="D93" i="16"/>
  <c r="F93" i="16"/>
  <c r="G93" i="16"/>
  <c r="I93" i="16"/>
  <c r="J93" i="16"/>
  <c r="K93" i="16"/>
  <c r="M93" i="16"/>
  <c r="N93" i="16"/>
  <c r="P93" i="16"/>
  <c r="Q93" i="16"/>
  <c r="S93" i="16"/>
  <c r="T93" i="16"/>
  <c r="U93" i="16"/>
  <c r="W93" i="16"/>
  <c r="Y93" i="16"/>
  <c r="Z93" i="16"/>
  <c r="AA93" i="16"/>
  <c r="AC93" i="16"/>
  <c r="AE93" i="16"/>
  <c r="AF93" i="16"/>
  <c r="AH93" i="16"/>
  <c r="AI93" i="16"/>
  <c r="AJ93" i="16"/>
  <c r="AL93" i="16"/>
  <c r="AN93" i="16"/>
  <c r="AO93" i="16"/>
  <c r="AS93" i="16"/>
  <c r="AT93" i="16"/>
  <c r="AV93" i="16"/>
  <c r="AW93" i="16"/>
  <c r="AX93" i="16"/>
  <c r="B94" i="16" a="1"/>
  <c r="B94" i="16"/>
  <c r="C94" i="16"/>
  <c r="D94" i="16"/>
  <c r="F94" i="16"/>
  <c r="G94" i="16"/>
  <c r="I94" i="16"/>
  <c r="J94" i="16"/>
  <c r="K94" i="16"/>
  <c r="M94" i="16"/>
  <c r="N94" i="16"/>
  <c r="P94" i="16"/>
  <c r="Q94" i="16"/>
  <c r="S94" i="16"/>
  <c r="T94" i="16"/>
  <c r="U94" i="16"/>
  <c r="W94" i="16"/>
  <c r="Y94" i="16"/>
  <c r="Z94" i="16"/>
  <c r="AA94" i="16"/>
  <c r="AC94" i="16"/>
  <c r="AE94" i="16"/>
  <c r="AF94" i="16"/>
  <c r="AH94" i="16"/>
  <c r="AI94" i="16"/>
  <c r="AJ94" i="16"/>
  <c r="AL94" i="16"/>
  <c r="AN94" i="16"/>
  <c r="AO94" i="16"/>
  <c r="AS94" i="16"/>
  <c r="AT94" i="16"/>
  <c r="AV94" i="16"/>
  <c r="AW94" i="16"/>
  <c r="AX94" i="16"/>
  <c r="B95" i="16" a="1"/>
  <c r="B95" i="16"/>
  <c r="C95" i="16"/>
  <c r="D95" i="16"/>
  <c r="F95" i="16"/>
  <c r="G95" i="16"/>
  <c r="I95" i="16"/>
  <c r="J95" i="16"/>
  <c r="K95" i="16"/>
  <c r="M95" i="16"/>
  <c r="N95" i="16"/>
  <c r="P95" i="16"/>
  <c r="Q95" i="16"/>
  <c r="S95" i="16"/>
  <c r="T95" i="16"/>
  <c r="U95" i="16"/>
  <c r="W95" i="16"/>
  <c r="Y95" i="16"/>
  <c r="Z95" i="16"/>
  <c r="AA95" i="16"/>
  <c r="AC95" i="16"/>
  <c r="AE95" i="16"/>
  <c r="AF95" i="16"/>
  <c r="AH95" i="16"/>
  <c r="AI95" i="16"/>
  <c r="AJ95" i="16"/>
  <c r="AL95" i="16"/>
  <c r="AN95" i="16"/>
  <c r="AO95" i="16"/>
  <c r="AS95" i="16"/>
  <c r="AT95" i="16"/>
  <c r="AV95" i="16"/>
  <c r="AW95" i="16"/>
  <c r="AX95" i="16"/>
  <c r="B96" i="16" a="1"/>
  <c r="B96" i="16"/>
  <c r="C96" i="16"/>
  <c r="D96" i="16"/>
  <c r="F96" i="16"/>
  <c r="G96" i="16"/>
  <c r="I96" i="16"/>
  <c r="J96" i="16"/>
  <c r="K96" i="16"/>
  <c r="M96" i="16"/>
  <c r="N96" i="16"/>
  <c r="P96" i="16"/>
  <c r="Q96" i="16"/>
  <c r="S96" i="16"/>
  <c r="T96" i="16"/>
  <c r="U96" i="16"/>
  <c r="W96" i="16"/>
  <c r="Y96" i="16"/>
  <c r="Z96" i="16"/>
  <c r="AA96" i="16"/>
  <c r="AC96" i="16"/>
  <c r="AE96" i="16"/>
  <c r="AF96" i="16"/>
  <c r="AH96" i="16"/>
  <c r="AI96" i="16"/>
  <c r="AJ96" i="16"/>
  <c r="AL96" i="16"/>
  <c r="AN96" i="16"/>
  <c r="AO96" i="16"/>
  <c r="AS96" i="16"/>
  <c r="AT96" i="16"/>
  <c r="AV96" i="16"/>
  <c r="AW96" i="16"/>
  <c r="AX96" i="16"/>
  <c r="B97" i="16" a="1"/>
  <c r="B97" i="16"/>
  <c r="C97" i="16"/>
  <c r="D97" i="16"/>
  <c r="F97" i="16"/>
  <c r="G97" i="16"/>
  <c r="I97" i="16"/>
  <c r="J97" i="16"/>
  <c r="K97" i="16"/>
  <c r="M97" i="16"/>
  <c r="N97" i="16"/>
  <c r="P97" i="16"/>
  <c r="Q97" i="16"/>
  <c r="S97" i="16"/>
  <c r="T97" i="16"/>
  <c r="U97" i="16"/>
  <c r="W97" i="16"/>
  <c r="Y97" i="16"/>
  <c r="Z97" i="16"/>
  <c r="AA97" i="16"/>
  <c r="AC97" i="16"/>
  <c r="AE97" i="16"/>
  <c r="AF97" i="16"/>
  <c r="AH97" i="16"/>
  <c r="AI97" i="16"/>
  <c r="AJ97" i="16"/>
  <c r="AL97" i="16"/>
  <c r="AN97" i="16"/>
  <c r="AO97" i="16"/>
  <c r="AS97" i="16"/>
  <c r="AT97" i="16"/>
  <c r="AV97" i="16"/>
  <c r="AW97" i="16"/>
  <c r="AX97" i="16"/>
  <c r="B98" i="16" a="1"/>
  <c r="B98" i="16"/>
  <c r="C98" i="16"/>
  <c r="D98" i="16"/>
  <c r="F98" i="16"/>
  <c r="G98" i="16"/>
  <c r="I98" i="16"/>
  <c r="J98" i="16"/>
  <c r="K98" i="16"/>
  <c r="M98" i="16"/>
  <c r="N98" i="16"/>
  <c r="P98" i="16"/>
  <c r="Q98" i="16"/>
  <c r="S98" i="16"/>
  <c r="T98" i="16"/>
  <c r="U98" i="16"/>
  <c r="W98" i="16"/>
  <c r="Y98" i="16"/>
  <c r="Z98" i="16"/>
  <c r="AA98" i="16"/>
  <c r="AC98" i="16"/>
  <c r="AE98" i="16"/>
  <c r="AF98" i="16"/>
  <c r="AH98" i="16"/>
  <c r="AI98" i="16"/>
  <c r="AJ98" i="16"/>
  <c r="AL98" i="16"/>
  <c r="AN98" i="16"/>
  <c r="AO98" i="16"/>
  <c r="AS98" i="16"/>
  <c r="AT98" i="16"/>
  <c r="AV98" i="16"/>
  <c r="AW98" i="16"/>
  <c r="AX98" i="16"/>
  <c r="B99" i="16" a="1"/>
  <c r="B99" i="16"/>
  <c r="C99" i="16"/>
  <c r="D99" i="16"/>
  <c r="F99" i="16"/>
  <c r="G99" i="16"/>
  <c r="I99" i="16"/>
  <c r="J99" i="16"/>
  <c r="K99" i="16"/>
  <c r="M99" i="16"/>
  <c r="N99" i="16"/>
  <c r="P99" i="16"/>
  <c r="Q99" i="16"/>
  <c r="S99" i="16"/>
  <c r="T99" i="16"/>
  <c r="U99" i="16"/>
  <c r="W99" i="16"/>
  <c r="Y99" i="16"/>
  <c r="Z99" i="16"/>
  <c r="AA99" i="16"/>
  <c r="AC99" i="16"/>
  <c r="AE99" i="16"/>
  <c r="AF99" i="16"/>
  <c r="AH99" i="16"/>
  <c r="AI99" i="16"/>
  <c r="AJ99" i="16"/>
  <c r="AL99" i="16"/>
  <c r="AN99" i="16"/>
  <c r="AO99" i="16"/>
  <c r="AS99" i="16"/>
  <c r="AT99" i="16"/>
  <c r="AV99" i="16"/>
  <c r="AW99" i="16"/>
  <c r="AX99" i="16"/>
  <c r="B100" i="16" a="1"/>
  <c r="B100" i="16"/>
  <c r="C100" i="16"/>
  <c r="D100" i="16"/>
  <c r="F100" i="16"/>
  <c r="G100" i="16"/>
  <c r="I100" i="16"/>
  <c r="J100" i="16"/>
  <c r="K100" i="16"/>
  <c r="M100" i="16"/>
  <c r="N100" i="16"/>
  <c r="P100" i="16"/>
  <c r="Q100" i="16"/>
  <c r="S100" i="16"/>
  <c r="T100" i="16"/>
  <c r="U100" i="16"/>
  <c r="W100" i="16"/>
  <c r="Y100" i="16"/>
  <c r="Z100" i="16"/>
  <c r="AA100" i="16"/>
  <c r="AC100" i="16"/>
  <c r="AE100" i="16"/>
  <c r="AF100" i="16"/>
  <c r="AH100" i="16"/>
  <c r="AI100" i="16"/>
  <c r="AJ100" i="16"/>
  <c r="AL100" i="16"/>
  <c r="AN100" i="16"/>
  <c r="AO100" i="16"/>
  <c r="AS100" i="16"/>
  <c r="AT100" i="16"/>
  <c r="AV100" i="16"/>
  <c r="AW100" i="16"/>
  <c r="AX100" i="16"/>
  <c r="B101" i="16" a="1"/>
  <c r="B101" i="16"/>
  <c r="C101" i="16"/>
  <c r="D101" i="16"/>
  <c r="F101" i="16"/>
  <c r="G101" i="16"/>
  <c r="I101" i="16"/>
  <c r="J101" i="16"/>
  <c r="K101" i="16"/>
  <c r="M101" i="16"/>
  <c r="N101" i="16"/>
  <c r="P101" i="16"/>
  <c r="Q101" i="16"/>
  <c r="S101" i="16"/>
  <c r="T101" i="16"/>
  <c r="U101" i="16"/>
  <c r="W101" i="16"/>
  <c r="Y101" i="16"/>
  <c r="Z101" i="16"/>
  <c r="AA101" i="16"/>
  <c r="AC101" i="16"/>
  <c r="AE101" i="16"/>
  <c r="AF101" i="16"/>
  <c r="AH101" i="16"/>
  <c r="AI101" i="16"/>
  <c r="AJ101" i="16"/>
  <c r="AL101" i="16"/>
  <c r="AN101" i="16"/>
  <c r="AO101" i="16"/>
  <c r="AS101" i="16"/>
  <c r="AT101" i="16"/>
  <c r="AV101" i="16"/>
  <c r="AW101" i="16"/>
  <c r="AX101" i="16"/>
  <c r="B102" i="16" a="1"/>
  <c r="B102" i="16"/>
  <c r="C102" i="16"/>
  <c r="D102" i="16"/>
  <c r="F102" i="16"/>
  <c r="G102" i="16"/>
  <c r="I102" i="16"/>
  <c r="J102" i="16"/>
  <c r="K102" i="16"/>
  <c r="M102" i="16"/>
  <c r="N102" i="16"/>
  <c r="P102" i="16"/>
  <c r="Q102" i="16"/>
  <c r="S102" i="16"/>
  <c r="T102" i="16"/>
  <c r="U102" i="16"/>
  <c r="W102" i="16"/>
  <c r="Y102" i="16"/>
  <c r="Z102" i="16"/>
  <c r="AA102" i="16"/>
  <c r="AC102" i="16"/>
  <c r="AE102" i="16"/>
  <c r="AF102" i="16"/>
  <c r="AH102" i="16"/>
  <c r="AI102" i="16"/>
  <c r="AJ102" i="16"/>
  <c r="AL102" i="16"/>
  <c r="AN102" i="16"/>
  <c r="AO102" i="16"/>
  <c r="AS102" i="16"/>
  <c r="AT102" i="16"/>
  <c r="AV102" i="16"/>
  <c r="AW102" i="16"/>
  <c r="AX102" i="16"/>
  <c r="B103" i="16" a="1"/>
  <c r="B103" i="16"/>
  <c r="C103" i="16"/>
  <c r="D103" i="16"/>
  <c r="F103" i="16"/>
  <c r="G103" i="16"/>
  <c r="I103" i="16"/>
  <c r="J103" i="16"/>
  <c r="K103" i="16"/>
  <c r="M103" i="16"/>
  <c r="N103" i="16"/>
  <c r="P103" i="16"/>
  <c r="Q103" i="16"/>
  <c r="S103" i="16"/>
  <c r="T103" i="16"/>
  <c r="U103" i="16"/>
  <c r="W103" i="16"/>
  <c r="Y103" i="16"/>
  <c r="Z103" i="16"/>
  <c r="AA103" i="16"/>
  <c r="AC103" i="16"/>
  <c r="AE103" i="16"/>
  <c r="AF103" i="16"/>
  <c r="AH103" i="16"/>
  <c r="AI103" i="16"/>
  <c r="AJ103" i="16"/>
  <c r="AL103" i="16"/>
  <c r="AN103" i="16"/>
  <c r="AO103" i="16"/>
  <c r="AS103" i="16"/>
  <c r="AT103" i="16"/>
  <c r="AV103" i="16"/>
  <c r="AW103" i="16"/>
  <c r="AX103" i="16"/>
  <c r="B104" i="16" a="1"/>
  <c r="B104" i="16"/>
  <c r="C104" i="16"/>
  <c r="D104" i="16"/>
  <c r="F104" i="16"/>
  <c r="G104" i="16"/>
  <c r="I104" i="16"/>
  <c r="J104" i="16"/>
  <c r="K104" i="16"/>
  <c r="M104" i="16"/>
  <c r="N104" i="16"/>
  <c r="P104" i="16"/>
  <c r="Q104" i="16"/>
  <c r="S104" i="16"/>
  <c r="T104" i="16"/>
  <c r="U104" i="16"/>
  <c r="W104" i="16"/>
  <c r="Y104" i="16"/>
  <c r="Z104" i="16"/>
  <c r="AA104" i="16"/>
  <c r="AC104" i="16"/>
  <c r="AE104" i="16"/>
  <c r="AF104" i="16"/>
  <c r="AH104" i="16"/>
  <c r="AI104" i="16"/>
  <c r="AJ104" i="16"/>
  <c r="AL104" i="16"/>
  <c r="AN104" i="16"/>
  <c r="AO104" i="16"/>
  <c r="AS104" i="16"/>
  <c r="AT104" i="16"/>
  <c r="AV104" i="16"/>
  <c r="AW104" i="16"/>
  <c r="AX104" i="16"/>
  <c r="B105" i="16" a="1"/>
  <c r="B105" i="16"/>
  <c r="C105" i="16"/>
  <c r="D105" i="16"/>
  <c r="F105" i="16"/>
  <c r="G105" i="16"/>
  <c r="I105" i="16"/>
  <c r="J105" i="16"/>
  <c r="K105" i="16"/>
  <c r="M105" i="16"/>
  <c r="N105" i="16"/>
  <c r="P105" i="16"/>
  <c r="Q105" i="16"/>
  <c r="S105" i="16"/>
  <c r="T105" i="16"/>
  <c r="U105" i="16"/>
  <c r="W105" i="16"/>
  <c r="Y105" i="16"/>
  <c r="Z105" i="16"/>
  <c r="AA105" i="16"/>
  <c r="AC105" i="16"/>
  <c r="AE105" i="16"/>
  <c r="AF105" i="16"/>
  <c r="AH105" i="16"/>
  <c r="AI105" i="16"/>
  <c r="AJ105" i="16"/>
  <c r="AL105" i="16"/>
  <c r="AN105" i="16"/>
  <c r="AO105" i="16"/>
  <c r="AS105" i="16"/>
  <c r="AT105" i="16"/>
  <c r="AV105" i="16"/>
  <c r="AW105" i="16"/>
  <c r="AX105" i="16"/>
  <c r="B106" i="16" a="1"/>
  <c r="B106" i="16"/>
  <c r="C106" i="16"/>
  <c r="D106" i="16"/>
  <c r="F106" i="16"/>
  <c r="G106" i="16"/>
  <c r="I106" i="16"/>
  <c r="J106" i="16"/>
  <c r="K106" i="16"/>
  <c r="M106" i="16"/>
  <c r="N106" i="16"/>
  <c r="P106" i="16"/>
  <c r="Q106" i="16"/>
  <c r="S106" i="16"/>
  <c r="T106" i="16"/>
  <c r="U106" i="16"/>
  <c r="W106" i="16"/>
  <c r="Y106" i="16"/>
  <c r="Z106" i="16"/>
  <c r="AA106" i="16"/>
  <c r="AC106" i="16"/>
  <c r="AE106" i="16"/>
  <c r="AF106" i="16"/>
  <c r="AH106" i="16"/>
  <c r="AI106" i="16"/>
  <c r="AJ106" i="16"/>
  <c r="AL106" i="16"/>
  <c r="AN106" i="16"/>
  <c r="AO106" i="16"/>
  <c r="AS106" i="16"/>
  <c r="AT106" i="16"/>
  <c r="AV106" i="16"/>
  <c r="AW106" i="16"/>
  <c r="AX106" i="16"/>
  <c r="B107" i="16" a="1"/>
  <c r="B107" i="16"/>
  <c r="C107" i="16"/>
  <c r="D107" i="16"/>
  <c r="F107" i="16"/>
  <c r="G107" i="16"/>
  <c r="I107" i="16"/>
  <c r="J107" i="16"/>
  <c r="K107" i="16"/>
  <c r="M107" i="16"/>
  <c r="N107" i="16"/>
  <c r="P107" i="16"/>
  <c r="Q107" i="16"/>
  <c r="S107" i="16"/>
  <c r="T107" i="16"/>
  <c r="U107" i="16"/>
  <c r="W107" i="16"/>
  <c r="Y107" i="16"/>
  <c r="Z107" i="16"/>
  <c r="AA107" i="16"/>
  <c r="AC107" i="16"/>
  <c r="AE107" i="16"/>
  <c r="AF107" i="16"/>
  <c r="AH107" i="16"/>
  <c r="AI107" i="16"/>
  <c r="AJ107" i="16"/>
  <c r="AL107" i="16"/>
  <c r="AN107" i="16"/>
  <c r="AO107" i="16"/>
  <c r="AS107" i="16"/>
  <c r="AT107" i="16"/>
  <c r="AV107" i="16"/>
  <c r="AW107" i="16"/>
  <c r="AX107" i="16"/>
  <c r="B108" i="16" a="1"/>
  <c r="B108" i="16"/>
  <c r="C108" i="16"/>
  <c r="D108" i="16"/>
  <c r="F108" i="16"/>
  <c r="G108" i="16"/>
  <c r="I108" i="16"/>
  <c r="J108" i="16"/>
  <c r="K108" i="16"/>
  <c r="M108" i="16"/>
  <c r="N108" i="16"/>
  <c r="P108" i="16"/>
  <c r="Q108" i="16"/>
  <c r="S108" i="16"/>
  <c r="T108" i="16"/>
  <c r="U108" i="16"/>
  <c r="W108" i="16"/>
  <c r="Y108" i="16"/>
  <c r="Z108" i="16"/>
  <c r="AA108" i="16"/>
  <c r="AC108" i="16"/>
  <c r="AE108" i="16"/>
  <c r="AF108" i="16"/>
  <c r="AH108" i="16"/>
  <c r="AI108" i="16"/>
  <c r="AJ108" i="16"/>
  <c r="AL108" i="16"/>
  <c r="AN108" i="16"/>
  <c r="AO108" i="16"/>
  <c r="AS108" i="16"/>
  <c r="AT108" i="16"/>
  <c r="AV108" i="16"/>
  <c r="AW108" i="16"/>
  <c r="AX108" i="16"/>
  <c r="B109" i="16" a="1"/>
  <c r="B109" i="16"/>
  <c r="C109" i="16"/>
  <c r="D109" i="16"/>
  <c r="F109" i="16"/>
  <c r="G109" i="16"/>
  <c r="I109" i="16"/>
  <c r="J109" i="16"/>
  <c r="K109" i="16"/>
  <c r="M109" i="16"/>
  <c r="N109" i="16"/>
  <c r="P109" i="16"/>
  <c r="Q109" i="16"/>
  <c r="S109" i="16"/>
  <c r="T109" i="16"/>
  <c r="U109" i="16"/>
  <c r="W109" i="16"/>
  <c r="Y109" i="16"/>
  <c r="Z109" i="16"/>
  <c r="AA109" i="16"/>
  <c r="AC109" i="16"/>
  <c r="AE109" i="16"/>
  <c r="AF109" i="16"/>
  <c r="AH109" i="16"/>
  <c r="AI109" i="16"/>
  <c r="AJ109" i="16"/>
  <c r="AL109" i="16"/>
  <c r="AN109" i="16"/>
  <c r="AO109" i="16"/>
  <c r="AS109" i="16"/>
  <c r="AT109" i="16"/>
  <c r="AV109" i="16"/>
  <c r="AW109" i="16"/>
  <c r="AX109" i="16"/>
  <c r="B110" i="16" a="1"/>
  <c r="B110" i="16"/>
  <c r="C110" i="16"/>
  <c r="D110" i="16"/>
  <c r="F110" i="16"/>
  <c r="G110" i="16"/>
  <c r="I110" i="16"/>
  <c r="J110" i="16"/>
  <c r="K110" i="16"/>
  <c r="M110" i="16"/>
  <c r="N110" i="16"/>
  <c r="P110" i="16"/>
  <c r="Q110" i="16"/>
  <c r="S110" i="16"/>
  <c r="T110" i="16"/>
  <c r="U110" i="16"/>
  <c r="W110" i="16"/>
  <c r="Y110" i="16"/>
  <c r="Z110" i="16"/>
  <c r="AA110" i="16"/>
  <c r="AC110" i="16"/>
  <c r="AE110" i="16"/>
  <c r="AF110" i="16"/>
  <c r="AH110" i="16"/>
  <c r="AI110" i="16"/>
  <c r="AJ110" i="16"/>
  <c r="AL110" i="16"/>
  <c r="AN110" i="16"/>
  <c r="AO110" i="16"/>
  <c r="AS110" i="16"/>
  <c r="AT110" i="16"/>
  <c r="AV110" i="16"/>
  <c r="AW110" i="16"/>
  <c r="AX110" i="16"/>
  <c r="B111" i="16" a="1"/>
  <c r="B111" i="16"/>
  <c r="C111" i="16"/>
  <c r="D111" i="16"/>
  <c r="F111" i="16"/>
  <c r="G111" i="16"/>
  <c r="I111" i="16"/>
  <c r="J111" i="16"/>
  <c r="K111" i="16"/>
  <c r="M111" i="16"/>
  <c r="N111" i="16"/>
  <c r="P111" i="16"/>
  <c r="Q111" i="16"/>
  <c r="S111" i="16"/>
  <c r="T111" i="16"/>
  <c r="U111" i="16"/>
  <c r="W111" i="16"/>
  <c r="Y111" i="16"/>
  <c r="Z111" i="16"/>
  <c r="AA111" i="16"/>
  <c r="AC111" i="16"/>
  <c r="AE111" i="16"/>
  <c r="AF111" i="16"/>
  <c r="AH111" i="16"/>
  <c r="AI111" i="16"/>
  <c r="AJ111" i="16"/>
  <c r="AL111" i="16"/>
  <c r="AN111" i="16"/>
  <c r="AO111" i="16"/>
  <c r="AS111" i="16"/>
  <c r="AT111" i="16"/>
  <c r="AV111" i="16"/>
  <c r="AW111" i="16"/>
  <c r="AX111" i="16"/>
  <c r="B112" i="16" a="1"/>
  <c r="B112" i="16"/>
  <c r="C112" i="16"/>
  <c r="D112" i="16"/>
  <c r="F112" i="16"/>
  <c r="G112" i="16"/>
  <c r="I112" i="16"/>
  <c r="J112" i="16"/>
  <c r="K112" i="16"/>
  <c r="M112" i="16"/>
  <c r="N112" i="16"/>
  <c r="P112" i="16"/>
  <c r="Q112" i="16"/>
  <c r="S112" i="16"/>
  <c r="T112" i="16"/>
  <c r="U112" i="16"/>
  <c r="W112" i="16"/>
  <c r="Y112" i="16"/>
  <c r="Z112" i="16"/>
  <c r="AA112" i="16"/>
  <c r="AC112" i="16"/>
  <c r="AE112" i="16"/>
  <c r="AF112" i="16"/>
  <c r="AH112" i="16"/>
  <c r="AI112" i="16"/>
  <c r="AJ112" i="16"/>
  <c r="AL112" i="16"/>
  <c r="AN112" i="16"/>
  <c r="AO112" i="16"/>
  <c r="AS112" i="16"/>
  <c r="AT112" i="16"/>
  <c r="AV112" i="16"/>
  <c r="AW112" i="16"/>
  <c r="AX112" i="16"/>
  <c r="B113" i="16" a="1"/>
  <c r="B113" i="16"/>
  <c r="C113" i="16"/>
  <c r="D113" i="16"/>
  <c r="F113" i="16"/>
  <c r="G113" i="16"/>
  <c r="I113" i="16"/>
  <c r="J113" i="16"/>
  <c r="K113" i="16"/>
  <c r="M113" i="16"/>
  <c r="N113" i="16"/>
  <c r="P113" i="16"/>
  <c r="Q113" i="16"/>
  <c r="S113" i="16"/>
  <c r="T113" i="16"/>
  <c r="U113" i="16"/>
  <c r="W113" i="16"/>
  <c r="Y113" i="16"/>
  <c r="Z113" i="16"/>
  <c r="AA113" i="16"/>
  <c r="AC113" i="16"/>
  <c r="AE113" i="16"/>
  <c r="AF113" i="16"/>
  <c r="AH113" i="16"/>
  <c r="AI113" i="16"/>
  <c r="AJ113" i="16"/>
  <c r="AL113" i="16"/>
  <c r="AN113" i="16"/>
  <c r="AO113" i="16"/>
  <c r="AS113" i="16"/>
  <c r="AT113" i="16"/>
  <c r="AV113" i="16"/>
  <c r="AW113" i="16"/>
  <c r="AX113" i="16"/>
  <c r="B114" i="16" a="1"/>
  <c r="B114" i="16"/>
  <c r="C114" i="16"/>
  <c r="D114" i="16"/>
  <c r="F114" i="16"/>
  <c r="G114" i="16"/>
  <c r="I114" i="16"/>
  <c r="J114" i="16"/>
  <c r="K114" i="16"/>
  <c r="M114" i="16"/>
  <c r="N114" i="16"/>
  <c r="P114" i="16"/>
  <c r="Q114" i="16"/>
  <c r="S114" i="16"/>
  <c r="T114" i="16"/>
  <c r="U114" i="16"/>
  <c r="W114" i="16"/>
  <c r="Y114" i="16"/>
  <c r="Z114" i="16"/>
  <c r="AA114" i="16"/>
  <c r="AC114" i="16"/>
  <c r="AE114" i="16"/>
  <c r="AF114" i="16"/>
  <c r="AH114" i="16"/>
  <c r="AI114" i="16"/>
  <c r="AJ114" i="16"/>
  <c r="AL114" i="16"/>
  <c r="AN114" i="16"/>
  <c r="AO114" i="16"/>
  <c r="AS114" i="16"/>
  <c r="AT114" i="16"/>
  <c r="AV114" i="16"/>
  <c r="AW114" i="16"/>
  <c r="AX114" i="16"/>
  <c r="B115" i="16" a="1"/>
  <c r="B115" i="16"/>
  <c r="C115" i="16"/>
  <c r="D115" i="16"/>
  <c r="F115" i="16"/>
  <c r="G115" i="16"/>
  <c r="I115" i="16"/>
  <c r="J115" i="16"/>
  <c r="K115" i="16"/>
  <c r="M115" i="16"/>
  <c r="N115" i="16"/>
  <c r="P115" i="16"/>
  <c r="Q115" i="16"/>
  <c r="S115" i="16"/>
  <c r="T115" i="16"/>
  <c r="U115" i="16"/>
  <c r="W115" i="16"/>
  <c r="Y115" i="16"/>
  <c r="Z115" i="16"/>
  <c r="AA115" i="16"/>
  <c r="AC115" i="16"/>
  <c r="AE115" i="16"/>
  <c r="AF115" i="16"/>
  <c r="AH115" i="16"/>
  <c r="AI115" i="16"/>
  <c r="AJ115" i="16"/>
  <c r="AL115" i="16"/>
  <c r="AN115" i="16"/>
  <c r="AO115" i="16"/>
  <c r="AS115" i="16"/>
  <c r="AT115" i="16"/>
  <c r="AV115" i="16"/>
  <c r="AW115" i="16"/>
  <c r="AX115" i="16"/>
  <c r="B116" i="16" a="1"/>
  <c r="B116" i="16"/>
  <c r="C116" i="16"/>
  <c r="D116" i="16"/>
  <c r="F116" i="16"/>
  <c r="G116" i="16"/>
  <c r="I116" i="16"/>
  <c r="J116" i="16"/>
  <c r="K116" i="16"/>
  <c r="M116" i="16"/>
  <c r="N116" i="16"/>
  <c r="P116" i="16"/>
  <c r="Q116" i="16"/>
  <c r="S116" i="16"/>
  <c r="T116" i="16"/>
  <c r="U116" i="16"/>
  <c r="W116" i="16"/>
  <c r="Y116" i="16"/>
  <c r="Z116" i="16"/>
  <c r="AA116" i="16"/>
  <c r="AC116" i="16"/>
  <c r="AE116" i="16"/>
  <c r="AF116" i="16"/>
  <c r="AH116" i="16"/>
  <c r="AI116" i="16"/>
  <c r="AJ116" i="16"/>
  <c r="AL116" i="16"/>
  <c r="AN116" i="16"/>
  <c r="AO116" i="16"/>
  <c r="AS116" i="16"/>
  <c r="AT116" i="16"/>
  <c r="AV116" i="16"/>
  <c r="AW116" i="16"/>
  <c r="AX116" i="16"/>
  <c r="B117" i="16" a="1"/>
  <c r="B117" i="16"/>
  <c r="C117" i="16"/>
  <c r="D117" i="16"/>
  <c r="F117" i="16"/>
  <c r="G117" i="16"/>
  <c r="I117" i="16"/>
  <c r="J117" i="16"/>
  <c r="K117" i="16"/>
  <c r="M117" i="16"/>
  <c r="N117" i="16"/>
  <c r="P117" i="16"/>
  <c r="Q117" i="16"/>
  <c r="S117" i="16"/>
  <c r="T117" i="16"/>
  <c r="U117" i="16"/>
  <c r="W117" i="16"/>
  <c r="Y117" i="16"/>
  <c r="Z117" i="16"/>
  <c r="AA117" i="16"/>
  <c r="AC117" i="16"/>
  <c r="AE117" i="16"/>
  <c r="AF117" i="16"/>
  <c r="AH117" i="16"/>
  <c r="AI117" i="16"/>
  <c r="AJ117" i="16"/>
  <c r="AL117" i="16"/>
  <c r="AN117" i="16"/>
  <c r="AO117" i="16"/>
  <c r="AS117" i="16"/>
  <c r="AT117" i="16"/>
  <c r="AV117" i="16"/>
  <c r="AW117" i="16"/>
  <c r="AX117" i="16"/>
  <c r="B118" i="16" a="1"/>
  <c r="B118" i="16"/>
  <c r="C118" i="16"/>
  <c r="D118" i="16"/>
  <c r="F118" i="16"/>
  <c r="G118" i="16"/>
  <c r="I118" i="16"/>
  <c r="J118" i="16"/>
  <c r="K118" i="16"/>
  <c r="M118" i="16"/>
  <c r="N118" i="16"/>
  <c r="P118" i="16"/>
  <c r="Q118" i="16"/>
  <c r="S118" i="16"/>
  <c r="T118" i="16"/>
  <c r="U118" i="16"/>
  <c r="W118" i="16"/>
  <c r="Y118" i="16"/>
  <c r="Z118" i="16"/>
  <c r="AA118" i="16"/>
  <c r="AC118" i="16"/>
  <c r="AE118" i="16"/>
  <c r="AF118" i="16"/>
  <c r="AH118" i="16"/>
  <c r="AI118" i="16"/>
  <c r="AJ118" i="16"/>
  <c r="AL118" i="16"/>
  <c r="AN118" i="16"/>
  <c r="AO118" i="16"/>
  <c r="AS118" i="16"/>
  <c r="AT118" i="16"/>
  <c r="AV118" i="16"/>
  <c r="AW118" i="16"/>
  <c r="AX118" i="16"/>
  <c r="B119" i="16" a="1"/>
  <c r="B119" i="16"/>
  <c r="C119" i="16"/>
  <c r="D119" i="16"/>
  <c r="F119" i="16"/>
  <c r="G119" i="16"/>
  <c r="I119" i="16"/>
  <c r="J119" i="16"/>
  <c r="K119" i="16"/>
  <c r="M119" i="16"/>
  <c r="N119" i="16"/>
  <c r="P119" i="16"/>
  <c r="Q119" i="16"/>
  <c r="S119" i="16"/>
  <c r="T119" i="16"/>
  <c r="U119" i="16"/>
  <c r="W119" i="16"/>
  <c r="Y119" i="16"/>
  <c r="Z119" i="16"/>
  <c r="AA119" i="16"/>
  <c r="AC119" i="16"/>
  <c r="AE119" i="16"/>
  <c r="AF119" i="16"/>
  <c r="AH119" i="16"/>
  <c r="AI119" i="16"/>
  <c r="AJ119" i="16"/>
  <c r="AL119" i="16"/>
  <c r="AN119" i="16"/>
  <c r="AO119" i="16"/>
  <c r="AS119" i="16"/>
  <c r="AT119" i="16"/>
  <c r="AV119" i="16"/>
  <c r="AW119" i="16"/>
  <c r="AX119" i="16"/>
  <c r="B120" i="16" a="1"/>
  <c r="B120" i="16"/>
  <c r="C120" i="16"/>
  <c r="D120" i="16"/>
  <c r="F120" i="16"/>
  <c r="G120" i="16"/>
  <c r="I120" i="16"/>
  <c r="J120" i="16"/>
  <c r="K120" i="16"/>
  <c r="M120" i="16"/>
  <c r="N120" i="16"/>
  <c r="P120" i="16"/>
  <c r="Q120" i="16"/>
  <c r="S120" i="16"/>
  <c r="T120" i="16"/>
  <c r="U120" i="16"/>
  <c r="W120" i="16"/>
  <c r="Y120" i="16"/>
  <c r="Z120" i="16"/>
  <c r="AA120" i="16"/>
  <c r="AC120" i="16"/>
  <c r="AE120" i="16"/>
  <c r="AF120" i="16"/>
  <c r="AH120" i="16"/>
  <c r="AI120" i="16"/>
  <c r="AJ120" i="16"/>
  <c r="AL120" i="16"/>
  <c r="AN120" i="16"/>
  <c r="AO120" i="16"/>
  <c r="AS120" i="16"/>
  <c r="AT120" i="16"/>
  <c r="AV120" i="16"/>
  <c r="AW120" i="16"/>
  <c r="AX120" i="16"/>
  <c r="B121" i="16" a="1"/>
  <c r="B121" i="16"/>
  <c r="C121" i="16"/>
  <c r="D121" i="16"/>
  <c r="F121" i="16"/>
  <c r="G121" i="16"/>
  <c r="I121" i="16"/>
  <c r="J121" i="16"/>
  <c r="K121" i="16"/>
  <c r="M121" i="16"/>
  <c r="N121" i="16"/>
  <c r="P121" i="16"/>
  <c r="Q121" i="16"/>
  <c r="S121" i="16"/>
  <c r="T121" i="16"/>
  <c r="U121" i="16"/>
  <c r="W121" i="16"/>
  <c r="Y121" i="16"/>
  <c r="Z121" i="16"/>
  <c r="AA121" i="16"/>
  <c r="AC121" i="16"/>
  <c r="AE121" i="16"/>
  <c r="AF121" i="16"/>
  <c r="AH121" i="16"/>
  <c r="AI121" i="16"/>
  <c r="AJ121" i="16"/>
  <c r="AL121" i="16"/>
  <c r="AN121" i="16"/>
  <c r="AO121" i="16"/>
  <c r="AS121" i="16"/>
  <c r="AT121" i="16"/>
  <c r="AV121" i="16"/>
  <c r="AW121" i="16"/>
  <c r="AX121" i="16"/>
  <c r="B122" i="16" a="1"/>
  <c r="B122" i="16"/>
  <c r="C122" i="16"/>
  <c r="D122" i="16"/>
  <c r="F122" i="16"/>
  <c r="G122" i="16"/>
  <c r="I122" i="16"/>
  <c r="J122" i="16"/>
  <c r="K122" i="16"/>
  <c r="M122" i="16"/>
  <c r="N122" i="16"/>
  <c r="P122" i="16"/>
  <c r="Q122" i="16"/>
  <c r="S122" i="16"/>
  <c r="T122" i="16"/>
  <c r="U122" i="16"/>
  <c r="W122" i="16"/>
  <c r="Y122" i="16"/>
  <c r="Z122" i="16"/>
  <c r="AA122" i="16"/>
  <c r="AC122" i="16"/>
  <c r="AE122" i="16"/>
  <c r="AF122" i="16"/>
  <c r="AH122" i="16"/>
  <c r="AI122" i="16"/>
  <c r="AJ122" i="16"/>
  <c r="AL122" i="16"/>
  <c r="AN122" i="16"/>
  <c r="AO122" i="16"/>
  <c r="AS122" i="16"/>
  <c r="AT122" i="16"/>
  <c r="AV122" i="16"/>
  <c r="AW122" i="16"/>
  <c r="AX122" i="16"/>
  <c r="B123" i="16" a="1"/>
  <c r="B123" i="16"/>
  <c r="C123" i="16"/>
  <c r="D123" i="16"/>
  <c r="F123" i="16"/>
  <c r="G123" i="16"/>
  <c r="I123" i="16"/>
  <c r="J123" i="16"/>
  <c r="K123" i="16"/>
  <c r="M123" i="16"/>
  <c r="N123" i="16"/>
  <c r="P123" i="16"/>
  <c r="Q123" i="16"/>
  <c r="S123" i="16"/>
  <c r="T123" i="16"/>
  <c r="U123" i="16"/>
  <c r="W123" i="16"/>
  <c r="Y123" i="16"/>
  <c r="Z123" i="16"/>
  <c r="AA123" i="16"/>
  <c r="AC123" i="16"/>
  <c r="AE123" i="16"/>
  <c r="AF123" i="16"/>
  <c r="AH123" i="16"/>
  <c r="AI123" i="16"/>
  <c r="AJ123" i="16"/>
  <c r="AL123" i="16"/>
  <c r="AN123" i="16"/>
  <c r="AO123" i="16"/>
  <c r="AS123" i="16"/>
  <c r="AT123" i="16"/>
  <c r="AV123" i="16"/>
  <c r="AW123" i="16"/>
  <c r="AX123" i="16"/>
  <c r="B124" i="16" a="1"/>
  <c r="B124" i="16"/>
  <c r="C124" i="16"/>
  <c r="D124" i="16"/>
  <c r="F124" i="16"/>
  <c r="G124" i="16"/>
  <c r="I124" i="16"/>
  <c r="J124" i="16"/>
  <c r="K124" i="16"/>
  <c r="M124" i="16"/>
  <c r="N124" i="16"/>
  <c r="P124" i="16"/>
  <c r="Q124" i="16"/>
  <c r="S124" i="16"/>
  <c r="T124" i="16"/>
  <c r="U124" i="16"/>
  <c r="W124" i="16"/>
  <c r="Y124" i="16"/>
  <c r="Z124" i="16"/>
  <c r="AA124" i="16"/>
  <c r="AC124" i="16"/>
  <c r="AE124" i="16"/>
  <c r="AF124" i="16"/>
  <c r="AH124" i="16"/>
  <c r="AI124" i="16"/>
  <c r="AJ124" i="16"/>
  <c r="AL124" i="16"/>
  <c r="AN124" i="16"/>
  <c r="AO124" i="16"/>
  <c r="AS124" i="16"/>
  <c r="AT124" i="16"/>
  <c r="AV124" i="16"/>
  <c r="AW124" i="16"/>
  <c r="AX124" i="16"/>
  <c r="B125" i="16" a="1"/>
  <c r="B125" i="16"/>
  <c r="C125" i="16"/>
  <c r="D125" i="16"/>
  <c r="F125" i="16"/>
  <c r="G125" i="16"/>
  <c r="I125" i="16"/>
  <c r="J125" i="16"/>
  <c r="K125" i="16"/>
  <c r="M125" i="16"/>
  <c r="N125" i="16"/>
  <c r="P125" i="16"/>
  <c r="Q125" i="16"/>
  <c r="S125" i="16"/>
  <c r="T125" i="16"/>
  <c r="U125" i="16"/>
  <c r="W125" i="16"/>
  <c r="Y125" i="16"/>
  <c r="Z125" i="16"/>
  <c r="AA125" i="16"/>
  <c r="AC125" i="16"/>
  <c r="AE125" i="16"/>
  <c r="AF125" i="16"/>
  <c r="AH125" i="16"/>
  <c r="AI125" i="16"/>
  <c r="AJ125" i="16"/>
  <c r="AL125" i="16"/>
  <c r="AN125" i="16"/>
  <c r="AO125" i="16"/>
  <c r="AS125" i="16"/>
  <c r="AT125" i="16"/>
  <c r="AV125" i="16"/>
  <c r="AW125" i="16"/>
  <c r="AX125" i="16"/>
  <c r="B126" i="16" a="1"/>
  <c r="B126" i="16"/>
  <c r="C126" i="16"/>
  <c r="D126" i="16"/>
  <c r="F126" i="16"/>
  <c r="G126" i="16"/>
  <c r="I126" i="16"/>
  <c r="J126" i="16"/>
  <c r="K126" i="16"/>
  <c r="M126" i="16"/>
  <c r="N126" i="16"/>
  <c r="P126" i="16"/>
  <c r="Q126" i="16"/>
  <c r="S126" i="16"/>
  <c r="T126" i="16"/>
  <c r="U126" i="16"/>
  <c r="W126" i="16"/>
  <c r="Y126" i="16"/>
  <c r="Z126" i="16"/>
  <c r="AA126" i="16"/>
  <c r="AC126" i="16"/>
  <c r="AE126" i="16"/>
  <c r="AF126" i="16"/>
  <c r="AH126" i="16"/>
  <c r="AI126" i="16"/>
  <c r="AJ126" i="16"/>
  <c r="AL126" i="16"/>
  <c r="AN126" i="16"/>
  <c r="AO126" i="16"/>
  <c r="AS126" i="16"/>
  <c r="AT126" i="16"/>
  <c r="AV126" i="16"/>
  <c r="AW126" i="16"/>
  <c r="AX126" i="16"/>
  <c r="B127" i="16" a="1"/>
  <c r="B127" i="16"/>
  <c r="C127" i="16"/>
  <c r="D127" i="16"/>
  <c r="F127" i="16"/>
  <c r="G127" i="16"/>
  <c r="I127" i="16"/>
  <c r="J127" i="16"/>
  <c r="K127" i="16"/>
  <c r="M127" i="16"/>
  <c r="N127" i="16"/>
  <c r="P127" i="16"/>
  <c r="Q127" i="16"/>
  <c r="S127" i="16"/>
  <c r="T127" i="16"/>
  <c r="U127" i="16"/>
  <c r="W127" i="16"/>
  <c r="Y127" i="16"/>
  <c r="Z127" i="16"/>
  <c r="AA127" i="16"/>
  <c r="AC127" i="16"/>
  <c r="AE127" i="16"/>
  <c r="AF127" i="16"/>
  <c r="AH127" i="16"/>
  <c r="AI127" i="16"/>
  <c r="AJ127" i="16"/>
  <c r="AL127" i="16"/>
  <c r="AN127" i="16"/>
  <c r="AO127" i="16"/>
  <c r="AS127" i="16"/>
  <c r="AT127" i="16"/>
  <c r="AV127" i="16"/>
  <c r="AW127" i="16"/>
  <c r="AX127" i="16"/>
  <c r="B128" i="16" a="1"/>
  <c r="B128" i="16"/>
  <c r="C128" i="16"/>
  <c r="D128" i="16"/>
  <c r="F128" i="16"/>
  <c r="G128" i="16"/>
  <c r="I128" i="16"/>
  <c r="J128" i="16"/>
  <c r="K128" i="16"/>
  <c r="M128" i="16"/>
  <c r="N128" i="16"/>
  <c r="P128" i="16"/>
  <c r="Q128" i="16"/>
  <c r="S128" i="16"/>
  <c r="T128" i="16"/>
  <c r="U128" i="16"/>
  <c r="W128" i="16"/>
  <c r="Y128" i="16"/>
  <c r="Z128" i="16"/>
  <c r="AA128" i="16"/>
  <c r="AC128" i="16"/>
  <c r="AE128" i="16"/>
  <c r="AF128" i="16"/>
  <c r="AH128" i="16"/>
  <c r="AI128" i="16"/>
  <c r="AJ128" i="16"/>
  <c r="AL128" i="16"/>
  <c r="AN128" i="16"/>
  <c r="AO128" i="16"/>
  <c r="AS128" i="16"/>
  <c r="AT128" i="16"/>
  <c r="AV128" i="16"/>
  <c r="AW128" i="16"/>
  <c r="AX128" i="16"/>
  <c r="B129" i="16" a="1"/>
  <c r="B129" i="16"/>
  <c r="C129" i="16"/>
  <c r="D129" i="16"/>
  <c r="F129" i="16"/>
  <c r="G129" i="16"/>
  <c r="I129" i="16"/>
  <c r="J129" i="16"/>
  <c r="K129" i="16"/>
  <c r="M129" i="16"/>
  <c r="N129" i="16"/>
  <c r="P129" i="16"/>
  <c r="Q129" i="16"/>
  <c r="S129" i="16"/>
  <c r="T129" i="16"/>
  <c r="U129" i="16"/>
  <c r="W129" i="16"/>
  <c r="Y129" i="16"/>
  <c r="Z129" i="16"/>
  <c r="AA129" i="16"/>
  <c r="AC129" i="16"/>
  <c r="AE129" i="16"/>
  <c r="AF129" i="16"/>
  <c r="AH129" i="16"/>
  <c r="AI129" i="16"/>
  <c r="AJ129" i="16"/>
  <c r="AL129" i="16"/>
  <c r="AN129" i="16"/>
  <c r="AO129" i="16"/>
  <c r="AS129" i="16"/>
  <c r="AT129" i="16"/>
  <c r="AV129" i="16"/>
  <c r="AW129" i="16"/>
  <c r="AX129" i="16"/>
  <c r="B130" i="16" a="1"/>
  <c r="B130" i="16"/>
  <c r="C130" i="16"/>
  <c r="D130" i="16"/>
  <c r="F130" i="16"/>
  <c r="G130" i="16"/>
  <c r="I130" i="16"/>
  <c r="J130" i="16"/>
  <c r="K130" i="16"/>
  <c r="M130" i="16"/>
  <c r="N130" i="16"/>
  <c r="P130" i="16"/>
  <c r="Q130" i="16"/>
  <c r="S130" i="16"/>
  <c r="T130" i="16"/>
  <c r="U130" i="16"/>
  <c r="W130" i="16"/>
  <c r="Y130" i="16"/>
  <c r="Z130" i="16"/>
  <c r="AA130" i="16"/>
  <c r="AC130" i="16"/>
  <c r="AE130" i="16"/>
  <c r="AF130" i="16"/>
  <c r="AH130" i="16"/>
  <c r="AI130" i="16"/>
  <c r="AJ130" i="16"/>
  <c r="AL130" i="16"/>
  <c r="AN130" i="16"/>
  <c r="AO130" i="16"/>
  <c r="AS130" i="16"/>
  <c r="AT130" i="16"/>
  <c r="AV130" i="16"/>
  <c r="AW130" i="16"/>
  <c r="AX130" i="16"/>
  <c r="B131" i="16" a="1"/>
  <c r="B131" i="16"/>
  <c r="C131" i="16"/>
  <c r="D131" i="16"/>
  <c r="F131" i="16"/>
  <c r="G131" i="16"/>
  <c r="I131" i="16"/>
  <c r="J131" i="16"/>
  <c r="K131" i="16"/>
  <c r="M131" i="16"/>
  <c r="N131" i="16"/>
  <c r="P131" i="16"/>
  <c r="Q131" i="16"/>
  <c r="S131" i="16"/>
  <c r="T131" i="16"/>
  <c r="U131" i="16"/>
  <c r="W131" i="16"/>
  <c r="Y131" i="16"/>
  <c r="Z131" i="16"/>
  <c r="AA131" i="16"/>
  <c r="AC131" i="16"/>
  <c r="AE131" i="16"/>
  <c r="AF131" i="16"/>
  <c r="AH131" i="16"/>
  <c r="AI131" i="16"/>
  <c r="AJ131" i="16"/>
  <c r="AL131" i="16"/>
  <c r="AN131" i="16"/>
  <c r="AO131" i="16"/>
  <c r="AS131" i="16"/>
  <c r="AT131" i="16"/>
  <c r="AV131" i="16"/>
  <c r="AW131" i="16"/>
  <c r="AX131" i="16"/>
  <c r="B132" i="16" a="1"/>
  <c r="B132" i="16"/>
  <c r="C132" i="16"/>
  <c r="D132" i="16"/>
  <c r="F132" i="16"/>
  <c r="G132" i="16"/>
  <c r="I132" i="16"/>
  <c r="J132" i="16"/>
  <c r="K132" i="16"/>
  <c r="M132" i="16"/>
  <c r="N132" i="16"/>
  <c r="P132" i="16"/>
  <c r="Q132" i="16"/>
  <c r="S132" i="16"/>
  <c r="T132" i="16"/>
  <c r="U132" i="16"/>
  <c r="W132" i="16"/>
  <c r="Y132" i="16"/>
  <c r="Z132" i="16"/>
  <c r="AA132" i="16"/>
  <c r="AC132" i="16"/>
  <c r="AE132" i="16"/>
  <c r="AF132" i="16"/>
  <c r="AH132" i="16"/>
  <c r="AI132" i="16"/>
  <c r="AJ132" i="16"/>
  <c r="AL132" i="16"/>
  <c r="AN132" i="16"/>
  <c r="AO132" i="16"/>
  <c r="AS132" i="16"/>
  <c r="AT132" i="16"/>
  <c r="AV132" i="16"/>
  <c r="AW132" i="16"/>
  <c r="AX132" i="16"/>
  <c r="B133" i="16" a="1"/>
  <c r="B133" i="16"/>
  <c r="C133" i="16"/>
  <c r="D133" i="16"/>
  <c r="F133" i="16"/>
  <c r="G133" i="16"/>
  <c r="I133" i="16"/>
  <c r="J133" i="16"/>
  <c r="K133" i="16"/>
  <c r="M133" i="16"/>
  <c r="N133" i="16"/>
  <c r="P133" i="16"/>
  <c r="Q133" i="16"/>
  <c r="S133" i="16"/>
  <c r="T133" i="16"/>
  <c r="U133" i="16"/>
  <c r="W133" i="16"/>
  <c r="Y133" i="16"/>
  <c r="Z133" i="16"/>
  <c r="AA133" i="16"/>
  <c r="AC133" i="16"/>
  <c r="AE133" i="16"/>
  <c r="AF133" i="16"/>
  <c r="AH133" i="16"/>
  <c r="AI133" i="16"/>
  <c r="AJ133" i="16"/>
  <c r="AL133" i="16"/>
  <c r="AN133" i="16"/>
  <c r="AO133" i="16"/>
  <c r="AS133" i="16"/>
  <c r="AT133" i="16"/>
  <c r="AV133" i="16"/>
  <c r="AW133" i="16"/>
  <c r="AX133" i="16"/>
  <c r="B134" i="16" a="1"/>
  <c r="B134" i="16"/>
  <c r="C134" i="16"/>
  <c r="D134" i="16"/>
  <c r="F134" i="16"/>
  <c r="G134" i="16"/>
  <c r="I134" i="16"/>
  <c r="J134" i="16"/>
  <c r="K134" i="16"/>
  <c r="M134" i="16"/>
  <c r="N134" i="16"/>
  <c r="P134" i="16"/>
  <c r="Q134" i="16"/>
  <c r="S134" i="16"/>
  <c r="T134" i="16"/>
  <c r="U134" i="16"/>
  <c r="W134" i="16"/>
  <c r="Y134" i="16"/>
  <c r="Z134" i="16"/>
  <c r="AA134" i="16"/>
  <c r="AC134" i="16"/>
  <c r="AE134" i="16"/>
  <c r="AF134" i="16"/>
  <c r="AH134" i="16"/>
  <c r="AI134" i="16"/>
  <c r="AJ134" i="16"/>
  <c r="AL134" i="16"/>
  <c r="AN134" i="16"/>
  <c r="AO134" i="16"/>
  <c r="AS134" i="16"/>
  <c r="AT134" i="16"/>
  <c r="AV134" i="16"/>
  <c r="AW134" i="16"/>
  <c r="AX134" i="16"/>
  <c r="B135" i="16" a="1"/>
  <c r="B135" i="16"/>
  <c r="C135" i="16"/>
  <c r="D135" i="16"/>
  <c r="F135" i="16"/>
  <c r="G135" i="16"/>
  <c r="I135" i="16"/>
  <c r="J135" i="16"/>
  <c r="K135" i="16"/>
  <c r="M135" i="16"/>
  <c r="N135" i="16"/>
  <c r="P135" i="16"/>
  <c r="Q135" i="16"/>
  <c r="S135" i="16"/>
  <c r="T135" i="16"/>
  <c r="U135" i="16"/>
  <c r="W135" i="16"/>
  <c r="Y135" i="16"/>
  <c r="Z135" i="16"/>
  <c r="AA135" i="16"/>
  <c r="AC135" i="16"/>
  <c r="AE135" i="16"/>
  <c r="AF135" i="16"/>
  <c r="AH135" i="16"/>
  <c r="AI135" i="16"/>
  <c r="AJ135" i="16"/>
  <c r="AL135" i="16"/>
  <c r="AN135" i="16"/>
  <c r="AO135" i="16"/>
  <c r="AS135" i="16"/>
  <c r="AT135" i="16"/>
  <c r="AV135" i="16"/>
  <c r="AW135" i="16"/>
  <c r="AX135" i="16"/>
  <c r="B136" i="16" a="1"/>
  <c r="B136" i="16"/>
  <c r="C136" i="16"/>
  <c r="D136" i="16"/>
  <c r="F136" i="16"/>
  <c r="G136" i="16"/>
  <c r="I136" i="16"/>
  <c r="J136" i="16"/>
  <c r="K136" i="16"/>
  <c r="M136" i="16"/>
  <c r="N136" i="16"/>
  <c r="P136" i="16"/>
  <c r="Q136" i="16"/>
  <c r="S136" i="16"/>
  <c r="T136" i="16"/>
  <c r="U136" i="16"/>
  <c r="W136" i="16"/>
  <c r="Y136" i="16"/>
  <c r="Z136" i="16"/>
  <c r="AA136" i="16"/>
  <c r="AC136" i="16"/>
  <c r="AE136" i="16"/>
  <c r="AF136" i="16"/>
  <c r="AH136" i="16"/>
  <c r="AI136" i="16"/>
  <c r="AJ136" i="16"/>
  <c r="AL136" i="16"/>
  <c r="AN136" i="16"/>
  <c r="AO136" i="16"/>
  <c r="AS136" i="16"/>
  <c r="AT136" i="16"/>
  <c r="AV136" i="16"/>
  <c r="AW136" i="16"/>
  <c r="AX136" i="16"/>
  <c r="B137" i="16" a="1"/>
  <c r="B137" i="16"/>
  <c r="C137" i="16"/>
  <c r="D137" i="16"/>
  <c r="F137" i="16"/>
  <c r="G137" i="16"/>
  <c r="I137" i="16"/>
  <c r="J137" i="16"/>
  <c r="K137" i="16"/>
  <c r="M137" i="16"/>
  <c r="N137" i="16"/>
  <c r="P137" i="16"/>
  <c r="Q137" i="16"/>
  <c r="S137" i="16"/>
  <c r="T137" i="16"/>
  <c r="U137" i="16"/>
  <c r="W137" i="16"/>
  <c r="Y137" i="16"/>
  <c r="Z137" i="16"/>
  <c r="AA137" i="16"/>
  <c r="AC137" i="16"/>
  <c r="AE137" i="16"/>
  <c r="AF137" i="16"/>
  <c r="AH137" i="16"/>
  <c r="AI137" i="16"/>
  <c r="AJ137" i="16"/>
  <c r="AL137" i="16"/>
  <c r="AN137" i="16"/>
  <c r="AO137" i="16"/>
  <c r="AS137" i="16"/>
  <c r="AT137" i="16"/>
  <c r="AV137" i="16"/>
  <c r="AW137" i="16"/>
  <c r="AX137" i="16"/>
  <c r="B138" i="16" a="1"/>
  <c r="B138" i="16"/>
  <c r="C138" i="16"/>
  <c r="D138" i="16"/>
  <c r="F138" i="16"/>
  <c r="G138" i="16"/>
  <c r="I138" i="16"/>
  <c r="J138" i="16"/>
  <c r="K138" i="16"/>
  <c r="M138" i="16"/>
  <c r="N138" i="16"/>
  <c r="P138" i="16"/>
  <c r="Q138" i="16"/>
  <c r="S138" i="16"/>
  <c r="T138" i="16"/>
  <c r="U138" i="16"/>
  <c r="W138" i="16"/>
  <c r="Y138" i="16"/>
  <c r="Z138" i="16"/>
  <c r="AA138" i="16"/>
  <c r="AC138" i="16"/>
  <c r="AE138" i="16"/>
  <c r="AF138" i="16"/>
  <c r="AH138" i="16"/>
  <c r="AI138" i="16"/>
  <c r="AJ138" i="16"/>
  <c r="AL138" i="16"/>
  <c r="AN138" i="16"/>
  <c r="AO138" i="16"/>
  <c r="AS138" i="16"/>
  <c r="AT138" i="16"/>
  <c r="AV138" i="16"/>
  <c r="AW138" i="16"/>
  <c r="AX138" i="16"/>
  <c r="B139" i="16" a="1"/>
  <c r="B139" i="16"/>
  <c r="C139" i="16"/>
  <c r="D139" i="16"/>
  <c r="F139" i="16"/>
  <c r="G139" i="16"/>
  <c r="I139" i="16"/>
  <c r="J139" i="16"/>
  <c r="K139" i="16"/>
  <c r="M139" i="16"/>
  <c r="N139" i="16"/>
  <c r="P139" i="16"/>
  <c r="Q139" i="16"/>
  <c r="S139" i="16"/>
  <c r="T139" i="16"/>
  <c r="U139" i="16"/>
  <c r="W139" i="16"/>
  <c r="Y139" i="16"/>
  <c r="Z139" i="16"/>
  <c r="AA139" i="16"/>
  <c r="AC139" i="16"/>
  <c r="AE139" i="16"/>
  <c r="AF139" i="16"/>
  <c r="AH139" i="16"/>
  <c r="AI139" i="16"/>
  <c r="AJ139" i="16"/>
  <c r="AL139" i="16"/>
  <c r="AN139" i="16"/>
  <c r="AO139" i="16"/>
  <c r="AS139" i="16"/>
  <c r="AT139" i="16"/>
  <c r="AV139" i="16"/>
  <c r="AW139" i="16"/>
  <c r="AX139" i="16"/>
  <c r="B140" i="16" a="1"/>
  <c r="B140" i="16"/>
  <c r="C140" i="16"/>
  <c r="D140" i="16"/>
  <c r="F140" i="16"/>
  <c r="G140" i="16"/>
  <c r="I140" i="16"/>
  <c r="J140" i="16"/>
  <c r="K140" i="16"/>
  <c r="M140" i="16"/>
  <c r="N140" i="16"/>
  <c r="P140" i="16"/>
  <c r="Q140" i="16"/>
  <c r="S140" i="16"/>
  <c r="T140" i="16"/>
  <c r="U140" i="16"/>
  <c r="W140" i="16"/>
  <c r="Y140" i="16"/>
  <c r="Z140" i="16"/>
  <c r="AA140" i="16"/>
  <c r="AC140" i="16"/>
  <c r="AE140" i="16"/>
  <c r="AF140" i="16"/>
  <c r="AH140" i="16"/>
  <c r="AI140" i="16"/>
  <c r="AJ140" i="16"/>
  <c r="AL140" i="16"/>
  <c r="AN140" i="16"/>
  <c r="AO140" i="16"/>
  <c r="AS140" i="16"/>
  <c r="AT140" i="16"/>
  <c r="AV140" i="16"/>
  <c r="AW140" i="16"/>
  <c r="AX140" i="16"/>
  <c r="B141" i="16" a="1"/>
  <c r="B141" i="16"/>
  <c r="C141" i="16"/>
  <c r="D141" i="16"/>
  <c r="F141" i="16"/>
  <c r="G141" i="16"/>
  <c r="I141" i="16"/>
  <c r="J141" i="16"/>
  <c r="K141" i="16"/>
  <c r="M141" i="16"/>
  <c r="N141" i="16"/>
  <c r="P141" i="16"/>
  <c r="Q141" i="16"/>
  <c r="S141" i="16"/>
  <c r="T141" i="16"/>
  <c r="U141" i="16"/>
  <c r="W141" i="16"/>
  <c r="Y141" i="16"/>
  <c r="Z141" i="16"/>
  <c r="AA141" i="16"/>
  <c r="AC141" i="16"/>
  <c r="AE141" i="16"/>
  <c r="AF141" i="16"/>
  <c r="AH141" i="16"/>
  <c r="AI141" i="16"/>
  <c r="AJ141" i="16"/>
  <c r="AL141" i="16"/>
  <c r="AN141" i="16"/>
  <c r="AO141" i="16"/>
  <c r="AS141" i="16"/>
  <c r="AT141" i="16"/>
  <c r="AV141" i="16"/>
  <c r="AW141" i="16"/>
  <c r="AX141" i="16"/>
  <c r="B142" i="16" a="1"/>
  <c r="B142" i="16"/>
  <c r="C142" i="16"/>
  <c r="D142" i="16"/>
  <c r="F142" i="16"/>
  <c r="G142" i="16"/>
  <c r="I142" i="16"/>
  <c r="J142" i="16"/>
  <c r="K142" i="16"/>
  <c r="M142" i="16"/>
  <c r="N142" i="16"/>
  <c r="P142" i="16"/>
  <c r="Q142" i="16"/>
  <c r="S142" i="16"/>
  <c r="T142" i="16"/>
  <c r="U142" i="16"/>
  <c r="W142" i="16"/>
  <c r="Y142" i="16"/>
  <c r="Z142" i="16"/>
  <c r="AA142" i="16"/>
  <c r="AC142" i="16"/>
  <c r="AE142" i="16"/>
  <c r="AF142" i="16"/>
  <c r="AH142" i="16"/>
  <c r="AI142" i="16"/>
  <c r="AJ142" i="16"/>
  <c r="AL142" i="16"/>
  <c r="AN142" i="16"/>
  <c r="AO142" i="16"/>
  <c r="AS142" i="16"/>
  <c r="AT142" i="16"/>
  <c r="AV142" i="16"/>
  <c r="AW142" i="16"/>
  <c r="AX142" i="16"/>
  <c r="B143" i="16" a="1"/>
  <c r="B143" i="16"/>
  <c r="C143" i="16"/>
  <c r="D143" i="16"/>
  <c r="F143" i="16"/>
  <c r="G143" i="16"/>
  <c r="I143" i="16"/>
  <c r="J143" i="16"/>
  <c r="K143" i="16"/>
  <c r="M143" i="16"/>
  <c r="N143" i="16"/>
  <c r="P143" i="16"/>
  <c r="Q143" i="16"/>
  <c r="S143" i="16"/>
  <c r="T143" i="16"/>
  <c r="U143" i="16"/>
  <c r="W143" i="16"/>
  <c r="Y143" i="16"/>
  <c r="Z143" i="16"/>
  <c r="AA143" i="16"/>
  <c r="AC143" i="16"/>
  <c r="AE143" i="16"/>
  <c r="AF143" i="16"/>
  <c r="AH143" i="16"/>
  <c r="AI143" i="16"/>
  <c r="AJ143" i="16"/>
  <c r="AL143" i="16"/>
  <c r="AN143" i="16"/>
  <c r="AO143" i="16"/>
  <c r="AS143" i="16"/>
  <c r="AT143" i="16"/>
  <c r="AV143" i="16"/>
  <c r="AW143" i="16"/>
  <c r="AX143" i="16"/>
  <c r="A27" i="29"/>
  <c r="A28" i="29"/>
  <c r="A29" i="29"/>
  <c r="A30" i="29"/>
  <c r="A31" i="29"/>
  <c r="A32" i="29"/>
  <c r="A33" i="29"/>
  <c r="A34" i="29"/>
  <c r="A35" i="29"/>
  <c r="A36" i="29"/>
  <c r="A37" i="29"/>
  <c r="A38" i="29"/>
  <c r="D150" i="13"/>
  <c r="F150" i="13"/>
  <c r="I150" i="13"/>
  <c r="L150" i="13" a="1"/>
  <c r="L150" i="13"/>
  <c r="M150" i="13" a="1"/>
  <c r="M150" i="13"/>
  <c r="N150" i="13" a="1"/>
  <c r="N150" i="13"/>
  <c r="O150" i="13" a="1"/>
  <c r="O150" i="13"/>
  <c r="P150" i="13" a="1"/>
  <c r="P150" i="13"/>
  <c r="Q150" i="13" a="1"/>
  <c r="Q150" i="13"/>
  <c r="R150" i="13" a="1"/>
  <c r="R150" i="13"/>
  <c r="S150" i="13" a="1"/>
  <c r="S150" i="13"/>
  <c r="D151" i="13"/>
  <c r="F151" i="13"/>
  <c r="I151" i="13"/>
  <c r="L151" i="13" a="1"/>
  <c r="L151" i="13"/>
  <c r="M151" i="13" a="1"/>
  <c r="M151" i="13"/>
  <c r="N151" i="13" a="1"/>
  <c r="N151" i="13"/>
  <c r="O151" i="13" a="1"/>
  <c r="O151" i="13"/>
  <c r="P151" i="13" a="1"/>
  <c r="P151" i="13"/>
  <c r="Q151" i="13" a="1"/>
  <c r="Q151" i="13"/>
  <c r="R151" i="13" a="1"/>
  <c r="R151" i="13"/>
  <c r="S151" i="13" a="1"/>
  <c r="S151" i="13"/>
  <c r="D152" i="13"/>
  <c r="F152" i="13"/>
  <c r="I152" i="13"/>
  <c r="L152" i="13" a="1"/>
  <c r="L152" i="13"/>
  <c r="M152" i="13" a="1"/>
  <c r="M152" i="13"/>
  <c r="N152" i="13" a="1"/>
  <c r="N152" i="13"/>
  <c r="O152" i="13" a="1"/>
  <c r="O152" i="13"/>
  <c r="P152" i="13" a="1"/>
  <c r="P152" i="13"/>
  <c r="Q152" i="13" a="1"/>
  <c r="Q152" i="13"/>
  <c r="R152" i="13" a="1"/>
  <c r="R152" i="13"/>
  <c r="S152" i="13" a="1"/>
  <c r="S152" i="13"/>
  <c r="D153" i="13"/>
  <c r="F153" i="13"/>
  <c r="I153" i="13"/>
  <c r="L153" i="13" a="1"/>
  <c r="L153" i="13"/>
  <c r="M153" i="13" a="1"/>
  <c r="M153" i="13"/>
  <c r="N153" i="13" a="1"/>
  <c r="N153" i="13"/>
  <c r="O153" i="13" a="1"/>
  <c r="O153" i="13"/>
  <c r="P153" i="13" a="1"/>
  <c r="P153" i="13"/>
  <c r="Q153" i="13" a="1"/>
  <c r="Q153" i="13"/>
  <c r="R153" i="13" a="1"/>
  <c r="R153" i="13"/>
  <c r="S153" i="13" a="1"/>
  <c r="S153" i="13"/>
  <c r="D154" i="13"/>
  <c r="F154" i="13"/>
  <c r="I154" i="13"/>
  <c r="L154" i="13" a="1"/>
  <c r="L154" i="13"/>
  <c r="M154" i="13" a="1"/>
  <c r="M154" i="13"/>
  <c r="N154" i="13" a="1"/>
  <c r="N154" i="13"/>
  <c r="O154" i="13" a="1"/>
  <c r="O154" i="13"/>
  <c r="P154" i="13" a="1"/>
  <c r="P154" i="13"/>
  <c r="Q154" i="13" a="1"/>
  <c r="Q154" i="13"/>
  <c r="R154" i="13" a="1"/>
  <c r="R154" i="13"/>
  <c r="S154" i="13" a="1"/>
  <c r="S154" i="13"/>
  <c r="D155" i="13"/>
  <c r="F155" i="13"/>
  <c r="I155" i="13"/>
  <c r="L155" i="13" a="1"/>
  <c r="L155" i="13"/>
  <c r="M155" i="13" a="1"/>
  <c r="M155" i="13"/>
  <c r="N155" i="13" a="1"/>
  <c r="N155" i="13"/>
  <c r="O155" i="13" a="1"/>
  <c r="O155" i="13"/>
  <c r="P155" i="13" a="1"/>
  <c r="P155" i="13"/>
  <c r="Q155" i="13" a="1"/>
  <c r="Q155" i="13"/>
  <c r="R155" i="13" a="1"/>
  <c r="R155" i="13"/>
  <c r="S155" i="13" a="1"/>
  <c r="S155" i="13"/>
  <c r="D156" i="13"/>
  <c r="F156" i="13"/>
  <c r="I156" i="13"/>
  <c r="L156" i="13" a="1"/>
  <c r="L156" i="13"/>
  <c r="M156" i="13" a="1"/>
  <c r="M156" i="13"/>
  <c r="N156" i="13" a="1"/>
  <c r="N156" i="13"/>
  <c r="O156" i="13" a="1"/>
  <c r="O156" i="13"/>
  <c r="P156" i="13" a="1"/>
  <c r="P156" i="13"/>
  <c r="Q156" i="13" a="1"/>
  <c r="Q156" i="13"/>
  <c r="R156" i="13" a="1"/>
  <c r="R156" i="13"/>
  <c r="S156" i="13" a="1"/>
  <c r="S156" i="13"/>
  <c r="D157" i="13"/>
  <c r="F157" i="13"/>
  <c r="I157" i="13"/>
  <c r="L157" i="13" a="1"/>
  <c r="L157" i="13"/>
  <c r="M157" i="13" a="1"/>
  <c r="M157" i="13"/>
  <c r="N157" i="13" a="1"/>
  <c r="N157" i="13"/>
  <c r="O157" i="13" a="1"/>
  <c r="O157" i="13"/>
  <c r="P157" i="13" a="1"/>
  <c r="P157" i="13"/>
  <c r="Q157" i="13" a="1"/>
  <c r="Q157" i="13"/>
  <c r="R157" i="13" a="1"/>
  <c r="R157" i="13"/>
  <c r="S157" i="13" a="1"/>
  <c r="S157" i="13"/>
  <c r="D158" i="13"/>
  <c r="F158" i="13"/>
  <c r="I158" i="13"/>
  <c r="L158" i="13" a="1"/>
  <c r="L158" i="13"/>
  <c r="M158" i="13" a="1"/>
  <c r="M158" i="13"/>
  <c r="N158" i="13" a="1"/>
  <c r="N158" i="13"/>
  <c r="O158" i="13" a="1"/>
  <c r="O158" i="13"/>
  <c r="P158" i="13" a="1"/>
  <c r="P158" i="13"/>
  <c r="Q158" i="13" a="1"/>
  <c r="Q158" i="13"/>
  <c r="R158" i="13" a="1"/>
  <c r="R158" i="13"/>
  <c r="S158" i="13" a="1"/>
  <c r="S158" i="13"/>
  <c r="D159" i="13"/>
  <c r="F159" i="13"/>
  <c r="I159" i="13"/>
  <c r="L159" i="13" a="1"/>
  <c r="L159" i="13"/>
  <c r="M159" i="13" a="1"/>
  <c r="M159" i="13"/>
  <c r="N159" i="13" a="1"/>
  <c r="N159" i="13"/>
  <c r="O159" i="13" a="1"/>
  <c r="O159" i="13"/>
  <c r="P159" i="13" a="1"/>
  <c r="P159" i="13"/>
  <c r="Q159" i="13" a="1"/>
  <c r="Q159" i="13"/>
  <c r="R159" i="13" a="1"/>
  <c r="R159" i="13"/>
  <c r="S159" i="13" a="1"/>
  <c r="S159" i="13"/>
  <c r="D160" i="13"/>
  <c r="F160" i="13"/>
  <c r="I160" i="13"/>
  <c r="L160" i="13" a="1"/>
  <c r="L160" i="13"/>
  <c r="M160" i="13" a="1"/>
  <c r="M160" i="13"/>
  <c r="N160" i="13" a="1"/>
  <c r="N160" i="13"/>
  <c r="O160" i="13" a="1"/>
  <c r="O160" i="13"/>
  <c r="P160" i="13" a="1"/>
  <c r="P160" i="13"/>
  <c r="Q160" i="13" a="1"/>
  <c r="Q160" i="13"/>
  <c r="R160" i="13" a="1"/>
  <c r="R160" i="13"/>
  <c r="S160" i="13" a="1"/>
  <c r="S160" i="13"/>
  <c r="D161" i="13"/>
  <c r="F161" i="13"/>
  <c r="I161" i="13"/>
  <c r="L161" i="13" a="1"/>
  <c r="L161" i="13"/>
  <c r="M161" i="13" a="1"/>
  <c r="M161" i="13"/>
  <c r="N161" i="13" a="1"/>
  <c r="N161" i="13"/>
  <c r="O161" i="13" a="1"/>
  <c r="O161" i="13"/>
  <c r="P161" i="13" a="1"/>
  <c r="P161" i="13"/>
  <c r="Q161" i="13" a="1"/>
  <c r="Q161" i="13"/>
  <c r="R161" i="13" a="1"/>
  <c r="R161" i="13"/>
  <c r="S161" i="13" a="1"/>
  <c r="S161" i="13"/>
  <c r="D162" i="13"/>
  <c r="F162" i="13"/>
  <c r="I162" i="13"/>
  <c r="L162" i="13" a="1"/>
  <c r="L162" i="13"/>
  <c r="M162" i="13" a="1"/>
  <c r="M162" i="13"/>
  <c r="N162" i="13" a="1"/>
  <c r="N162" i="13"/>
  <c r="O162" i="13" a="1"/>
  <c r="O162" i="13"/>
  <c r="P162" i="13" a="1"/>
  <c r="P162" i="13"/>
  <c r="Q162" i="13" a="1"/>
  <c r="Q162" i="13"/>
  <c r="R162" i="13" a="1"/>
  <c r="R162" i="13"/>
  <c r="S162" i="13" a="1"/>
  <c r="S162" i="13"/>
  <c r="D163" i="13"/>
  <c r="F163" i="13"/>
  <c r="I163" i="13"/>
  <c r="L163" i="13" a="1"/>
  <c r="L163" i="13"/>
  <c r="M163" i="13" a="1"/>
  <c r="M163" i="13"/>
  <c r="N163" i="13" a="1"/>
  <c r="N163" i="13"/>
  <c r="O163" i="13" a="1"/>
  <c r="O163" i="13"/>
  <c r="P163" i="13" a="1"/>
  <c r="P163" i="13"/>
  <c r="Q163" i="13" a="1"/>
  <c r="Q163" i="13"/>
  <c r="R163" i="13" a="1"/>
  <c r="R163" i="13"/>
  <c r="S163" i="13" a="1"/>
  <c r="S163" i="13"/>
  <c r="D164" i="13"/>
  <c r="F164" i="13"/>
  <c r="I164" i="13"/>
  <c r="L164" i="13" a="1"/>
  <c r="L164" i="13"/>
  <c r="M164" i="13" a="1"/>
  <c r="M164" i="13"/>
  <c r="N164" i="13" a="1"/>
  <c r="N164" i="13"/>
  <c r="O164" i="13" a="1"/>
  <c r="O164" i="13"/>
  <c r="P164" i="13" a="1"/>
  <c r="P164" i="13"/>
  <c r="Q164" i="13" a="1"/>
  <c r="Q164" i="13"/>
  <c r="R164" i="13" a="1"/>
  <c r="R164" i="13"/>
  <c r="S164" i="13" a="1"/>
  <c r="S164" i="13"/>
  <c r="D165" i="13"/>
  <c r="F165" i="13"/>
  <c r="I165" i="13"/>
  <c r="L165" i="13" a="1"/>
  <c r="L165" i="13"/>
  <c r="M165" i="13" a="1"/>
  <c r="M165" i="13"/>
  <c r="N165" i="13" a="1"/>
  <c r="N165" i="13"/>
  <c r="O165" i="13" a="1"/>
  <c r="O165" i="13"/>
  <c r="P165" i="13" a="1"/>
  <c r="P165" i="13"/>
  <c r="Q165" i="13" a="1"/>
  <c r="Q165" i="13"/>
  <c r="R165" i="13" a="1"/>
  <c r="R165" i="13"/>
  <c r="S165" i="13" a="1"/>
  <c r="S165" i="13"/>
  <c r="D166" i="13"/>
  <c r="F166" i="13"/>
  <c r="I166" i="13"/>
  <c r="L166" i="13" a="1"/>
  <c r="L166" i="13"/>
  <c r="M166" i="13" a="1"/>
  <c r="M166" i="13"/>
  <c r="N166" i="13" a="1"/>
  <c r="N166" i="13"/>
  <c r="O166" i="13" a="1"/>
  <c r="O166" i="13"/>
  <c r="P166" i="13" a="1"/>
  <c r="P166" i="13"/>
  <c r="Q166" i="13" a="1"/>
  <c r="Q166" i="13"/>
  <c r="R166" i="13" a="1"/>
  <c r="R166" i="13"/>
  <c r="S166" i="13" a="1"/>
  <c r="S166" i="13"/>
  <c r="D167" i="13"/>
  <c r="F167" i="13"/>
  <c r="I167" i="13"/>
  <c r="L167" i="13" a="1"/>
  <c r="L167" i="13"/>
  <c r="M167" i="13" a="1"/>
  <c r="M167" i="13"/>
  <c r="N167" i="13" a="1"/>
  <c r="N167" i="13"/>
  <c r="O167" i="13" a="1"/>
  <c r="O167" i="13"/>
  <c r="P167" i="13" a="1"/>
  <c r="P167" i="13"/>
  <c r="Q167" i="13" a="1"/>
  <c r="Q167" i="13"/>
  <c r="R167" i="13" a="1"/>
  <c r="R167" i="13"/>
  <c r="S167" i="13" a="1"/>
  <c r="S167" i="13"/>
  <c r="D168" i="13"/>
  <c r="F168" i="13"/>
  <c r="I168" i="13"/>
  <c r="L168" i="13" a="1"/>
  <c r="L168" i="13"/>
  <c r="M168" i="13" a="1"/>
  <c r="M168" i="13"/>
  <c r="N168" i="13" a="1"/>
  <c r="N168" i="13"/>
  <c r="O168" i="13" a="1"/>
  <c r="O168" i="13"/>
  <c r="P168" i="13" a="1"/>
  <c r="P168" i="13"/>
  <c r="Q168" i="13" a="1"/>
  <c r="Q168" i="13"/>
  <c r="R168" i="13" a="1"/>
  <c r="R168" i="13"/>
  <c r="S168" i="13" a="1"/>
  <c r="S168" i="13"/>
  <c r="D169" i="13"/>
  <c r="F169" i="13"/>
  <c r="I169" i="13"/>
  <c r="L169" i="13" a="1"/>
  <c r="L169" i="13"/>
  <c r="M169" i="13" a="1"/>
  <c r="M169" i="13"/>
  <c r="N169" i="13" a="1"/>
  <c r="N169" i="13"/>
  <c r="O169" i="13" a="1"/>
  <c r="O169" i="13"/>
  <c r="P169" i="13" a="1"/>
  <c r="P169" i="13"/>
  <c r="Q169" i="13" a="1"/>
  <c r="Q169" i="13"/>
  <c r="R169" i="13" a="1"/>
  <c r="R169" i="13"/>
  <c r="S169" i="13" a="1"/>
  <c r="S169" i="13"/>
  <c r="D170" i="13"/>
  <c r="F170" i="13"/>
  <c r="I170" i="13"/>
  <c r="L170" i="13" a="1"/>
  <c r="L170" i="13"/>
  <c r="M170" i="13" a="1"/>
  <c r="M170" i="13"/>
  <c r="N170" i="13" a="1"/>
  <c r="N170" i="13"/>
  <c r="O170" i="13" a="1"/>
  <c r="O170" i="13"/>
  <c r="P170" i="13" a="1"/>
  <c r="P170" i="13"/>
  <c r="Q170" i="13" a="1"/>
  <c r="Q170" i="13"/>
  <c r="R170" i="13" a="1"/>
  <c r="R170" i="13"/>
  <c r="S170" i="13" a="1"/>
  <c r="S170" i="13"/>
  <c r="D171" i="13"/>
  <c r="F171" i="13"/>
  <c r="I171" i="13"/>
  <c r="L171" i="13" a="1"/>
  <c r="L171" i="13"/>
  <c r="M171" i="13" a="1"/>
  <c r="M171" i="13"/>
  <c r="N171" i="13" a="1"/>
  <c r="N171" i="13"/>
  <c r="O171" i="13" a="1"/>
  <c r="O171" i="13"/>
  <c r="P171" i="13" a="1"/>
  <c r="P171" i="13"/>
  <c r="Q171" i="13" a="1"/>
  <c r="Q171" i="13"/>
  <c r="R171" i="13" a="1"/>
  <c r="R171" i="13"/>
  <c r="S171" i="13" a="1"/>
  <c r="S171" i="13"/>
  <c r="D172" i="13"/>
  <c r="F172" i="13"/>
  <c r="I172" i="13"/>
  <c r="L172" i="13" a="1"/>
  <c r="L172" i="13"/>
  <c r="M172" i="13" a="1"/>
  <c r="M172" i="13"/>
  <c r="N172" i="13" a="1"/>
  <c r="N172" i="13"/>
  <c r="O172" i="13" a="1"/>
  <c r="O172" i="13"/>
  <c r="P172" i="13" a="1"/>
  <c r="P172" i="13"/>
  <c r="Q172" i="13" a="1"/>
  <c r="Q172" i="13"/>
  <c r="R172" i="13" a="1"/>
  <c r="R172" i="13"/>
  <c r="S172" i="13" a="1"/>
  <c r="S172" i="13"/>
  <c r="D173" i="13"/>
  <c r="F173" i="13"/>
  <c r="I173" i="13"/>
  <c r="L173" i="13" a="1"/>
  <c r="L173" i="13"/>
  <c r="M173" i="13" a="1"/>
  <c r="M173" i="13"/>
  <c r="N173" i="13" a="1"/>
  <c r="N173" i="13"/>
  <c r="O173" i="13" a="1"/>
  <c r="O173" i="13"/>
  <c r="P173" i="13" a="1"/>
  <c r="P173" i="13"/>
  <c r="Q173" i="13" a="1"/>
  <c r="Q173" i="13"/>
  <c r="R173" i="13" a="1"/>
  <c r="R173" i="13"/>
  <c r="S173" i="13" a="1"/>
  <c r="S173" i="13"/>
  <c r="D174" i="13"/>
  <c r="F174" i="13"/>
  <c r="I174" i="13"/>
  <c r="L174" i="13" a="1"/>
  <c r="L174" i="13"/>
  <c r="M174" i="13" a="1"/>
  <c r="M174" i="13"/>
  <c r="N174" i="13" a="1"/>
  <c r="N174" i="13"/>
  <c r="O174" i="13" a="1"/>
  <c r="O174" i="13"/>
  <c r="P174" i="13" a="1"/>
  <c r="P174" i="13"/>
  <c r="Q174" i="13" a="1"/>
  <c r="Q174" i="13"/>
  <c r="R174" i="13" a="1"/>
  <c r="R174" i="13"/>
  <c r="S174" i="13" a="1"/>
  <c r="S174" i="13"/>
  <c r="D175" i="13"/>
  <c r="F175" i="13"/>
  <c r="I175" i="13"/>
  <c r="L175" i="13" a="1"/>
  <c r="L175" i="13"/>
  <c r="M175" i="13" a="1"/>
  <c r="M175" i="13"/>
  <c r="N175" i="13" a="1"/>
  <c r="N175" i="13"/>
  <c r="O175" i="13" a="1"/>
  <c r="O175" i="13"/>
  <c r="P175" i="13" a="1"/>
  <c r="P175" i="13"/>
  <c r="Q175" i="13" a="1"/>
  <c r="Q175" i="13"/>
  <c r="R175" i="13" a="1"/>
  <c r="R175" i="13"/>
  <c r="S175" i="13" a="1"/>
  <c r="S175" i="13"/>
  <c r="D176" i="13"/>
  <c r="F176" i="13"/>
  <c r="I176" i="13"/>
  <c r="L176" i="13" a="1"/>
  <c r="L176" i="13"/>
  <c r="M176" i="13" a="1"/>
  <c r="M176" i="13"/>
  <c r="N176" i="13" a="1"/>
  <c r="N176" i="13"/>
  <c r="O176" i="13" a="1"/>
  <c r="O176" i="13"/>
  <c r="P176" i="13" a="1"/>
  <c r="P176" i="13"/>
  <c r="Q176" i="13" a="1"/>
  <c r="Q176" i="13"/>
  <c r="R176" i="13" a="1"/>
  <c r="R176" i="13"/>
  <c r="S176" i="13" a="1"/>
  <c r="S176" i="13"/>
  <c r="D177" i="13"/>
  <c r="F177" i="13"/>
  <c r="I177" i="13"/>
  <c r="L177" i="13" a="1"/>
  <c r="L177" i="13"/>
  <c r="M177" i="13" a="1"/>
  <c r="M177" i="13"/>
  <c r="N177" i="13" a="1"/>
  <c r="N177" i="13"/>
  <c r="O177" i="13" a="1"/>
  <c r="O177" i="13"/>
  <c r="P177" i="13" a="1"/>
  <c r="P177" i="13"/>
  <c r="Q177" i="13" a="1"/>
  <c r="Q177" i="13"/>
  <c r="R177" i="13" a="1"/>
  <c r="R177" i="13"/>
  <c r="S177" i="13" a="1"/>
  <c r="S177" i="13"/>
  <c r="D178" i="13"/>
  <c r="F178" i="13"/>
  <c r="I178" i="13"/>
  <c r="L178" i="13" a="1"/>
  <c r="L178" i="13"/>
  <c r="M178" i="13" a="1"/>
  <c r="M178" i="13"/>
  <c r="N178" i="13" a="1"/>
  <c r="N178" i="13"/>
  <c r="O178" i="13" a="1"/>
  <c r="O178" i="13"/>
  <c r="P178" i="13" a="1"/>
  <c r="P178" i="13"/>
  <c r="Q178" i="13" a="1"/>
  <c r="Q178" i="13"/>
  <c r="R178" i="13" a="1"/>
  <c r="R178" i="13"/>
  <c r="S178" i="13" a="1"/>
  <c r="S178" i="13"/>
  <c r="D179" i="13"/>
  <c r="F179" i="13"/>
  <c r="I179" i="13"/>
  <c r="L179" i="13" a="1"/>
  <c r="L179" i="13"/>
  <c r="M179" i="13" a="1"/>
  <c r="M179" i="13"/>
  <c r="N179" i="13" a="1"/>
  <c r="N179" i="13"/>
  <c r="O179" i="13" a="1"/>
  <c r="O179" i="13"/>
  <c r="P179" i="13" a="1"/>
  <c r="P179" i="13"/>
  <c r="Q179" i="13" a="1"/>
  <c r="Q179" i="13"/>
  <c r="R179" i="13" a="1"/>
  <c r="R179" i="13"/>
  <c r="S179" i="13" a="1"/>
  <c r="S179" i="13"/>
  <c r="D180" i="13"/>
  <c r="F180" i="13"/>
  <c r="I180" i="13"/>
  <c r="L180" i="13" a="1"/>
  <c r="L180" i="13"/>
  <c r="M180" i="13" a="1"/>
  <c r="M180" i="13"/>
  <c r="N180" i="13" a="1"/>
  <c r="N180" i="13"/>
  <c r="O180" i="13" a="1"/>
  <c r="O180" i="13"/>
  <c r="P180" i="13" a="1"/>
  <c r="P180" i="13"/>
  <c r="Q180" i="13" a="1"/>
  <c r="Q180" i="13"/>
  <c r="R180" i="13" a="1"/>
  <c r="R180" i="13"/>
  <c r="S180" i="13" a="1"/>
  <c r="S180" i="13"/>
  <c r="D181" i="13"/>
  <c r="F181" i="13"/>
  <c r="I181" i="13"/>
  <c r="L181" i="13" a="1"/>
  <c r="L181" i="13"/>
  <c r="M181" i="13" a="1"/>
  <c r="M181" i="13"/>
  <c r="N181" i="13" a="1"/>
  <c r="N181" i="13"/>
  <c r="O181" i="13" a="1"/>
  <c r="O181" i="13"/>
  <c r="P181" i="13" a="1"/>
  <c r="P181" i="13"/>
  <c r="Q181" i="13" a="1"/>
  <c r="Q181" i="13"/>
  <c r="R181" i="13" a="1"/>
  <c r="R181" i="13"/>
  <c r="S181" i="13" a="1"/>
  <c r="S181" i="13"/>
  <c r="D182" i="13"/>
  <c r="F182" i="13"/>
  <c r="I182" i="13"/>
  <c r="L182" i="13" a="1"/>
  <c r="L182" i="13"/>
  <c r="M182" i="13" a="1"/>
  <c r="M182" i="13"/>
  <c r="N182" i="13" a="1"/>
  <c r="N182" i="13"/>
  <c r="O182" i="13" a="1"/>
  <c r="O182" i="13"/>
  <c r="P182" i="13" a="1"/>
  <c r="P182" i="13"/>
  <c r="Q182" i="13" a="1"/>
  <c r="Q182" i="13"/>
  <c r="R182" i="13" a="1"/>
  <c r="R182" i="13"/>
  <c r="S182" i="13" a="1"/>
  <c r="S182" i="13"/>
  <c r="D183" i="13"/>
  <c r="F183" i="13"/>
  <c r="I183" i="13"/>
  <c r="L183" i="13" a="1"/>
  <c r="L183" i="13"/>
  <c r="M183" i="13" a="1"/>
  <c r="M183" i="13"/>
  <c r="N183" i="13" a="1"/>
  <c r="N183" i="13"/>
  <c r="O183" i="13" a="1"/>
  <c r="O183" i="13"/>
  <c r="P183" i="13" a="1"/>
  <c r="P183" i="13"/>
  <c r="Q183" i="13" a="1"/>
  <c r="Q183" i="13"/>
  <c r="R183" i="13" a="1"/>
  <c r="R183" i="13"/>
  <c r="S183" i="13" a="1"/>
  <c r="S183" i="13"/>
  <c r="D184" i="13"/>
  <c r="F184" i="13"/>
  <c r="I184" i="13"/>
  <c r="L184" i="13" a="1"/>
  <c r="L184" i="13"/>
  <c r="M184" i="13" a="1"/>
  <c r="M184" i="13"/>
  <c r="N184" i="13" a="1"/>
  <c r="N184" i="13"/>
  <c r="O184" i="13" a="1"/>
  <c r="O184" i="13"/>
  <c r="P184" i="13" a="1"/>
  <c r="P184" i="13"/>
  <c r="Q184" i="13" a="1"/>
  <c r="Q184" i="13"/>
  <c r="R184" i="13" a="1"/>
  <c r="R184" i="13"/>
  <c r="S184" i="13" a="1"/>
  <c r="S184" i="13"/>
  <c r="D185" i="13"/>
  <c r="F185" i="13"/>
  <c r="I185" i="13"/>
  <c r="L185" i="13" a="1"/>
  <c r="L185" i="13"/>
  <c r="M185" i="13" a="1"/>
  <c r="M185" i="13"/>
  <c r="N185" i="13" a="1"/>
  <c r="N185" i="13"/>
  <c r="O185" i="13" a="1"/>
  <c r="O185" i="13"/>
  <c r="P185" i="13" a="1"/>
  <c r="P185" i="13"/>
  <c r="Q185" i="13" a="1"/>
  <c r="Q185" i="13"/>
  <c r="R185" i="13" a="1"/>
  <c r="R185" i="13"/>
  <c r="S185" i="13" a="1"/>
  <c r="S185" i="13"/>
  <c r="D186" i="13"/>
  <c r="F186" i="13"/>
  <c r="I186" i="13"/>
  <c r="L186" i="13" a="1"/>
  <c r="L186" i="13"/>
  <c r="M186" i="13" a="1"/>
  <c r="M186" i="13"/>
  <c r="N186" i="13" a="1"/>
  <c r="N186" i="13"/>
  <c r="O186" i="13" a="1"/>
  <c r="O186" i="13"/>
  <c r="P186" i="13" a="1"/>
  <c r="P186" i="13"/>
  <c r="Q186" i="13" a="1"/>
  <c r="Q186" i="13"/>
  <c r="R186" i="13" a="1"/>
  <c r="R186" i="13"/>
  <c r="S186" i="13" a="1"/>
  <c r="S186" i="13"/>
  <c r="D187" i="13"/>
  <c r="F187" i="13"/>
  <c r="I187" i="13"/>
  <c r="L187" i="13" a="1"/>
  <c r="L187" i="13"/>
  <c r="M187" i="13" a="1"/>
  <c r="M187" i="13"/>
  <c r="N187" i="13" a="1"/>
  <c r="N187" i="13"/>
  <c r="O187" i="13" a="1"/>
  <c r="O187" i="13"/>
  <c r="P187" i="13" a="1"/>
  <c r="P187" i="13"/>
  <c r="Q187" i="13" a="1"/>
  <c r="Q187" i="13"/>
  <c r="R187" i="13" a="1"/>
  <c r="R187" i="13"/>
  <c r="S187" i="13" a="1"/>
  <c r="S187" i="13"/>
  <c r="D188" i="13"/>
  <c r="F188" i="13"/>
  <c r="I188" i="13"/>
  <c r="L188" i="13" a="1"/>
  <c r="L188" i="13"/>
  <c r="M188" i="13" a="1"/>
  <c r="M188" i="13"/>
  <c r="N188" i="13" a="1"/>
  <c r="N188" i="13"/>
  <c r="O188" i="13" a="1"/>
  <c r="O188" i="13"/>
  <c r="P188" i="13" a="1"/>
  <c r="P188" i="13"/>
  <c r="Q188" i="13" a="1"/>
  <c r="Q188" i="13"/>
  <c r="R188" i="13" a="1"/>
  <c r="R188" i="13"/>
  <c r="S188" i="13" a="1"/>
  <c r="S188" i="13"/>
  <c r="D189" i="13"/>
  <c r="F189" i="13"/>
  <c r="I189" i="13"/>
  <c r="L189" i="13" a="1"/>
  <c r="L189" i="13"/>
  <c r="M189" i="13" a="1"/>
  <c r="M189" i="13"/>
  <c r="N189" i="13" a="1"/>
  <c r="N189" i="13"/>
  <c r="O189" i="13" a="1"/>
  <c r="O189" i="13"/>
  <c r="P189" i="13" a="1"/>
  <c r="P189" i="13"/>
  <c r="Q189" i="13" a="1"/>
  <c r="Q189" i="13"/>
  <c r="R189" i="13" a="1"/>
  <c r="R189" i="13"/>
  <c r="S189" i="13" a="1"/>
  <c r="S189" i="13"/>
  <c r="D190" i="13"/>
  <c r="F190" i="13"/>
  <c r="I190" i="13"/>
  <c r="L190" i="13" a="1"/>
  <c r="L190" i="13"/>
  <c r="M190" i="13" a="1"/>
  <c r="M190" i="13"/>
  <c r="N190" i="13" a="1"/>
  <c r="N190" i="13"/>
  <c r="O190" i="13" a="1"/>
  <c r="O190" i="13"/>
  <c r="P190" i="13" a="1"/>
  <c r="P190" i="13"/>
  <c r="Q190" i="13" a="1"/>
  <c r="Q190" i="13"/>
  <c r="R190" i="13" a="1"/>
  <c r="R190" i="13"/>
  <c r="S190" i="13" a="1"/>
  <c r="S190" i="13"/>
  <c r="D191" i="13"/>
  <c r="F191" i="13"/>
  <c r="I191" i="13"/>
  <c r="L191" i="13" a="1"/>
  <c r="L191" i="13"/>
  <c r="M191" i="13" a="1"/>
  <c r="M191" i="13"/>
  <c r="N191" i="13" a="1"/>
  <c r="N191" i="13"/>
  <c r="O191" i="13" a="1"/>
  <c r="O191" i="13"/>
  <c r="P191" i="13" a="1"/>
  <c r="P191" i="13"/>
  <c r="Q191" i="13" a="1"/>
  <c r="Q191" i="13"/>
  <c r="R191" i="13" a="1"/>
  <c r="R191" i="13"/>
  <c r="S191" i="13" a="1"/>
  <c r="S191" i="13"/>
  <c r="D192" i="13"/>
  <c r="F192" i="13"/>
  <c r="I192" i="13"/>
  <c r="L192" i="13" a="1"/>
  <c r="L192" i="13"/>
  <c r="M192" i="13" a="1"/>
  <c r="M192" i="13"/>
  <c r="N192" i="13" a="1"/>
  <c r="N192" i="13"/>
  <c r="O192" i="13" a="1"/>
  <c r="O192" i="13"/>
  <c r="P192" i="13" a="1"/>
  <c r="P192" i="13"/>
  <c r="Q192" i="13" a="1"/>
  <c r="Q192" i="13"/>
  <c r="R192" i="13" a="1"/>
  <c r="R192" i="13"/>
  <c r="S192" i="13" a="1"/>
  <c r="S192" i="13"/>
  <c r="D193" i="13"/>
  <c r="F193" i="13"/>
  <c r="I193" i="13"/>
  <c r="L193" i="13" a="1"/>
  <c r="L193" i="13"/>
  <c r="M193" i="13" a="1"/>
  <c r="M193" i="13"/>
  <c r="N193" i="13" a="1"/>
  <c r="N193" i="13"/>
  <c r="O193" i="13" a="1"/>
  <c r="O193" i="13"/>
  <c r="P193" i="13" a="1"/>
  <c r="P193" i="13"/>
  <c r="Q193" i="13" a="1"/>
  <c r="Q193" i="13"/>
  <c r="R193" i="13" a="1"/>
  <c r="R193" i="13"/>
  <c r="S193" i="13" a="1"/>
  <c r="S193" i="13"/>
  <c r="D194" i="13"/>
  <c r="F194" i="13"/>
  <c r="I194" i="13"/>
  <c r="L194" i="13" a="1"/>
  <c r="L194" i="13"/>
  <c r="M194" i="13" a="1"/>
  <c r="M194" i="13"/>
  <c r="N194" i="13" a="1"/>
  <c r="N194" i="13"/>
  <c r="O194" i="13" a="1"/>
  <c r="O194" i="13"/>
  <c r="P194" i="13" a="1"/>
  <c r="P194" i="13"/>
  <c r="Q194" i="13" a="1"/>
  <c r="Q194" i="13"/>
  <c r="R194" i="13" a="1"/>
  <c r="R194" i="13"/>
  <c r="S194" i="13" a="1"/>
  <c r="S194" i="13"/>
  <c r="D195" i="13"/>
  <c r="F195" i="13"/>
  <c r="I195" i="13"/>
  <c r="L195" i="13" a="1"/>
  <c r="L195" i="13"/>
  <c r="M195" i="13" a="1"/>
  <c r="M195" i="13"/>
  <c r="N195" i="13" a="1"/>
  <c r="N195" i="13"/>
  <c r="O195" i="13" a="1"/>
  <c r="O195" i="13"/>
  <c r="P195" i="13" a="1"/>
  <c r="P195" i="13"/>
  <c r="Q195" i="13" a="1"/>
  <c r="Q195" i="13"/>
  <c r="R195" i="13" a="1"/>
  <c r="R195" i="13"/>
  <c r="S195" i="13" a="1"/>
  <c r="S195" i="13"/>
  <c r="D196" i="13"/>
  <c r="F196" i="13"/>
  <c r="I196" i="13"/>
  <c r="L196" i="13" a="1"/>
  <c r="L196" i="13"/>
  <c r="M196" i="13" a="1"/>
  <c r="M196" i="13"/>
  <c r="N196" i="13" a="1"/>
  <c r="N196" i="13"/>
  <c r="O196" i="13" a="1"/>
  <c r="O196" i="13"/>
  <c r="P196" i="13" a="1"/>
  <c r="P196" i="13"/>
  <c r="Q196" i="13" a="1"/>
  <c r="Q196" i="13"/>
  <c r="R196" i="13" a="1"/>
  <c r="R196" i="13"/>
  <c r="S196" i="13" a="1"/>
  <c r="S196" i="13"/>
  <c r="D197" i="13"/>
  <c r="F197" i="13"/>
  <c r="I197" i="13"/>
  <c r="L197" i="13" a="1"/>
  <c r="L197" i="13"/>
  <c r="M197" i="13" a="1"/>
  <c r="M197" i="13"/>
  <c r="N197" i="13" a="1"/>
  <c r="N197" i="13"/>
  <c r="O197" i="13" a="1"/>
  <c r="O197" i="13"/>
  <c r="P197" i="13" a="1"/>
  <c r="P197" i="13"/>
  <c r="Q197" i="13" a="1"/>
  <c r="Q197" i="13"/>
  <c r="R197" i="13" a="1"/>
  <c r="R197" i="13"/>
  <c r="S197" i="13" a="1"/>
  <c r="S197" i="13"/>
  <c r="D198" i="13"/>
  <c r="F198" i="13"/>
  <c r="I198" i="13"/>
  <c r="L198" i="13" a="1"/>
  <c r="L198" i="13"/>
  <c r="M198" i="13" a="1"/>
  <c r="M198" i="13"/>
  <c r="N198" i="13" a="1"/>
  <c r="N198" i="13"/>
  <c r="O198" i="13" a="1"/>
  <c r="O198" i="13"/>
  <c r="P198" i="13" a="1"/>
  <c r="P198" i="13"/>
  <c r="Q198" i="13" a="1"/>
  <c r="Q198" i="13"/>
  <c r="R198" i="13" a="1"/>
  <c r="R198" i="13"/>
  <c r="S198" i="13" a="1"/>
  <c r="S198" i="13"/>
  <c r="D199" i="13"/>
  <c r="F199" i="13"/>
  <c r="I199" i="13"/>
  <c r="L199" i="13" a="1"/>
  <c r="L199" i="13"/>
  <c r="M199" i="13" a="1"/>
  <c r="M199" i="13"/>
  <c r="N199" i="13" a="1"/>
  <c r="N199" i="13"/>
  <c r="O199" i="13" a="1"/>
  <c r="O199" i="13"/>
  <c r="P199" i="13" a="1"/>
  <c r="P199" i="13"/>
  <c r="Q199" i="13" a="1"/>
  <c r="Q199" i="13"/>
  <c r="R199" i="13" a="1"/>
  <c r="R199" i="13"/>
  <c r="S199" i="13" a="1"/>
  <c r="S199" i="13"/>
  <c r="D200" i="13"/>
  <c r="F200" i="13"/>
  <c r="I200" i="13"/>
  <c r="L200" i="13" a="1"/>
  <c r="L200" i="13"/>
  <c r="M200" i="13" a="1"/>
  <c r="M200" i="13"/>
  <c r="N200" i="13" a="1"/>
  <c r="N200" i="13"/>
  <c r="O200" i="13" a="1"/>
  <c r="O200" i="13"/>
  <c r="P200" i="13" a="1"/>
  <c r="P200" i="13"/>
  <c r="Q200" i="13" a="1"/>
  <c r="Q200" i="13"/>
  <c r="R200" i="13" a="1"/>
  <c r="R200" i="13"/>
  <c r="S200" i="13" a="1"/>
  <c r="S200" i="13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4" i="29"/>
  <c r="AB3" i="13"/>
  <c r="Z4" i="13"/>
  <c r="AA4" i="13"/>
  <c r="AB4" i="13"/>
  <c r="AA6" i="13"/>
  <c r="AB6" i="13"/>
  <c r="AB8" i="13"/>
  <c r="AB9" i="13"/>
  <c r="AA10" i="13"/>
  <c r="AB10" i="13"/>
  <c r="Y12" i="13"/>
  <c r="Z12" i="13"/>
  <c r="AA12" i="13"/>
  <c r="AB12" i="13"/>
  <c r="F12" i="13"/>
  <c r="Y13" i="13"/>
  <c r="Z13" i="13"/>
  <c r="AA13" i="13"/>
  <c r="AB13" i="13"/>
  <c r="F13" i="13"/>
  <c r="Y14" i="13"/>
  <c r="Z14" i="13"/>
  <c r="AA14" i="13"/>
  <c r="AB14" i="13"/>
  <c r="F14" i="13"/>
  <c r="Y15" i="13"/>
  <c r="Z15" i="13"/>
  <c r="AA15" i="13"/>
  <c r="AB15" i="13"/>
  <c r="F15" i="13"/>
  <c r="Y16" i="13"/>
  <c r="Z16" i="13"/>
  <c r="AA16" i="13"/>
  <c r="AB16" i="13"/>
  <c r="F16" i="13"/>
  <c r="Y17" i="13"/>
  <c r="Z17" i="13"/>
  <c r="AA17" i="13"/>
  <c r="AB17" i="13"/>
  <c r="F17" i="13"/>
  <c r="Y18" i="13"/>
  <c r="Z18" i="13"/>
  <c r="AA18" i="13"/>
  <c r="AB18" i="13"/>
  <c r="F18" i="13"/>
  <c r="Y19" i="13"/>
  <c r="Z19" i="13"/>
  <c r="AA19" i="13"/>
  <c r="AB19" i="13"/>
  <c r="F19" i="13"/>
  <c r="Y20" i="13"/>
  <c r="Z20" i="13"/>
  <c r="AA20" i="13"/>
  <c r="AB20" i="13"/>
  <c r="F20" i="13"/>
  <c r="Y21" i="13"/>
  <c r="Z21" i="13"/>
  <c r="AA21" i="13"/>
  <c r="AB21" i="13"/>
  <c r="F21" i="13"/>
  <c r="Y22" i="13"/>
  <c r="Z22" i="13"/>
  <c r="AA22" i="13"/>
  <c r="AB22" i="13"/>
  <c r="F22" i="13"/>
  <c r="Y23" i="13"/>
  <c r="Z23" i="13"/>
  <c r="AA23" i="13"/>
  <c r="AB23" i="13"/>
  <c r="F23" i="13"/>
  <c r="Y24" i="13"/>
  <c r="Z24" i="13"/>
  <c r="AA24" i="13"/>
  <c r="AB24" i="13"/>
  <c r="F24" i="13"/>
  <c r="Y25" i="13"/>
  <c r="Z25" i="13"/>
  <c r="AA25" i="13"/>
  <c r="AB25" i="13"/>
  <c r="F25" i="13"/>
  <c r="Y26" i="13"/>
  <c r="Z26" i="13"/>
  <c r="AA26" i="13"/>
  <c r="AB26" i="13"/>
  <c r="F26" i="13"/>
  <c r="Y27" i="13"/>
  <c r="Z27" i="13"/>
  <c r="AA27" i="13"/>
  <c r="AB27" i="13"/>
  <c r="F27" i="13"/>
  <c r="Y28" i="13"/>
  <c r="Z28" i="13"/>
  <c r="AA28" i="13"/>
  <c r="AB28" i="13"/>
  <c r="F28" i="13"/>
  <c r="Y29" i="13"/>
  <c r="Z29" i="13"/>
  <c r="AA29" i="13"/>
  <c r="AB29" i="13"/>
  <c r="F29" i="13"/>
  <c r="Y30" i="13"/>
  <c r="Z30" i="13"/>
  <c r="AA30" i="13"/>
  <c r="AB30" i="13"/>
  <c r="F30" i="13"/>
  <c r="Y31" i="13"/>
  <c r="Z31" i="13"/>
  <c r="AA31" i="13"/>
  <c r="AB31" i="13"/>
  <c r="F31" i="13"/>
  <c r="Y32" i="13"/>
  <c r="Z32" i="13"/>
  <c r="AA32" i="13"/>
  <c r="AB32" i="13"/>
  <c r="F32" i="13"/>
  <c r="Y33" i="13"/>
  <c r="Z33" i="13"/>
  <c r="AA33" i="13"/>
  <c r="AB33" i="13"/>
  <c r="F33" i="13"/>
  <c r="Y34" i="13"/>
  <c r="Z34" i="13"/>
  <c r="AA34" i="13"/>
  <c r="AB34" i="13"/>
  <c r="F34" i="13"/>
  <c r="Y35" i="13"/>
  <c r="Z35" i="13"/>
  <c r="AA35" i="13"/>
  <c r="AB35" i="13"/>
  <c r="F35" i="13"/>
  <c r="Y36" i="13"/>
  <c r="Z36" i="13"/>
  <c r="AA36" i="13"/>
  <c r="AB36" i="13"/>
  <c r="F36" i="13"/>
  <c r="Y37" i="13"/>
  <c r="Z37" i="13"/>
  <c r="AA37" i="13"/>
  <c r="AB37" i="13"/>
  <c r="F37" i="13"/>
  <c r="Y38" i="13"/>
  <c r="Z38" i="13"/>
  <c r="AA38" i="13"/>
  <c r="AB38" i="13"/>
  <c r="F38" i="13"/>
  <c r="Y39" i="13"/>
  <c r="Z39" i="13"/>
  <c r="AA39" i="13"/>
  <c r="AB39" i="13"/>
  <c r="F39" i="13"/>
  <c r="Y40" i="13"/>
  <c r="Z40" i="13"/>
  <c r="AA40" i="13"/>
  <c r="AB40" i="13"/>
  <c r="F40" i="13"/>
  <c r="Y41" i="13"/>
  <c r="Z41" i="13"/>
  <c r="AA41" i="13"/>
  <c r="AB41" i="13"/>
  <c r="F41" i="13"/>
  <c r="Y42" i="13"/>
  <c r="Z42" i="13"/>
  <c r="AA42" i="13"/>
  <c r="AB42" i="13"/>
  <c r="F42" i="13"/>
  <c r="Y43" i="13"/>
  <c r="Z43" i="13"/>
  <c r="AA43" i="13"/>
  <c r="AB43" i="13"/>
  <c r="F43" i="13"/>
  <c r="Y44" i="13"/>
  <c r="Z44" i="13"/>
  <c r="AA44" i="13"/>
  <c r="AB44" i="13"/>
  <c r="F44" i="13"/>
  <c r="Y45" i="13"/>
  <c r="Z45" i="13"/>
  <c r="AA45" i="13"/>
  <c r="AB45" i="13"/>
  <c r="F45" i="13"/>
  <c r="Y46" i="13"/>
  <c r="Z46" i="13"/>
  <c r="AA46" i="13"/>
  <c r="AB46" i="13"/>
  <c r="F46" i="13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L7" i="13"/>
  <c r="I73" i="13"/>
  <c r="Y73" i="13"/>
  <c r="Z73" i="13"/>
  <c r="AA73" i="13"/>
  <c r="AB73" i="13"/>
  <c r="F73" i="13"/>
  <c r="D73" i="13"/>
  <c r="I72" i="13"/>
  <c r="Y72" i="13"/>
  <c r="Z72" i="13"/>
  <c r="AA72" i="13"/>
  <c r="AB72" i="13"/>
  <c r="F72" i="13"/>
  <c r="D72" i="13"/>
  <c r="I71" i="13"/>
  <c r="Y71" i="13"/>
  <c r="Z71" i="13"/>
  <c r="AA71" i="13"/>
  <c r="AB71" i="13"/>
  <c r="F71" i="13"/>
  <c r="D71" i="13"/>
  <c r="I70" i="13"/>
  <c r="Y70" i="13"/>
  <c r="Z70" i="13"/>
  <c r="AA70" i="13"/>
  <c r="AB70" i="13"/>
  <c r="F70" i="13"/>
  <c r="D70" i="13"/>
  <c r="I69" i="13"/>
  <c r="Y69" i="13"/>
  <c r="Z69" i="13"/>
  <c r="AA69" i="13"/>
  <c r="AB69" i="13"/>
  <c r="F69" i="13"/>
  <c r="D69" i="13"/>
  <c r="I68" i="13"/>
  <c r="Y68" i="13"/>
  <c r="Z68" i="13"/>
  <c r="AA68" i="13"/>
  <c r="AB68" i="13"/>
  <c r="F68" i="13"/>
  <c r="D68" i="13"/>
  <c r="I67" i="13"/>
  <c r="Y67" i="13"/>
  <c r="Z67" i="13"/>
  <c r="AA67" i="13"/>
  <c r="AB67" i="13"/>
  <c r="F67" i="13"/>
  <c r="D67" i="13"/>
  <c r="I66" i="13"/>
  <c r="Y66" i="13"/>
  <c r="Z66" i="13"/>
  <c r="AA66" i="13"/>
  <c r="AB66" i="13"/>
  <c r="F66" i="13"/>
  <c r="D66" i="13"/>
  <c r="I65" i="13"/>
  <c r="Y65" i="13"/>
  <c r="Z65" i="13"/>
  <c r="AA65" i="13"/>
  <c r="AB65" i="13"/>
  <c r="F65" i="13"/>
  <c r="D65" i="13"/>
  <c r="I64" i="13"/>
  <c r="Y64" i="13"/>
  <c r="Z64" i="13"/>
  <c r="AA64" i="13"/>
  <c r="AB64" i="13"/>
  <c r="F64" i="13"/>
  <c r="D64" i="13"/>
  <c r="I63" i="13"/>
  <c r="Y63" i="13"/>
  <c r="Z63" i="13"/>
  <c r="AA63" i="13"/>
  <c r="AB63" i="13"/>
  <c r="F63" i="13"/>
  <c r="D63" i="13"/>
  <c r="I62" i="13"/>
  <c r="Y62" i="13"/>
  <c r="Z62" i="13"/>
  <c r="AA62" i="13"/>
  <c r="AB62" i="13"/>
  <c r="F62" i="13"/>
  <c r="D62" i="13"/>
  <c r="I61" i="13"/>
  <c r="Y61" i="13"/>
  <c r="Z61" i="13"/>
  <c r="AA61" i="13"/>
  <c r="AB61" i="13"/>
  <c r="F61" i="13"/>
  <c r="D61" i="13"/>
  <c r="I60" i="13"/>
  <c r="Y60" i="13"/>
  <c r="Z60" i="13"/>
  <c r="AA60" i="13"/>
  <c r="AB60" i="13"/>
  <c r="F60" i="13"/>
  <c r="D60" i="13"/>
  <c r="I59" i="13"/>
  <c r="Y59" i="13"/>
  <c r="Z59" i="13"/>
  <c r="AA59" i="13"/>
  <c r="AB59" i="13"/>
  <c r="F59" i="13"/>
  <c r="D59" i="13"/>
  <c r="I58" i="13"/>
  <c r="Y58" i="13"/>
  <c r="Z58" i="13"/>
  <c r="AA58" i="13"/>
  <c r="AB58" i="13"/>
  <c r="F58" i="13"/>
  <c r="D58" i="13"/>
  <c r="I57" i="13"/>
  <c r="Y57" i="13"/>
  <c r="Z57" i="13"/>
  <c r="AA57" i="13"/>
  <c r="AB57" i="13"/>
  <c r="F57" i="13"/>
  <c r="D57" i="13"/>
  <c r="I56" i="13"/>
  <c r="Y56" i="13"/>
  <c r="Z56" i="13"/>
  <c r="AA56" i="13"/>
  <c r="AB56" i="13"/>
  <c r="F56" i="13"/>
  <c r="D56" i="13"/>
  <c r="I55" i="13"/>
  <c r="Y55" i="13"/>
  <c r="Z55" i="13"/>
  <c r="AA55" i="13"/>
  <c r="AB55" i="13"/>
  <c r="F55" i="13"/>
  <c r="D55" i="13"/>
  <c r="I54" i="13"/>
  <c r="Y54" i="13"/>
  <c r="Z54" i="13"/>
  <c r="AA54" i="13"/>
  <c r="AB54" i="13"/>
  <c r="F54" i="13"/>
  <c r="D54" i="13"/>
  <c r="I53" i="13"/>
  <c r="Y53" i="13"/>
  <c r="Z53" i="13"/>
  <c r="AA53" i="13"/>
  <c r="AB53" i="13"/>
  <c r="F53" i="13"/>
  <c r="D53" i="13"/>
  <c r="I52" i="13"/>
  <c r="Y52" i="13"/>
  <c r="Z52" i="13"/>
  <c r="AA52" i="13"/>
  <c r="AB52" i="13"/>
  <c r="F52" i="13"/>
  <c r="D52" i="13"/>
  <c r="I51" i="13"/>
  <c r="Y51" i="13"/>
  <c r="Z51" i="13"/>
  <c r="AA51" i="13"/>
  <c r="AB51" i="13"/>
  <c r="F51" i="13"/>
  <c r="D51" i="13"/>
  <c r="I50" i="13"/>
  <c r="Y50" i="13"/>
  <c r="Z50" i="13"/>
  <c r="AA50" i="13"/>
  <c r="AB50" i="13"/>
  <c r="F50" i="13"/>
  <c r="D50" i="13"/>
  <c r="I49" i="13"/>
  <c r="Y49" i="13"/>
  <c r="Z49" i="13"/>
  <c r="AA49" i="13"/>
  <c r="AB49" i="13"/>
  <c r="F49" i="13"/>
  <c r="D49" i="13"/>
  <c r="I48" i="13"/>
  <c r="Y48" i="13"/>
  <c r="Z48" i="13"/>
  <c r="AA48" i="13"/>
  <c r="AB48" i="13"/>
  <c r="F48" i="13"/>
  <c r="D48" i="13"/>
  <c r="I47" i="13"/>
  <c r="Y47" i="13"/>
  <c r="Z47" i="13"/>
  <c r="AA47" i="13"/>
  <c r="AB47" i="13"/>
  <c r="F47" i="13"/>
  <c r="D47" i="13"/>
  <c r="I46" i="13"/>
  <c r="D46" i="13"/>
  <c r="I45" i="13"/>
  <c r="D45" i="13"/>
  <c r="I44" i="13"/>
  <c r="D44" i="13"/>
  <c r="I43" i="13"/>
  <c r="D43" i="13"/>
  <c r="I42" i="13"/>
  <c r="D42" i="13"/>
  <c r="I41" i="13"/>
  <c r="D41" i="13"/>
  <c r="I40" i="13"/>
  <c r="D40" i="13"/>
  <c r="I39" i="13"/>
  <c r="D39" i="13"/>
  <c r="I38" i="13"/>
  <c r="D38" i="13"/>
  <c r="I37" i="13"/>
  <c r="D37" i="13"/>
  <c r="I36" i="13"/>
  <c r="D36" i="13"/>
  <c r="I35" i="13"/>
  <c r="D35" i="13"/>
  <c r="I34" i="13"/>
  <c r="D34" i="13"/>
  <c r="I33" i="13"/>
  <c r="D33" i="13"/>
  <c r="I32" i="13"/>
  <c r="D32" i="13"/>
  <c r="I31" i="13"/>
  <c r="D31" i="13"/>
  <c r="I30" i="13"/>
  <c r="D30" i="13"/>
  <c r="I29" i="13"/>
  <c r="D29" i="13"/>
  <c r="I28" i="13"/>
  <c r="D28" i="13"/>
  <c r="I27" i="13"/>
  <c r="D27" i="13"/>
  <c r="I26" i="13"/>
  <c r="D26" i="13"/>
  <c r="I25" i="13"/>
  <c r="D25" i="13"/>
  <c r="I24" i="13"/>
  <c r="D24" i="13"/>
  <c r="I23" i="13"/>
  <c r="D23" i="13"/>
  <c r="I22" i="13"/>
  <c r="D22" i="13"/>
  <c r="I21" i="13"/>
  <c r="D21" i="13"/>
  <c r="I20" i="13"/>
  <c r="D20" i="13"/>
  <c r="I19" i="13"/>
  <c r="D19" i="13"/>
  <c r="I18" i="13"/>
  <c r="D18" i="13"/>
  <c r="I17" i="13"/>
  <c r="D17" i="13"/>
  <c r="I16" i="13"/>
  <c r="D16" i="13"/>
  <c r="I15" i="13"/>
  <c r="D15" i="13"/>
  <c r="I14" i="13"/>
  <c r="D14" i="13"/>
  <c r="I13" i="13"/>
  <c r="D13" i="13"/>
  <c r="I12" i="13"/>
  <c r="D12" i="13"/>
  <c r="I11" i="13"/>
  <c r="D11" i="13"/>
  <c r="I10" i="13"/>
  <c r="D10" i="13"/>
  <c r="I9" i="13"/>
  <c r="D9" i="13"/>
  <c r="I8" i="13"/>
  <c r="D8" i="13"/>
  <c r="I7" i="13"/>
  <c r="D7" i="13"/>
  <c r="I6" i="13"/>
  <c r="D6" i="13"/>
  <c r="I5" i="13"/>
  <c r="D5" i="13"/>
  <c r="I4" i="13"/>
  <c r="D4" i="13"/>
  <c r="I3" i="13"/>
  <c r="D3" i="13"/>
  <c r="I2" i="13"/>
  <c r="D2" i="13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M3" i="13" a="1"/>
  <c r="M3" i="13"/>
  <c r="M4" i="13" a="1"/>
  <c r="M4" i="13"/>
  <c r="M5" i="13" a="1"/>
  <c r="M5" i="13"/>
  <c r="M6" i="13" a="1"/>
  <c r="M6" i="13"/>
  <c r="M7" i="13" a="1"/>
  <c r="M7" i="13"/>
  <c r="M8" i="13" a="1"/>
  <c r="M8" i="13"/>
  <c r="M9" i="13" a="1"/>
  <c r="M9" i="13"/>
  <c r="M10" i="13" a="1"/>
  <c r="M10" i="13"/>
  <c r="M11" i="13" a="1"/>
  <c r="M11" i="13"/>
  <c r="M12" i="13" a="1"/>
  <c r="M12" i="13"/>
  <c r="M13" i="13" a="1"/>
  <c r="M13" i="13"/>
  <c r="M14" i="13" a="1"/>
  <c r="M14" i="13"/>
  <c r="M15" i="13" a="1"/>
  <c r="M15" i="13"/>
  <c r="M16" i="13" a="1"/>
  <c r="M16" i="13"/>
  <c r="M17" i="13" a="1"/>
  <c r="M17" i="13"/>
  <c r="M18" i="13" a="1"/>
  <c r="M18" i="13"/>
  <c r="M19" i="13" a="1"/>
  <c r="M19" i="13"/>
  <c r="M20" i="13" a="1"/>
  <c r="M20" i="13"/>
  <c r="M21" i="13" a="1"/>
  <c r="M21" i="13"/>
  <c r="M22" i="13" a="1"/>
  <c r="M22" i="13"/>
  <c r="M23" i="13" a="1"/>
  <c r="M23" i="13"/>
  <c r="M24" i="13" a="1"/>
  <c r="M24" i="13"/>
  <c r="M25" i="13" a="1"/>
  <c r="M25" i="13"/>
  <c r="M26" i="13" a="1"/>
  <c r="M26" i="13"/>
  <c r="M27" i="13" a="1"/>
  <c r="M27" i="13"/>
  <c r="M28" i="13" a="1"/>
  <c r="M28" i="13"/>
  <c r="M29" i="13" a="1"/>
  <c r="M29" i="13"/>
  <c r="M30" i="13" a="1"/>
  <c r="M30" i="13"/>
  <c r="M31" i="13" a="1"/>
  <c r="M31" i="13"/>
  <c r="M32" i="13" a="1"/>
  <c r="M32" i="13"/>
  <c r="M33" i="13" a="1"/>
  <c r="M33" i="13"/>
  <c r="M34" i="13" a="1"/>
  <c r="M34" i="13"/>
  <c r="M35" i="13" a="1"/>
  <c r="M35" i="13"/>
  <c r="M36" i="13" a="1"/>
  <c r="M36" i="13"/>
  <c r="M37" i="13" a="1"/>
  <c r="M37" i="13"/>
  <c r="M38" i="13" a="1"/>
  <c r="M38" i="13"/>
  <c r="M39" i="13" a="1"/>
  <c r="M39" i="13"/>
  <c r="M40" i="13" a="1"/>
  <c r="M40" i="13"/>
  <c r="M41" i="13" a="1"/>
  <c r="M41" i="13"/>
  <c r="M42" i="13" a="1"/>
  <c r="M42" i="13"/>
  <c r="M43" i="13" a="1"/>
  <c r="M43" i="13"/>
  <c r="M44" i="13" a="1"/>
  <c r="M44" i="13"/>
  <c r="M45" i="13" a="1"/>
  <c r="M45" i="13"/>
  <c r="M46" i="13" a="1"/>
  <c r="M46" i="13"/>
  <c r="M47" i="13" a="1"/>
  <c r="M47" i="13"/>
  <c r="M48" i="13" a="1"/>
  <c r="M48" i="13"/>
  <c r="M49" i="13" a="1"/>
  <c r="M49" i="13"/>
  <c r="M50" i="13" a="1"/>
  <c r="M50" i="13"/>
  <c r="M51" i="13" a="1"/>
  <c r="M51" i="13"/>
  <c r="M52" i="13" a="1"/>
  <c r="M52" i="13"/>
  <c r="M53" i="13" a="1"/>
  <c r="M53" i="13"/>
  <c r="M54" i="13" a="1"/>
  <c r="M54" i="13"/>
  <c r="M55" i="13" a="1"/>
  <c r="M55" i="13"/>
  <c r="M56" i="13" a="1"/>
  <c r="M56" i="13"/>
  <c r="M57" i="13" a="1"/>
  <c r="M57" i="13"/>
  <c r="M58" i="13" a="1"/>
  <c r="M58" i="13"/>
  <c r="M59" i="13" a="1"/>
  <c r="M59" i="13"/>
  <c r="M60" i="13" a="1"/>
  <c r="M60" i="13"/>
  <c r="M61" i="13" a="1"/>
  <c r="M61" i="13"/>
  <c r="M62" i="13" a="1"/>
  <c r="M62" i="13"/>
  <c r="M63" i="13" a="1"/>
  <c r="M63" i="13"/>
  <c r="M64" i="13" a="1"/>
  <c r="M64" i="13"/>
  <c r="M65" i="13" a="1"/>
  <c r="M65" i="13"/>
  <c r="M66" i="13" a="1"/>
  <c r="M66" i="13"/>
  <c r="M67" i="13" a="1"/>
  <c r="M67" i="13"/>
  <c r="M68" i="13" a="1"/>
  <c r="M68" i="13"/>
  <c r="M69" i="13" a="1"/>
  <c r="M69" i="13"/>
  <c r="M70" i="13" a="1"/>
  <c r="M70" i="13"/>
  <c r="M71" i="13" a="1"/>
  <c r="M71" i="13"/>
  <c r="M72" i="13" a="1"/>
  <c r="M72" i="13"/>
  <c r="M73" i="13" a="1"/>
  <c r="M73" i="13"/>
  <c r="M74" i="13" a="1"/>
  <c r="M74" i="13"/>
  <c r="M75" i="13" a="1"/>
  <c r="M75" i="13"/>
  <c r="M76" i="13" a="1"/>
  <c r="M76" i="13"/>
  <c r="M77" i="13" a="1"/>
  <c r="M77" i="13"/>
  <c r="M78" i="13" a="1"/>
  <c r="M78" i="13"/>
  <c r="M79" i="13" a="1"/>
  <c r="M79" i="13"/>
  <c r="M80" i="13" a="1"/>
  <c r="M80" i="13"/>
  <c r="M81" i="13" a="1"/>
  <c r="M81" i="13"/>
  <c r="M82" i="13" a="1"/>
  <c r="M82" i="13"/>
  <c r="M83" i="13" a="1"/>
  <c r="M83" i="13"/>
  <c r="M84" i="13" a="1"/>
  <c r="M84" i="13"/>
  <c r="M85" i="13" a="1"/>
  <c r="M85" i="13"/>
  <c r="M86" i="13" a="1"/>
  <c r="M86" i="13"/>
  <c r="M87" i="13" a="1"/>
  <c r="M87" i="13"/>
  <c r="M88" i="13" a="1"/>
  <c r="M88" i="13"/>
  <c r="M89" i="13" a="1"/>
  <c r="M89" i="13"/>
  <c r="M90" i="13" a="1"/>
  <c r="M90" i="13"/>
  <c r="M91" i="13" a="1"/>
  <c r="M91" i="13"/>
  <c r="M92" i="13" a="1"/>
  <c r="M92" i="13"/>
  <c r="M93" i="13" a="1"/>
  <c r="M93" i="13"/>
  <c r="M94" i="13" a="1"/>
  <c r="M94" i="13"/>
  <c r="M95" i="13" a="1"/>
  <c r="M95" i="13"/>
  <c r="M96" i="13" a="1"/>
  <c r="M96" i="13"/>
  <c r="M97" i="13" a="1"/>
  <c r="M97" i="13"/>
  <c r="M98" i="13" a="1"/>
  <c r="M98" i="13"/>
  <c r="M99" i="13" a="1"/>
  <c r="M99" i="13"/>
  <c r="M100" i="13" a="1"/>
  <c r="M100" i="13"/>
  <c r="M101" i="13" a="1"/>
  <c r="M101" i="13"/>
  <c r="M102" i="13" a="1"/>
  <c r="M102" i="13"/>
  <c r="M103" i="13" a="1"/>
  <c r="M103" i="13"/>
  <c r="M104" i="13" a="1"/>
  <c r="M104" i="13"/>
  <c r="M105" i="13" a="1"/>
  <c r="M105" i="13"/>
  <c r="M106" i="13" a="1"/>
  <c r="M106" i="13"/>
  <c r="M107" i="13" a="1"/>
  <c r="M107" i="13"/>
  <c r="M108" i="13" a="1"/>
  <c r="M108" i="13"/>
  <c r="M109" i="13" a="1"/>
  <c r="M109" i="13"/>
  <c r="M110" i="13" a="1"/>
  <c r="M110" i="13"/>
  <c r="M111" i="13" a="1"/>
  <c r="M111" i="13"/>
  <c r="M112" i="13" a="1"/>
  <c r="M112" i="13"/>
  <c r="M113" i="13" a="1"/>
  <c r="M113" i="13"/>
  <c r="M114" i="13" a="1"/>
  <c r="M114" i="13"/>
  <c r="M115" i="13" a="1"/>
  <c r="M115" i="13"/>
  <c r="M116" i="13" a="1"/>
  <c r="M116" i="13"/>
  <c r="M117" i="13" a="1"/>
  <c r="M117" i="13"/>
  <c r="M118" i="13" a="1"/>
  <c r="M118" i="13"/>
  <c r="M119" i="13" a="1"/>
  <c r="M119" i="13"/>
  <c r="M120" i="13" a="1"/>
  <c r="M120" i="13"/>
  <c r="M121" i="13" a="1"/>
  <c r="M121" i="13"/>
  <c r="M122" i="13" a="1"/>
  <c r="M122" i="13"/>
  <c r="M123" i="13" a="1"/>
  <c r="M123" i="13"/>
  <c r="M124" i="13" a="1"/>
  <c r="M124" i="13"/>
  <c r="M125" i="13" a="1"/>
  <c r="M125" i="13"/>
  <c r="M126" i="13" a="1"/>
  <c r="M126" i="13"/>
  <c r="M127" i="13" a="1"/>
  <c r="M127" i="13"/>
  <c r="M128" i="13" a="1"/>
  <c r="M128" i="13"/>
  <c r="M129" i="13" a="1"/>
  <c r="M129" i="13"/>
  <c r="M130" i="13" a="1"/>
  <c r="M130" i="13"/>
  <c r="M131" i="13" a="1"/>
  <c r="M131" i="13"/>
  <c r="M132" i="13" a="1"/>
  <c r="M132" i="13"/>
  <c r="M133" i="13" a="1"/>
  <c r="M133" i="13"/>
  <c r="M134" i="13" a="1"/>
  <c r="M134" i="13"/>
  <c r="M135" i="13" a="1"/>
  <c r="M135" i="13"/>
  <c r="M136" i="13" a="1"/>
  <c r="M136" i="13"/>
  <c r="M137" i="13" a="1"/>
  <c r="M137" i="13"/>
  <c r="M138" i="13" a="1"/>
  <c r="M138" i="13"/>
  <c r="M139" i="13" a="1"/>
  <c r="M139" i="13"/>
  <c r="M140" i="13" a="1"/>
  <c r="M140" i="13"/>
  <c r="M141" i="13" a="1"/>
  <c r="M141" i="13"/>
  <c r="M142" i="13" a="1"/>
  <c r="M142" i="13"/>
  <c r="M143" i="13" a="1"/>
  <c r="M143" i="13"/>
  <c r="M144" i="13" a="1"/>
  <c r="M144" i="13"/>
  <c r="M145" i="13" a="1"/>
  <c r="M145" i="13"/>
  <c r="M146" i="13" a="1"/>
  <c r="M146" i="13"/>
  <c r="M147" i="13" a="1"/>
  <c r="M147" i="13"/>
  <c r="M148" i="13" a="1"/>
  <c r="M148" i="13"/>
  <c r="M149" i="13" a="1"/>
  <c r="M149" i="13"/>
  <c r="AB74" i="13"/>
  <c r="Y74" i="13"/>
  <c r="Z74" i="13"/>
  <c r="AA74" i="13"/>
  <c r="F74" i="13"/>
  <c r="AB75" i="13"/>
  <c r="Y75" i="13"/>
  <c r="Z75" i="13"/>
  <c r="AA75" i="13"/>
  <c r="F75" i="13"/>
  <c r="AB76" i="13"/>
  <c r="Y76" i="13"/>
  <c r="Z76" i="13"/>
  <c r="AA76" i="13"/>
  <c r="F76" i="13"/>
  <c r="AB77" i="13"/>
  <c r="Y77" i="13"/>
  <c r="Z77" i="13"/>
  <c r="AA77" i="13"/>
  <c r="F77" i="13"/>
  <c r="AB78" i="13"/>
  <c r="Y78" i="13"/>
  <c r="Z78" i="13"/>
  <c r="AA78" i="13"/>
  <c r="F78" i="13"/>
  <c r="AB79" i="13"/>
  <c r="Y79" i="13"/>
  <c r="Z79" i="13"/>
  <c r="AA79" i="13"/>
  <c r="F79" i="13"/>
  <c r="AB80" i="13"/>
  <c r="Y80" i="13"/>
  <c r="Z80" i="13"/>
  <c r="AA80" i="13"/>
  <c r="F80" i="13"/>
  <c r="AB81" i="13"/>
  <c r="Y81" i="13"/>
  <c r="Z81" i="13"/>
  <c r="AA81" i="13"/>
  <c r="F81" i="13"/>
  <c r="AB82" i="13"/>
  <c r="Y82" i="13"/>
  <c r="Z82" i="13"/>
  <c r="AA82" i="13"/>
  <c r="F82" i="13"/>
  <c r="AB83" i="13"/>
  <c r="Y83" i="13"/>
  <c r="Z83" i="13"/>
  <c r="AA83" i="13"/>
  <c r="F83" i="13"/>
  <c r="AB84" i="13"/>
  <c r="Y84" i="13"/>
  <c r="Z84" i="13"/>
  <c r="AA84" i="13"/>
  <c r="F84" i="13"/>
  <c r="AB85" i="13"/>
  <c r="Y85" i="13"/>
  <c r="Z85" i="13"/>
  <c r="AA85" i="13"/>
  <c r="F85" i="13"/>
  <c r="AB86" i="13"/>
  <c r="Y86" i="13"/>
  <c r="Z86" i="13"/>
  <c r="AA86" i="13"/>
  <c r="F86" i="13"/>
  <c r="AB87" i="13"/>
  <c r="Y87" i="13"/>
  <c r="Z87" i="13"/>
  <c r="AA87" i="13"/>
  <c r="F87" i="13"/>
  <c r="AB88" i="13"/>
  <c r="Y88" i="13"/>
  <c r="Z88" i="13"/>
  <c r="AA88" i="13"/>
  <c r="F88" i="13"/>
  <c r="AB89" i="13"/>
  <c r="Y89" i="13"/>
  <c r="Z89" i="13"/>
  <c r="AA89" i="13"/>
  <c r="F89" i="13"/>
  <c r="AB90" i="13"/>
  <c r="Y90" i="13"/>
  <c r="Z90" i="13"/>
  <c r="AA90" i="13"/>
  <c r="F90" i="13"/>
  <c r="AB91" i="13"/>
  <c r="Y91" i="13"/>
  <c r="Z91" i="13"/>
  <c r="AA91" i="13"/>
  <c r="F91" i="13"/>
  <c r="AB92" i="13"/>
  <c r="Y92" i="13"/>
  <c r="Z92" i="13"/>
  <c r="AA92" i="13"/>
  <c r="F92" i="13"/>
  <c r="AB93" i="13"/>
  <c r="Y93" i="13"/>
  <c r="Z93" i="13"/>
  <c r="AA93" i="13"/>
  <c r="F93" i="13"/>
  <c r="AB94" i="13"/>
  <c r="Y94" i="13"/>
  <c r="Z94" i="13"/>
  <c r="AA94" i="13"/>
  <c r="F94" i="13"/>
  <c r="AB95" i="13"/>
  <c r="Y95" i="13"/>
  <c r="Z95" i="13"/>
  <c r="AA95" i="13"/>
  <c r="F95" i="13"/>
  <c r="AB96" i="13"/>
  <c r="Y96" i="13"/>
  <c r="Z96" i="13"/>
  <c r="AA96" i="13"/>
  <c r="F96" i="13"/>
  <c r="AB97" i="13"/>
  <c r="Y97" i="13"/>
  <c r="Z97" i="13"/>
  <c r="AA97" i="13"/>
  <c r="F97" i="13"/>
  <c r="AB98" i="13"/>
  <c r="Y98" i="13"/>
  <c r="Z98" i="13"/>
  <c r="AA98" i="13"/>
  <c r="F98" i="13"/>
  <c r="AB99" i="13"/>
  <c r="Y99" i="13"/>
  <c r="Z99" i="13"/>
  <c r="AA99" i="13"/>
  <c r="F99" i="13"/>
  <c r="AB100" i="13"/>
  <c r="Y100" i="13"/>
  <c r="Z100" i="13"/>
  <c r="AA100" i="13"/>
  <c r="F100" i="13"/>
  <c r="AB101" i="13"/>
  <c r="Y101" i="13"/>
  <c r="Z101" i="13"/>
  <c r="AA101" i="13"/>
  <c r="F101" i="13"/>
  <c r="AB102" i="13"/>
  <c r="Y102" i="13"/>
  <c r="Z102" i="13"/>
  <c r="AA102" i="13"/>
  <c r="F102" i="13"/>
  <c r="AB103" i="13"/>
  <c r="Y103" i="13"/>
  <c r="Z103" i="13"/>
  <c r="AA103" i="13"/>
  <c r="F103" i="13"/>
  <c r="AB104" i="13"/>
  <c r="Y104" i="13"/>
  <c r="Z104" i="13"/>
  <c r="AA104" i="13"/>
  <c r="F104" i="13"/>
  <c r="AB105" i="13"/>
  <c r="Y105" i="13"/>
  <c r="Z105" i="13"/>
  <c r="AA105" i="13"/>
  <c r="F105" i="13"/>
  <c r="AB106" i="13"/>
  <c r="Y106" i="13"/>
  <c r="Z106" i="13"/>
  <c r="AA106" i="13"/>
  <c r="F106" i="13"/>
  <c r="AB107" i="13"/>
  <c r="Y107" i="13"/>
  <c r="Z107" i="13"/>
  <c r="AA107" i="13"/>
  <c r="F107" i="13"/>
  <c r="AB108" i="13"/>
  <c r="Y108" i="13"/>
  <c r="Z108" i="13"/>
  <c r="AA108" i="13"/>
  <c r="F108" i="13"/>
  <c r="AB109" i="13"/>
  <c r="Y109" i="13"/>
  <c r="Z109" i="13"/>
  <c r="AA109" i="13"/>
  <c r="F109" i="13"/>
  <c r="AB110" i="13"/>
  <c r="Y110" i="13"/>
  <c r="Z110" i="13"/>
  <c r="AA110" i="13"/>
  <c r="F110" i="13"/>
  <c r="AB111" i="13"/>
  <c r="Y111" i="13"/>
  <c r="Z111" i="13"/>
  <c r="AA111" i="13"/>
  <c r="F111" i="13"/>
  <c r="AB112" i="13"/>
  <c r="Y112" i="13"/>
  <c r="Z112" i="13"/>
  <c r="AA112" i="13"/>
  <c r="F112" i="13"/>
  <c r="AB113" i="13"/>
  <c r="Y113" i="13"/>
  <c r="Z113" i="13"/>
  <c r="AA113" i="13"/>
  <c r="F113" i="13"/>
  <c r="AB114" i="13"/>
  <c r="Y114" i="13"/>
  <c r="Z114" i="13"/>
  <c r="AA114" i="13"/>
  <c r="F114" i="13"/>
  <c r="AB115" i="13"/>
  <c r="Y115" i="13"/>
  <c r="Z115" i="13"/>
  <c r="AA115" i="13"/>
  <c r="F115" i="13"/>
  <c r="AB116" i="13"/>
  <c r="Y116" i="13"/>
  <c r="Z116" i="13"/>
  <c r="AA116" i="13"/>
  <c r="F116" i="13"/>
  <c r="AB117" i="13"/>
  <c r="Y117" i="13"/>
  <c r="Z117" i="13"/>
  <c r="AA117" i="13"/>
  <c r="F117" i="13"/>
  <c r="AB118" i="13"/>
  <c r="Y118" i="13"/>
  <c r="Z118" i="13"/>
  <c r="AA118" i="13"/>
  <c r="F118" i="13"/>
  <c r="AB119" i="13"/>
  <c r="Y119" i="13"/>
  <c r="Z119" i="13"/>
  <c r="AA119" i="13"/>
  <c r="F119" i="13"/>
  <c r="AB120" i="13"/>
  <c r="Y120" i="13"/>
  <c r="Z120" i="13"/>
  <c r="AA120" i="13"/>
  <c r="F120" i="13"/>
  <c r="AB121" i="13"/>
  <c r="Y121" i="13"/>
  <c r="Z121" i="13"/>
  <c r="AA121" i="13"/>
  <c r="F121" i="13"/>
  <c r="AB122" i="13"/>
  <c r="Y122" i="13"/>
  <c r="Z122" i="13"/>
  <c r="AA122" i="13"/>
  <c r="F122" i="13"/>
  <c r="AB123" i="13"/>
  <c r="Y123" i="13"/>
  <c r="Z123" i="13"/>
  <c r="AA123" i="13"/>
  <c r="F123" i="13"/>
  <c r="AB124" i="13"/>
  <c r="Y124" i="13"/>
  <c r="Z124" i="13"/>
  <c r="AA124" i="13"/>
  <c r="F124" i="13"/>
  <c r="AB125" i="13"/>
  <c r="Y125" i="13"/>
  <c r="Z125" i="13"/>
  <c r="AA125" i="13"/>
  <c r="F125" i="13"/>
  <c r="AB126" i="13"/>
  <c r="Y126" i="13"/>
  <c r="Z126" i="13"/>
  <c r="AA126" i="13"/>
  <c r="F126" i="13"/>
  <c r="AB127" i="13"/>
  <c r="Y127" i="13"/>
  <c r="Z127" i="13"/>
  <c r="AA127" i="13"/>
  <c r="F127" i="13"/>
  <c r="AB128" i="13"/>
  <c r="Y128" i="13"/>
  <c r="Z128" i="13"/>
  <c r="AA128" i="13"/>
  <c r="F128" i="13"/>
  <c r="AB129" i="13"/>
  <c r="Y129" i="13"/>
  <c r="Z129" i="13"/>
  <c r="AA129" i="13"/>
  <c r="F129" i="13"/>
  <c r="AB130" i="13"/>
  <c r="Y130" i="13"/>
  <c r="Z130" i="13"/>
  <c r="AA130" i="13"/>
  <c r="F130" i="13"/>
  <c r="AB131" i="13"/>
  <c r="Y131" i="13"/>
  <c r="Z131" i="13"/>
  <c r="AA131" i="13"/>
  <c r="F131" i="13"/>
  <c r="AB132" i="13"/>
  <c r="Y132" i="13"/>
  <c r="Z132" i="13"/>
  <c r="AA132" i="13"/>
  <c r="F132" i="13"/>
  <c r="AB133" i="13"/>
  <c r="Y133" i="13"/>
  <c r="Z133" i="13"/>
  <c r="AA133" i="13"/>
  <c r="F133" i="13"/>
  <c r="AB134" i="13"/>
  <c r="Y134" i="13"/>
  <c r="Z134" i="13"/>
  <c r="AA134" i="13"/>
  <c r="F134" i="13"/>
  <c r="AB135" i="13"/>
  <c r="Y135" i="13"/>
  <c r="Z135" i="13"/>
  <c r="AA135" i="13"/>
  <c r="F135" i="13"/>
  <c r="AB136" i="13"/>
  <c r="Y136" i="13"/>
  <c r="Z136" i="13"/>
  <c r="AA136" i="13"/>
  <c r="F136" i="13"/>
  <c r="AB137" i="13"/>
  <c r="Y137" i="13"/>
  <c r="Z137" i="13"/>
  <c r="AA137" i="13"/>
  <c r="F137" i="13"/>
  <c r="AB138" i="13"/>
  <c r="Y138" i="13"/>
  <c r="Z138" i="13"/>
  <c r="AA138" i="13"/>
  <c r="F138" i="13"/>
  <c r="AB139" i="13"/>
  <c r="Y139" i="13"/>
  <c r="Z139" i="13"/>
  <c r="AA139" i="13"/>
  <c r="F139" i="13"/>
  <c r="AB140" i="13"/>
  <c r="Y140" i="13"/>
  <c r="Z140" i="13"/>
  <c r="AA140" i="13"/>
  <c r="F140" i="13"/>
  <c r="AB141" i="13"/>
  <c r="Y141" i="13"/>
  <c r="Z141" i="13"/>
  <c r="AA141" i="13"/>
  <c r="F141" i="13"/>
  <c r="AB142" i="13"/>
  <c r="Y142" i="13"/>
  <c r="Z142" i="13"/>
  <c r="AA142" i="13"/>
  <c r="F142" i="13"/>
  <c r="AB143" i="13"/>
  <c r="Y143" i="13"/>
  <c r="Z143" i="13"/>
  <c r="AA143" i="13"/>
  <c r="F143" i="13"/>
  <c r="AB144" i="13"/>
  <c r="Y144" i="13"/>
  <c r="Z144" i="13"/>
  <c r="AA144" i="13"/>
  <c r="F144" i="13"/>
  <c r="AB145" i="13"/>
  <c r="Y145" i="13"/>
  <c r="Z145" i="13"/>
  <c r="AA145" i="13"/>
  <c r="F145" i="13"/>
  <c r="AB146" i="13"/>
  <c r="Y146" i="13"/>
  <c r="Z146" i="13"/>
  <c r="AA146" i="13"/>
  <c r="F146" i="13"/>
  <c r="AB147" i="13"/>
  <c r="Y147" i="13"/>
  <c r="Z147" i="13"/>
  <c r="AA147" i="13"/>
  <c r="F147" i="13"/>
  <c r="AB148" i="13"/>
  <c r="Y148" i="13"/>
  <c r="Z148" i="13"/>
  <c r="AA148" i="13"/>
  <c r="F148" i="13"/>
  <c r="AB149" i="13"/>
  <c r="Y149" i="13"/>
  <c r="Z149" i="13"/>
  <c r="AA149" i="13"/>
  <c r="F149" i="13"/>
  <c r="L2" i="13" a="1"/>
  <c r="L2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S3" i="13" a="1"/>
  <c r="S3" i="13"/>
  <c r="S4" i="13" a="1"/>
  <c r="S4" i="13"/>
  <c r="S5" i="13" a="1"/>
  <c r="S5" i="13"/>
  <c r="S6" i="13" a="1"/>
  <c r="S6" i="13"/>
  <c r="S7" i="13" a="1"/>
  <c r="S7" i="13"/>
  <c r="S8" i="13" a="1"/>
  <c r="S8" i="13"/>
  <c r="S9" i="13" a="1"/>
  <c r="S9" i="13"/>
  <c r="S10" i="13" a="1"/>
  <c r="S10" i="13"/>
  <c r="S11" i="13" a="1"/>
  <c r="S11" i="13"/>
  <c r="S12" i="13" a="1"/>
  <c r="S12" i="13"/>
  <c r="S13" i="13" a="1"/>
  <c r="S13" i="13"/>
  <c r="S14" i="13" a="1"/>
  <c r="S14" i="13"/>
  <c r="S15" i="13" a="1"/>
  <c r="S15" i="13"/>
  <c r="S16" i="13" a="1"/>
  <c r="S16" i="13"/>
  <c r="S17" i="13" a="1"/>
  <c r="S17" i="13"/>
  <c r="S18" i="13" a="1"/>
  <c r="S18" i="13"/>
  <c r="S19" i="13" a="1"/>
  <c r="S19" i="13"/>
  <c r="S20" i="13" a="1"/>
  <c r="S20" i="13"/>
  <c r="S21" i="13" a="1"/>
  <c r="S21" i="13"/>
  <c r="S22" i="13" a="1"/>
  <c r="S22" i="13"/>
  <c r="S23" i="13" a="1"/>
  <c r="S23" i="13"/>
  <c r="S24" i="13" a="1"/>
  <c r="S24" i="13"/>
  <c r="S25" i="13" a="1"/>
  <c r="S25" i="13"/>
  <c r="S26" i="13" a="1"/>
  <c r="S26" i="13"/>
  <c r="S27" i="13" a="1"/>
  <c r="S27" i="13"/>
  <c r="S28" i="13" a="1"/>
  <c r="S28" i="13"/>
  <c r="S29" i="13" a="1"/>
  <c r="S29" i="13"/>
  <c r="S30" i="13" a="1"/>
  <c r="S30" i="13"/>
  <c r="S31" i="13" a="1"/>
  <c r="S31" i="13"/>
  <c r="S32" i="13" a="1"/>
  <c r="S32" i="13"/>
  <c r="S33" i="13" a="1"/>
  <c r="S33" i="13"/>
  <c r="S34" i="13" a="1"/>
  <c r="S34" i="13"/>
  <c r="S35" i="13" a="1"/>
  <c r="S35" i="13"/>
  <c r="S36" i="13" a="1"/>
  <c r="S36" i="13"/>
  <c r="S37" i="13" a="1"/>
  <c r="S37" i="13"/>
  <c r="S38" i="13" a="1"/>
  <c r="S38" i="13"/>
  <c r="S39" i="13" a="1"/>
  <c r="S39" i="13"/>
  <c r="S40" i="13" a="1"/>
  <c r="S40" i="13"/>
  <c r="S41" i="13" a="1"/>
  <c r="S41" i="13"/>
  <c r="S42" i="13" a="1"/>
  <c r="S42" i="13"/>
  <c r="S43" i="13" a="1"/>
  <c r="S43" i="13"/>
  <c r="S44" i="13" a="1"/>
  <c r="S44" i="13"/>
  <c r="S45" i="13" a="1"/>
  <c r="S45" i="13"/>
  <c r="S46" i="13" a="1"/>
  <c r="S46" i="13"/>
  <c r="S47" i="13" a="1"/>
  <c r="S47" i="13"/>
  <c r="S48" i="13" a="1"/>
  <c r="S48" i="13"/>
  <c r="S49" i="13" a="1"/>
  <c r="S49" i="13"/>
  <c r="S50" i="13" a="1"/>
  <c r="S50" i="13"/>
  <c r="S51" i="13" a="1"/>
  <c r="S51" i="13"/>
  <c r="S52" i="13" a="1"/>
  <c r="S52" i="13"/>
  <c r="S53" i="13" a="1"/>
  <c r="S53" i="13"/>
  <c r="S54" i="13" a="1"/>
  <c r="S54" i="13"/>
  <c r="S55" i="13" a="1"/>
  <c r="S55" i="13"/>
  <c r="S56" i="13" a="1"/>
  <c r="S56" i="13"/>
  <c r="S57" i="13" a="1"/>
  <c r="S57" i="13"/>
  <c r="S58" i="13" a="1"/>
  <c r="S58" i="13"/>
  <c r="S59" i="13" a="1"/>
  <c r="S59" i="13"/>
  <c r="S60" i="13" a="1"/>
  <c r="S60" i="13"/>
  <c r="S61" i="13" a="1"/>
  <c r="S61" i="13"/>
  <c r="S62" i="13" a="1"/>
  <c r="S62" i="13"/>
  <c r="S63" i="13" a="1"/>
  <c r="S63" i="13"/>
  <c r="S64" i="13" a="1"/>
  <c r="S64" i="13"/>
  <c r="S65" i="13" a="1"/>
  <c r="S65" i="13"/>
  <c r="S66" i="13" a="1"/>
  <c r="S66" i="13"/>
  <c r="S67" i="13" a="1"/>
  <c r="S67" i="13"/>
  <c r="S68" i="13" a="1"/>
  <c r="S68" i="13"/>
  <c r="S69" i="13" a="1"/>
  <c r="S69" i="13"/>
  <c r="S70" i="13" a="1"/>
  <c r="S70" i="13"/>
  <c r="S71" i="13" a="1"/>
  <c r="S71" i="13"/>
  <c r="S72" i="13" a="1"/>
  <c r="S72" i="13"/>
  <c r="S73" i="13" a="1"/>
  <c r="S73" i="13"/>
  <c r="S74" i="13" a="1"/>
  <c r="S74" i="13"/>
  <c r="S75" i="13" a="1"/>
  <c r="S75" i="13"/>
  <c r="S76" i="13" a="1"/>
  <c r="S76" i="13"/>
  <c r="S77" i="13" a="1"/>
  <c r="S77" i="13"/>
  <c r="S78" i="13" a="1"/>
  <c r="S78" i="13"/>
  <c r="S79" i="13" a="1"/>
  <c r="S79" i="13"/>
  <c r="S80" i="13" a="1"/>
  <c r="S80" i="13"/>
  <c r="S81" i="13" a="1"/>
  <c r="S81" i="13"/>
  <c r="S82" i="13" a="1"/>
  <c r="S82" i="13"/>
  <c r="S83" i="13" a="1"/>
  <c r="S83" i="13"/>
  <c r="S84" i="13" a="1"/>
  <c r="S84" i="13"/>
  <c r="S85" i="13" a="1"/>
  <c r="S85" i="13"/>
  <c r="S86" i="13" a="1"/>
  <c r="S86" i="13"/>
  <c r="S87" i="13" a="1"/>
  <c r="S87" i="13"/>
  <c r="S88" i="13" a="1"/>
  <c r="S88" i="13"/>
  <c r="S89" i="13" a="1"/>
  <c r="S89" i="13"/>
  <c r="S90" i="13" a="1"/>
  <c r="S90" i="13"/>
  <c r="S91" i="13" a="1"/>
  <c r="S91" i="13"/>
  <c r="S92" i="13" a="1"/>
  <c r="S92" i="13"/>
  <c r="S93" i="13" a="1"/>
  <c r="S93" i="13"/>
  <c r="S94" i="13" a="1"/>
  <c r="S94" i="13"/>
  <c r="S95" i="13" a="1"/>
  <c r="S95" i="13"/>
  <c r="S96" i="13" a="1"/>
  <c r="S96" i="13"/>
  <c r="S97" i="13" a="1"/>
  <c r="S97" i="13"/>
  <c r="S98" i="13" a="1"/>
  <c r="S98" i="13"/>
  <c r="S99" i="13" a="1"/>
  <c r="S99" i="13"/>
  <c r="S100" i="13" a="1"/>
  <c r="S100" i="13"/>
  <c r="S101" i="13" a="1"/>
  <c r="S101" i="13"/>
  <c r="S102" i="13" a="1"/>
  <c r="S102" i="13"/>
  <c r="S103" i="13" a="1"/>
  <c r="S103" i="13"/>
  <c r="S104" i="13" a="1"/>
  <c r="S104" i="13"/>
  <c r="S105" i="13" a="1"/>
  <c r="S105" i="13"/>
  <c r="S106" i="13" a="1"/>
  <c r="S106" i="13"/>
  <c r="S107" i="13" a="1"/>
  <c r="S107" i="13"/>
  <c r="S108" i="13" a="1"/>
  <c r="S108" i="13"/>
  <c r="S109" i="13" a="1"/>
  <c r="S109" i="13"/>
  <c r="S110" i="13" a="1"/>
  <c r="S110" i="13"/>
  <c r="S111" i="13" a="1"/>
  <c r="S111" i="13"/>
  <c r="S112" i="13" a="1"/>
  <c r="S112" i="13"/>
  <c r="S113" i="13" a="1"/>
  <c r="S113" i="13"/>
  <c r="S114" i="13" a="1"/>
  <c r="S114" i="13"/>
  <c r="S115" i="13" a="1"/>
  <c r="S115" i="13"/>
  <c r="S116" i="13" a="1"/>
  <c r="S116" i="13"/>
  <c r="S117" i="13" a="1"/>
  <c r="S117" i="13"/>
  <c r="S118" i="13" a="1"/>
  <c r="S118" i="13"/>
  <c r="S119" i="13" a="1"/>
  <c r="S119" i="13"/>
  <c r="S120" i="13" a="1"/>
  <c r="S120" i="13"/>
  <c r="S121" i="13" a="1"/>
  <c r="S121" i="13"/>
  <c r="S122" i="13" a="1"/>
  <c r="S122" i="13"/>
  <c r="S123" i="13" a="1"/>
  <c r="S123" i="13"/>
  <c r="S124" i="13" a="1"/>
  <c r="S124" i="13"/>
  <c r="S125" i="13" a="1"/>
  <c r="S125" i="13"/>
  <c r="S126" i="13" a="1"/>
  <c r="S126" i="13"/>
  <c r="S127" i="13" a="1"/>
  <c r="S127" i="13"/>
  <c r="S128" i="13" a="1"/>
  <c r="S128" i="13"/>
  <c r="S129" i="13" a="1"/>
  <c r="S129" i="13"/>
  <c r="S130" i="13" a="1"/>
  <c r="S130" i="13"/>
  <c r="S131" i="13" a="1"/>
  <c r="S131" i="13"/>
  <c r="S132" i="13" a="1"/>
  <c r="S132" i="13"/>
  <c r="S133" i="13" a="1"/>
  <c r="S133" i="13"/>
  <c r="S134" i="13" a="1"/>
  <c r="S134" i="13"/>
  <c r="S135" i="13" a="1"/>
  <c r="S135" i="13"/>
  <c r="S136" i="13" a="1"/>
  <c r="S136" i="13"/>
  <c r="S137" i="13" a="1"/>
  <c r="S137" i="13"/>
  <c r="S138" i="13" a="1"/>
  <c r="S138" i="13"/>
  <c r="S139" i="13" a="1"/>
  <c r="S139" i="13"/>
  <c r="S140" i="13" a="1"/>
  <c r="S140" i="13"/>
  <c r="S141" i="13" a="1"/>
  <c r="S141" i="13"/>
  <c r="S142" i="13" a="1"/>
  <c r="S142" i="13"/>
  <c r="S143" i="13" a="1"/>
  <c r="S143" i="13"/>
  <c r="S144" i="13" a="1"/>
  <c r="S144" i="13"/>
  <c r="S145" i="13" a="1"/>
  <c r="S145" i="13"/>
  <c r="S146" i="13" a="1"/>
  <c r="S146" i="13"/>
  <c r="S147" i="13" a="1"/>
  <c r="S147" i="13"/>
  <c r="S148" i="13" a="1"/>
  <c r="S148" i="13"/>
  <c r="S149" i="13" a="1"/>
  <c r="S149" i="13"/>
  <c r="S2" i="13" a="1"/>
  <c r="S2" i="13"/>
  <c r="AD2" i="13" a="1"/>
  <c r="AD2" i="13"/>
  <c r="AE2" i="13" a="1"/>
  <c r="AE2" i="13"/>
  <c r="AF2" i="13" a="1"/>
  <c r="AF2" i="13"/>
  <c r="AG2" i="13" a="1"/>
  <c r="AG2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M2" i="13" a="1"/>
  <c r="M2" i="13"/>
  <c r="N2" i="13" a="1"/>
  <c r="N2" i="13"/>
  <c r="O2" i="13" a="1"/>
  <c r="O2" i="13"/>
  <c r="P2" i="13" a="1"/>
  <c r="P2" i="13"/>
  <c r="R2" i="13" a="1"/>
  <c r="R2" i="13"/>
  <c r="L3" i="13" a="1"/>
  <c r="L3" i="13"/>
  <c r="N3" i="13" a="1"/>
  <c r="N3" i="13"/>
  <c r="O3" i="13" a="1"/>
  <c r="O3" i="13"/>
  <c r="P3" i="13" a="1"/>
  <c r="P3" i="13"/>
  <c r="R3" i="13" a="1"/>
  <c r="R3" i="13"/>
  <c r="L4" i="13" a="1"/>
  <c r="L4" i="13"/>
  <c r="N4" i="13" a="1"/>
  <c r="N4" i="13"/>
  <c r="O4" i="13" a="1"/>
  <c r="O4" i="13"/>
  <c r="P4" i="13" a="1"/>
  <c r="P4" i="13"/>
  <c r="R4" i="13" a="1"/>
  <c r="R4" i="13"/>
  <c r="L5" i="13" a="1"/>
  <c r="L5" i="13"/>
  <c r="N5" i="13" a="1"/>
  <c r="N5" i="13"/>
  <c r="O5" i="13" a="1"/>
  <c r="O5" i="13"/>
  <c r="P5" i="13" a="1"/>
  <c r="P5" i="13"/>
  <c r="R5" i="13" a="1"/>
  <c r="R5" i="13"/>
  <c r="L6" i="13" a="1"/>
  <c r="L6" i="13"/>
  <c r="N6" i="13" a="1"/>
  <c r="N6" i="13"/>
  <c r="O6" i="13" a="1"/>
  <c r="O6" i="13"/>
  <c r="P6" i="13" a="1"/>
  <c r="P6" i="13"/>
  <c r="R6" i="13" a="1"/>
  <c r="R6" i="13"/>
  <c r="N7" i="13" a="1"/>
  <c r="N7" i="13"/>
  <c r="O7" i="13" a="1"/>
  <c r="O7" i="13"/>
  <c r="P7" i="13" a="1"/>
  <c r="P7" i="13"/>
  <c r="R7" i="13" a="1"/>
  <c r="R7" i="13"/>
  <c r="L8" i="13" a="1"/>
  <c r="L8" i="13"/>
  <c r="N8" i="13" a="1"/>
  <c r="N8" i="13"/>
  <c r="O8" i="13" a="1"/>
  <c r="O8" i="13"/>
  <c r="P8" i="13" a="1"/>
  <c r="P8" i="13"/>
  <c r="R8" i="13" a="1"/>
  <c r="R8" i="13"/>
  <c r="L9" i="13" a="1"/>
  <c r="L9" i="13"/>
  <c r="N9" i="13" a="1"/>
  <c r="N9" i="13"/>
  <c r="O9" i="13" a="1"/>
  <c r="O9" i="13"/>
  <c r="P9" i="13" a="1"/>
  <c r="P9" i="13"/>
  <c r="R9" i="13" a="1"/>
  <c r="R9" i="13"/>
  <c r="L10" i="13" a="1"/>
  <c r="L10" i="13"/>
  <c r="N10" i="13" a="1"/>
  <c r="N10" i="13"/>
  <c r="O10" i="13" a="1"/>
  <c r="O10" i="13"/>
  <c r="P10" i="13" a="1"/>
  <c r="P10" i="13"/>
  <c r="R10" i="13" a="1"/>
  <c r="R10" i="13"/>
  <c r="L11" i="13" a="1"/>
  <c r="L11" i="13"/>
  <c r="N11" i="13" a="1"/>
  <c r="N11" i="13"/>
  <c r="O11" i="13" a="1"/>
  <c r="O11" i="13"/>
  <c r="P11" i="13" a="1"/>
  <c r="P11" i="13"/>
  <c r="R11" i="13" a="1"/>
  <c r="R11" i="13"/>
  <c r="L12" i="13" a="1"/>
  <c r="L12" i="13"/>
  <c r="N12" i="13" a="1"/>
  <c r="N12" i="13"/>
  <c r="O12" i="13" a="1"/>
  <c r="O12" i="13"/>
  <c r="P12" i="13" a="1"/>
  <c r="P12" i="13"/>
  <c r="R12" i="13" a="1"/>
  <c r="R12" i="13"/>
  <c r="L13" i="13" a="1"/>
  <c r="L13" i="13"/>
  <c r="N13" i="13" a="1"/>
  <c r="N13" i="13"/>
  <c r="O13" i="13" a="1"/>
  <c r="O13" i="13"/>
  <c r="P13" i="13" a="1"/>
  <c r="P13" i="13"/>
  <c r="R13" i="13" a="1"/>
  <c r="R13" i="13"/>
  <c r="L14" i="13" a="1"/>
  <c r="L14" i="13"/>
  <c r="N14" i="13" a="1"/>
  <c r="N14" i="13"/>
  <c r="O14" i="13" a="1"/>
  <c r="O14" i="13"/>
  <c r="P14" i="13" a="1"/>
  <c r="P14" i="13"/>
  <c r="R14" i="13" a="1"/>
  <c r="R14" i="13"/>
  <c r="L15" i="13" a="1"/>
  <c r="L15" i="13"/>
  <c r="N15" i="13" a="1"/>
  <c r="N15" i="13"/>
  <c r="O15" i="13" a="1"/>
  <c r="O15" i="13"/>
  <c r="P15" i="13" a="1"/>
  <c r="P15" i="13"/>
  <c r="R15" i="13" a="1"/>
  <c r="R15" i="13"/>
  <c r="L16" i="13" a="1"/>
  <c r="L16" i="13"/>
  <c r="N16" i="13" a="1"/>
  <c r="N16" i="13"/>
  <c r="O16" i="13" a="1"/>
  <c r="O16" i="13"/>
  <c r="P16" i="13" a="1"/>
  <c r="P16" i="13"/>
  <c r="R16" i="13" a="1"/>
  <c r="R16" i="13"/>
  <c r="L17" i="13" a="1"/>
  <c r="L17" i="13"/>
  <c r="N17" i="13" a="1"/>
  <c r="N17" i="13"/>
  <c r="O17" i="13" a="1"/>
  <c r="O17" i="13"/>
  <c r="P17" i="13" a="1"/>
  <c r="P17" i="13"/>
  <c r="R17" i="13" a="1"/>
  <c r="R17" i="13"/>
  <c r="L18" i="13" a="1"/>
  <c r="L18" i="13"/>
  <c r="N18" i="13" a="1"/>
  <c r="N18" i="13"/>
  <c r="O18" i="13" a="1"/>
  <c r="O18" i="13"/>
  <c r="P18" i="13" a="1"/>
  <c r="P18" i="13"/>
  <c r="R18" i="13" a="1"/>
  <c r="R18" i="13"/>
  <c r="L19" i="13" a="1"/>
  <c r="L19" i="13"/>
  <c r="N19" i="13" a="1"/>
  <c r="N19" i="13"/>
  <c r="O19" i="13" a="1"/>
  <c r="O19" i="13"/>
  <c r="P19" i="13" a="1"/>
  <c r="P19" i="13"/>
  <c r="R19" i="13" a="1"/>
  <c r="R19" i="13"/>
  <c r="L20" i="13" a="1"/>
  <c r="L20" i="13"/>
  <c r="N20" i="13" a="1"/>
  <c r="N20" i="13"/>
  <c r="O20" i="13" a="1"/>
  <c r="O20" i="13"/>
  <c r="P20" i="13" a="1"/>
  <c r="P20" i="13"/>
  <c r="R20" i="13" a="1"/>
  <c r="R20" i="13"/>
  <c r="L21" i="13" a="1"/>
  <c r="L21" i="13"/>
  <c r="N21" i="13" a="1"/>
  <c r="N21" i="13"/>
  <c r="O21" i="13" a="1"/>
  <c r="O21" i="13"/>
  <c r="P21" i="13" a="1"/>
  <c r="P21" i="13"/>
  <c r="R21" i="13" a="1"/>
  <c r="R21" i="13"/>
  <c r="L22" i="13" a="1"/>
  <c r="L22" i="13"/>
  <c r="N22" i="13" a="1"/>
  <c r="N22" i="13"/>
  <c r="O22" i="13" a="1"/>
  <c r="O22" i="13"/>
  <c r="P22" i="13" a="1"/>
  <c r="P22" i="13"/>
  <c r="R22" i="13" a="1"/>
  <c r="R22" i="13"/>
  <c r="L23" i="13" a="1"/>
  <c r="L23" i="13"/>
  <c r="N23" i="13" a="1"/>
  <c r="N23" i="13"/>
  <c r="O23" i="13" a="1"/>
  <c r="O23" i="13"/>
  <c r="P23" i="13" a="1"/>
  <c r="P23" i="13"/>
  <c r="R23" i="13" a="1"/>
  <c r="R23" i="13"/>
  <c r="L24" i="13" a="1"/>
  <c r="L24" i="13"/>
  <c r="N24" i="13" a="1"/>
  <c r="N24" i="13"/>
  <c r="O24" i="13" a="1"/>
  <c r="O24" i="13"/>
  <c r="P24" i="13" a="1"/>
  <c r="P24" i="13"/>
  <c r="R24" i="13" a="1"/>
  <c r="R24" i="13"/>
  <c r="L25" i="13" a="1"/>
  <c r="L25" i="13"/>
  <c r="N25" i="13" a="1"/>
  <c r="N25" i="13"/>
  <c r="O25" i="13" a="1"/>
  <c r="O25" i="13"/>
  <c r="P25" i="13" a="1"/>
  <c r="P25" i="13"/>
  <c r="R25" i="13" a="1"/>
  <c r="R25" i="13"/>
  <c r="L26" i="13" a="1"/>
  <c r="L26" i="13"/>
  <c r="N26" i="13" a="1"/>
  <c r="N26" i="13"/>
  <c r="O26" i="13" a="1"/>
  <c r="O26" i="13"/>
  <c r="P26" i="13" a="1"/>
  <c r="P26" i="13"/>
  <c r="R26" i="13" a="1"/>
  <c r="R26" i="13"/>
  <c r="L27" i="13" a="1"/>
  <c r="L27" i="13"/>
  <c r="N27" i="13" a="1"/>
  <c r="N27" i="13"/>
  <c r="O27" i="13" a="1"/>
  <c r="O27" i="13"/>
  <c r="P27" i="13" a="1"/>
  <c r="P27" i="13"/>
  <c r="R27" i="13" a="1"/>
  <c r="R27" i="13"/>
  <c r="L28" i="13" a="1"/>
  <c r="L28" i="13"/>
  <c r="N28" i="13" a="1"/>
  <c r="N28" i="13"/>
  <c r="O28" i="13" a="1"/>
  <c r="O28" i="13"/>
  <c r="P28" i="13" a="1"/>
  <c r="P28" i="13"/>
  <c r="R28" i="13" a="1"/>
  <c r="R28" i="13"/>
  <c r="L29" i="13" a="1"/>
  <c r="L29" i="13"/>
  <c r="N29" i="13" a="1"/>
  <c r="N29" i="13"/>
  <c r="O29" i="13" a="1"/>
  <c r="O29" i="13"/>
  <c r="P29" i="13" a="1"/>
  <c r="P29" i="13"/>
  <c r="R29" i="13" a="1"/>
  <c r="R29" i="13"/>
  <c r="L30" i="13" a="1"/>
  <c r="L30" i="13"/>
  <c r="N30" i="13" a="1"/>
  <c r="N30" i="13"/>
  <c r="O30" i="13" a="1"/>
  <c r="O30" i="13"/>
  <c r="P30" i="13" a="1"/>
  <c r="P30" i="13"/>
  <c r="R30" i="13" a="1"/>
  <c r="R30" i="13"/>
  <c r="L31" i="13" a="1"/>
  <c r="L31" i="13"/>
  <c r="N31" i="13" a="1"/>
  <c r="N31" i="13"/>
  <c r="O31" i="13" a="1"/>
  <c r="O31" i="13"/>
  <c r="P31" i="13" a="1"/>
  <c r="P31" i="13"/>
  <c r="Q31" i="13" a="1"/>
  <c r="Q31" i="13"/>
  <c r="R31" i="13" a="1"/>
  <c r="R31" i="13"/>
  <c r="L32" i="13" a="1"/>
  <c r="L32" i="13"/>
  <c r="N32" i="13" a="1"/>
  <c r="N32" i="13"/>
  <c r="O32" i="13" a="1"/>
  <c r="O32" i="13"/>
  <c r="P32" i="13" a="1"/>
  <c r="P32" i="13"/>
  <c r="R32" i="13" a="1"/>
  <c r="R32" i="13"/>
  <c r="L33" i="13" a="1"/>
  <c r="L33" i="13"/>
  <c r="N33" i="13" a="1"/>
  <c r="N33" i="13"/>
  <c r="O33" i="13" a="1"/>
  <c r="O33" i="13"/>
  <c r="P33" i="13" a="1"/>
  <c r="P33" i="13"/>
  <c r="R33" i="13" a="1"/>
  <c r="R33" i="13"/>
  <c r="L34" i="13" a="1"/>
  <c r="L34" i="13"/>
  <c r="N34" i="13" a="1"/>
  <c r="N34" i="13"/>
  <c r="O34" i="13" a="1"/>
  <c r="O34" i="13"/>
  <c r="P34" i="13" a="1"/>
  <c r="P34" i="13"/>
  <c r="R34" i="13" a="1"/>
  <c r="R34" i="13"/>
  <c r="L35" i="13" a="1"/>
  <c r="L35" i="13"/>
  <c r="N35" i="13" a="1"/>
  <c r="N35" i="13"/>
  <c r="O35" i="13" a="1"/>
  <c r="O35" i="13"/>
  <c r="P35" i="13" a="1"/>
  <c r="P35" i="13"/>
  <c r="R35" i="13" a="1"/>
  <c r="R35" i="13"/>
  <c r="L36" i="13" a="1"/>
  <c r="L36" i="13"/>
  <c r="N36" i="13" a="1"/>
  <c r="N36" i="13"/>
  <c r="O36" i="13" a="1"/>
  <c r="O36" i="13"/>
  <c r="P36" i="13" a="1"/>
  <c r="P36" i="13"/>
  <c r="R36" i="13" a="1"/>
  <c r="R36" i="13"/>
  <c r="L37" i="13" a="1"/>
  <c r="L37" i="13"/>
  <c r="N37" i="13" a="1"/>
  <c r="N37" i="13"/>
  <c r="O37" i="13" a="1"/>
  <c r="O37" i="13"/>
  <c r="P37" i="13" a="1"/>
  <c r="P37" i="13"/>
  <c r="R37" i="13" a="1"/>
  <c r="R37" i="13"/>
  <c r="L38" i="13" a="1"/>
  <c r="L38" i="13"/>
  <c r="N38" i="13" a="1"/>
  <c r="N38" i="13"/>
  <c r="O38" i="13" a="1"/>
  <c r="O38" i="13"/>
  <c r="P38" i="13" a="1"/>
  <c r="P38" i="13"/>
  <c r="R38" i="13" a="1"/>
  <c r="R38" i="13"/>
  <c r="L39" i="13" a="1"/>
  <c r="L39" i="13"/>
  <c r="N39" i="13" a="1"/>
  <c r="N39" i="13"/>
  <c r="O39" i="13" a="1"/>
  <c r="O39" i="13"/>
  <c r="P39" i="13" a="1"/>
  <c r="P39" i="13"/>
  <c r="R39" i="13" a="1"/>
  <c r="R39" i="13"/>
  <c r="L40" i="13" a="1"/>
  <c r="L40" i="13"/>
  <c r="N40" i="13" a="1"/>
  <c r="N40" i="13"/>
  <c r="O40" i="13" a="1"/>
  <c r="O40" i="13"/>
  <c r="P40" i="13" a="1"/>
  <c r="P40" i="13"/>
  <c r="R40" i="13" a="1"/>
  <c r="R40" i="13"/>
  <c r="L41" i="13" a="1"/>
  <c r="L41" i="13"/>
  <c r="N41" i="13" a="1"/>
  <c r="N41" i="13"/>
  <c r="O41" i="13" a="1"/>
  <c r="O41" i="13"/>
  <c r="P41" i="13" a="1"/>
  <c r="P41" i="13"/>
  <c r="R41" i="13" a="1"/>
  <c r="R41" i="13"/>
  <c r="L42" i="13" a="1"/>
  <c r="L42" i="13"/>
  <c r="N42" i="13" a="1"/>
  <c r="N42" i="13"/>
  <c r="O42" i="13" a="1"/>
  <c r="O42" i="13"/>
  <c r="P42" i="13" a="1"/>
  <c r="P42" i="13"/>
  <c r="R42" i="13" a="1"/>
  <c r="R42" i="13"/>
  <c r="L43" i="13" a="1"/>
  <c r="L43" i="13"/>
  <c r="N43" i="13" a="1"/>
  <c r="N43" i="13"/>
  <c r="O43" i="13" a="1"/>
  <c r="O43" i="13"/>
  <c r="P43" i="13" a="1"/>
  <c r="P43" i="13"/>
  <c r="R43" i="13" a="1"/>
  <c r="R43" i="13"/>
  <c r="L44" i="13" a="1"/>
  <c r="L44" i="13"/>
  <c r="N44" i="13" a="1"/>
  <c r="N44" i="13"/>
  <c r="O44" i="13" a="1"/>
  <c r="O44" i="13"/>
  <c r="P44" i="13" a="1"/>
  <c r="P44" i="13"/>
  <c r="R44" i="13" a="1"/>
  <c r="R44" i="13"/>
  <c r="L45" i="13" a="1"/>
  <c r="L45" i="13"/>
  <c r="N45" i="13" a="1"/>
  <c r="N45" i="13"/>
  <c r="O45" i="13" a="1"/>
  <c r="O45" i="13"/>
  <c r="P45" i="13" a="1"/>
  <c r="P45" i="13"/>
  <c r="R45" i="13" a="1"/>
  <c r="R45" i="13"/>
  <c r="L46" i="13" a="1"/>
  <c r="L46" i="13"/>
  <c r="N46" i="13" a="1"/>
  <c r="N46" i="13"/>
  <c r="O46" i="13" a="1"/>
  <c r="O46" i="13"/>
  <c r="P46" i="13" a="1"/>
  <c r="P46" i="13"/>
  <c r="R46" i="13" a="1"/>
  <c r="R46" i="13"/>
  <c r="L47" i="13" a="1"/>
  <c r="L47" i="13"/>
  <c r="N47" i="13" a="1"/>
  <c r="N47" i="13"/>
  <c r="O47" i="13" a="1"/>
  <c r="O47" i="13"/>
  <c r="P47" i="13" a="1"/>
  <c r="P47" i="13"/>
  <c r="R47" i="13" a="1"/>
  <c r="R47" i="13"/>
  <c r="L48" i="13" a="1"/>
  <c r="L48" i="13"/>
  <c r="N48" i="13" a="1"/>
  <c r="N48" i="13"/>
  <c r="O48" i="13" a="1"/>
  <c r="O48" i="13"/>
  <c r="P48" i="13" a="1"/>
  <c r="P48" i="13"/>
  <c r="R48" i="13" a="1"/>
  <c r="R48" i="13"/>
  <c r="L49" i="13" a="1"/>
  <c r="L49" i="13"/>
  <c r="N49" i="13" a="1"/>
  <c r="N49" i="13"/>
  <c r="O49" i="13" a="1"/>
  <c r="O49" i="13"/>
  <c r="P49" i="13" a="1"/>
  <c r="P49" i="13"/>
  <c r="R49" i="13" a="1"/>
  <c r="R49" i="13"/>
  <c r="L50" i="13" a="1"/>
  <c r="L50" i="13"/>
  <c r="N50" i="13" a="1"/>
  <c r="N50" i="13"/>
  <c r="O50" i="13" a="1"/>
  <c r="O50" i="13"/>
  <c r="P50" i="13" a="1"/>
  <c r="P50" i="13"/>
  <c r="R50" i="13" a="1"/>
  <c r="R50" i="13"/>
  <c r="L51" i="13" a="1"/>
  <c r="L51" i="13"/>
  <c r="N51" i="13" a="1"/>
  <c r="N51" i="13"/>
  <c r="O51" i="13" a="1"/>
  <c r="O51" i="13"/>
  <c r="P51" i="13" a="1"/>
  <c r="P51" i="13"/>
  <c r="R51" i="13" a="1"/>
  <c r="R51" i="13"/>
  <c r="L52" i="13" a="1"/>
  <c r="L52" i="13"/>
  <c r="N52" i="13" a="1"/>
  <c r="N52" i="13"/>
  <c r="O52" i="13" a="1"/>
  <c r="O52" i="13"/>
  <c r="P52" i="13" a="1"/>
  <c r="P52" i="13"/>
  <c r="R52" i="13" a="1"/>
  <c r="R52" i="13"/>
  <c r="L53" i="13" a="1"/>
  <c r="L53" i="13"/>
  <c r="N53" i="13" a="1"/>
  <c r="N53" i="13"/>
  <c r="O53" i="13" a="1"/>
  <c r="O53" i="13"/>
  <c r="P53" i="13" a="1"/>
  <c r="P53" i="13"/>
  <c r="R53" i="13" a="1"/>
  <c r="R53" i="13"/>
  <c r="L54" i="13" a="1"/>
  <c r="L54" i="13"/>
  <c r="N54" i="13" a="1"/>
  <c r="N54" i="13"/>
  <c r="O54" i="13" a="1"/>
  <c r="O54" i="13"/>
  <c r="P54" i="13" a="1"/>
  <c r="P54" i="13"/>
  <c r="R54" i="13" a="1"/>
  <c r="R54" i="13"/>
  <c r="L55" i="13" a="1"/>
  <c r="L55" i="13"/>
  <c r="N55" i="13" a="1"/>
  <c r="N55" i="13"/>
  <c r="O55" i="13" a="1"/>
  <c r="O55" i="13"/>
  <c r="P55" i="13" a="1"/>
  <c r="P55" i="13"/>
  <c r="R55" i="13" a="1"/>
  <c r="R55" i="13"/>
  <c r="L56" i="13" a="1"/>
  <c r="L56" i="13"/>
  <c r="N56" i="13" a="1"/>
  <c r="N56" i="13"/>
  <c r="O56" i="13" a="1"/>
  <c r="O56" i="13"/>
  <c r="P56" i="13" a="1"/>
  <c r="P56" i="13"/>
  <c r="R56" i="13" a="1"/>
  <c r="R56" i="13"/>
  <c r="L57" i="13" a="1"/>
  <c r="L57" i="13"/>
  <c r="N57" i="13" a="1"/>
  <c r="N57" i="13"/>
  <c r="O57" i="13" a="1"/>
  <c r="O57" i="13"/>
  <c r="P57" i="13" a="1"/>
  <c r="P57" i="13"/>
  <c r="R57" i="13" a="1"/>
  <c r="R57" i="13"/>
  <c r="L58" i="13" a="1"/>
  <c r="L58" i="13"/>
  <c r="N58" i="13" a="1"/>
  <c r="N58" i="13"/>
  <c r="O58" i="13" a="1"/>
  <c r="O58" i="13"/>
  <c r="P58" i="13" a="1"/>
  <c r="P58" i="13"/>
  <c r="R58" i="13" a="1"/>
  <c r="R58" i="13"/>
  <c r="L59" i="13" a="1"/>
  <c r="L59" i="13"/>
  <c r="N59" i="13" a="1"/>
  <c r="N59" i="13"/>
  <c r="O59" i="13" a="1"/>
  <c r="O59" i="13"/>
  <c r="P59" i="13" a="1"/>
  <c r="P59" i="13"/>
  <c r="R59" i="13" a="1"/>
  <c r="R59" i="13"/>
  <c r="L60" i="13" a="1"/>
  <c r="L60" i="13"/>
  <c r="N60" i="13" a="1"/>
  <c r="N60" i="13"/>
  <c r="O60" i="13" a="1"/>
  <c r="O60" i="13"/>
  <c r="P60" i="13" a="1"/>
  <c r="P60" i="13"/>
  <c r="R60" i="13" a="1"/>
  <c r="R60" i="13"/>
  <c r="L61" i="13" a="1"/>
  <c r="L61" i="13"/>
  <c r="N61" i="13" a="1"/>
  <c r="N61" i="13"/>
  <c r="O61" i="13" a="1"/>
  <c r="O61" i="13"/>
  <c r="P61" i="13" a="1"/>
  <c r="P61" i="13"/>
  <c r="R61" i="13" a="1"/>
  <c r="R61" i="13"/>
  <c r="L62" i="13" a="1"/>
  <c r="L62" i="13"/>
  <c r="N62" i="13" a="1"/>
  <c r="N62" i="13"/>
  <c r="O62" i="13" a="1"/>
  <c r="O62" i="13"/>
  <c r="P62" i="13" a="1"/>
  <c r="P62" i="13"/>
  <c r="R62" i="13" a="1"/>
  <c r="R62" i="13"/>
  <c r="L63" i="13" a="1"/>
  <c r="L63" i="13"/>
  <c r="N63" i="13" a="1"/>
  <c r="N63" i="13"/>
  <c r="O63" i="13" a="1"/>
  <c r="O63" i="13"/>
  <c r="P63" i="13" a="1"/>
  <c r="P63" i="13"/>
  <c r="R63" i="13" a="1"/>
  <c r="R63" i="13"/>
  <c r="L64" i="13" a="1"/>
  <c r="L64" i="13"/>
  <c r="N64" i="13" a="1"/>
  <c r="N64" i="13"/>
  <c r="O64" i="13" a="1"/>
  <c r="O64" i="13"/>
  <c r="P64" i="13" a="1"/>
  <c r="P64" i="13"/>
  <c r="R64" i="13" a="1"/>
  <c r="R64" i="13"/>
  <c r="L65" i="13" a="1"/>
  <c r="L65" i="13"/>
  <c r="N65" i="13" a="1"/>
  <c r="N65" i="13"/>
  <c r="O65" i="13" a="1"/>
  <c r="O65" i="13"/>
  <c r="P65" i="13" a="1"/>
  <c r="P65" i="13"/>
  <c r="R65" i="13" a="1"/>
  <c r="R65" i="13"/>
  <c r="L66" i="13" a="1"/>
  <c r="L66" i="13"/>
  <c r="N66" i="13" a="1"/>
  <c r="N66" i="13"/>
  <c r="O66" i="13" a="1"/>
  <c r="O66" i="13"/>
  <c r="P66" i="13" a="1"/>
  <c r="P66" i="13"/>
  <c r="R66" i="13" a="1"/>
  <c r="R66" i="13"/>
  <c r="L67" i="13" a="1"/>
  <c r="L67" i="13"/>
  <c r="N67" i="13" a="1"/>
  <c r="N67" i="13"/>
  <c r="O67" i="13" a="1"/>
  <c r="O67" i="13"/>
  <c r="P67" i="13" a="1"/>
  <c r="P67" i="13"/>
  <c r="R67" i="13" a="1"/>
  <c r="R67" i="13"/>
  <c r="L68" i="13" a="1"/>
  <c r="L68" i="13"/>
  <c r="N68" i="13" a="1"/>
  <c r="N68" i="13"/>
  <c r="O68" i="13" a="1"/>
  <c r="O68" i="13"/>
  <c r="P68" i="13" a="1"/>
  <c r="P68" i="13"/>
  <c r="R68" i="13" a="1"/>
  <c r="R68" i="13"/>
  <c r="L69" i="13" a="1"/>
  <c r="L69" i="13"/>
  <c r="N69" i="13" a="1"/>
  <c r="N69" i="13"/>
  <c r="O69" i="13" a="1"/>
  <c r="O69" i="13"/>
  <c r="P69" i="13" a="1"/>
  <c r="P69" i="13"/>
  <c r="R69" i="13" a="1"/>
  <c r="R69" i="13"/>
  <c r="L70" i="13" a="1"/>
  <c r="L70" i="13"/>
  <c r="N70" i="13" a="1"/>
  <c r="N70" i="13"/>
  <c r="O70" i="13" a="1"/>
  <c r="O70" i="13"/>
  <c r="P70" i="13" a="1"/>
  <c r="P70" i="13"/>
  <c r="R70" i="13" a="1"/>
  <c r="R70" i="13"/>
  <c r="L71" i="13" a="1"/>
  <c r="L71" i="13"/>
  <c r="N71" i="13" a="1"/>
  <c r="N71" i="13"/>
  <c r="O71" i="13" a="1"/>
  <c r="O71" i="13"/>
  <c r="P71" i="13" a="1"/>
  <c r="P71" i="13"/>
  <c r="R71" i="13" a="1"/>
  <c r="R71" i="13"/>
  <c r="L72" i="13" a="1"/>
  <c r="L72" i="13"/>
  <c r="N72" i="13" a="1"/>
  <c r="N72" i="13"/>
  <c r="O72" i="13" a="1"/>
  <c r="O72" i="13"/>
  <c r="P72" i="13" a="1"/>
  <c r="P72" i="13"/>
  <c r="R72" i="13" a="1"/>
  <c r="R72" i="13"/>
  <c r="L73" i="13" a="1"/>
  <c r="L73" i="13"/>
  <c r="N73" i="13" a="1"/>
  <c r="N73" i="13"/>
  <c r="O73" i="13" a="1"/>
  <c r="O73" i="13"/>
  <c r="P73" i="13" a="1"/>
  <c r="P73" i="13"/>
  <c r="R73" i="13" a="1"/>
  <c r="R73" i="13"/>
  <c r="L74" i="13" a="1"/>
  <c r="L74" i="13"/>
  <c r="N74" i="13" a="1"/>
  <c r="N74" i="13"/>
  <c r="O74" i="13" a="1"/>
  <c r="O74" i="13"/>
  <c r="P74" i="13" a="1"/>
  <c r="P74" i="13"/>
  <c r="R74" i="13" a="1"/>
  <c r="R74" i="13"/>
  <c r="L75" i="13" a="1"/>
  <c r="L75" i="13"/>
  <c r="N75" i="13" a="1"/>
  <c r="N75" i="13"/>
  <c r="O75" i="13" a="1"/>
  <c r="O75" i="13"/>
  <c r="P75" i="13" a="1"/>
  <c r="P75" i="13"/>
  <c r="R75" i="13" a="1"/>
  <c r="R75" i="13"/>
  <c r="L76" i="13" a="1"/>
  <c r="L76" i="13"/>
  <c r="N76" i="13" a="1"/>
  <c r="N76" i="13"/>
  <c r="O76" i="13" a="1"/>
  <c r="O76" i="13"/>
  <c r="P76" i="13" a="1"/>
  <c r="P76" i="13"/>
  <c r="R76" i="13" a="1"/>
  <c r="R76" i="13"/>
  <c r="L77" i="13" a="1"/>
  <c r="L77" i="13"/>
  <c r="N77" i="13" a="1"/>
  <c r="N77" i="13"/>
  <c r="O77" i="13" a="1"/>
  <c r="O77" i="13"/>
  <c r="P77" i="13" a="1"/>
  <c r="P77" i="13"/>
  <c r="R77" i="13" a="1"/>
  <c r="R77" i="13"/>
  <c r="L78" i="13" a="1"/>
  <c r="L78" i="13"/>
  <c r="N78" i="13" a="1"/>
  <c r="N78" i="13"/>
  <c r="O78" i="13" a="1"/>
  <c r="O78" i="13"/>
  <c r="P78" i="13" a="1"/>
  <c r="P78" i="13"/>
  <c r="R78" i="13" a="1"/>
  <c r="R78" i="13"/>
  <c r="L79" i="13" a="1"/>
  <c r="L79" i="13"/>
  <c r="N79" i="13" a="1"/>
  <c r="N79" i="13"/>
  <c r="O79" i="13" a="1"/>
  <c r="O79" i="13"/>
  <c r="P79" i="13" a="1"/>
  <c r="P79" i="13"/>
  <c r="R79" i="13" a="1"/>
  <c r="R79" i="13"/>
  <c r="L80" i="13" a="1"/>
  <c r="L80" i="13"/>
  <c r="N80" i="13" a="1"/>
  <c r="N80" i="13"/>
  <c r="O80" i="13" a="1"/>
  <c r="O80" i="13"/>
  <c r="P80" i="13" a="1"/>
  <c r="P80" i="13"/>
  <c r="R80" i="13" a="1"/>
  <c r="R80" i="13"/>
  <c r="L81" i="13" a="1"/>
  <c r="L81" i="13"/>
  <c r="N81" i="13" a="1"/>
  <c r="N81" i="13"/>
  <c r="O81" i="13" a="1"/>
  <c r="O81" i="13"/>
  <c r="P81" i="13" a="1"/>
  <c r="P81" i="13"/>
  <c r="R81" i="13" a="1"/>
  <c r="R81" i="13"/>
  <c r="L82" i="13" a="1"/>
  <c r="L82" i="13"/>
  <c r="N82" i="13" a="1"/>
  <c r="N82" i="13"/>
  <c r="O82" i="13" a="1"/>
  <c r="O82" i="13"/>
  <c r="P82" i="13" a="1"/>
  <c r="P82" i="13"/>
  <c r="R82" i="13" a="1"/>
  <c r="R82" i="13"/>
  <c r="L83" i="13" a="1"/>
  <c r="L83" i="13"/>
  <c r="N83" i="13" a="1"/>
  <c r="N83" i="13"/>
  <c r="O83" i="13" a="1"/>
  <c r="O83" i="13"/>
  <c r="P83" i="13" a="1"/>
  <c r="P83" i="13"/>
  <c r="R83" i="13" a="1"/>
  <c r="R83" i="13"/>
  <c r="L84" i="13" a="1"/>
  <c r="L84" i="13"/>
  <c r="N84" i="13" a="1"/>
  <c r="N84" i="13"/>
  <c r="O84" i="13" a="1"/>
  <c r="O84" i="13"/>
  <c r="P84" i="13" a="1"/>
  <c r="P84" i="13"/>
  <c r="R84" i="13" a="1"/>
  <c r="R84" i="13"/>
  <c r="L85" i="13" a="1"/>
  <c r="L85" i="13"/>
  <c r="N85" i="13" a="1"/>
  <c r="N85" i="13"/>
  <c r="O85" i="13" a="1"/>
  <c r="O85" i="13"/>
  <c r="P85" i="13" a="1"/>
  <c r="P85" i="13"/>
  <c r="R85" i="13" a="1"/>
  <c r="R85" i="13"/>
  <c r="L86" i="13" a="1"/>
  <c r="L86" i="13"/>
  <c r="N86" i="13" a="1"/>
  <c r="N86" i="13"/>
  <c r="O86" i="13" a="1"/>
  <c r="O86" i="13"/>
  <c r="P86" i="13" a="1"/>
  <c r="P86" i="13"/>
  <c r="R86" i="13" a="1"/>
  <c r="R86" i="13"/>
  <c r="L87" i="13" a="1"/>
  <c r="L87" i="13"/>
  <c r="N87" i="13" a="1"/>
  <c r="N87" i="13"/>
  <c r="O87" i="13" a="1"/>
  <c r="O87" i="13"/>
  <c r="P87" i="13" a="1"/>
  <c r="P87" i="13"/>
  <c r="R87" i="13" a="1"/>
  <c r="R87" i="13"/>
  <c r="L88" i="13" a="1"/>
  <c r="L88" i="13"/>
  <c r="N88" i="13" a="1"/>
  <c r="N88" i="13"/>
  <c r="O88" i="13" a="1"/>
  <c r="O88" i="13"/>
  <c r="P88" i="13" a="1"/>
  <c r="P88" i="13"/>
  <c r="R88" i="13" a="1"/>
  <c r="R88" i="13"/>
  <c r="L89" i="13" a="1"/>
  <c r="L89" i="13"/>
  <c r="N89" i="13" a="1"/>
  <c r="N89" i="13"/>
  <c r="O89" i="13" a="1"/>
  <c r="O89" i="13"/>
  <c r="P89" i="13" a="1"/>
  <c r="P89" i="13"/>
  <c r="R89" i="13" a="1"/>
  <c r="R89" i="13"/>
  <c r="L90" i="13" a="1"/>
  <c r="L90" i="13"/>
  <c r="N90" i="13" a="1"/>
  <c r="N90" i="13"/>
  <c r="O90" i="13" a="1"/>
  <c r="O90" i="13"/>
  <c r="P90" i="13" a="1"/>
  <c r="P90" i="13"/>
  <c r="R90" i="13" a="1"/>
  <c r="R90" i="13"/>
  <c r="L91" i="13" a="1"/>
  <c r="L91" i="13"/>
  <c r="N91" i="13" a="1"/>
  <c r="N91" i="13"/>
  <c r="O91" i="13" a="1"/>
  <c r="O91" i="13"/>
  <c r="P91" i="13" a="1"/>
  <c r="P91" i="13"/>
  <c r="R91" i="13" a="1"/>
  <c r="R91" i="13"/>
  <c r="L92" i="13" a="1"/>
  <c r="L92" i="13"/>
  <c r="N92" i="13" a="1"/>
  <c r="N92" i="13"/>
  <c r="O92" i="13" a="1"/>
  <c r="O92" i="13"/>
  <c r="P92" i="13" a="1"/>
  <c r="P92" i="13"/>
  <c r="R92" i="13" a="1"/>
  <c r="R92" i="13"/>
  <c r="L93" i="13" a="1"/>
  <c r="L93" i="13"/>
  <c r="N93" i="13" a="1"/>
  <c r="N93" i="13"/>
  <c r="O93" i="13" a="1"/>
  <c r="O93" i="13"/>
  <c r="P93" i="13" a="1"/>
  <c r="P93" i="13"/>
  <c r="R93" i="13" a="1"/>
  <c r="R93" i="13"/>
  <c r="L94" i="13" a="1"/>
  <c r="L94" i="13"/>
  <c r="N94" i="13" a="1"/>
  <c r="N94" i="13"/>
  <c r="O94" i="13" a="1"/>
  <c r="O94" i="13"/>
  <c r="P94" i="13" a="1"/>
  <c r="P94" i="13"/>
  <c r="R94" i="13" a="1"/>
  <c r="R94" i="13"/>
  <c r="L95" i="13" a="1"/>
  <c r="L95" i="13"/>
  <c r="N95" i="13" a="1"/>
  <c r="N95" i="13"/>
  <c r="O95" i="13" a="1"/>
  <c r="O95" i="13"/>
  <c r="P95" i="13" a="1"/>
  <c r="P95" i="13"/>
  <c r="R95" i="13" a="1"/>
  <c r="R95" i="13"/>
  <c r="L96" i="13" a="1"/>
  <c r="L96" i="13"/>
  <c r="N96" i="13" a="1"/>
  <c r="N96" i="13"/>
  <c r="O96" i="13" a="1"/>
  <c r="O96" i="13"/>
  <c r="P96" i="13" a="1"/>
  <c r="P96" i="13"/>
  <c r="R96" i="13" a="1"/>
  <c r="R96" i="13"/>
  <c r="L97" i="13" a="1"/>
  <c r="L97" i="13"/>
  <c r="N97" i="13" a="1"/>
  <c r="N97" i="13"/>
  <c r="O97" i="13" a="1"/>
  <c r="O97" i="13"/>
  <c r="P97" i="13" a="1"/>
  <c r="P97" i="13"/>
  <c r="R97" i="13" a="1"/>
  <c r="R97" i="13"/>
  <c r="L98" i="13" a="1"/>
  <c r="L98" i="13"/>
  <c r="N98" i="13" a="1"/>
  <c r="N98" i="13"/>
  <c r="O98" i="13" a="1"/>
  <c r="O98" i="13"/>
  <c r="P98" i="13" a="1"/>
  <c r="P98" i="13"/>
  <c r="R98" i="13" a="1"/>
  <c r="R98" i="13"/>
  <c r="L99" i="13" a="1"/>
  <c r="L99" i="13"/>
  <c r="N99" i="13" a="1"/>
  <c r="N99" i="13"/>
  <c r="O99" i="13" a="1"/>
  <c r="O99" i="13"/>
  <c r="P99" i="13" a="1"/>
  <c r="P99" i="13"/>
  <c r="R99" i="13" a="1"/>
  <c r="R99" i="13"/>
  <c r="L100" i="13" a="1"/>
  <c r="L100" i="13"/>
  <c r="N100" i="13" a="1"/>
  <c r="N100" i="13"/>
  <c r="O100" i="13" a="1"/>
  <c r="O100" i="13"/>
  <c r="P100" i="13" a="1"/>
  <c r="P100" i="13"/>
  <c r="R100" i="13" a="1"/>
  <c r="R100" i="13"/>
  <c r="L101" i="13" a="1"/>
  <c r="L101" i="13"/>
  <c r="N101" i="13" a="1"/>
  <c r="N101" i="13"/>
  <c r="O101" i="13" a="1"/>
  <c r="O101" i="13"/>
  <c r="P101" i="13" a="1"/>
  <c r="P101" i="13"/>
  <c r="R101" i="13" a="1"/>
  <c r="R101" i="13"/>
  <c r="L102" i="13" a="1"/>
  <c r="L102" i="13"/>
  <c r="N102" i="13" a="1"/>
  <c r="N102" i="13"/>
  <c r="O102" i="13" a="1"/>
  <c r="O102" i="13"/>
  <c r="P102" i="13" a="1"/>
  <c r="P102" i="13"/>
  <c r="R102" i="13" a="1"/>
  <c r="R102" i="13"/>
  <c r="L103" i="13" a="1"/>
  <c r="L103" i="13"/>
  <c r="N103" i="13" a="1"/>
  <c r="N103" i="13"/>
  <c r="O103" i="13" a="1"/>
  <c r="O103" i="13"/>
  <c r="P103" i="13" a="1"/>
  <c r="P103" i="13"/>
  <c r="R103" i="13" a="1"/>
  <c r="R103" i="13"/>
  <c r="L104" i="13" a="1"/>
  <c r="L104" i="13"/>
  <c r="N104" i="13" a="1"/>
  <c r="N104" i="13"/>
  <c r="O104" i="13" a="1"/>
  <c r="O104" i="13"/>
  <c r="P104" i="13" a="1"/>
  <c r="P104" i="13"/>
  <c r="R104" i="13" a="1"/>
  <c r="R104" i="13"/>
  <c r="L105" i="13" a="1"/>
  <c r="L105" i="13"/>
  <c r="N105" i="13" a="1"/>
  <c r="N105" i="13"/>
  <c r="O105" i="13" a="1"/>
  <c r="O105" i="13"/>
  <c r="P105" i="13" a="1"/>
  <c r="P105" i="13"/>
  <c r="R105" i="13" a="1"/>
  <c r="R105" i="13"/>
  <c r="L106" i="13" a="1"/>
  <c r="L106" i="13"/>
  <c r="N106" i="13" a="1"/>
  <c r="N106" i="13"/>
  <c r="O106" i="13" a="1"/>
  <c r="O106" i="13"/>
  <c r="P106" i="13" a="1"/>
  <c r="P106" i="13"/>
  <c r="R106" i="13" a="1"/>
  <c r="R106" i="13"/>
  <c r="L107" i="13" a="1"/>
  <c r="L107" i="13"/>
  <c r="N107" i="13" a="1"/>
  <c r="N107" i="13"/>
  <c r="O107" i="13" a="1"/>
  <c r="O107" i="13"/>
  <c r="P107" i="13" a="1"/>
  <c r="P107" i="13"/>
  <c r="R107" i="13" a="1"/>
  <c r="R107" i="13"/>
  <c r="L108" i="13" a="1"/>
  <c r="L108" i="13"/>
  <c r="N108" i="13" a="1"/>
  <c r="N108" i="13"/>
  <c r="O108" i="13" a="1"/>
  <c r="O108" i="13"/>
  <c r="P108" i="13" a="1"/>
  <c r="P108" i="13"/>
  <c r="R108" i="13" a="1"/>
  <c r="R108" i="13"/>
  <c r="L109" i="13" a="1"/>
  <c r="L109" i="13"/>
  <c r="N109" i="13" a="1"/>
  <c r="N109" i="13"/>
  <c r="O109" i="13" a="1"/>
  <c r="O109" i="13"/>
  <c r="P109" i="13" a="1"/>
  <c r="P109" i="13"/>
  <c r="R109" i="13" a="1"/>
  <c r="R109" i="13"/>
  <c r="L110" i="13" a="1"/>
  <c r="L110" i="13"/>
  <c r="N110" i="13" a="1"/>
  <c r="N110" i="13"/>
  <c r="O110" i="13" a="1"/>
  <c r="O110" i="13"/>
  <c r="P110" i="13" a="1"/>
  <c r="P110" i="13"/>
  <c r="R110" i="13" a="1"/>
  <c r="R110" i="13"/>
  <c r="L111" i="13" a="1"/>
  <c r="L111" i="13"/>
  <c r="N111" i="13" a="1"/>
  <c r="N111" i="13"/>
  <c r="O111" i="13" a="1"/>
  <c r="O111" i="13"/>
  <c r="P111" i="13" a="1"/>
  <c r="P111" i="13"/>
  <c r="R111" i="13" a="1"/>
  <c r="R111" i="13"/>
  <c r="L112" i="13" a="1"/>
  <c r="L112" i="13"/>
  <c r="N112" i="13" a="1"/>
  <c r="N112" i="13"/>
  <c r="O112" i="13" a="1"/>
  <c r="O112" i="13"/>
  <c r="P112" i="13" a="1"/>
  <c r="P112" i="13"/>
  <c r="R112" i="13" a="1"/>
  <c r="R112" i="13"/>
  <c r="L113" i="13" a="1"/>
  <c r="L113" i="13"/>
  <c r="N113" i="13" a="1"/>
  <c r="N113" i="13"/>
  <c r="O113" i="13" a="1"/>
  <c r="O113" i="13"/>
  <c r="P113" i="13" a="1"/>
  <c r="P113" i="13"/>
  <c r="R113" i="13" a="1"/>
  <c r="R113" i="13"/>
  <c r="L114" i="13" a="1"/>
  <c r="L114" i="13"/>
  <c r="N114" i="13" a="1"/>
  <c r="N114" i="13"/>
  <c r="O114" i="13" a="1"/>
  <c r="O114" i="13"/>
  <c r="P114" i="13" a="1"/>
  <c r="P114" i="13"/>
  <c r="R114" i="13" a="1"/>
  <c r="R114" i="13"/>
  <c r="L115" i="13" a="1"/>
  <c r="L115" i="13"/>
  <c r="N115" i="13" a="1"/>
  <c r="N115" i="13"/>
  <c r="O115" i="13" a="1"/>
  <c r="O115" i="13"/>
  <c r="P115" i="13" a="1"/>
  <c r="P115" i="13"/>
  <c r="R115" i="13" a="1"/>
  <c r="R115" i="13"/>
  <c r="L116" i="13" a="1"/>
  <c r="L116" i="13"/>
  <c r="N116" i="13" a="1"/>
  <c r="N116" i="13"/>
  <c r="O116" i="13" a="1"/>
  <c r="O116" i="13"/>
  <c r="P116" i="13" a="1"/>
  <c r="P116" i="13"/>
  <c r="R116" i="13" a="1"/>
  <c r="R116" i="13"/>
  <c r="L117" i="13" a="1"/>
  <c r="L117" i="13"/>
  <c r="N117" i="13" a="1"/>
  <c r="N117" i="13"/>
  <c r="O117" i="13" a="1"/>
  <c r="O117" i="13"/>
  <c r="P117" i="13" a="1"/>
  <c r="P117" i="13"/>
  <c r="R117" i="13" a="1"/>
  <c r="R117" i="13"/>
  <c r="L118" i="13" a="1"/>
  <c r="L118" i="13"/>
  <c r="N118" i="13" a="1"/>
  <c r="N118" i="13"/>
  <c r="O118" i="13" a="1"/>
  <c r="O118" i="13"/>
  <c r="P118" i="13" a="1"/>
  <c r="P118" i="13"/>
  <c r="R118" i="13" a="1"/>
  <c r="R118" i="13"/>
  <c r="L119" i="13" a="1"/>
  <c r="L119" i="13"/>
  <c r="N119" i="13" a="1"/>
  <c r="N119" i="13"/>
  <c r="O119" i="13" a="1"/>
  <c r="O119" i="13"/>
  <c r="P119" i="13" a="1"/>
  <c r="P119" i="13"/>
  <c r="R119" i="13" a="1"/>
  <c r="R119" i="13"/>
  <c r="L120" i="13" a="1"/>
  <c r="L120" i="13"/>
  <c r="N120" i="13" a="1"/>
  <c r="N120" i="13"/>
  <c r="O120" i="13" a="1"/>
  <c r="O120" i="13"/>
  <c r="P120" i="13" a="1"/>
  <c r="P120" i="13"/>
  <c r="R120" i="13" a="1"/>
  <c r="R120" i="13"/>
  <c r="L121" i="13" a="1"/>
  <c r="L121" i="13"/>
  <c r="N121" i="13" a="1"/>
  <c r="N121" i="13"/>
  <c r="O121" i="13" a="1"/>
  <c r="O121" i="13"/>
  <c r="P121" i="13" a="1"/>
  <c r="P121" i="13"/>
  <c r="R121" i="13" a="1"/>
  <c r="R121" i="13"/>
  <c r="L122" i="13" a="1"/>
  <c r="L122" i="13"/>
  <c r="N122" i="13" a="1"/>
  <c r="N122" i="13"/>
  <c r="O122" i="13" a="1"/>
  <c r="O122" i="13"/>
  <c r="P122" i="13" a="1"/>
  <c r="P122" i="13"/>
  <c r="R122" i="13" a="1"/>
  <c r="R122" i="13"/>
  <c r="L123" i="13" a="1"/>
  <c r="L123" i="13"/>
  <c r="N123" i="13" a="1"/>
  <c r="N123" i="13"/>
  <c r="O123" i="13" a="1"/>
  <c r="O123" i="13"/>
  <c r="P123" i="13" a="1"/>
  <c r="P123" i="13"/>
  <c r="R123" i="13" a="1"/>
  <c r="R123" i="13"/>
  <c r="L124" i="13" a="1"/>
  <c r="L124" i="13"/>
  <c r="N124" i="13" a="1"/>
  <c r="N124" i="13"/>
  <c r="O124" i="13" a="1"/>
  <c r="O124" i="13"/>
  <c r="P124" i="13" a="1"/>
  <c r="P124" i="13"/>
  <c r="R124" i="13" a="1"/>
  <c r="R124" i="13"/>
  <c r="L125" i="13" a="1"/>
  <c r="L125" i="13"/>
  <c r="N125" i="13" a="1"/>
  <c r="N125" i="13"/>
  <c r="O125" i="13" a="1"/>
  <c r="O125" i="13"/>
  <c r="P125" i="13" a="1"/>
  <c r="P125" i="13"/>
  <c r="R125" i="13" a="1"/>
  <c r="R125" i="13"/>
  <c r="L126" i="13" a="1"/>
  <c r="L126" i="13"/>
  <c r="N126" i="13" a="1"/>
  <c r="N126" i="13"/>
  <c r="O126" i="13" a="1"/>
  <c r="O126" i="13"/>
  <c r="P126" i="13" a="1"/>
  <c r="P126" i="13"/>
  <c r="R126" i="13" a="1"/>
  <c r="R126" i="13"/>
  <c r="L127" i="13" a="1"/>
  <c r="L127" i="13"/>
  <c r="N127" i="13" a="1"/>
  <c r="N127" i="13"/>
  <c r="O127" i="13" a="1"/>
  <c r="O127" i="13"/>
  <c r="P127" i="13" a="1"/>
  <c r="P127" i="13"/>
  <c r="R127" i="13" a="1"/>
  <c r="R127" i="13"/>
  <c r="L128" i="13" a="1"/>
  <c r="L128" i="13"/>
  <c r="N128" i="13" a="1"/>
  <c r="N128" i="13"/>
  <c r="O128" i="13" a="1"/>
  <c r="O128" i="13"/>
  <c r="P128" i="13" a="1"/>
  <c r="P128" i="13"/>
  <c r="R128" i="13" a="1"/>
  <c r="R128" i="13"/>
  <c r="L129" i="13" a="1"/>
  <c r="L129" i="13"/>
  <c r="N129" i="13" a="1"/>
  <c r="N129" i="13"/>
  <c r="O129" i="13" a="1"/>
  <c r="O129" i="13"/>
  <c r="P129" i="13" a="1"/>
  <c r="P129" i="13"/>
  <c r="R129" i="13" a="1"/>
  <c r="R129" i="13"/>
  <c r="L130" i="13" a="1"/>
  <c r="L130" i="13"/>
  <c r="N130" i="13" a="1"/>
  <c r="N130" i="13"/>
  <c r="O130" i="13" a="1"/>
  <c r="O130" i="13"/>
  <c r="P130" i="13" a="1"/>
  <c r="P130" i="13"/>
  <c r="R130" i="13" a="1"/>
  <c r="R130" i="13"/>
  <c r="L131" i="13" a="1"/>
  <c r="L131" i="13"/>
  <c r="N131" i="13" a="1"/>
  <c r="N131" i="13"/>
  <c r="O131" i="13" a="1"/>
  <c r="O131" i="13"/>
  <c r="P131" i="13" a="1"/>
  <c r="P131" i="13"/>
  <c r="R131" i="13" a="1"/>
  <c r="R131" i="13"/>
  <c r="L132" i="13" a="1"/>
  <c r="L132" i="13"/>
  <c r="N132" i="13" a="1"/>
  <c r="N132" i="13"/>
  <c r="O132" i="13" a="1"/>
  <c r="O132" i="13"/>
  <c r="P132" i="13" a="1"/>
  <c r="P132" i="13"/>
  <c r="R132" i="13" a="1"/>
  <c r="R132" i="13"/>
  <c r="L133" i="13" a="1"/>
  <c r="L133" i="13"/>
  <c r="N133" i="13" a="1"/>
  <c r="N133" i="13"/>
  <c r="O133" i="13" a="1"/>
  <c r="O133" i="13"/>
  <c r="P133" i="13" a="1"/>
  <c r="P133" i="13"/>
  <c r="R133" i="13" a="1"/>
  <c r="R133" i="13"/>
  <c r="L134" i="13" a="1"/>
  <c r="L134" i="13"/>
  <c r="N134" i="13" a="1"/>
  <c r="N134" i="13"/>
  <c r="O134" i="13" a="1"/>
  <c r="O134" i="13"/>
  <c r="P134" i="13" a="1"/>
  <c r="P134" i="13"/>
  <c r="R134" i="13" a="1"/>
  <c r="R134" i="13"/>
  <c r="L135" i="13" a="1"/>
  <c r="L135" i="13"/>
  <c r="N135" i="13" a="1"/>
  <c r="N135" i="13"/>
  <c r="O135" i="13" a="1"/>
  <c r="O135" i="13"/>
  <c r="P135" i="13" a="1"/>
  <c r="P135" i="13"/>
  <c r="R135" i="13" a="1"/>
  <c r="R135" i="13"/>
  <c r="L136" i="13" a="1"/>
  <c r="L136" i="13"/>
  <c r="N136" i="13" a="1"/>
  <c r="N136" i="13"/>
  <c r="O136" i="13" a="1"/>
  <c r="O136" i="13"/>
  <c r="P136" i="13" a="1"/>
  <c r="P136" i="13"/>
  <c r="R136" i="13" a="1"/>
  <c r="R136" i="13"/>
  <c r="L137" i="13" a="1"/>
  <c r="L137" i="13"/>
  <c r="N137" i="13" a="1"/>
  <c r="N137" i="13"/>
  <c r="O137" i="13" a="1"/>
  <c r="O137" i="13"/>
  <c r="P137" i="13" a="1"/>
  <c r="P137" i="13"/>
  <c r="R137" i="13" a="1"/>
  <c r="R137" i="13"/>
  <c r="L138" i="13" a="1"/>
  <c r="L138" i="13"/>
  <c r="N138" i="13" a="1"/>
  <c r="N138" i="13"/>
  <c r="O138" i="13" a="1"/>
  <c r="O138" i="13"/>
  <c r="P138" i="13" a="1"/>
  <c r="P138" i="13"/>
  <c r="R138" i="13" a="1"/>
  <c r="R138" i="13"/>
  <c r="L139" i="13" a="1"/>
  <c r="L139" i="13"/>
  <c r="N139" i="13" a="1"/>
  <c r="N139" i="13"/>
  <c r="O139" i="13" a="1"/>
  <c r="O139" i="13"/>
  <c r="P139" i="13" a="1"/>
  <c r="P139" i="13"/>
  <c r="R139" i="13" a="1"/>
  <c r="R139" i="13"/>
  <c r="L140" i="13" a="1"/>
  <c r="L140" i="13"/>
  <c r="N140" i="13" a="1"/>
  <c r="N140" i="13"/>
  <c r="O140" i="13" a="1"/>
  <c r="O140" i="13"/>
  <c r="P140" i="13" a="1"/>
  <c r="P140" i="13"/>
  <c r="R140" i="13" a="1"/>
  <c r="R140" i="13"/>
  <c r="L141" i="13" a="1"/>
  <c r="L141" i="13"/>
  <c r="N141" i="13" a="1"/>
  <c r="N141" i="13"/>
  <c r="O141" i="13" a="1"/>
  <c r="O141" i="13"/>
  <c r="P141" i="13" a="1"/>
  <c r="P141" i="13"/>
  <c r="R141" i="13" a="1"/>
  <c r="R141" i="13"/>
  <c r="L142" i="13" a="1"/>
  <c r="L142" i="13"/>
  <c r="N142" i="13" a="1"/>
  <c r="N142" i="13"/>
  <c r="O142" i="13" a="1"/>
  <c r="O142" i="13"/>
  <c r="P142" i="13" a="1"/>
  <c r="P142" i="13"/>
  <c r="R142" i="13" a="1"/>
  <c r="R142" i="13"/>
  <c r="L143" i="13" a="1"/>
  <c r="L143" i="13"/>
  <c r="N143" i="13" a="1"/>
  <c r="N143" i="13"/>
  <c r="O143" i="13" a="1"/>
  <c r="O143" i="13"/>
  <c r="P143" i="13" a="1"/>
  <c r="P143" i="13"/>
  <c r="R143" i="13" a="1"/>
  <c r="R143" i="13"/>
  <c r="L144" i="13" a="1"/>
  <c r="L144" i="13"/>
  <c r="N144" i="13" a="1"/>
  <c r="N144" i="13"/>
  <c r="O144" i="13" a="1"/>
  <c r="O144" i="13"/>
  <c r="P144" i="13" a="1"/>
  <c r="P144" i="13"/>
  <c r="R144" i="13" a="1"/>
  <c r="R144" i="13"/>
  <c r="L145" i="13" a="1"/>
  <c r="L145" i="13"/>
  <c r="N145" i="13" a="1"/>
  <c r="N145" i="13"/>
  <c r="O145" i="13" a="1"/>
  <c r="O145" i="13"/>
  <c r="P145" i="13" a="1"/>
  <c r="P145" i="13"/>
  <c r="R145" i="13" a="1"/>
  <c r="R145" i="13"/>
  <c r="L146" i="13" a="1"/>
  <c r="L146" i="13"/>
  <c r="N146" i="13" a="1"/>
  <c r="N146" i="13"/>
  <c r="O146" i="13" a="1"/>
  <c r="O146" i="13"/>
  <c r="P146" i="13" a="1"/>
  <c r="P146" i="13"/>
  <c r="R146" i="13" a="1"/>
  <c r="R146" i="13"/>
  <c r="L147" i="13" a="1"/>
  <c r="L147" i="13"/>
  <c r="N147" i="13" a="1"/>
  <c r="N147" i="13"/>
  <c r="O147" i="13" a="1"/>
  <c r="O147" i="13"/>
  <c r="P147" i="13" a="1"/>
  <c r="P147" i="13"/>
  <c r="R147" i="13" a="1"/>
  <c r="R147" i="13"/>
  <c r="L148" i="13" a="1"/>
  <c r="L148" i="13"/>
  <c r="N148" i="13" a="1"/>
  <c r="N148" i="13"/>
  <c r="O148" i="13" a="1"/>
  <c r="O148" i="13"/>
  <c r="P148" i="13" a="1"/>
  <c r="P148" i="13"/>
  <c r="R148" i="13" a="1"/>
  <c r="R148" i="13"/>
  <c r="L149" i="13" a="1"/>
  <c r="L149" i="13"/>
  <c r="N149" i="13" a="1"/>
  <c r="N149" i="13"/>
  <c r="O149" i="13" a="1"/>
  <c r="O149" i="13"/>
  <c r="P149" i="13" a="1"/>
  <c r="P149" i="13"/>
  <c r="Q149" i="13" a="1"/>
  <c r="Q149" i="13"/>
  <c r="R149" i="13" a="1"/>
  <c r="R149" i="13"/>
  <c r="Q27" i="13" a="1"/>
  <c r="Q27" i="13"/>
  <c r="Q19" i="13" a="1"/>
  <c r="Q19" i="13"/>
  <c r="Q15" i="13" a="1"/>
  <c r="Q15" i="13"/>
  <c r="Q11" i="13" a="1"/>
  <c r="Q11" i="13"/>
  <c r="Q7" i="13" a="1"/>
  <c r="Q7" i="13"/>
  <c r="Q23" i="13" a="1"/>
  <c r="Q23" i="13"/>
  <c r="Q2" i="13" a="1"/>
  <c r="Q2" i="13"/>
  <c r="Q137" i="13" a="1"/>
  <c r="Q137" i="13"/>
  <c r="Q133" i="13" a="1"/>
  <c r="Q133" i="13"/>
  <c r="Q129" i="13" a="1"/>
  <c r="Q129" i="13"/>
  <c r="Q125" i="13" a="1"/>
  <c r="Q125" i="13"/>
  <c r="Q121" i="13" a="1"/>
  <c r="Q121" i="13"/>
  <c r="Q117" i="13" a="1"/>
  <c r="Q117" i="13"/>
  <c r="Q113" i="13" a="1"/>
  <c r="Q113" i="13"/>
  <c r="Q109" i="13" a="1"/>
  <c r="Q109" i="13"/>
  <c r="Q105" i="13" a="1"/>
  <c r="Q105" i="13"/>
  <c r="Q101" i="13" a="1"/>
  <c r="Q101" i="13"/>
  <c r="Q97" i="13" a="1"/>
  <c r="Q97" i="13"/>
  <c r="Q93" i="13" a="1"/>
  <c r="Q93" i="13"/>
  <c r="Q89" i="13" a="1"/>
  <c r="Q89" i="13"/>
  <c r="Q85" i="13" a="1"/>
  <c r="Q85" i="13"/>
  <c r="Q81" i="13" a="1"/>
  <c r="Q81" i="13"/>
  <c r="Q77" i="13" a="1"/>
  <c r="Q77" i="13"/>
  <c r="Q73" i="13" a="1"/>
  <c r="Q73" i="13"/>
  <c r="Q69" i="13" a="1"/>
  <c r="Q69" i="13"/>
  <c r="Q65" i="13" a="1"/>
  <c r="Q65" i="13"/>
  <c r="Q61" i="13" a="1"/>
  <c r="Q61" i="13"/>
  <c r="Q57" i="13" a="1"/>
  <c r="Q57" i="13"/>
  <c r="Q53" i="13" a="1"/>
  <c r="Q53" i="13"/>
  <c r="Q49" i="13" a="1"/>
  <c r="Q49" i="13"/>
  <c r="Q45" i="13" a="1"/>
  <c r="Q45" i="13"/>
  <c r="Q41" i="13" a="1"/>
  <c r="Q41" i="13"/>
  <c r="Q37" i="13" a="1"/>
  <c r="Q37" i="13"/>
  <c r="Q33" i="13" a="1"/>
  <c r="Q33" i="13"/>
  <c r="Q29" i="13" a="1"/>
  <c r="Q29" i="13"/>
  <c r="Q25" i="13" a="1"/>
  <c r="Q25" i="13"/>
  <c r="Q21" i="13" a="1"/>
  <c r="Q21" i="13"/>
  <c r="Q17" i="13" a="1"/>
  <c r="Q17" i="13"/>
  <c r="Q13" i="13" a="1"/>
  <c r="Q13" i="13"/>
  <c r="Q9" i="13" a="1"/>
  <c r="Q9" i="13"/>
  <c r="Q5" i="13" a="1"/>
  <c r="Q5" i="13"/>
  <c r="Q139" i="13" a="1"/>
  <c r="Q139" i="13"/>
  <c r="Q135" i="13" a="1"/>
  <c r="Q135" i="13"/>
  <c r="Q131" i="13" a="1"/>
  <c r="Q131" i="13"/>
  <c r="Q127" i="13" a="1"/>
  <c r="Q127" i="13"/>
  <c r="Q123" i="13" a="1"/>
  <c r="Q123" i="13"/>
  <c r="Q119" i="13" a="1"/>
  <c r="Q119" i="13"/>
  <c r="Q115" i="13" a="1"/>
  <c r="Q115" i="13"/>
  <c r="Q111" i="13" a="1"/>
  <c r="Q111" i="13"/>
  <c r="Q107" i="13" a="1"/>
  <c r="Q107" i="13"/>
  <c r="Q103" i="13" a="1"/>
  <c r="Q103" i="13"/>
  <c r="Q99" i="13" a="1"/>
  <c r="Q99" i="13"/>
  <c r="Q95" i="13" a="1"/>
  <c r="Q95" i="13"/>
  <c r="Q91" i="13" a="1"/>
  <c r="Q91" i="13"/>
  <c r="Q87" i="13" a="1"/>
  <c r="Q87" i="13"/>
  <c r="Q83" i="13" a="1"/>
  <c r="Q83" i="13"/>
  <c r="Q79" i="13" a="1"/>
  <c r="Q79" i="13"/>
  <c r="Q75" i="13" a="1"/>
  <c r="Q75" i="13"/>
  <c r="Q71" i="13" a="1"/>
  <c r="Q71" i="13"/>
  <c r="Q67" i="13" a="1"/>
  <c r="Q67" i="13"/>
  <c r="Q63" i="13" a="1"/>
  <c r="Q63" i="13"/>
  <c r="Q59" i="13" a="1"/>
  <c r="Q59" i="13"/>
  <c r="Q55" i="13" a="1"/>
  <c r="Q55" i="13"/>
  <c r="Q51" i="13" a="1"/>
  <c r="Q51" i="13"/>
  <c r="Q47" i="13" a="1"/>
  <c r="Q47" i="13"/>
  <c r="Q43" i="13" a="1"/>
  <c r="Q43" i="13"/>
  <c r="Q39" i="13" a="1"/>
  <c r="Q39" i="13"/>
  <c r="Q35" i="13" a="1"/>
  <c r="Q35" i="13"/>
  <c r="Q147" i="13" a="1"/>
  <c r="Q147" i="13"/>
  <c r="Q145" i="13" a="1"/>
  <c r="Q145" i="13"/>
  <c r="Q143" i="13" a="1"/>
  <c r="Q143" i="13"/>
  <c r="Q141" i="13" a="1"/>
  <c r="Q141" i="13"/>
  <c r="Q148" i="13" a="1"/>
  <c r="Q148" i="13"/>
  <c r="Q146" i="13" a="1"/>
  <c r="Q146" i="13"/>
  <c r="Q144" i="13" a="1"/>
  <c r="Q144" i="13"/>
  <c r="Q142" i="13" a="1"/>
  <c r="Q142" i="13"/>
  <c r="Q140" i="13" a="1"/>
  <c r="Q140" i="13"/>
  <c r="Q138" i="13" a="1"/>
  <c r="Q138" i="13"/>
  <c r="Q136" i="13" a="1"/>
  <c r="Q136" i="13"/>
  <c r="Q134" i="13" a="1"/>
  <c r="Q134" i="13"/>
  <c r="Q132" i="13" a="1"/>
  <c r="Q132" i="13"/>
  <c r="Q130" i="13" a="1"/>
  <c r="Q130" i="13"/>
  <c r="Q128" i="13" a="1"/>
  <c r="Q128" i="13"/>
  <c r="Q126" i="13" a="1"/>
  <c r="Q126" i="13"/>
  <c r="Q124" i="13" a="1"/>
  <c r="Q124" i="13"/>
  <c r="Q122" i="13" a="1"/>
  <c r="Q122" i="13"/>
  <c r="Q120" i="13" a="1"/>
  <c r="Q120" i="13"/>
  <c r="Q118" i="13" a="1"/>
  <c r="Q118" i="13"/>
  <c r="Q116" i="13" a="1"/>
  <c r="Q116" i="13"/>
  <c r="Q114" i="13" a="1"/>
  <c r="Q114" i="13"/>
  <c r="Q112" i="13" a="1"/>
  <c r="Q112" i="13"/>
  <c r="Q110" i="13" a="1"/>
  <c r="Q110" i="13"/>
  <c r="Q108" i="13" a="1"/>
  <c r="Q108" i="13"/>
  <c r="Q106" i="13" a="1"/>
  <c r="Q106" i="13"/>
  <c r="Q104" i="13" a="1"/>
  <c r="Q104" i="13"/>
  <c r="Q102" i="13" a="1"/>
  <c r="Q102" i="13"/>
  <c r="Q100" i="13" a="1"/>
  <c r="Q100" i="13"/>
  <c r="Q98" i="13" a="1"/>
  <c r="Q98" i="13"/>
  <c r="Q96" i="13" a="1"/>
  <c r="Q96" i="13"/>
  <c r="Q94" i="13" a="1"/>
  <c r="Q94" i="13"/>
  <c r="Q92" i="13" a="1"/>
  <c r="Q92" i="13"/>
  <c r="Q90" i="13" a="1"/>
  <c r="Q90" i="13"/>
  <c r="Q88" i="13" a="1"/>
  <c r="Q88" i="13"/>
  <c r="Q86" i="13" a="1"/>
  <c r="Q86" i="13"/>
  <c r="Q84" i="13" a="1"/>
  <c r="Q84" i="13"/>
  <c r="Q82" i="13" a="1"/>
  <c r="Q82" i="13"/>
  <c r="Q80" i="13" a="1"/>
  <c r="Q80" i="13"/>
  <c r="Q78" i="13" a="1"/>
  <c r="Q78" i="13"/>
  <c r="Q76" i="13" a="1"/>
  <c r="Q76" i="13"/>
  <c r="Q74" i="13" a="1"/>
  <c r="Q74" i="13"/>
  <c r="Q72" i="13" a="1"/>
  <c r="Q72" i="13"/>
  <c r="Q70" i="13" a="1"/>
  <c r="Q70" i="13"/>
  <c r="Q68" i="13" a="1"/>
  <c r="Q68" i="13"/>
  <c r="Q66" i="13" a="1"/>
  <c r="Q66" i="13"/>
  <c r="Q64" i="13" a="1"/>
  <c r="Q64" i="13"/>
  <c r="Q62" i="13" a="1"/>
  <c r="Q62" i="13"/>
  <c r="Q60" i="13" a="1"/>
  <c r="Q60" i="13"/>
  <c r="Q58" i="13" a="1"/>
  <c r="Q58" i="13"/>
  <c r="Q56" i="13" a="1"/>
  <c r="Q56" i="13"/>
  <c r="Q54" i="13" a="1"/>
  <c r="Q54" i="13"/>
  <c r="Q52" i="13" a="1"/>
  <c r="Q52" i="13"/>
  <c r="Q50" i="13" a="1"/>
  <c r="Q50" i="13"/>
  <c r="Q48" i="13" a="1"/>
  <c r="Q48" i="13"/>
  <c r="Q46" i="13" a="1"/>
  <c r="Q46" i="13"/>
  <c r="Q44" i="13" a="1"/>
  <c r="Q44" i="13"/>
  <c r="Q42" i="13" a="1"/>
  <c r="Q42" i="13"/>
  <c r="Q40" i="13" a="1"/>
  <c r="Q40" i="13"/>
  <c r="Q38" i="13" a="1"/>
  <c r="Q38" i="13"/>
  <c r="Q36" i="13" a="1"/>
  <c r="Q36" i="13"/>
  <c r="Q34" i="13" a="1"/>
  <c r="Q34" i="13"/>
  <c r="Q32" i="13" a="1"/>
  <c r="Q32" i="13"/>
  <c r="Q30" i="13" a="1"/>
  <c r="Q30" i="13"/>
  <c r="Q28" i="13" a="1"/>
  <c r="Q28" i="13"/>
  <c r="Q26" i="13" a="1"/>
  <c r="Q26" i="13"/>
  <c r="Q24" i="13" a="1"/>
  <c r="Q24" i="13"/>
  <c r="Q22" i="13" a="1"/>
  <c r="Q22" i="13"/>
  <c r="Q20" i="13" a="1"/>
  <c r="Q20" i="13"/>
  <c r="Q18" i="13" a="1"/>
  <c r="Q18" i="13"/>
  <c r="Q16" i="13" a="1"/>
  <c r="Q16" i="13"/>
  <c r="Q14" i="13" a="1"/>
  <c r="Q14" i="13"/>
  <c r="Q12" i="13" a="1"/>
  <c r="Q12" i="13"/>
  <c r="Q10" i="13" a="1"/>
  <c r="Q10" i="13"/>
  <c r="Q8" i="13" a="1"/>
  <c r="Q8" i="13"/>
  <c r="Q6" i="13" a="1"/>
  <c r="Q6" i="13"/>
  <c r="Q4" i="13" a="1"/>
  <c r="Q4" i="13"/>
  <c r="AD30" i="13" a="1"/>
  <c r="AD30" i="13"/>
  <c r="AE30" i="13" a="1"/>
  <c r="AE30" i="13"/>
  <c r="AD28" i="13" a="1"/>
  <c r="AD28" i="13"/>
  <c r="AE28" i="13" a="1"/>
  <c r="AE28" i="13"/>
  <c r="AD26" i="13" a="1"/>
  <c r="AD26" i="13"/>
  <c r="AE26" i="13" a="1"/>
  <c r="AE26" i="13"/>
  <c r="AD24" i="13" a="1"/>
  <c r="AD24" i="13"/>
  <c r="AE24" i="13" a="1"/>
  <c r="AE24" i="13"/>
  <c r="AD22" i="13" a="1"/>
  <c r="AD22" i="13"/>
  <c r="AE22" i="13" a="1"/>
  <c r="AE22" i="13"/>
  <c r="AD20" i="13" a="1"/>
  <c r="AD20" i="13"/>
  <c r="AE20" i="13" a="1"/>
  <c r="AE20" i="13"/>
  <c r="AF20" i="13" a="1"/>
  <c r="AF20" i="13"/>
  <c r="AD18" i="13" a="1"/>
  <c r="AD18" i="13"/>
  <c r="AE18" i="13" a="1"/>
  <c r="AE18" i="13"/>
  <c r="AD16" i="13" a="1"/>
  <c r="AD16" i="13"/>
  <c r="AE16" i="13" a="1"/>
  <c r="AE16" i="13"/>
  <c r="AD14" i="13" a="1"/>
  <c r="AD14" i="13"/>
  <c r="AE14" i="13" a="1"/>
  <c r="AE14" i="13"/>
  <c r="AD12" i="13" a="1"/>
  <c r="AD12" i="13"/>
  <c r="AE12" i="13" a="1"/>
  <c r="AE12" i="13"/>
  <c r="AF12" i="13" a="1"/>
  <c r="AF12" i="13"/>
  <c r="AG12" i="13" a="1"/>
  <c r="AG12" i="13"/>
  <c r="AD10" i="13" a="1"/>
  <c r="AD10" i="13"/>
  <c r="AE10" i="13" a="1"/>
  <c r="AE10" i="13"/>
  <c r="AD8" i="13" a="1"/>
  <c r="AD8" i="13"/>
  <c r="AE8" i="13" a="1"/>
  <c r="AE8" i="13"/>
  <c r="AD6" i="13" a="1"/>
  <c r="AD6" i="13"/>
  <c r="AE6" i="13" a="1"/>
  <c r="AE6" i="13"/>
  <c r="AF6" i="13" a="1"/>
  <c r="AF6" i="13"/>
  <c r="AG6" i="13" a="1"/>
  <c r="AG6" i="13"/>
  <c r="AD4" i="13" a="1"/>
  <c r="AD4" i="13"/>
  <c r="AE4" i="13" a="1"/>
  <c r="AE4" i="13"/>
  <c r="AF4" i="13" a="1"/>
  <c r="AF4" i="13"/>
  <c r="AD149" i="13" a="1"/>
  <c r="AD149" i="13"/>
  <c r="AE149" i="13" a="1"/>
  <c r="AE149" i="13"/>
  <c r="AD147" i="13" a="1"/>
  <c r="AD147" i="13"/>
  <c r="AE147" i="13" a="1"/>
  <c r="AE147" i="13"/>
  <c r="AD145" i="13" a="1"/>
  <c r="AD145" i="13"/>
  <c r="AE145" i="13" a="1"/>
  <c r="AE145" i="13"/>
  <c r="AF145" i="13" a="1"/>
  <c r="AF145" i="13"/>
  <c r="AD143" i="13" a="1"/>
  <c r="AD143" i="13"/>
  <c r="AE143" i="13" a="1"/>
  <c r="AE143" i="13"/>
  <c r="AD141" i="13" a="1"/>
  <c r="AD141" i="13"/>
  <c r="AE141" i="13" a="1"/>
  <c r="AE141" i="13"/>
  <c r="AD139" i="13" a="1"/>
  <c r="AD139" i="13"/>
  <c r="AE139" i="13" a="1"/>
  <c r="AE139" i="13"/>
  <c r="AF139" i="13" a="1"/>
  <c r="AF139" i="13"/>
  <c r="AG139" i="13" a="1"/>
  <c r="AG139" i="13"/>
  <c r="AD137" i="13" a="1"/>
  <c r="AD137" i="13"/>
  <c r="AE137" i="13" a="1"/>
  <c r="AE137" i="13"/>
  <c r="AD135" i="13" a="1"/>
  <c r="AD135" i="13"/>
  <c r="AE135" i="13" a="1"/>
  <c r="AE135" i="13"/>
  <c r="AF135" i="13" a="1"/>
  <c r="AF135" i="13"/>
  <c r="AG135" i="13" a="1"/>
  <c r="AG135" i="13"/>
  <c r="AD133" i="13" a="1"/>
  <c r="AD133" i="13"/>
  <c r="AE133" i="13" a="1"/>
  <c r="AE133" i="13"/>
  <c r="AF133" i="13" a="1"/>
  <c r="AF133" i="13"/>
  <c r="AG133" i="13" a="1"/>
  <c r="AG133" i="13"/>
  <c r="AD131" i="13" a="1"/>
  <c r="AD131" i="13"/>
  <c r="AE131" i="13" a="1"/>
  <c r="AE131" i="13"/>
  <c r="AF131" i="13" a="1"/>
  <c r="AF131" i="13"/>
  <c r="AD129" i="13" a="1"/>
  <c r="AD129" i="13"/>
  <c r="AE129" i="13" a="1"/>
  <c r="AE129" i="13"/>
  <c r="AF129" i="13" a="1"/>
  <c r="AF129" i="13"/>
  <c r="AG129" i="13" a="1"/>
  <c r="AG129" i="13"/>
  <c r="AD127" i="13" a="1"/>
  <c r="AD127" i="13"/>
  <c r="AE127" i="13" a="1"/>
  <c r="AE127" i="13"/>
  <c r="AF127" i="13" a="1"/>
  <c r="AF127" i="13"/>
  <c r="AG127" i="13" a="1"/>
  <c r="AG127" i="13"/>
  <c r="AD125" i="13" a="1"/>
  <c r="AD125" i="13"/>
  <c r="AE125" i="13" a="1"/>
  <c r="AE125" i="13"/>
  <c r="AF125" i="13" a="1"/>
  <c r="AF125" i="13"/>
  <c r="AG125" i="13" a="1"/>
  <c r="AG125" i="13"/>
  <c r="AD123" i="13" a="1"/>
  <c r="AD123" i="13"/>
  <c r="AE123" i="13" a="1"/>
  <c r="AE123" i="13"/>
  <c r="AF123" i="13" a="1"/>
  <c r="AF123" i="13"/>
  <c r="AD121" i="13" a="1"/>
  <c r="AD121" i="13"/>
  <c r="AE121" i="13" a="1"/>
  <c r="AE121" i="13"/>
  <c r="AD119" i="13" a="1"/>
  <c r="AD119" i="13"/>
  <c r="AE119" i="13" a="1"/>
  <c r="AE119" i="13"/>
  <c r="AD117" i="13" a="1"/>
  <c r="AD117" i="13"/>
  <c r="AE117" i="13" a="1"/>
  <c r="AE117" i="13"/>
  <c r="AD115" i="13" a="1"/>
  <c r="AD115" i="13"/>
  <c r="AE115" i="13" a="1"/>
  <c r="AE115" i="13"/>
  <c r="AF115" i="13" a="1"/>
  <c r="AF115" i="13"/>
  <c r="AD113" i="13" a="1"/>
  <c r="AD113" i="13"/>
  <c r="AE113" i="13" a="1"/>
  <c r="AE113" i="13"/>
  <c r="AF113" i="13" a="1"/>
  <c r="AF113" i="13"/>
  <c r="AD111" i="13" a="1"/>
  <c r="AD111" i="13"/>
  <c r="AE111" i="13" a="1"/>
  <c r="AE111" i="13"/>
  <c r="AD109" i="13" a="1"/>
  <c r="AD109" i="13"/>
  <c r="AE109" i="13" a="1"/>
  <c r="AE109" i="13"/>
  <c r="AD107" i="13" a="1"/>
  <c r="AD107" i="13"/>
  <c r="AE107" i="13" a="1"/>
  <c r="AE107" i="13"/>
  <c r="AF107" i="13" a="1"/>
  <c r="AF107" i="13"/>
  <c r="AD105" i="13" a="1"/>
  <c r="AD105" i="13"/>
  <c r="AE105" i="13" a="1"/>
  <c r="AE105" i="13"/>
  <c r="AF105" i="13" a="1"/>
  <c r="AF105" i="13"/>
  <c r="AD103" i="13" a="1"/>
  <c r="AD103" i="13"/>
  <c r="AE103" i="13" a="1"/>
  <c r="AE103" i="13"/>
  <c r="AD101" i="13" a="1"/>
  <c r="AD101" i="13"/>
  <c r="AE101" i="13" a="1"/>
  <c r="AE101" i="13"/>
  <c r="AD99" i="13" a="1"/>
  <c r="AD99" i="13"/>
  <c r="AE99" i="13" a="1"/>
  <c r="AE99" i="13"/>
  <c r="AF99" i="13" a="1"/>
  <c r="AF99" i="13"/>
  <c r="AD97" i="13" a="1"/>
  <c r="AD97" i="13"/>
  <c r="AE97" i="13" a="1"/>
  <c r="AE97" i="13"/>
  <c r="AF97" i="13" a="1"/>
  <c r="AF97" i="13"/>
  <c r="AD95" i="13" a="1"/>
  <c r="AD95" i="13"/>
  <c r="AE95" i="13" a="1"/>
  <c r="AE95" i="13"/>
  <c r="AD93" i="13" a="1"/>
  <c r="AD93" i="13"/>
  <c r="AE93" i="13" a="1"/>
  <c r="AE93" i="13"/>
  <c r="AD91" i="13" a="1"/>
  <c r="AD91" i="13"/>
  <c r="AE91" i="13" a="1"/>
  <c r="AE91" i="13"/>
  <c r="AF91" i="13" a="1"/>
  <c r="AF91" i="13"/>
  <c r="AD89" i="13" a="1"/>
  <c r="AD89" i="13"/>
  <c r="AE89" i="13" a="1"/>
  <c r="AE89" i="13"/>
  <c r="AF89" i="13" a="1"/>
  <c r="AF89" i="13"/>
  <c r="AD87" i="13" a="1"/>
  <c r="AD87" i="13"/>
  <c r="AE87" i="13" a="1"/>
  <c r="AE87" i="13"/>
  <c r="AD85" i="13" a="1"/>
  <c r="AD85" i="13"/>
  <c r="AE85" i="13" a="1"/>
  <c r="AE85" i="13"/>
  <c r="AD83" i="13" a="1"/>
  <c r="AD83" i="13"/>
  <c r="AE83" i="13" a="1"/>
  <c r="AE83" i="13"/>
  <c r="AF83" i="13" a="1"/>
  <c r="AF83" i="13"/>
  <c r="AD81" i="13" a="1"/>
  <c r="AD81" i="13"/>
  <c r="AE81" i="13" a="1"/>
  <c r="AE81" i="13"/>
  <c r="AF81" i="13" a="1"/>
  <c r="AF81" i="13"/>
  <c r="AD79" i="13" a="1"/>
  <c r="AD79" i="13"/>
  <c r="AE79" i="13" a="1"/>
  <c r="AE79" i="13"/>
  <c r="AD77" i="13" a="1"/>
  <c r="AD77" i="13"/>
  <c r="AE77" i="13" a="1"/>
  <c r="AE77" i="13"/>
  <c r="AD75" i="13" a="1"/>
  <c r="AD75" i="13"/>
  <c r="AE75" i="13" a="1"/>
  <c r="AE75" i="13"/>
  <c r="AF75" i="13" a="1"/>
  <c r="AF75" i="13"/>
  <c r="AD73" i="13" a="1"/>
  <c r="AD73" i="13"/>
  <c r="AE73" i="13" a="1"/>
  <c r="AE73" i="13"/>
  <c r="AF73" i="13" a="1"/>
  <c r="AF73" i="13"/>
  <c r="AD71" i="13" a="1"/>
  <c r="AD71" i="13"/>
  <c r="AE71" i="13" a="1"/>
  <c r="AE71" i="13"/>
  <c r="AD69" i="13" a="1"/>
  <c r="AD69" i="13"/>
  <c r="AE69" i="13" a="1"/>
  <c r="AE69" i="13"/>
  <c r="AD67" i="13" a="1"/>
  <c r="AD67" i="13"/>
  <c r="AE67" i="13" a="1"/>
  <c r="AE67" i="13"/>
  <c r="AF67" i="13" a="1"/>
  <c r="AF67" i="13"/>
  <c r="AD65" i="13" a="1"/>
  <c r="AD65" i="13"/>
  <c r="AE65" i="13" a="1"/>
  <c r="AE65" i="13"/>
  <c r="AD63" i="13" a="1"/>
  <c r="AD63" i="13"/>
  <c r="AE63" i="13" a="1"/>
  <c r="AE63" i="13"/>
  <c r="AD61" i="13" a="1"/>
  <c r="AD61" i="13"/>
  <c r="AE61" i="13" a="1"/>
  <c r="AE61" i="13"/>
  <c r="AD59" i="13" a="1"/>
  <c r="AD59" i="13"/>
  <c r="AE59" i="13" a="1"/>
  <c r="AE59" i="13"/>
  <c r="AF59" i="13" a="1"/>
  <c r="AF59" i="13"/>
  <c r="AG59" i="13" a="1"/>
  <c r="AG59" i="13"/>
  <c r="AD57" i="13" a="1"/>
  <c r="AD57" i="13"/>
  <c r="AE57" i="13" a="1"/>
  <c r="AE57" i="13"/>
  <c r="AD55" i="13" a="1"/>
  <c r="AD55" i="13"/>
  <c r="AE55" i="13" a="1"/>
  <c r="AE55" i="13"/>
  <c r="AF55" i="13" a="1"/>
  <c r="AF55" i="13"/>
  <c r="AD53" i="13" a="1"/>
  <c r="AD53" i="13"/>
  <c r="AE53" i="13" a="1"/>
  <c r="AE53" i="13"/>
  <c r="AD51" i="13" a="1"/>
  <c r="AD51" i="13"/>
  <c r="AE51" i="13" a="1"/>
  <c r="AE51" i="13"/>
  <c r="AF51" i="13" a="1"/>
  <c r="AF51" i="13"/>
  <c r="AG51" i="13" a="1"/>
  <c r="AG51" i="13"/>
  <c r="AD49" i="13" a="1"/>
  <c r="AD49" i="13"/>
  <c r="AE49" i="13" a="1"/>
  <c r="AE49" i="13"/>
  <c r="AF49" i="13" a="1"/>
  <c r="AF49" i="13"/>
  <c r="AG49" i="13" a="1"/>
  <c r="AG49" i="13"/>
  <c r="AD47" i="13" a="1"/>
  <c r="AD47" i="13"/>
  <c r="AD45" i="13" a="1"/>
  <c r="AD45" i="13"/>
  <c r="AE45" i="13" a="1"/>
  <c r="AE45" i="13"/>
  <c r="AF45" i="13" a="1"/>
  <c r="AF45" i="13"/>
  <c r="AD43" i="13" a="1"/>
  <c r="AD43" i="13"/>
  <c r="AE43" i="13" a="1"/>
  <c r="AE43" i="13"/>
  <c r="AD41" i="13" a="1"/>
  <c r="AD41" i="13"/>
  <c r="AE41" i="13" a="1"/>
  <c r="AE41" i="13"/>
  <c r="AD39" i="13" a="1"/>
  <c r="AD39" i="13"/>
  <c r="AE39" i="13" a="1"/>
  <c r="AE39" i="13"/>
  <c r="AD37" i="13" a="1"/>
  <c r="AD37" i="13"/>
  <c r="AE37" i="13" a="1"/>
  <c r="AE37" i="13"/>
  <c r="AD35" i="13" a="1"/>
  <c r="AD35" i="13"/>
  <c r="AE35" i="13" a="1"/>
  <c r="AE35" i="13"/>
  <c r="AD33" i="13" a="1"/>
  <c r="AD33" i="13"/>
  <c r="AE33" i="13" a="1"/>
  <c r="AE33" i="13"/>
  <c r="AD3" i="13" a="1"/>
  <c r="AD3" i="13"/>
  <c r="AD31" i="13" a="1"/>
  <c r="AD31" i="13"/>
  <c r="AE31" i="13" a="1"/>
  <c r="AE31" i="13"/>
  <c r="AD29" i="13" a="1"/>
  <c r="AD29" i="13"/>
  <c r="AE29" i="13" a="1"/>
  <c r="AE29" i="13"/>
  <c r="AD27" i="13" a="1"/>
  <c r="AD27" i="13"/>
  <c r="AE27" i="13" a="1"/>
  <c r="AE27" i="13"/>
  <c r="AF27" i="13" a="1"/>
  <c r="AF27" i="13"/>
  <c r="AD25" i="13" a="1"/>
  <c r="AD25" i="13"/>
  <c r="AE25" i="13" a="1"/>
  <c r="AE25" i="13"/>
  <c r="AD23" i="13" a="1"/>
  <c r="AD23" i="13"/>
  <c r="AE23" i="13" a="1"/>
  <c r="AE23" i="13"/>
  <c r="AD21" i="13" a="1"/>
  <c r="AD21" i="13"/>
  <c r="AE21" i="13" a="1"/>
  <c r="AE21" i="13"/>
  <c r="AD19" i="13" a="1"/>
  <c r="AD19" i="13"/>
  <c r="AE19" i="13" a="1"/>
  <c r="AE19" i="13"/>
  <c r="AD17" i="13" a="1"/>
  <c r="AD17" i="13"/>
  <c r="AE17" i="13" a="1"/>
  <c r="AE17" i="13"/>
  <c r="AF17" i="13" a="1"/>
  <c r="AF17" i="13"/>
  <c r="AD15" i="13" a="1"/>
  <c r="AD15" i="13"/>
  <c r="AE15" i="13" a="1"/>
  <c r="AE15" i="13"/>
  <c r="AD13" i="13" a="1"/>
  <c r="AD13" i="13"/>
  <c r="AE13" i="13" a="1"/>
  <c r="AE13" i="13"/>
  <c r="AD11" i="13" a="1"/>
  <c r="AD11" i="13"/>
  <c r="AE11" i="13" a="1"/>
  <c r="AE11" i="13"/>
  <c r="AF11" i="13" a="1"/>
  <c r="AF11" i="13"/>
  <c r="AD9" i="13" a="1"/>
  <c r="AD9" i="13"/>
  <c r="AE9" i="13" a="1"/>
  <c r="AE9" i="13"/>
  <c r="AD7" i="13" a="1"/>
  <c r="AD7" i="13"/>
  <c r="AE7" i="13" a="1"/>
  <c r="AE7" i="13"/>
  <c r="AD5" i="13" a="1"/>
  <c r="AD5" i="13"/>
  <c r="AE5" i="13" a="1"/>
  <c r="AE5" i="13"/>
  <c r="AD148" i="13" a="1"/>
  <c r="AD148" i="13"/>
  <c r="AE148" i="13" a="1"/>
  <c r="AE148" i="13"/>
  <c r="AF148" i="13" a="1"/>
  <c r="AF148" i="13"/>
  <c r="AD146" i="13" a="1"/>
  <c r="AD146" i="13"/>
  <c r="AE146" i="13" a="1"/>
  <c r="AE146" i="13"/>
  <c r="AF146" i="13" a="1"/>
  <c r="AF146" i="13"/>
  <c r="AD144" i="13" a="1"/>
  <c r="AD144" i="13"/>
  <c r="AD142" i="13" a="1"/>
  <c r="AD142" i="13"/>
  <c r="AE142" i="13" a="1"/>
  <c r="AE142" i="13"/>
  <c r="AF142" i="13" a="1"/>
  <c r="AF142" i="13"/>
  <c r="AD140" i="13" a="1"/>
  <c r="AD140" i="13"/>
  <c r="AE140" i="13" a="1"/>
  <c r="AE140" i="13"/>
  <c r="AF140" i="13" a="1"/>
  <c r="AF140" i="13"/>
  <c r="AG140" i="13" a="1"/>
  <c r="AG140" i="13"/>
  <c r="AD138" i="13" a="1"/>
  <c r="AD138" i="13"/>
  <c r="AE138" i="13" a="1"/>
  <c r="AE138" i="13"/>
  <c r="AF138" i="13" a="1"/>
  <c r="AF138" i="13"/>
  <c r="AD136" i="13" a="1"/>
  <c r="AD136" i="13"/>
  <c r="AE136" i="13" a="1"/>
  <c r="AE136" i="13"/>
  <c r="AD134" i="13" a="1"/>
  <c r="AD134" i="13"/>
  <c r="AE134" i="13" a="1"/>
  <c r="AE134" i="13"/>
  <c r="AF134" i="13" a="1"/>
  <c r="AF134" i="13"/>
  <c r="AG134" i="13" a="1"/>
  <c r="AG134" i="13"/>
  <c r="AD132" i="13" a="1"/>
  <c r="AD132" i="13"/>
  <c r="AE132" i="13" a="1"/>
  <c r="AE132" i="13"/>
  <c r="AF132" i="13" a="1"/>
  <c r="AF132" i="13"/>
  <c r="AD130" i="13" a="1"/>
  <c r="AD130" i="13"/>
  <c r="AE130" i="13" a="1"/>
  <c r="AE130" i="13"/>
  <c r="AD128" i="13" a="1"/>
  <c r="AD128" i="13"/>
  <c r="AE128" i="13" a="1"/>
  <c r="AE128" i="13"/>
  <c r="AF128" i="13" a="1"/>
  <c r="AF128" i="13"/>
  <c r="AG128" i="13" a="1"/>
  <c r="AG128" i="13"/>
  <c r="AD126" i="13" a="1"/>
  <c r="AD126" i="13"/>
  <c r="AE126" i="13" a="1"/>
  <c r="AE126" i="13"/>
  <c r="AD124" i="13" a="1"/>
  <c r="AD124" i="13"/>
  <c r="AE124" i="13" a="1"/>
  <c r="AE124" i="13"/>
  <c r="AD122" i="13" a="1"/>
  <c r="AD122" i="13"/>
  <c r="AE122" i="13" a="1"/>
  <c r="AE122" i="13"/>
  <c r="AD120" i="13" a="1"/>
  <c r="AD120" i="13"/>
  <c r="AE120" i="13" a="1"/>
  <c r="AE120" i="13"/>
  <c r="AD118" i="13" a="1"/>
  <c r="AD118" i="13"/>
  <c r="AE118" i="13" a="1"/>
  <c r="AE118" i="13"/>
  <c r="AD116" i="13" a="1"/>
  <c r="AD116" i="13"/>
  <c r="AE116" i="13" a="1"/>
  <c r="AE116" i="13"/>
  <c r="AD114" i="13" a="1"/>
  <c r="AD114" i="13"/>
  <c r="AE114" i="13" a="1"/>
  <c r="AE114" i="13"/>
  <c r="AD112" i="13" a="1"/>
  <c r="AD112" i="13"/>
  <c r="AE112" i="13" a="1"/>
  <c r="AE112" i="13"/>
  <c r="AF112" i="13" a="1"/>
  <c r="AF112" i="13"/>
  <c r="AG112" i="13" a="1"/>
  <c r="AG112" i="13"/>
  <c r="AD110" i="13" a="1"/>
  <c r="AD110" i="13"/>
  <c r="AE110" i="13" a="1"/>
  <c r="AE110" i="13"/>
  <c r="AD108" i="13" a="1"/>
  <c r="AD108" i="13"/>
  <c r="AE108" i="13" a="1"/>
  <c r="AE108" i="13"/>
  <c r="AD106" i="13" a="1"/>
  <c r="AD106" i="13"/>
  <c r="AE106" i="13" a="1"/>
  <c r="AE106" i="13"/>
  <c r="AD104" i="13" a="1"/>
  <c r="AD104" i="13"/>
  <c r="AE104" i="13" a="1"/>
  <c r="AE104" i="13"/>
  <c r="AD102" i="13" a="1"/>
  <c r="AD102" i="13"/>
  <c r="AE102" i="13" a="1"/>
  <c r="AE102" i="13"/>
  <c r="AF102" i="13" a="1"/>
  <c r="AF102" i="13"/>
  <c r="AG102" i="13" a="1"/>
  <c r="AG102" i="13"/>
  <c r="AD100" i="13" a="1"/>
  <c r="AD100" i="13"/>
  <c r="AE100" i="13" a="1"/>
  <c r="AE100" i="13"/>
  <c r="AF100" i="13" a="1"/>
  <c r="AF100" i="13"/>
  <c r="AD98" i="13" a="1"/>
  <c r="AD98" i="13"/>
  <c r="AE98" i="13" a="1"/>
  <c r="AE98" i="13"/>
  <c r="AD96" i="13" a="1"/>
  <c r="AD96" i="13"/>
  <c r="AE96" i="13" a="1"/>
  <c r="AE96" i="13"/>
  <c r="AD94" i="13" a="1"/>
  <c r="AD94" i="13"/>
  <c r="AE94" i="13" a="1"/>
  <c r="AE94" i="13"/>
  <c r="AD92" i="13" a="1"/>
  <c r="AD92" i="13"/>
  <c r="AE92" i="13" a="1"/>
  <c r="AE92" i="13"/>
  <c r="AD90" i="13" a="1"/>
  <c r="AD90" i="13"/>
  <c r="AE90" i="13" a="1"/>
  <c r="AE90" i="13"/>
  <c r="AD88" i="13" a="1"/>
  <c r="AD88" i="13"/>
  <c r="AE88" i="13" a="1"/>
  <c r="AE88" i="13"/>
  <c r="AD86" i="13" a="1"/>
  <c r="AD86" i="13"/>
  <c r="AE86" i="13" a="1"/>
  <c r="AE86" i="13"/>
  <c r="AD84" i="13" a="1"/>
  <c r="AD84" i="13"/>
  <c r="AE84" i="13" a="1"/>
  <c r="AE84" i="13"/>
  <c r="AD82" i="13" a="1"/>
  <c r="AD82" i="13"/>
  <c r="AE82" i="13" a="1"/>
  <c r="AE82" i="13"/>
  <c r="AD80" i="13" a="1"/>
  <c r="AD80" i="13"/>
  <c r="AE80" i="13" a="1"/>
  <c r="AE80" i="13"/>
  <c r="AF80" i="13" a="1"/>
  <c r="AF80" i="13"/>
  <c r="AG80" i="13" a="1"/>
  <c r="AG80" i="13"/>
  <c r="AD78" i="13" a="1"/>
  <c r="AD78" i="13"/>
  <c r="AE78" i="13" a="1"/>
  <c r="AE78" i="13"/>
  <c r="AD76" i="13" a="1"/>
  <c r="AD76" i="13"/>
  <c r="AE76" i="13" a="1"/>
  <c r="AE76" i="13"/>
  <c r="AD74" i="13" a="1"/>
  <c r="AD74" i="13"/>
  <c r="AE74" i="13" a="1"/>
  <c r="AE74" i="13"/>
  <c r="AD72" i="13" a="1"/>
  <c r="AD72" i="13"/>
  <c r="AE72" i="13" a="1"/>
  <c r="AE72" i="13"/>
  <c r="AD70" i="13" a="1"/>
  <c r="AD70" i="13"/>
  <c r="AE70" i="13" a="1"/>
  <c r="AE70" i="13"/>
  <c r="AF70" i="13" a="1"/>
  <c r="AF70" i="13"/>
  <c r="AG70" i="13" a="1"/>
  <c r="AG70" i="13"/>
  <c r="AD68" i="13" a="1"/>
  <c r="AD68" i="13"/>
  <c r="AE68" i="13" a="1"/>
  <c r="AE68" i="13"/>
  <c r="AF68" i="13" a="1"/>
  <c r="AF68" i="13"/>
  <c r="AG68" i="13" a="1"/>
  <c r="AG68" i="13"/>
  <c r="AD66" i="13" a="1"/>
  <c r="AD66" i="13"/>
  <c r="AE66" i="13" a="1"/>
  <c r="AE66" i="13"/>
  <c r="AD64" i="13" a="1"/>
  <c r="AD64" i="13"/>
  <c r="AE64" i="13" a="1"/>
  <c r="AE64" i="13"/>
  <c r="AD62" i="13" a="1"/>
  <c r="AD62" i="13"/>
  <c r="AE62" i="13" a="1"/>
  <c r="AE62" i="13"/>
  <c r="AD60" i="13" a="1"/>
  <c r="AD60" i="13"/>
  <c r="AE60" i="13" a="1"/>
  <c r="AE60" i="13"/>
  <c r="AD58" i="13" a="1"/>
  <c r="AD58" i="13"/>
  <c r="AD56" i="13" a="1"/>
  <c r="AD56" i="13"/>
  <c r="AE56" i="13" a="1"/>
  <c r="AE56" i="13"/>
  <c r="AD54" i="13" a="1"/>
  <c r="AD54" i="13"/>
  <c r="AE54" i="13" a="1"/>
  <c r="AE54" i="13"/>
  <c r="AF54" i="13" a="1"/>
  <c r="AF54" i="13"/>
  <c r="AG54" i="13" a="1"/>
  <c r="AG54" i="13"/>
  <c r="AD52" i="13" a="1"/>
  <c r="AD52" i="13"/>
  <c r="AE52" i="13" a="1"/>
  <c r="AE52" i="13"/>
  <c r="AF52" i="13" a="1"/>
  <c r="AF52" i="13"/>
  <c r="AG52" i="13" a="1"/>
  <c r="AG52" i="13"/>
  <c r="AD50" i="13" a="1"/>
  <c r="AD50" i="13"/>
  <c r="AE50" i="13" a="1"/>
  <c r="AE50" i="13"/>
  <c r="AF50" i="13" a="1"/>
  <c r="AF50" i="13"/>
  <c r="AD48" i="13" a="1"/>
  <c r="AD48" i="13"/>
  <c r="AE48" i="13" a="1"/>
  <c r="AE48" i="13"/>
  <c r="AD46" i="13" a="1"/>
  <c r="AD46" i="13"/>
  <c r="AE46" i="13" a="1"/>
  <c r="AE46" i="13"/>
  <c r="AF46" i="13" a="1"/>
  <c r="AF46" i="13"/>
  <c r="AG46" i="13" a="1"/>
  <c r="AG46" i="13"/>
  <c r="AD44" i="13" a="1"/>
  <c r="AD44" i="13"/>
  <c r="AE44" i="13" a="1"/>
  <c r="AE44" i="13"/>
  <c r="AF44" i="13" a="1"/>
  <c r="AF44" i="13"/>
  <c r="AG44" i="13" a="1"/>
  <c r="AG44" i="13"/>
  <c r="AD42" i="13" a="1"/>
  <c r="AD42" i="13"/>
  <c r="AE42" i="13" a="1"/>
  <c r="AE42" i="13"/>
  <c r="AD40" i="13" a="1"/>
  <c r="AD40" i="13"/>
  <c r="AE40" i="13" a="1"/>
  <c r="AE40" i="13"/>
  <c r="AD38" i="13" a="1"/>
  <c r="AD38" i="13"/>
  <c r="AE38" i="13" a="1"/>
  <c r="AE38" i="13"/>
  <c r="AD36" i="13" a="1"/>
  <c r="AD36" i="13"/>
  <c r="AE36" i="13" a="1"/>
  <c r="AE36" i="13"/>
  <c r="AF36" i="13" a="1"/>
  <c r="AF36" i="13"/>
  <c r="AD34" i="13" a="1"/>
  <c r="AD34" i="13"/>
  <c r="AE34" i="13" a="1"/>
  <c r="AE34" i="13"/>
  <c r="AD32" i="13" a="1"/>
  <c r="AD32" i="13"/>
  <c r="AE32" i="13" a="1"/>
  <c r="AE32" i="13"/>
  <c r="Q3" i="13" a="1"/>
  <c r="Q3" i="13"/>
  <c r="AF87" i="13" a="1"/>
  <c r="AF87" i="13"/>
  <c r="AG87" i="13" a="1"/>
  <c r="AG87" i="13"/>
  <c r="AF71" i="13" a="1"/>
  <c r="AF71" i="13"/>
  <c r="AG71" i="13" a="1"/>
  <c r="AG71" i="13"/>
  <c r="AF110" i="13" a="1"/>
  <c r="AF110" i="13"/>
  <c r="AG110" i="13" a="1"/>
  <c r="AG110" i="13"/>
  <c r="AF40" i="13" a="1"/>
  <c r="AF40" i="13"/>
  <c r="AG40" i="13" a="1"/>
  <c r="AG40" i="13"/>
  <c r="AF13" i="13" a="1"/>
  <c r="AF13" i="13"/>
  <c r="AG13" i="13" a="1"/>
  <c r="AG13" i="13"/>
  <c r="AG123" i="13" a="1"/>
  <c r="AG123" i="13"/>
  <c r="AF5" i="13" a="1"/>
  <c r="AF5" i="13"/>
  <c r="AG5" i="13" a="1"/>
  <c r="AG5" i="13"/>
  <c r="AF35" i="13" a="1"/>
  <c r="AF35" i="13"/>
  <c r="AG35" i="13" a="1"/>
  <c r="AG35" i="13"/>
  <c r="AG75" i="13" a="1"/>
  <c r="AG75" i="13"/>
  <c r="AG17" i="13" a="1"/>
  <c r="AG17" i="13"/>
  <c r="AF21" i="13" a="1"/>
  <c r="AF21" i="13"/>
  <c r="AG21" i="13" a="1"/>
  <c r="AG21" i="13"/>
  <c r="AG91" i="13" a="1"/>
  <c r="AG91" i="13"/>
  <c r="AF33" i="13" a="1"/>
  <c r="AF33" i="13"/>
  <c r="AG33" i="13" a="1"/>
  <c r="AG33" i="13"/>
  <c r="AF69" i="13" a="1"/>
  <c r="AF69" i="13"/>
  <c r="AG69" i="13" a="1"/>
  <c r="AG69" i="13"/>
  <c r="AG73" i="13" a="1"/>
  <c r="AG73" i="13"/>
  <c r="AF85" i="13" a="1"/>
  <c r="AF85" i="13"/>
  <c r="AG85" i="13" a="1"/>
  <c r="AG85" i="13"/>
  <c r="AG89" i="13" a="1"/>
  <c r="AG89" i="13"/>
  <c r="AF93" i="13" a="1"/>
  <c r="AF93" i="13"/>
  <c r="AG93" i="13" a="1"/>
  <c r="AG93" i="13"/>
  <c r="AG105" i="13" a="1"/>
  <c r="AG105" i="13"/>
  <c r="AF10" i="13" a="1"/>
  <c r="AF10" i="13"/>
  <c r="AG10" i="13" a="1"/>
  <c r="AG10" i="13"/>
  <c r="AG11" i="13" a="1"/>
  <c r="AG11" i="13"/>
  <c r="AF15" i="13" a="1"/>
  <c r="AF15" i="13"/>
  <c r="AG15" i="13" a="1"/>
  <c r="AG15" i="13"/>
  <c r="AF65" i="13" a="1"/>
  <c r="AF65" i="13"/>
  <c r="AG65" i="13" a="1"/>
  <c r="AG65" i="13"/>
  <c r="AF101" i="13" a="1"/>
  <c r="AF101" i="13"/>
  <c r="AG101" i="13" a="1"/>
  <c r="AG101" i="13"/>
  <c r="AG131" i="13" a="1"/>
  <c r="AG131" i="13"/>
  <c r="AG145" i="13" a="1"/>
  <c r="AG145" i="13"/>
  <c r="AG4" i="13" a="1"/>
  <c r="AG4" i="13"/>
  <c r="AG50" i="13" a="1"/>
  <c r="AG50" i="13"/>
  <c r="AG100" i="13" a="1"/>
  <c r="AG100" i="13"/>
  <c r="AG138" i="13" a="1"/>
  <c r="AG138" i="13"/>
  <c r="AE144" i="13" a="1"/>
  <c r="AE144" i="13"/>
  <c r="AF144" i="13" a="1"/>
  <c r="AF144" i="13"/>
  <c r="AG144" i="13" a="1"/>
  <c r="AG144" i="13"/>
  <c r="AG55" i="13" a="1"/>
  <c r="AG55" i="13"/>
  <c r="AF28" i="13" a="1"/>
  <c r="AF28" i="13"/>
  <c r="AG28" i="13" a="1"/>
  <c r="AG28" i="13"/>
  <c r="AG132" i="13" a="1"/>
  <c r="AG132" i="13"/>
  <c r="AF38" i="13" a="1"/>
  <c r="AF38" i="13"/>
  <c r="AG38" i="13" a="1"/>
  <c r="AG38" i="13"/>
  <c r="AF42" i="13" a="1"/>
  <c r="AF42" i="13"/>
  <c r="AG42" i="13" a="1"/>
  <c r="AG42" i="13"/>
  <c r="AE58" i="13" a="1"/>
  <c r="AE58" i="13"/>
  <c r="AF58" i="13" a="1"/>
  <c r="AF58" i="13"/>
  <c r="AF108" i="13" a="1"/>
  <c r="AF108" i="13"/>
  <c r="AG108" i="13" a="1"/>
  <c r="AG108" i="13"/>
  <c r="AF124" i="13" a="1"/>
  <c r="AF124" i="13"/>
  <c r="AG124" i="13" a="1"/>
  <c r="AG124" i="13"/>
  <c r="AG148" i="13" a="1"/>
  <c r="AG148" i="13"/>
  <c r="AF19" i="13" a="1"/>
  <c r="AF19" i="13"/>
  <c r="AG19" i="13" a="1"/>
  <c r="AG19" i="13"/>
  <c r="AE47" i="13" a="1"/>
  <c r="AE47" i="13"/>
  <c r="AF47" i="13" a="1"/>
  <c r="AF47" i="13"/>
  <c r="AF63" i="13" a="1"/>
  <c r="AF63" i="13"/>
  <c r="AG63" i="13" a="1"/>
  <c r="AG63" i="13"/>
  <c r="AF103" i="13" a="1"/>
  <c r="AF103" i="13"/>
  <c r="AG103" i="13" a="1"/>
  <c r="AG103" i="13"/>
  <c r="AG107" i="13" a="1"/>
  <c r="AG107" i="13"/>
  <c r="AF121" i="13" a="1"/>
  <c r="AF121" i="13"/>
  <c r="AG121" i="13" a="1"/>
  <c r="AG121" i="13"/>
  <c r="AF18" i="13" a="1"/>
  <c r="AF18" i="13"/>
  <c r="AG18" i="13" a="1"/>
  <c r="AG18" i="13"/>
  <c r="AF60" i="13" a="1"/>
  <c r="AF60" i="13"/>
  <c r="AG60" i="13" a="1"/>
  <c r="AG60" i="13"/>
  <c r="AF57" i="13" a="1"/>
  <c r="AF57" i="13"/>
  <c r="AG57" i="13" a="1"/>
  <c r="AG57" i="13"/>
  <c r="AF126" i="13" a="1"/>
  <c r="AF126" i="13"/>
  <c r="AG126" i="13" a="1"/>
  <c r="AG126" i="13"/>
  <c r="AF141" i="13" a="1"/>
  <c r="AF141" i="13"/>
  <c r="AG141" i="13" a="1"/>
  <c r="AG141" i="13"/>
  <c r="AF147" i="13" a="1"/>
  <c r="AF147" i="13"/>
  <c r="AG147" i="13" a="1"/>
  <c r="AG147" i="13"/>
  <c r="AF149" i="13" a="1"/>
  <c r="AF149" i="13"/>
  <c r="AG149" i="13" a="1"/>
  <c r="AG149" i="13"/>
  <c r="AF34" i="13" a="1"/>
  <c r="AF34" i="13"/>
  <c r="AG34" i="13" a="1"/>
  <c r="AG34" i="13"/>
  <c r="AF64" i="13" a="1"/>
  <c r="AF64" i="13"/>
  <c r="AG64" i="13" a="1"/>
  <c r="AG64" i="13"/>
  <c r="AF72" i="13" a="1"/>
  <c r="AF72" i="13"/>
  <c r="AG72" i="13" a="1"/>
  <c r="AG72" i="13"/>
  <c r="AF76" i="13" a="1"/>
  <c r="AF76" i="13"/>
  <c r="AG76" i="13" a="1"/>
  <c r="AG76" i="13"/>
  <c r="AF84" i="13" a="1"/>
  <c r="AF84" i="13"/>
  <c r="AG84" i="13" a="1"/>
  <c r="AG84" i="13"/>
  <c r="AF88" i="13" a="1"/>
  <c r="AF88" i="13"/>
  <c r="AG88" i="13" a="1"/>
  <c r="AG88" i="13"/>
  <c r="AF92" i="13" a="1"/>
  <c r="AF92" i="13"/>
  <c r="AG92" i="13" a="1"/>
  <c r="AG92" i="13"/>
  <c r="AF96" i="13" a="1"/>
  <c r="AF96" i="13"/>
  <c r="AG96" i="13" a="1"/>
  <c r="AG96" i="13"/>
  <c r="AF106" i="13" a="1"/>
  <c r="AF106" i="13"/>
  <c r="AG106" i="13" a="1"/>
  <c r="AG106" i="13"/>
  <c r="AF116" i="13" a="1"/>
  <c r="AF116" i="13"/>
  <c r="AG116" i="13" a="1"/>
  <c r="AG116" i="13"/>
  <c r="AF120" i="13" a="1"/>
  <c r="AF120" i="13"/>
  <c r="AG120" i="13" a="1"/>
  <c r="AG120" i="13"/>
  <c r="AF9" i="13" a="1"/>
  <c r="AF9" i="13"/>
  <c r="AG9" i="13" a="1"/>
  <c r="AG9" i="13"/>
  <c r="AF25" i="13" a="1"/>
  <c r="AF25" i="13"/>
  <c r="AG25" i="13" a="1"/>
  <c r="AG25" i="13"/>
  <c r="AF29" i="13" a="1"/>
  <c r="AF29" i="13"/>
  <c r="AG29" i="13" a="1"/>
  <c r="AG29" i="13"/>
  <c r="AE3" i="13" a="1"/>
  <c r="AE3" i="13"/>
  <c r="AF3" i="13" a="1"/>
  <c r="AF3" i="13"/>
  <c r="AF39" i="13" a="1"/>
  <c r="AF39" i="13"/>
  <c r="AG39" i="13" a="1"/>
  <c r="AG39" i="13"/>
  <c r="AF43" i="13" a="1"/>
  <c r="AF43" i="13"/>
  <c r="AG43" i="13" a="1"/>
  <c r="AG43" i="13"/>
  <c r="AF79" i="13" a="1"/>
  <c r="AF79" i="13"/>
  <c r="AG79" i="13" a="1"/>
  <c r="AG79" i="13"/>
  <c r="AG83" i="13" a="1"/>
  <c r="AG83" i="13"/>
  <c r="AG97" i="13" a="1"/>
  <c r="AG97" i="13"/>
  <c r="AF111" i="13" a="1"/>
  <c r="AF111" i="13"/>
  <c r="AG111" i="13" a="1"/>
  <c r="AG111" i="13"/>
  <c r="AG115" i="13" a="1"/>
  <c r="AG115" i="13"/>
  <c r="AF119" i="13" a="1"/>
  <c r="AF119" i="13"/>
  <c r="AG119" i="13" a="1"/>
  <c r="AG119" i="13"/>
  <c r="AF143" i="13" a="1"/>
  <c r="AF143" i="13"/>
  <c r="AG143" i="13" a="1"/>
  <c r="AG143" i="13"/>
  <c r="AF16" i="13" a="1"/>
  <c r="AF16" i="13"/>
  <c r="AG16" i="13" a="1"/>
  <c r="AG16" i="13"/>
  <c r="AF22" i="13" a="1"/>
  <c r="AF22" i="13"/>
  <c r="AG22" i="13" a="1"/>
  <c r="AG22" i="13"/>
  <c r="AF26" i="13" a="1"/>
  <c r="AF26" i="13"/>
  <c r="AG26" i="13" a="1"/>
  <c r="AG26" i="13"/>
  <c r="AF104" i="13" a="1"/>
  <c r="AF104" i="13"/>
  <c r="AG104" i="13" a="1"/>
  <c r="AG104" i="13"/>
  <c r="AF130" i="13" a="1"/>
  <c r="AF130" i="13"/>
  <c r="AG130" i="13" a="1"/>
  <c r="AG130" i="13"/>
  <c r="AF136" i="13" a="1"/>
  <c r="AF136" i="13"/>
  <c r="AG136" i="13" a="1"/>
  <c r="AG136" i="13"/>
  <c r="AG146" i="13" a="1"/>
  <c r="AG146" i="13"/>
  <c r="AF53" i="13" a="1"/>
  <c r="AF53" i="13"/>
  <c r="AG53" i="13" a="1"/>
  <c r="AG53" i="13"/>
  <c r="AG67" i="13" a="1"/>
  <c r="AG67" i="13"/>
  <c r="AF77" i="13" a="1"/>
  <c r="AF77" i="13"/>
  <c r="AG77" i="13" a="1"/>
  <c r="AG77" i="13"/>
  <c r="AF109" i="13" a="1"/>
  <c r="AF109" i="13"/>
  <c r="AF137" i="13" a="1"/>
  <c r="AF137" i="13"/>
  <c r="AG137" i="13" a="1"/>
  <c r="AG137" i="13"/>
  <c r="AG20" i="13" a="1"/>
  <c r="AG20" i="13"/>
  <c r="AF30" i="13" a="1"/>
  <c r="AF30" i="13"/>
  <c r="AG30" i="13" a="1"/>
  <c r="AG30" i="13"/>
  <c r="AF48" i="13" a="1"/>
  <c r="AF48" i="13"/>
  <c r="AG48" i="13" a="1"/>
  <c r="AG48" i="13"/>
  <c r="AF56" i="13" a="1"/>
  <c r="AF56" i="13"/>
  <c r="AG56" i="13" a="1"/>
  <c r="AG56" i="13"/>
  <c r="AF32" i="13" a="1"/>
  <c r="AF32" i="13"/>
  <c r="AG32" i="13" a="1"/>
  <c r="AG32" i="13"/>
  <c r="AG36" i="13" a="1"/>
  <c r="AG36" i="13"/>
  <c r="AF62" i="13" a="1"/>
  <c r="AF62" i="13"/>
  <c r="AG62" i="13" a="1"/>
  <c r="AG62" i="13"/>
  <c r="AF66" i="13" a="1"/>
  <c r="AF66" i="13"/>
  <c r="AG66" i="13" a="1"/>
  <c r="AG66" i="13"/>
  <c r="AF74" i="13" a="1"/>
  <c r="AF74" i="13"/>
  <c r="AG74" i="13" a="1"/>
  <c r="AG74" i="13"/>
  <c r="AF78" i="13" a="1"/>
  <c r="AF78" i="13"/>
  <c r="AG78" i="13" a="1"/>
  <c r="AG78" i="13"/>
  <c r="AF82" i="13" a="1"/>
  <c r="AF82" i="13"/>
  <c r="AG82" i="13" a="1"/>
  <c r="AG82" i="13"/>
  <c r="AF86" i="13" a="1"/>
  <c r="AF86" i="13"/>
  <c r="AG86" i="13" a="1"/>
  <c r="AG86" i="13"/>
  <c r="AF90" i="13" a="1"/>
  <c r="AF90" i="13"/>
  <c r="AG90" i="13" a="1"/>
  <c r="AG90" i="13"/>
  <c r="AF94" i="13" a="1"/>
  <c r="AF94" i="13"/>
  <c r="AG94" i="13" a="1"/>
  <c r="AG94" i="13"/>
  <c r="AF98" i="13" a="1"/>
  <c r="AF98" i="13"/>
  <c r="AG98" i="13" a="1"/>
  <c r="AG98" i="13"/>
  <c r="AF114" i="13" a="1"/>
  <c r="AF114" i="13"/>
  <c r="AG114" i="13" a="1"/>
  <c r="AG114" i="13"/>
  <c r="AF118" i="13" a="1"/>
  <c r="AF118" i="13"/>
  <c r="AG118" i="13" a="1"/>
  <c r="AG118" i="13"/>
  <c r="AF122" i="13" a="1"/>
  <c r="AF122" i="13"/>
  <c r="AG122" i="13" a="1"/>
  <c r="AG122" i="13"/>
  <c r="AG142" i="13" a="1"/>
  <c r="AG142" i="13"/>
  <c r="AF7" i="13" a="1"/>
  <c r="AF7" i="13"/>
  <c r="AG7" i="13" a="1"/>
  <c r="AG7" i="13"/>
  <c r="AF23" i="13" a="1"/>
  <c r="AF23" i="13"/>
  <c r="AG23" i="13" a="1"/>
  <c r="AG23" i="13"/>
  <c r="AG27" i="13" a="1"/>
  <c r="AG27" i="13"/>
  <c r="AF31" i="13" a="1"/>
  <c r="AF31" i="13"/>
  <c r="AG31" i="13" a="1"/>
  <c r="AG31" i="13"/>
  <c r="AF37" i="13" a="1"/>
  <c r="AF37" i="13"/>
  <c r="AG37" i="13" a="1"/>
  <c r="AG37" i="13"/>
  <c r="AF41" i="13" a="1"/>
  <c r="AF41" i="13"/>
  <c r="AG41" i="13" a="1"/>
  <c r="AG41" i="13"/>
  <c r="AG45" i="13" a="1"/>
  <c r="AG45" i="13"/>
  <c r="AF61" i="13" a="1"/>
  <c r="AF61" i="13"/>
  <c r="AG61" i="13" a="1"/>
  <c r="AG61" i="13"/>
  <c r="AG81" i="13" a="1"/>
  <c r="AG81" i="13"/>
  <c r="AF95" i="13" a="1"/>
  <c r="AF95" i="13"/>
  <c r="AG95" i="13" a="1"/>
  <c r="AG95" i="13"/>
  <c r="AG99" i="13" a="1"/>
  <c r="AG99" i="13"/>
  <c r="AG109" i="13" a="1"/>
  <c r="AG109" i="13"/>
  <c r="AG113" i="13" a="1"/>
  <c r="AG113" i="13"/>
  <c r="AF117" i="13" a="1"/>
  <c r="AF117" i="13"/>
  <c r="AG117" i="13" a="1"/>
  <c r="AG117" i="13"/>
  <c r="AF8" i="13" a="1"/>
  <c r="AF8" i="13"/>
  <c r="AG8" i="13" a="1"/>
  <c r="AG8" i="13"/>
  <c r="AF14" i="13" a="1"/>
  <c r="AF14" i="13"/>
  <c r="AG14" i="13" a="1"/>
  <c r="AG14" i="13"/>
  <c r="AF24" i="13" a="1"/>
  <c r="AF24" i="13"/>
  <c r="AG24" i="13" a="1"/>
  <c r="AG24" i="13"/>
  <c r="AG47" i="13" a="1"/>
  <c r="AG47" i="13"/>
  <c r="AG58" i="13" a="1"/>
  <c r="AG58" i="13"/>
  <c r="AG3" i="13" a="1"/>
  <c r="AG3" i="13"/>
  <c r="AZ11" i="16"/>
  <c r="AZ10" i="16"/>
  <c r="AZ9" i="16"/>
  <c r="AZ8" i="16"/>
  <c r="AZ7" i="16"/>
  <c r="AZ6" i="16"/>
  <c r="AZ5" i="16"/>
  <c r="AZ4" i="16"/>
  <c r="AZ143" i="16"/>
  <c r="AZ142" i="16"/>
  <c r="AZ141" i="16"/>
  <c r="AZ140" i="16"/>
  <c r="AZ139" i="16"/>
  <c r="AZ138" i="16"/>
  <c r="AZ137" i="16"/>
  <c r="AZ136" i="16"/>
  <c r="AZ135" i="16"/>
  <c r="AZ134" i="16"/>
  <c r="AZ133" i="16"/>
  <c r="AZ132" i="16"/>
  <c r="AZ131" i="16"/>
  <c r="AZ130" i="16"/>
  <c r="AZ129" i="16"/>
  <c r="AZ128" i="16"/>
  <c r="AZ127" i="16"/>
  <c r="AZ126" i="16"/>
  <c r="AZ125" i="16"/>
  <c r="AZ124" i="16"/>
  <c r="AZ123" i="16"/>
  <c r="AZ122" i="16"/>
  <c r="AZ121" i="16"/>
  <c r="AZ120" i="16"/>
  <c r="AZ119" i="16"/>
  <c r="AZ118" i="16"/>
  <c r="AZ117" i="16"/>
  <c r="AZ116" i="16"/>
  <c r="AZ115" i="16"/>
  <c r="AZ114" i="16"/>
  <c r="AZ113" i="16"/>
  <c r="AZ112" i="16"/>
  <c r="AZ111" i="16"/>
  <c r="AZ110" i="16"/>
  <c r="AZ109" i="16"/>
  <c r="AZ108" i="16"/>
  <c r="AZ107" i="16"/>
  <c r="AZ106" i="16"/>
  <c r="AZ105" i="16"/>
  <c r="AZ104" i="16"/>
  <c r="AZ103" i="16"/>
  <c r="AZ102" i="16"/>
  <c r="AZ101" i="16"/>
  <c r="AZ100" i="16"/>
  <c r="AZ99" i="16"/>
  <c r="AZ98" i="16"/>
  <c r="AZ97" i="16"/>
  <c r="AZ96" i="16"/>
  <c r="AZ95" i="16"/>
  <c r="AZ94" i="16"/>
  <c r="AZ93" i="16"/>
  <c r="AZ92" i="16"/>
  <c r="AZ91" i="16"/>
  <c r="AZ90" i="16"/>
  <c r="AZ89" i="16"/>
  <c r="AZ88" i="16"/>
  <c r="AZ87" i="16"/>
  <c r="AZ86" i="16"/>
  <c r="AZ85" i="16"/>
  <c r="AZ84" i="16"/>
  <c r="AZ83" i="16"/>
  <c r="AZ82" i="16"/>
  <c r="AZ81" i="16"/>
  <c r="AZ80" i="16"/>
  <c r="AZ79" i="16"/>
  <c r="AZ78" i="16"/>
  <c r="AZ77" i="16"/>
  <c r="AZ76" i="16"/>
  <c r="AZ75" i="16"/>
  <c r="AZ74" i="16"/>
  <c r="AZ73" i="16"/>
  <c r="AZ72" i="16"/>
  <c r="AZ71" i="16"/>
  <c r="AZ70" i="16"/>
  <c r="AZ69" i="16"/>
  <c r="AZ68" i="16"/>
  <c r="AZ67" i="16"/>
  <c r="AZ66" i="16"/>
  <c r="AZ65" i="16"/>
  <c r="AZ64" i="16"/>
  <c r="AZ63" i="16"/>
  <c r="AZ62" i="16"/>
  <c r="AZ61" i="16"/>
  <c r="AZ26" i="16"/>
  <c r="AZ25" i="16"/>
  <c r="AZ24" i="16"/>
  <c r="AZ23" i="16"/>
  <c r="AZ22" i="16"/>
  <c r="AZ21" i="16"/>
  <c r="AZ20" i="16"/>
  <c r="AZ19" i="16"/>
  <c r="AZ18" i="16"/>
  <c r="AZ17" i="16"/>
  <c r="AZ16" i="16"/>
  <c r="AZ15" i="16"/>
  <c r="AZ14" i="16"/>
  <c r="AZ13" i="16"/>
  <c r="AZ12" i="16"/>
  <c r="AZ60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" i="27"/>
  <c r="B7" i="27" a="1"/>
  <c r="B7" i="27"/>
  <c r="C7" i="27"/>
  <c r="D7" i="27"/>
  <c r="E7" i="27"/>
  <c r="F7" i="27"/>
  <c r="G7" i="27"/>
  <c r="H7" i="27"/>
  <c r="I7" i="27"/>
  <c r="J7" i="27"/>
  <c r="K7" i="27"/>
  <c r="L7" i="27"/>
  <c r="M7" i="27"/>
  <c r="N7" i="27"/>
  <c r="O7" i="27"/>
  <c r="P7" i="27"/>
  <c r="Q7" i="27"/>
  <c r="R7" i="27"/>
  <c r="S7" i="27"/>
  <c r="T7" i="27"/>
  <c r="U7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8" i="27" a="1"/>
  <c r="B8" i="27"/>
  <c r="D8" i="27"/>
  <c r="E8" i="27"/>
  <c r="F8" i="27"/>
  <c r="G8" i="27"/>
  <c r="H8" i="27"/>
  <c r="I8" i="27"/>
  <c r="J8" i="27"/>
  <c r="K8" i="27"/>
  <c r="L8" i="27"/>
  <c r="M8" i="27"/>
  <c r="N8" i="27"/>
  <c r="O8" i="27"/>
  <c r="P8" i="27"/>
  <c r="Q8" i="27"/>
  <c r="R8" i="27"/>
  <c r="S8" i="27"/>
  <c r="T8" i="27"/>
  <c r="U8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B9" i="27" a="1"/>
  <c r="B9" i="27"/>
  <c r="D9" i="27"/>
  <c r="E9" i="27"/>
  <c r="F9" i="27"/>
  <c r="G9" i="27"/>
  <c r="H9" i="27"/>
  <c r="I9" i="27"/>
  <c r="J9" i="27"/>
  <c r="K9" i="27"/>
  <c r="L9" i="27"/>
  <c r="M9" i="27"/>
  <c r="N9" i="27"/>
  <c r="O9" i="27"/>
  <c r="P9" i="27"/>
  <c r="Q9" i="27"/>
  <c r="R9" i="27"/>
  <c r="S9" i="27"/>
  <c r="T9" i="27"/>
  <c r="U9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B10" i="27" a="1"/>
  <c r="B10" i="27"/>
  <c r="D10" i="27"/>
  <c r="E10" i="27"/>
  <c r="F10" i="27"/>
  <c r="G10" i="27"/>
  <c r="H10" i="27"/>
  <c r="I10" i="27"/>
  <c r="J10" i="27"/>
  <c r="K10" i="27"/>
  <c r="L10" i="27"/>
  <c r="M10" i="27"/>
  <c r="N10" i="27"/>
  <c r="O10" i="27"/>
  <c r="P10" i="27"/>
  <c r="Q10" i="27"/>
  <c r="R10" i="27"/>
  <c r="S10" i="27"/>
  <c r="T10" i="27"/>
  <c r="U10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B11" i="27" a="1"/>
  <c r="B11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P11" i="27"/>
  <c r="Q11" i="27"/>
  <c r="R11" i="27"/>
  <c r="S11" i="27"/>
  <c r="T11" i="27"/>
  <c r="U11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B12" i="27" a="1"/>
  <c r="B12" i="27"/>
  <c r="D12" i="27"/>
  <c r="E12" i="27"/>
  <c r="F12" i="27"/>
  <c r="G12" i="27"/>
  <c r="H12" i="27"/>
  <c r="I12" i="27"/>
  <c r="J12" i="27"/>
  <c r="K12" i="27"/>
  <c r="L12" i="27"/>
  <c r="M12" i="27"/>
  <c r="N12" i="27"/>
  <c r="O12" i="27"/>
  <c r="P12" i="27"/>
  <c r="Q12" i="27"/>
  <c r="R12" i="27"/>
  <c r="S12" i="27"/>
  <c r="T12" i="27"/>
  <c r="U12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B13" i="27" a="1"/>
  <c r="B13" i="27"/>
  <c r="D13" i="27"/>
  <c r="E13" i="27"/>
  <c r="F13" i="27"/>
  <c r="G13" i="27"/>
  <c r="H13" i="27"/>
  <c r="I13" i="27"/>
  <c r="J13" i="27"/>
  <c r="K13" i="27"/>
  <c r="L13" i="27"/>
  <c r="M13" i="27"/>
  <c r="N13" i="27"/>
  <c r="O13" i="27"/>
  <c r="P13" i="27"/>
  <c r="Q13" i="27"/>
  <c r="R13" i="27"/>
  <c r="S13" i="27"/>
  <c r="T13" i="27"/>
  <c r="U13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B14" i="27" a="1"/>
  <c r="B14" i="27"/>
  <c r="D14" i="27"/>
  <c r="E14" i="27"/>
  <c r="F14" i="27"/>
  <c r="G14" i="27"/>
  <c r="H14" i="27"/>
  <c r="I14" i="27"/>
  <c r="J14" i="27"/>
  <c r="K14" i="27"/>
  <c r="L14" i="27"/>
  <c r="M14" i="27"/>
  <c r="N14" i="27"/>
  <c r="O14" i="27"/>
  <c r="P14" i="27"/>
  <c r="Q14" i="27"/>
  <c r="R14" i="27"/>
  <c r="S14" i="27"/>
  <c r="T14" i="27"/>
  <c r="U14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B15" i="27" a="1"/>
  <c r="B15" i="27"/>
  <c r="D15" i="27"/>
  <c r="E15" i="27"/>
  <c r="F15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B16" i="27" a="1"/>
  <c r="B16" i="27"/>
  <c r="D16" i="27"/>
  <c r="E16" i="27"/>
  <c r="F16" i="27"/>
  <c r="G16" i="27"/>
  <c r="H16" i="27"/>
  <c r="I16" i="27"/>
  <c r="J16" i="27"/>
  <c r="K16" i="27"/>
  <c r="L16" i="27"/>
  <c r="M16" i="27"/>
  <c r="N16" i="27"/>
  <c r="O16" i="27"/>
  <c r="P16" i="27"/>
  <c r="Q16" i="27"/>
  <c r="R16" i="27"/>
  <c r="S16" i="27"/>
  <c r="T16" i="27"/>
  <c r="U16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B17" i="27" a="1"/>
  <c r="B17" i="27"/>
  <c r="D17" i="27"/>
  <c r="E17" i="27"/>
  <c r="F17" i="27"/>
  <c r="G17" i="27"/>
  <c r="H17" i="27"/>
  <c r="I17" i="27"/>
  <c r="J17" i="27"/>
  <c r="K17" i="27"/>
  <c r="L17" i="27"/>
  <c r="M17" i="27"/>
  <c r="N17" i="27"/>
  <c r="O17" i="27"/>
  <c r="P17" i="27"/>
  <c r="Q17" i="27"/>
  <c r="R17" i="27"/>
  <c r="S17" i="27"/>
  <c r="T17" i="27"/>
  <c r="U17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B18" i="27" a="1"/>
  <c r="B18" i="27"/>
  <c r="D18" i="27"/>
  <c r="E18" i="27"/>
  <c r="F18" i="27"/>
  <c r="G18" i="27"/>
  <c r="H18" i="27"/>
  <c r="I18" i="27"/>
  <c r="J18" i="27"/>
  <c r="K18" i="27"/>
  <c r="L18" i="27"/>
  <c r="M18" i="27"/>
  <c r="N18" i="27"/>
  <c r="O18" i="27"/>
  <c r="P18" i="27"/>
  <c r="Q18" i="27"/>
  <c r="R18" i="27"/>
  <c r="S18" i="27"/>
  <c r="T18" i="27"/>
  <c r="U18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B19" i="27" a="1"/>
  <c r="B19" i="27"/>
  <c r="D19" i="27"/>
  <c r="E19" i="27"/>
  <c r="F19" i="27"/>
  <c r="G19" i="27"/>
  <c r="H19" i="27"/>
  <c r="I19" i="27"/>
  <c r="J19" i="27"/>
  <c r="K19" i="27"/>
  <c r="L19" i="27"/>
  <c r="M19" i="27"/>
  <c r="N19" i="27"/>
  <c r="O19" i="27"/>
  <c r="P19" i="27"/>
  <c r="Q19" i="27"/>
  <c r="R19" i="27"/>
  <c r="S19" i="27"/>
  <c r="T19" i="27"/>
  <c r="U19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B20" i="27" a="1"/>
  <c r="B20" i="27"/>
  <c r="D20" i="27"/>
  <c r="E20" i="27"/>
  <c r="F20" i="27"/>
  <c r="G20" i="27"/>
  <c r="H20" i="27"/>
  <c r="I20" i="27"/>
  <c r="J20" i="27"/>
  <c r="K20" i="27"/>
  <c r="L20" i="27"/>
  <c r="M20" i="27"/>
  <c r="N20" i="27"/>
  <c r="O20" i="27"/>
  <c r="P20" i="27"/>
  <c r="Q20" i="27"/>
  <c r="R20" i="27"/>
  <c r="S20" i="27"/>
  <c r="T20" i="27"/>
  <c r="U20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B21" i="27" a="1"/>
  <c r="B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Q21" i="27"/>
  <c r="R21" i="27"/>
  <c r="S21" i="27"/>
  <c r="T21" i="27"/>
  <c r="U21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B22" i="27" a="1"/>
  <c r="B22" i="27"/>
  <c r="D22" i="27"/>
  <c r="E22" i="27"/>
  <c r="F22" i="27"/>
  <c r="G22" i="27"/>
  <c r="H22" i="27"/>
  <c r="I22" i="27"/>
  <c r="J22" i="27"/>
  <c r="K22" i="27"/>
  <c r="L22" i="27"/>
  <c r="M22" i="27"/>
  <c r="N22" i="27"/>
  <c r="O22" i="27"/>
  <c r="P22" i="27"/>
  <c r="Q22" i="27"/>
  <c r="R22" i="27"/>
  <c r="S22" i="27"/>
  <c r="T22" i="27"/>
  <c r="U22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B23" i="27" a="1"/>
  <c r="B23" i="27"/>
  <c r="D23" i="27"/>
  <c r="E23" i="27"/>
  <c r="F23" i="27"/>
  <c r="G23" i="27"/>
  <c r="H23" i="27"/>
  <c r="I23" i="27"/>
  <c r="J23" i="27"/>
  <c r="K23" i="27"/>
  <c r="L23" i="27"/>
  <c r="M23" i="27"/>
  <c r="N23" i="27"/>
  <c r="O23" i="27"/>
  <c r="P23" i="27"/>
  <c r="Q23" i="27"/>
  <c r="R23" i="27"/>
  <c r="S23" i="27"/>
  <c r="T23" i="27"/>
  <c r="U23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B24" i="27" a="1"/>
  <c r="B24" i="27"/>
  <c r="D24" i="27"/>
  <c r="E24" i="27"/>
  <c r="F24" i="27"/>
  <c r="G24" i="27"/>
  <c r="H24" i="27"/>
  <c r="I24" i="27"/>
  <c r="J24" i="27"/>
  <c r="K24" i="27"/>
  <c r="L24" i="27"/>
  <c r="M24" i="27"/>
  <c r="N24" i="27"/>
  <c r="O24" i="27"/>
  <c r="P24" i="27"/>
  <c r="Q24" i="27"/>
  <c r="R24" i="27"/>
  <c r="S24" i="27"/>
  <c r="T24" i="27"/>
  <c r="U24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B25" i="27" a="1"/>
  <c r="B25" i="27"/>
  <c r="D25" i="27"/>
  <c r="E25" i="27"/>
  <c r="F25" i="27"/>
  <c r="G25" i="27"/>
  <c r="H25" i="27"/>
  <c r="I25" i="27"/>
  <c r="J25" i="27"/>
  <c r="K25" i="27"/>
  <c r="L25" i="27"/>
  <c r="M25" i="27"/>
  <c r="N25" i="27"/>
  <c r="O25" i="27"/>
  <c r="P25" i="27"/>
  <c r="Q25" i="27"/>
  <c r="R25" i="27"/>
  <c r="S25" i="27"/>
  <c r="T25" i="27"/>
  <c r="U25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B26" i="27" a="1"/>
  <c r="B26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Q26" i="27"/>
  <c r="R26" i="27"/>
  <c r="S26" i="27"/>
  <c r="T26" i="27"/>
  <c r="U26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B27" i="27" a="1"/>
  <c r="B27" i="27"/>
  <c r="D27" i="27"/>
  <c r="E27" i="27"/>
  <c r="F27" i="27"/>
  <c r="G27" i="27"/>
  <c r="H27" i="27"/>
  <c r="I27" i="27"/>
  <c r="J27" i="27"/>
  <c r="K27" i="27"/>
  <c r="L27" i="27"/>
  <c r="M27" i="27"/>
  <c r="N27" i="27"/>
  <c r="O27" i="27"/>
  <c r="P27" i="27"/>
  <c r="Q27" i="27"/>
  <c r="R27" i="27"/>
  <c r="S27" i="27"/>
  <c r="T27" i="27"/>
  <c r="U27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B28" i="27" a="1"/>
  <c r="B28" i="27"/>
  <c r="D28" i="27"/>
  <c r="E28" i="27"/>
  <c r="F28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B29" i="27" a="1"/>
  <c r="B29" i="27"/>
  <c r="D29" i="27"/>
  <c r="E29" i="27"/>
  <c r="F29" i="27"/>
  <c r="G29" i="27"/>
  <c r="H29" i="27"/>
  <c r="I29" i="27"/>
  <c r="J29" i="27"/>
  <c r="K29" i="27"/>
  <c r="L29" i="27"/>
  <c r="M29" i="27"/>
  <c r="N29" i="27"/>
  <c r="O29" i="27"/>
  <c r="P29" i="27"/>
  <c r="Q29" i="27"/>
  <c r="R29" i="27"/>
  <c r="S29" i="27"/>
  <c r="T29" i="27"/>
  <c r="U29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B30" i="27" a="1"/>
  <c r="B30" i="27"/>
  <c r="D30" i="27"/>
  <c r="E30" i="27"/>
  <c r="F30" i="27"/>
  <c r="G30" i="27"/>
  <c r="H30" i="27"/>
  <c r="I30" i="27"/>
  <c r="J30" i="27"/>
  <c r="K30" i="27"/>
  <c r="L30" i="27"/>
  <c r="M30" i="27"/>
  <c r="N30" i="27"/>
  <c r="O30" i="27"/>
  <c r="P30" i="27"/>
  <c r="Q30" i="27"/>
  <c r="R30" i="27"/>
  <c r="S30" i="27"/>
  <c r="T30" i="27"/>
  <c r="U30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B31" i="27" a="1"/>
  <c r="B31" i="27"/>
  <c r="D31" i="27"/>
  <c r="E31" i="27"/>
  <c r="F31" i="27"/>
  <c r="G31" i="27"/>
  <c r="H31" i="27"/>
  <c r="I31" i="27"/>
  <c r="J31" i="27"/>
  <c r="K31" i="27"/>
  <c r="L31" i="27"/>
  <c r="M31" i="27"/>
  <c r="N31" i="27"/>
  <c r="O31" i="27"/>
  <c r="P31" i="27"/>
  <c r="Q31" i="27"/>
  <c r="R31" i="27"/>
  <c r="S31" i="27"/>
  <c r="T31" i="27"/>
  <c r="U31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B32" i="27" a="1"/>
  <c r="B32" i="27"/>
  <c r="D32" i="27"/>
  <c r="E32" i="27"/>
  <c r="F32" i="27"/>
  <c r="G32" i="27"/>
  <c r="H32" i="27"/>
  <c r="I32" i="27"/>
  <c r="J32" i="27"/>
  <c r="K32" i="27"/>
  <c r="L32" i="27"/>
  <c r="M32" i="27"/>
  <c r="N32" i="27"/>
  <c r="O32" i="27"/>
  <c r="P32" i="27"/>
  <c r="Q32" i="27"/>
  <c r="R32" i="27"/>
  <c r="S32" i="27"/>
  <c r="T32" i="27"/>
  <c r="U32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B33" i="27" a="1"/>
  <c r="B33" i="27"/>
  <c r="D33" i="27"/>
  <c r="E33" i="27"/>
  <c r="F33" i="27"/>
  <c r="G33" i="27"/>
  <c r="H33" i="27"/>
  <c r="I33" i="27"/>
  <c r="J33" i="27"/>
  <c r="K33" i="27"/>
  <c r="L33" i="27"/>
  <c r="M33" i="27"/>
  <c r="N33" i="27"/>
  <c r="O33" i="27"/>
  <c r="P33" i="27"/>
  <c r="Q33" i="27"/>
  <c r="R33" i="27"/>
  <c r="S33" i="27"/>
  <c r="T33" i="27"/>
  <c r="U33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B34" i="27" a="1"/>
  <c r="B34" i="27"/>
  <c r="D34" i="27"/>
  <c r="E34" i="27"/>
  <c r="F34" i="27"/>
  <c r="G34" i="27"/>
  <c r="H34" i="27"/>
  <c r="I34" i="27"/>
  <c r="J34" i="27"/>
  <c r="K34" i="27"/>
  <c r="L34" i="27"/>
  <c r="M34" i="27"/>
  <c r="N34" i="27"/>
  <c r="O34" i="27"/>
  <c r="P34" i="27"/>
  <c r="Q34" i="27"/>
  <c r="R34" i="27"/>
  <c r="S34" i="27"/>
  <c r="T34" i="27"/>
  <c r="U34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B35" i="27" a="1"/>
  <c r="B35" i="27"/>
  <c r="D35" i="27"/>
  <c r="E35" i="27"/>
  <c r="F35" i="27"/>
  <c r="G35" i="27"/>
  <c r="H35" i="27"/>
  <c r="I35" i="27"/>
  <c r="J35" i="27"/>
  <c r="K35" i="27"/>
  <c r="L35" i="27"/>
  <c r="M35" i="27"/>
  <c r="N35" i="27"/>
  <c r="O35" i="27"/>
  <c r="P35" i="27"/>
  <c r="Q35" i="27"/>
  <c r="R35" i="27"/>
  <c r="S35" i="27"/>
  <c r="T35" i="27"/>
  <c r="U35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B36" i="27" a="1"/>
  <c r="B36" i="27"/>
  <c r="D36" i="27"/>
  <c r="E36" i="27"/>
  <c r="F36" i="27"/>
  <c r="G36" i="27"/>
  <c r="H36" i="27"/>
  <c r="I36" i="27"/>
  <c r="J36" i="27"/>
  <c r="K36" i="27"/>
  <c r="L36" i="27"/>
  <c r="M36" i="27"/>
  <c r="N36" i="27"/>
  <c r="O36" i="27"/>
  <c r="P36" i="27"/>
  <c r="Q36" i="27"/>
  <c r="R36" i="27"/>
  <c r="S36" i="27"/>
  <c r="T36" i="27"/>
  <c r="U36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B37" i="27" a="1"/>
  <c r="B37" i="27"/>
  <c r="D37" i="27"/>
  <c r="E37" i="27"/>
  <c r="F37" i="27"/>
  <c r="G37" i="27"/>
  <c r="H37" i="27"/>
  <c r="I37" i="27"/>
  <c r="J37" i="27"/>
  <c r="K37" i="27"/>
  <c r="L37" i="27"/>
  <c r="M37" i="27"/>
  <c r="N37" i="27"/>
  <c r="O37" i="27"/>
  <c r="P37" i="27"/>
  <c r="Q37" i="27"/>
  <c r="R37" i="27"/>
  <c r="S37" i="27"/>
  <c r="T37" i="27"/>
  <c r="U37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B38" i="27" a="1"/>
  <c r="B38" i="27"/>
  <c r="D38" i="27"/>
  <c r="E38" i="27"/>
  <c r="F38" i="27"/>
  <c r="G38" i="27"/>
  <c r="H38" i="27"/>
  <c r="I38" i="27"/>
  <c r="J38" i="27"/>
  <c r="K38" i="27"/>
  <c r="L38" i="27"/>
  <c r="M38" i="27"/>
  <c r="N38" i="27"/>
  <c r="O38" i="27"/>
  <c r="P38" i="27"/>
  <c r="Q38" i="27"/>
  <c r="R38" i="27"/>
  <c r="S38" i="27"/>
  <c r="T38" i="27"/>
  <c r="U38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B39" i="27" a="1"/>
  <c r="B39" i="27"/>
  <c r="D39" i="27"/>
  <c r="E39" i="27"/>
  <c r="F39" i="27"/>
  <c r="G39" i="27"/>
  <c r="H39" i="27"/>
  <c r="I39" i="27"/>
  <c r="J39" i="27"/>
  <c r="K39" i="27"/>
  <c r="L39" i="27"/>
  <c r="M39" i="27"/>
  <c r="N39" i="27"/>
  <c r="O39" i="27"/>
  <c r="P39" i="27"/>
  <c r="Q39" i="27"/>
  <c r="R39" i="27"/>
  <c r="S39" i="27"/>
  <c r="T39" i="27"/>
  <c r="U39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B40" i="27" a="1"/>
  <c r="B40" i="27"/>
  <c r="D40" i="27"/>
  <c r="E40" i="27"/>
  <c r="F40" i="27"/>
  <c r="G40" i="27"/>
  <c r="H40" i="27"/>
  <c r="I40" i="27"/>
  <c r="J40" i="27"/>
  <c r="K40" i="27"/>
  <c r="L40" i="27"/>
  <c r="M40" i="27"/>
  <c r="N40" i="27"/>
  <c r="O40" i="27"/>
  <c r="P40" i="27"/>
  <c r="Q40" i="27"/>
  <c r="R40" i="27"/>
  <c r="S40" i="27"/>
  <c r="T40" i="27"/>
  <c r="U40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B41" i="27" a="1"/>
  <c r="B41" i="27"/>
  <c r="D41" i="27"/>
  <c r="E41" i="27"/>
  <c r="F41" i="27"/>
  <c r="G41" i="27"/>
  <c r="H41" i="27"/>
  <c r="I41" i="27"/>
  <c r="J41" i="27"/>
  <c r="K41" i="27"/>
  <c r="L41" i="27"/>
  <c r="M41" i="27"/>
  <c r="N41" i="27"/>
  <c r="O41" i="27"/>
  <c r="P41" i="27"/>
  <c r="Q41" i="27"/>
  <c r="R41" i="27"/>
  <c r="S41" i="27"/>
  <c r="T41" i="27"/>
  <c r="U41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B42" i="27" a="1"/>
  <c r="B42" i="27"/>
  <c r="D42" i="27"/>
  <c r="E42" i="27"/>
  <c r="F42" i="27"/>
  <c r="G42" i="27"/>
  <c r="H42" i="27"/>
  <c r="I42" i="27"/>
  <c r="J42" i="27"/>
  <c r="K42" i="27"/>
  <c r="L42" i="27"/>
  <c r="M42" i="27"/>
  <c r="N42" i="27"/>
  <c r="O42" i="27"/>
  <c r="P42" i="27"/>
  <c r="Q42" i="27"/>
  <c r="R42" i="27"/>
  <c r="S42" i="27"/>
  <c r="T42" i="27"/>
  <c r="U42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B43" i="27" a="1"/>
  <c r="B43" i="27"/>
  <c r="D43" i="27"/>
  <c r="E43" i="27"/>
  <c r="F43" i="27"/>
  <c r="G43" i="27"/>
  <c r="H43" i="27"/>
  <c r="I43" i="27"/>
  <c r="J43" i="27"/>
  <c r="K43" i="27"/>
  <c r="L43" i="27"/>
  <c r="M43" i="27"/>
  <c r="N43" i="27"/>
  <c r="O43" i="27"/>
  <c r="P43" i="27"/>
  <c r="Q43" i="27"/>
  <c r="R43" i="27"/>
  <c r="S43" i="27"/>
  <c r="T43" i="27"/>
  <c r="U43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B44" i="27" a="1"/>
  <c r="B44" i="27"/>
  <c r="D44" i="27"/>
  <c r="E44" i="27"/>
  <c r="F44" i="27"/>
  <c r="G44" i="27"/>
  <c r="H44" i="27"/>
  <c r="I44" i="27"/>
  <c r="J44" i="27"/>
  <c r="K44" i="27"/>
  <c r="L44" i="27"/>
  <c r="M44" i="27"/>
  <c r="N44" i="27"/>
  <c r="O44" i="27"/>
  <c r="P44" i="27"/>
  <c r="Q44" i="27"/>
  <c r="R44" i="27"/>
  <c r="S44" i="27"/>
  <c r="T44" i="27"/>
  <c r="U44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B45" i="27" a="1"/>
  <c r="B45" i="27"/>
  <c r="D45" i="27"/>
  <c r="E45" i="27"/>
  <c r="F45" i="27"/>
  <c r="G45" i="27"/>
  <c r="H45" i="27"/>
  <c r="I45" i="27"/>
  <c r="J45" i="27"/>
  <c r="K45" i="27"/>
  <c r="L45" i="27"/>
  <c r="M45" i="27"/>
  <c r="N45" i="27"/>
  <c r="O45" i="27"/>
  <c r="P45" i="27"/>
  <c r="Q45" i="27"/>
  <c r="R45" i="27"/>
  <c r="S45" i="27"/>
  <c r="T45" i="27"/>
  <c r="U45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B46" i="27" a="1"/>
  <c r="B46" i="27"/>
  <c r="D46" i="27"/>
  <c r="E46" i="27"/>
  <c r="F46" i="27"/>
  <c r="G46" i="27"/>
  <c r="H46" i="27"/>
  <c r="I46" i="27"/>
  <c r="J46" i="27"/>
  <c r="K46" i="27"/>
  <c r="L46" i="27"/>
  <c r="M46" i="27"/>
  <c r="N46" i="27"/>
  <c r="O46" i="27"/>
  <c r="P46" i="27"/>
  <c r="Q46" i="27"/>
  <c r="R46" i="27"/>
  <c r="S46" i="27"/>
  <c r="T46" i="27"/>
  <c r="U46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B47" i="27" a="1"/>
  <c r="B47" i="27"/>
  <c r="D47" i="27"/>
  <c r="E47" i="27"/>
  <c r="F47" i="27"/>
  <c r="G47" i="27"/>
  <c r="H47" i="27"/>
  <c r="I47" i="27"/>
  <c r="J47" i="27"/>
  <c r="K47" i="27"/>
  <c r="L47" i="27"/>
  <c r="M47" i="27"/>
  <c r="N47" i="27"/>
  <c r="O47" i="27"/>
  <c r="P47" i="27"/>
  <c r="Q47" i="27"/>
  <c r="R47" i="27"/>
  <c r="S47" i="27"/>
  <c r="T47" i="27"/>
  <c r="U47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B48" i="27" a="1"/>
  <c r="B48" i="27"/>
  <c r="D48" i="27"/>
  <c r="E48" i="27"/>
  <c r="F48" i="27"/>
  <c r="G48" i="27"/>
  <c r="H48" i="27"/>
  <c r="I48" i="27"/>
  <c r="J48" i="27"/>
  <c r="K48" i="27"/>
  <c r="L48" i="27"/>
  <c r="M48" i="27"/>
  <c r="N48" i="27"/>
  <c r="O48" i="27"/>
  <c r="P48" i="27"/>
  <c r="Q48" i="27"/>
  <c r="R48" i="27"/>
  <c r="S48" i="27"/>
  <c r="T48" i="27"/>
  <c r="U48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B49" i="27" a="1"/>
  <c r="B49" i="27"/>
  <c r="D49" i="27"/>
  <c r="E49" i="27"/>
  <c r="F49" i="27"/>
  <c r="G49" i="27"/>
  <c r="H49" i="27"/>
  <c r="I49" i="27"/>
  <c r="J49" i="27"/>
  <c r="K49" i="27"/>
  <c r="L49" i="27"/>
  <c r="M49" i="27"/>
  <c r="N49" i="27"/>
  <c r="O49" i="27"/>
  <c r="P49" i="27"/>
  <c r="Q49" i="27"/>
  <c r="R49" i="27"/>
  <c r="S49" i="27"/>
  <c r="T49" i="27"/>
  <c r="U49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B50" i="27" a="1"/>
  <c r="B50" i="27"/>
  <c r="D50" i="27"/>
  <c r="E50" i="27"/>
  <c r="F50" i="27"/>
  <c r="G50" i="27"/>
  <c r="H50" i="27"/>
  <c r="I50" i="27"/>
  <c r="J50" i="27"/>
  <c r="K50" i="27"/>
  <c r="L50" i="27"/>
  <c r="M50" i="27"/>
  <c r="N50" i="27"/>
  <c r="O50" i="27"/>
  <c r="P50" i="27"/>
  <c r="Q50" i="27"/>
  <c r="R50" i="27"/>
  <c r="S50" i="27"/>
  <c r="T50" i="27"/>
  <c r="U50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B51" i="27" a="1"/>
  <c r="B51" i="27"/>
  <c r="D51" i="27"/>
  <c r="E51" i="27"/>
  <c r="F51" i="27"/>
  <c r="G51" i="27"/>
  <c r="H51" i="27"/>
  <c r="I51" i="27"/>
  <c r="J51" i="27"/>
  <c r="K51" i="27"/>
  <c r="L51" i="27"/>
  <c r="M51" i="27"/>
  <c r="N51" i="27"/>
  <c r="O51" i="27"/>
  <c r="P51" i="27"/>
  <c r="Q51" i="27"/>
  <c r="R51" i="27"/>
  <c r="S51" i="27"/>
  <c r="T51" i="27"/>
  <c r="U51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B52" i="27" a="1"/>
  <c r="B52" i="27"/>
  <c r="D52" i="27"/>
  <c r="E52" i="27"/>
  <c r="F52" i="27"/>
  <c r="G52" i="27"/>
  <c r="H52" i="27"/>
  <c r="I52" i="27"/>
  <c r="J52" i="27"/>
  <c r="K52" i="27"/>
  <c r="L52" i="27"/>
  <c r="M52" i="27"/>
  <c r="N52" i="27"/>
  <c r="O52" i="27"/>
  <c r="P52" i="27"/>
  <c r="Q52" i="27"/>
  <c r="R52" i="27"/>
  <c r="S52" i="27"/>
  <c r="T52" i="27"/>
  <c r="U52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B53" i="27" a="1"/>
  <c r="B53" i="27"/>
  <c r="D53" i="27"/>
  <c r="E53" i="27"/>
  <c r="F53" i="27"/>
  <c r="G53" i="27"/>
  <c r="H53" i="27"/>
  <c r="I53" i="27"/>
  <c r="J53" i="27"/>
  <c r="K53" i="27"/>
  <c r="L53" i="27"/>
  <c r="M53" i="27"/>
  <c r="N53" i="27"/>
  <c r="O53" i="27"/>
  <c r="P53" i="27"/>
  <c r="Q53" i="27"/>
  <c r="R53" i="27"/>
  <c r="S53" i="27"/>
  <c r="T53" i="27"/>
  <c r="U53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B54" i="27" a="1"/>
  <c r="B54" i="27"/>
  <c r="D54" i="27"/>
  <c r="E54" i="27"/>
  <c r="F54" i="27"/>
  <c r="G54" i="27"/>
  <c r="H54" i="27"/>
  <c r="I54" i="27"/>
  <c r="J54" i="27"/>
  <c r="K54" i="27"/>
  <c r="L54" i="27"/>
  <c r="M54" i="27"/>
  <c r="N54" i="27"/>
  <c r="O54" i="27"/>
  <c r="P54" i="27"/>
  <c r="Q54" i="27"/>
  <c r="R54" i="27"/>
  <c r="S54" i="27"/>
  <c r="T54" i="27"/>
  <c r="U54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B55" i="27" a="1"/>
  <c r="B55" i="27"/>
  <c r="D55" i="27"/>
  <c r="E55" i="27"/>
  <c r="F55" i="27"/>
  <c r="G55" i="27"/>
  <c r="H55" i="27"/>
  <c r="I55" i="27"/>
  <c r="J55" i="27"/>
  <c r="K55" i="27"/>
  <c r="L55" i="27"/>
  <c r="M55" i="27"/>
  <c r="N55" i="27"/>
  <c r="O55" i="27"/>
  <c r="P55" i="27"/>
  <c r="Q55" i="27"/>
  <c r="R55" i="27"/>
  <c r="S55" i="27"/>
  <c r="T55" i="27"/>
  <c r="U55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B56" i="27" a="1"/>
  <c r="B56" i="27"/>
  <c r="D56" i="27"/>
  <c r="E56" i="27"/>
  <c r="F56" i="27"/>
  <c r="G56" i="27"/>
  <c r="H56" i="27"/>
  <c r="I56" i="27"/>
  <c r="J56" i="27"/>
  <c r="K56" i="27"/>
  <c r="L56" i="27"/>
  <c r="M56" i="27"/>
  <c r="N56" i="27"/>
  <c r="O56" i="27"/>
  <c r="P56" i="27"/>
  <c r="Q56" i="27"/>
  <c r="R56" i="27"/>
  <c r="S56" i="27"/>
  <c r="T56" i="27"/>
  <c r="U56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B57" i="27" a="1"/>
  <c r="B57" i="27"/>
  <c r="D57" i="27"/>
  <c r="E57" i="27"/>
  <c r="F57" i="27"/>
  <c r="G57" i="27"/>
  <c r="H57" i="27"/>
  <c r="I57" i="27"/>
  <c r="J57" i="27"/>
  <c r="K57" i="27"/>
  <c r="L57" i="27"/>
  <c r="M57" i="27"/>
  <c r="N57" i="27"/>
  <c r="O57" i="27"/>
  <c r="P57" i="27"/>
  <c r="Q57" i="27"/>
  <c r="R57" i="27"/>
  <c r="S57" i="27"/>
  <c r="T57" i="27"/>
  <c r="U57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B58" i="27" a="1"/>
  <c r="B58" i="27"/>
  <c r="D58" i="27"/>
  <c r="E58" i="27"/>
  <c r="F58" i="27"/>
  <c r="G58" i="27"/>
  <c r="H58" i="27"/>
  <c r="I58" i="27"/>
  <c r="J58" i="27"/>
  <c r="K58" i="27"/>
  <c r="L58" i="27"/>
  <c r="M58" i="27"/>
  <c r="N58" i="27"/>
  <c r="O58" i="27"/>
  <c r="P58" i="27"/>
  <c r="Q58" i="27"/>
  <c r="R58" i="27"/>
  <c r="S58" i="27"/>
  <c r="T58" i="27"/>
  <c r="U58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B59" i="27" a="1"/>
  <c r="B59" i="27"/>
  <c r="D59" i="27"/>
  <c r="E59" i="27"/>
  <c r="F59" i="27"/>
  <c r="G59" i="27"/>
  <c r="H59" i="27"/>
  <c r="I59" i="27"/>
  <c r="J59" i="27"/>
  <c r="K59" i="27"/>
  <c r="L59" i="27"/>
  <c r="M59" i="27"/>
  <c r="N59" i="27"/>
  <c r="O59" i="27"/>
  <c r="P59" i="27"/>
  <c r="Q59" i="27"/>
  <c r="R59" i="27"/>
  <c r="S59" i="27"/>
  <c r="T59" i="27"/>
  <c r="U59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B60" i="27" a="1"/>
  <c r="B60" i="27"/>
  <c r="D60" i="27"/>
  <c r="E60" i="27"/>
  <c r="F60" i="27"/>
  <c r="G60" i="27"/>
  <c r="H60" i="27"/>
  <c r="I60" i="27"/>
  <c r="J60" i="27"/>
  <c r="K60" i="27"/>
  <c r="L60" i="27"/>
  <c r="M60" i="27"/>
  <c r="N60" i="27"/>
  <c r="O60" i="27"/>
  <c r="P60" i="27"/>
  <c r="Q60" i="27"/>
  <c r="R60" i="27"/>
  <c r="S60" i="27"/>
  <c r="T60" i="27"/>
  <c r="U60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B61" i="27" a="1"/>
  <c r="B61" i="27"/>
  <c r="D61" i="27"/>
  <c r="E61" i="27"/>
  <c r="F61" i="27"/>
  <c r="G61" i="27"/>
  <c r="H61" i="27"/>
  <c r="I61" i="27"/>
  <c r="J61" i="27"/>
  <c r="K61" i="27"/>
  <c r="L61" i="27"/>
  <c r="M61" i="27"/>
  <c r="N61" i="27"/>
  <c r="O61" i="27"/>
  <c r="P61" i="27"/>
  <c r="Q61" i="27"/>
  <c r="R61" i="27"/>
  <c r="S61" i="27"/>
  <c r="T61" i="27"/>
  <c r="U61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B62" i="27" a="1"/>
  <c r="B62" i="27"/>
  <c r="D62" i="27"/>
  <c r="E62" i="27"/>
  <c r="F62" i="27"/>
  <c r="G62" i="27"/>
  <c r="H62" i="27"/>
  <c r="I62" i="27"/>
  <c r="J62" i="27"/>
  <c r="K62" i="27"/>
  <c r="L62" i="27"/>
  <c r="M62" i="27"/>
  <c r="N62" i="27"/>
  <c r="O62" i="27"/>
  <c r="P62" i="27"/>
  <c r="Q62" i="27"/>
  <c r="R62" i="27"/>
  <c r="S62" i="27"/>
  <c r="T62" i="27"/>
  <c r="U62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B63" i="27" a="1"/>
  <c r="B63" i="27"/>
  <c r="D63" i="27"/>
  <c r="E63" i="27"/>
  <c r="F63" i="27"/>
  <c r="G63" i="27"/>
  <c r="H63" i="27"/>
  <c r="I63" i="27"/>
  <c r="J63" i="27"/>
  <c r="K63" i="27"/>
  <c r="L63" i="27"/>
  <c r="M63" i="27"/>
  <c r="N63" i="27"/>
  <c r="O63" i="27"/>
  <c r="P63" i="27"/>
  <c r="Q63" i="27"/>
  <c r="R63" i="27"/>
  <c r="S63" i="27"/>
  <c r="T63" i="27"/>
  <c r="U63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B64" i="27" a="1"/>
  <c r="B64" i="27"/>
  <c r="D64" i="27"/>
  <c r="E64" i="27"/>
  <c r="F64" i="27"/>
  <c r="G64" i="27"/>
  <c r="H64" i="27"/>
  <c r="I64" i="27"/>
  <c r="J64" i="27"/>
  <c r="K64" i="27"/>
  <c r="L64" i="27"/>
  <c r="M64" i="27"/>
  <c r="N64" i="27"/>
  <c r="O64" i="27"/>
  <c r="P64" i="27"/>
  <c r="Q64" i="27"/>
  <c r="R64" i="27"/>
  <c r="S64" i="27"/>
  <c r="T64" i="27"/>
  <c r="U64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B65" i="27" a="1"/>
  <c r="B65" i="27"/>
  <c r="D65" i="27"/>
  <c r="E65" i="27"/>
  <c r="F65" i="27"/>
  <c r="G65" i="27"/>
  <c r="H65" i="27"/>
  <c r="I65" i="27"/>
  <c r="J65" i="27"/>
  <c r="K65" i="27"/>
  <c r="L65" i="27"/>
  <c r="M65" i="27"/>
  <c r="N65" i="27"/>
  <c r="O65" i="27"/>
  <c r="P65" i="27"/>
  <c r="Q65" i="27"/>
  <c r="R65" i="27"/>
  <c r="S65" i="27"/>
  <c r="T65" i="27"/>
  <c r="U65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B66" i="27" a="1"/>
  <c r="B66" i="27"/>
  <c r="D66" i="27"/>
  <c r="E66" i="27"/>
  <c r="F66" i="27"/>
  <c r="G66" i="27"/>
  <c r="H66" i="27"/>
  <c r="I66" i="27"/>
  <c r="J66" i="27"/>
  <c r="K66" i="27"/>
  <c r="L66" i="27"/>
  <c r="M66" i="27"/>
  <c r="N66" i="27"/>
  <c r="O66" i="27"/>
  <c r="P66" i="27"/>
  <c r="Q66" i="27"/>
  <c r="R66" i="27"/>
  <c r="S66" i="27"/>
  <c r="T66" i="27"/>
  <c r="U66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B67" i="27" a="1"/>
  <c r="B67" i="27"/>
  <c r="D67" i="27"/>
  <c r="E67" i="27"/>
  <c r="F67" i="27"/>
  <c r="G67" i="27"/>
  <c r="H67" i="27"/>
  <c r="I67" i="27"/>
  <c r="J67" i="27"/>
  <c r="K67" i="27"/>
  <c r="L67" i="27"/>
  <c r="M67" i="27"/>
  <c r="N67" i="27"/>
  <c r="O67" i="27"/>
  <c r="P67" i="27"/>
  <c r="Q67" i="27"/>
  <c r="R67" i="27"/>
  <c r="S67" i="27"/>
  <c r="T67" i="27"/>
  <c r="U67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B68" i="27" a="1"/>
  <c r="B68" i="27"/>
  <c r="D68" i="27"/>
  <c r="E68" i="27"/>
  <c r="F68" i="27"/>
  <c r="G68" i="27"/>
  <c r="H68" i="27"/>
  <c r="I68" i="27"/>
  <c r="J68" i="27"/>
  <c r="K68" i="27"/>
  <c r="L68" i="27"/>
  <c r="M68" i="27"/>
  <c r="N68" i="27"/>
  <c r="O68" i="27"/>
  <c r="P68" i="27"/>
  <c r="Q68" i="27"/>
  <c r="R68" i="27"/>
  <c r="S68" i="27"/>
  <c r="T68" i="27"/>
  <c r="U68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B69" i="27" a="1"/>
  <c r="B69" i="27"/>
  <c r="D69" i="27"/>
  <c r="E69" i="27"/>
  <c r="F69" i="27"/>
  <c r="G69" i="27"/>
  <c r="H69" i="27"/>
  <c r="I69" i="27"/>
  <c r="J69" i="27"/>
  <c r="K69" i="27"/>
  <c r="L69" i="27"/>
  <c r="M69" i="27"/>
  <c r="N69" i="27"/>
  <c r="O69" i="27"/>
  <c r="P69" i="27"/>
  <c r="Q69" i="27"/>
  <c r="R69" i="27"/>
  <c r="S69" i="27"/>
  <c r="T69" i="27"/>
  <c r="U69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B70" i="27" a="1"/>
  <c r="B70" i="27"/>
  <c r="D70" i="27"/>
  <c r="E70" i="27"/>
  <c r="F70" i="27"/>
  <c r="G70" i="27"/>
  <c r="H70" i="27"/>
  <c r="I70" i="27"/>
  <c r="J70" i="27"/>
  <c r="K70" i="27"/>
  <c r="L70" i="27"/>
  <c r="M70" i="27"/>
  <c r="N70" i="27"/>
  <c r="O70" i="27"/>
  <c r="P70" i="27"/>
  <c r="Q70" i="27"/>
  <c r="R70" i="27"/>
  <c r="S70" i="27"/>
  <c r="T70" i="27"/>
  <c r="U70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B71" i="27" a="1"/>
  <c r="B71" i="27"/>
  <c r="D71" i="27"/>
  <c r="E71" i="27"/>
  <c r="F71" i="27"/>
  <c r="G71" i="27"/>
  <c r="H71" i="27"/>
  <c r="I71" i="27"/>
  <c r="J71" i="27"/>
  <c r="K71" i="27"/>
  <c r="L71" i="27"/>
  <c r="M71" i="27"/>
  <c r="N71" i="27"/>
  <c r="O71" i="27"/>
  <c r="P71" i="27"/>
  <c r="Q71" i="27"/>
  <c r="R71" i="27"/>
  <c r="S71" i="27"/>
  <c r="T71" i="27"/>
  <c r="U71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B72" i="27" a="1"/>
  <c r="B72" i="27"/>
  <c r="D72" i="27"/>
  <c r="E72" i="27"/>
  <c r="F72" i="27"/>
  <c r="G72" i="27"/>
  <c r="H72" i="27"/>
  <c r="I72" i="27"/>
  <c r="J72" i="27"/>
  <c r="K72" i="27"/>
  <c r="L72" i="27"/>
  <c r="M72" i="27"/>
  <c r="N72" i="27"/>
  <c r="O72" i="27"/>
  <c r="P72" i="27"/>
  <c r="Q72" i="27"/>
  <c r="R72" i="27"/>
  <c r="S72" i="27"/>
  <c r="T72" i="27"/>
  <c r="U72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B73" i="27" a="1"/>
  <c r="B73" i="27"/>
  <c r="D73" i="27"/>
  <c r="E73" i="27"/>
  <c r="F73" i="27"/>
  <c r="G73" i="27"/>
  <c r="H73" i="27"/>
  <c r="I73" i="27"/>
  <c r="J73" i="27"/>
  <c r="K73" i="27"/>
  <c r="L73" i="27"/>
  <c r="M73" i="27"/>
  <c r="N73" i="27"/>
  <c r="O73" i="27"/>
  <c r="P73" i="27"/>
  <c r="Q73" i="27"/>
  <c r="R73" i="27"/>
  <c r="S73" i="27"/>
  <c r="T73" i="27"/>
  <c r="U73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B74" i="27" a="1"/>
  <c r="B74" i="27"/>
  <c r="D74" i="27"/>
  <c r="E74" i="27"/>
  <c r="F74" i="27"/>
  <c r="G74" i="27"/>
  <c r="H74" i="27"/>
  <c r="I74" i="27"/>
  <c r="J74" i="27"/>
  <c r="K74" i="27"/>
  <c r="L74" i="27"/>
  <c r="M74" i="27"/>
  <c r="N74" i="27"/>
  <c r="O74" i="27"/>
  <c r="P74" i="27"/>
  <c r="Q74" i="27"/>
  <c r="R74" i="27"/>
  <c r="S74" i="27"/>
  <c r="T74" i="27"/>
  <c r="U74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B75" i="27" a="1"/>
  <c r="B75" i="27"/>
  <c r="D75" i="27"/>
  <c r="E75" i="27"/>
  <c r="F75" i="27"/>
  <c r="G75" i="27"/>
  <c r="H75" i="27"/>
  <c r="I75" i="27"/>
  <c r="J75" i="27"/>
  <c r="K75" i="27"/>
  <c r="L75" i="27"/>
  <c r="M75" i="27"/>
  <c r="N75" i="27"/>
  <c r="O75" i="27"/>
  <c r="P75" i="27"/>
  <c r="Q75" i="27"/>
  <c r="R75" i="27"/>
  <c r="S75" i="27"/>
  <c r="T75" i="27"/>
  <c r="U75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B76" i="27" a="1"/>
  <c r="B76" i="27"/>
  <c r="D76" i="27"/>
  <c r="E76" i="27"/>
  <c r="F76" i="27"/>
  <c r="G76" i="27"/>
  <c r="H76" i="27"/>
  <c r="I76" i="27"/>
  <c r="J76" i="27"/>
  <c r="K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B77" i="27" a="1"/>
  <c r="B77" i="27"/>
  <c r="D77" i="27"/>
  <c r="E77" i="27"/>
  <c r="F77" i="27"/>
  <c r="G77" i="27"/>
  <c r="H77" i="27"/>
  <c r="I77" i="27"/>
  <c r="J77" i="27"/>
  <c r="K77" i="27"/>
  <c r="L77" i="27"/>
  <c r="M77" i="27"/>
  <c r="N77" i="27"/>
  <c r="O77" i="27"/>
  <c r="P77" i="27"/>
  <c r="Q77" i="27"/>
  <c r="R77" i="27"/>
  <c r="S77" i="27"/>
  <c r="T77" i="27"/>
  <c r="U77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B78" i="27" a="1"/>
  <c r="B78" i="27"/>
  <c r="D78" i="27"/>
  <c r="E78" i="27"/>
  <c r="F78" i="27"/>
  <c r="G78" i="27"/>
  <c r="H78" i="27"/>
  <c r="I78" i="27"/>
  <c r="J78" i="27"/>
  <c r="K78" i="27"/>
  <c r="L78" i="27"/>
  <c r="M78" i="27"/>
  <c r="N78" i="27"/>
  <c r="O78" i="27"/>
  <c r="P78" i="27"/>
  <c r="Q78" i="27"/>
  <c r="R78" i="27"/>
  <c r="S78" i="27"/>
  <c r="T78" i="27"/>
  <c r="U78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B79" i="27" a="1"/>
  <c r="B79" i="27"/>
  <c r="D79" i="27"/>
  <c r="E79" i="27"/>
  <c r="F79" i="27"/>
  <c r="G79" i="27"/>
  <c r="H79" i="27"/>
  <c r="I79" i="27"/>
  <c r="J79" i="27"/>
  <c r="K79" i="27"/>
  <c r="L79" i="27"/>
  <c r="M79" i="27"/>
  <c r="N79" i="27"/>
  <c r="O79" i="27"/>
  <c r="P79" i="27"/>
  <c r="Q79" i="27"/>
  <c r="R79" i="27"/>
  <c r="S79" i="27"/>
  <c r="T79" i="27"/>
  <c r="U79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B80" i="27" a="1"/>
  <c r="B80" i="27"/>
  <c r="D80" i="27"/>
  <c r="E80" i="27"/>
  <c r="F80" i="27"/>
  <c r="G80" i="27"/>
  <c r="H80" i="27"/>
  <c r="I80" i="27"/>
  <c r="J80" i="27"/>
  <c r="K80" i="27"/>
  <c r="L80" i="27"/>
  <c r="M80" i="27"/>
  <c r="N80" i="27"/>
  <c r="O80" i="27"/>
  <c r="P80" i="27"/>
  <c r="Q80" i="27"/>
  <c r="R80" i="27"/>
  <c r="S80" i="27"/>
  <c r="T80" i="27"/>
  <c r="U80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B81" i="27" a="1"/>
  <c r="B81" i="27"/>
  <c r="D81" i="27"/>
  <c r="E81" i="27"/>
  <c r="F81" i="27"/>
  <c r="G81" i="27"/>
  <c r="H81" i="27"/>
  <c r="I81" i="27"/>
  <c r="J81" i="27"/>
  <c r="K81" i="27"/>
  <c r="L81" i="27"/>
  <c r="M81" i="27"/>
  <c r="N81" i="27"/>
  <c r="O81" i="27"/>
  <c r="P81" i="27"/>
  <c r="Q81" i="27"/>
  <c r="R81" i="27"/>
  <c r="S81" i="27"/>
  <c r="T81" i="27"/>
  <c r="U81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B82" i="27" a="1"/>
  <c r="B82" i="27"/>
  <c r="D82" i="27"/>
  <c r="E82" i="27"/>
  <c r="F82" i="27"/>
  <c r="G82" i="27"/>
  <c r="H82" i="27"/>
  <c r="I82" i="27"/>
  <c r="J82" i="27"/>
  <c r="K82" i="27"/>
  <c r="L82" i="27"/>
  <c r="M82" i="27"/>
  <c r="N82" i="27"/>
  <c r="O82" i="27"/>
  <c r="P82" i="27"/>
  <c r="Q82" i="27"/>
  <c r="R82" i="27"/>
  <c r="S82" i="27"/>
  <c r="T82" i="27"/>
  <c r="U82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B83" i="27" a="1"/>
  <c r="B83" i="27"/>
  <c r="D83" i="27"/>
  <c r="E83" i="27"/>
  <c r="F83" i="27"/>
  <c r="G83" i="27"/>
  <c r="H83" i="27"/>
  <c r="I83" i="27"/>
  <c r="J83" i="27"/>
  <c r="K83" i="27"/>
  <c r="L83" i="27"/>
  <c r="M83" i="27"/>
  <c r="N83" i="27"/>
  <c r="O83" i="27"/>
  <c r="P83" i="27"/>
  <c r="Q83" i="27"/>
  <c r="R83" i="27"/>
  <c r="S83" i="27"/>
  <c r="T83" i="27"/>
  <c r="U83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B84" i="27" a="1"/>
  <c r="B84" i="27"/>
  <c r="D84" i="27"/>
  <c r="E84" i="27"/>
  <c r="F84" i="27"/>
  <c r="G84" i="27"/>
  <c r="H84" i="27"/>
  <c r="I84" i="27"/>
  <c r="J84" i="27"/>
  <c r="K84" i="27"/>
  <c r="L84" i="27"/>
  <c r="M84" i="27"/>
  <c r="N84" i="27"/>
  <c r="O84" i="27"/>
  <c r="P84" i="27"/>
  <c r="Q84" i="27"/>
  <c r="R84" i="27"/>
  <c r="S84" i="27"/>
  <c r="T84" i="27"/>
  <c r="U84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B85" i="27" a="1"/>
  <c r="B85" i="27"/>
  <c r="D85" i="27"/>
  <c r="E85" i="27"/>
  <c r="F85" i="27"/>
  <c r="G85" i="27"/>
  <c r="H85" i="27"/>
  <c r="I85" i="27"/>
  <c r="J85" i="27"/>
  <c r="K85" i="27"/>
  <c r="L85" i="27"/>
  <c r="M85" i="27"/>
  <c r="N85" i="27"/>
  <c r="O85" i="27"/>
  <c r="P85" i="27"/>
  <c r="Q85" i="27"/>
  <c r="R85" i="27"/>
  <c r="S85" i="27"/>
  <c r="T85" i="27"/>
  <c r="U85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B86" i="27" a="1"/>
  <c r="B86" i="27"/>
  <c r="D86" i="27"/>
  <c r="E86" i="27"/>
  <c r="F86" i="27"/>
  <c r="G86" i="27"/>
  <c r="H86" i="27"/>
  <c r="I86" i="27"/>
  <c r="J86" i="27"/>
  <c r="K86" i="27"/>
  <c r="L86" i="27"/>
  <c r="M86" i="27"/>
  <c r="N86" i="27"/>
  <c r="O86" i="27"/>
  <c r="P86" i="27"/>
  <c r="Q86" i="27"/>
  <c r="R86" i="27"/>
  <c r="S86" i="27"/>
  <c r="T86" i="27"/>
  <c r="U86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B87" i="27" a="1"/>
  <c r="B87" i="27"/>
  <c r="D87" i="27"/>
  <c r="E87" i="27"/>
  <c r="F87" i="27"/>
  <c r="G87" i="27"/>
  <c r="H87" i="27"/>
  <c r="I87" i="27"/>
  <c r="J87" i="27"/>
  <c r="K87" i="27"/>
  <c r="L87" i="27"/>
  <c r="M87" i="27"/>
  <c r="N87" i="27"/>
  <c r="O87" i="27"/>
  <c r="P87" i="27"/>
  <c r="Q87" i="27"/>
  <c r="R87" i="27"/>
  <c r="S87" i="27"/>
  <c r="T87" i="27"/>
  <c r="U87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B88" i="27" a="1"/>
  <c r="B88" i="27"/>
  <c r="D88" i="27"/>
  <c r="E88" i="27"/>
  <c r="F88" i="27"/>
  <c r="G88" i="27"/>
  <c r="H88" i="27"/>
  <c r="I88" i="27"/>
  <c r="J88" i="27"/>
  <c r="K88" i="27"/>
  <c r="L88" i="27"/>
  <c r="M88" i="27"/>
  <c r="N88" i="27"/>
  <c r="O88" i="27"/>
  <c r="P88" i="27"/>
  <c r="Q88" i="27"/>
  <c r="R88" i="27"/>
  <c r="S88" i="27"/>
  <c r="T88" i="27"/>
  <c r="U88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B89" i="27" a="1"/>
  <c r="B89" i="27"/>
  <c r="D89" i="27"/>
  <c r="E89" i="27"/>
  <c r="F89" i="27"/>
  <c r="G89" i="27"/>
  <c r="H89" i="27"/>
  <c r="I89" i="27"/>
  <c r="J89" i="27"/>
  <c r="K89" i="27"/>
  <c r="L89" i="27"/>
  <c r="M89" i="27"/>
  <c r="N89" i="27"/>
  <c r="O89" i="27"/>
  <c r="P89" i="27"/>
  <c r="Q89" i="27"/>
  <c r="R89" i="27"/>
  <c r="S89" i="27"/>
  <c r="T89" i="27"/>
  <c r="U89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B90" i="27" a="1"/>
  <c r="B90" i="27"/>
  <c r="D90" i="27"/>
  <c r="E90" i="27"/>
  <c r="F90" i="27"/>
  <c r="G90" i="27"/>
  <c r="H90" i="27"/>
  <c r="I90" i="27"/>
  <c r="J90" i="27"/>
  <c r="K90" i="27"/>
  <c r="L90" i="27"/>
  <c r="M90" i="27"/>
  <c r="N90" i="27"/>
  <c r="O90" i="27"/>
  <c r="P90" i="27"/>
  <c r="Q90" i="27"/>
  <c r="R90" i="27"/>
  <c r="S90" i="27"/>
  <c r="T90" i="27"/>
  <c r="U90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B91" i="27" a="1"/>
  <c r="B91" i="27"/>
  <c r="D91" i="27"/>
  <c r="E91" i="27"/>
  <c r="F91" i="27"/>
  <c r="G91" i="27"/>
  <c r="H91" i="27"/>
  <c r="I91" i="27"/>
  <c r="J91" i="27"/>
  <c r="K91" i="27"/>
  <c r="L91" i="27"/>
  <c r="M91" i="27"/>
  <c r="N91" i="27"/>
  <c r="O91" i="27"/>
  <c r="P91" i="27"/>
  <c r="Q91" i="27"/>
  <c r="R91" i="27"/>
  <c r="S91" i="27"/>
  <c r="T91" i="27"/>
  <c r="U91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B92" i="27" a="1"/>
  <c r="B92" i="27"/>
  <c r="D92" i="27"/>
  <c r="E92" i="27"/>
  <c r="F92" i="27"/>
  <c r="G92" i="27"/>
  <c r="H92" i="27"/>
  <c r="I92" i="27"/>
  <c r="J92" i="27"/>
  <c r="K92" i="27"/>
  <c r="L92" i="27"/>
  <c r="M92" i="27"/>
  <c r="N92" i="27"/>
  <c r="O92" i="27"/>
  <c r="P92" i="27"/>
  <c r="Q92" i="27"/>
  <c r="R92" i="27"/>
  <c r="S92" i="27"/>
  <c r="T92" i="27"/>
  <c r="U92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B93" i="27" a="1"/>
  <c r="B93" i="27"/>
  <c r="D93" i="27"/>
  <c r="E93" i="27"/>
  <c r="F93" i="27"/>
  <c r="G93" i="27"/>
  <c r="H93" i="27"/>
  <c r="I93" i="27"/>
  <c r="J93" i="27"/>
  <c r="K93" i="27"/>
  <c r="L93" i="27"/>
  <c r="M93" i="27"/>
  <c r="N93" i="27"/>
  <c r="O93" i="27"/>
  <c r="P93" i="27"/>
  <c r="Q93" i="27"/>
  <c r="R93" i="27"/>
  <c r="S93" i="27"/>
  <c r="T93" i="27"/>
  <c r="U93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B94" i="27" a="1"/>
  <c r="B94" i="27"/>
  <c r="D94" i="27"/>
  <c r="E94" i="27"/>
  <c r="F94" i="27"/>
  <c r="G94" i="27"/>
  <c r="H94" i="27"/>
  <c r="I94" i="27"/>
  <c r="J94" i="27"/>
  <c r="K94" i="27"/>
  <c r="L94" i="27"/>
  <c r="M94" i="27"/>
  <c r="N94" i="27"/>
  <c r="O94" i="27"/>
  <c r="P94" i="27"/>
  <c r="Q94" i="27"/>
  <c r="R94" i="27"/>
  <c r="S94" i="27"/>
  <c r="T94" i="27"/>
  <c r="U94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B95" i="27" a="1"/>
  <c r="B95" i="27"/>
  <c r="D95" i="27"/>
  <c r="E95" i="27"/>
  <c r="F95" i="27"/>
  <c r="G95" i="27"/>
  <c r="H95" i="27"/>
  <c r="I95" i="27"/>
  <c r="J95" i="27"/>
  <c r="K95" i="27"/>
  <c r="L95" i="27"/>
  <c r="M95" i="27"/>
  <c r="N95" i="27"/>
  <c r="O95" i="27"/>
  <c r="P95" i="27"/>
  <c r="Q95" i="27"/>
  <c r="R95" i="27"/>
  <c r="S95" i="27"/>
  <c r="T95" i="27"/>
  <c r="U95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B96" i="27" a="1"/>
  <c r="B96" i="27"/>
  <c r="D96" i="27"/>
  <c r="E96" i="27"/>
  <c r="F96" i="27"/>
  <c r="G96" i="27"/>
  <c r="H96" i="27"/>
  <c r="I96" i="27"/>
  <c r="J96" i="27"/>
  <c r="K96" i="27"/>
  <c r="L96" i="27"/>
  <c r="M96" i="27"/>
  <c r="N96" i="27"/>
  <c r="O96" i="27"/>
  <c r="P96" i="27"/>
  <c r="Q96" i="27"/>
  <c r="R96" i="27"/>
  <c r="S96" i="27"/>
  <c r="T96" i="27"/>
  <c r="U96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B97" i="27" a="1"/>
  <c r="B97" i="27"/>
  <c r="D97" i="27"/>
  <c r="E97" i="27"/>
  <c r="F97" i="27"/>
  <c r="G97" i="27"/>
  <c r="H97" i="27"/>
  <c r="I97" i="27"/>
  <c r="J97" i="27"/>
  <c r="K97" i="27"/>
  <c r="L97" i="27"/>
  <c r="M97" i="27"/>
  <c r="N97" i="27"/>
  <c r="O97" i="27"/>
  <c r="P97" i="27"/>
  <c r="Q97" i="27"/>
  <c r="R97" i="27"/>
  <c r="S97" i="27"/>
  <c r="T97" i="27"/>
  <c r="U97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B98" i="27" a="1"/>
  <c r="B98" i="27"/>
  <c r="D98" i="27"/>
  <c r="E98" i="27"/>
  <c r="F98" i="27"/>
  <c r="G98" i="27"/>
  <c r="H98" i="27"/>
  <c r="I98" i="27"/>
  <c r="J98" i="27"/>
  <c r="K98" i="27"/>
  <c r="L98" i="27"/>
  <c r="M98" i="27"/>
  <c r="N98" i="27"/>
  <c r="O98" i="27"/>
  <c r="P98" i="27"/>
  <c r="Q98" i="27"/>
  <c r="R98" i="27"/>
  <c r="S98" i="27"/>
  <c r="T98" i="27"/>
  <c r="U98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B99" i="27" a="1"/>
  <c r="B99" i="27"/>
  <c r="D99" i="27"/>
  <c r="E99" i="27"/>
  <c r="F99" i="27"/>
  <c r="G99" i="27"/>
  <c r="H99" i="27"/>
  <c r="I99" i="27"/>
  <c r="J99" i="27"/>
  <c r="K99" i="27"/>
  <c r="L99" i="27"/>
  <c r="M99" i="27"/>
  <c r="N99" i="27"/>
  <c r="O99" i="27"/>
  <c r="P99" i="27"/>
  <c r="Q99" i="27"/>
  <c r="R99" i="27"/>
  <c r="S99" i="27"/>
  <c r="T99" i="27"/>
  <c r="U99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B100" i="27" a="1"/>
  <c r="B100" i="27"/>
  <c r="D100" i="27"/>
  <c r="E100" i="27"/>
  <c r="F100" i="27"/>
  <c r="G100" i="27"/>
  <c r="H100" i="27"/>
  <c r="I100" i="27"/>
  <c r="J100" i="27"/>
  <c r="K100" i="27"/>
  <c r="L100" i="27"/>
  <c r="M100" i="27"/>
  <c r="N100" i="27"/>
  <c r="O100" i="27"/>
  <c r="P100" i="27"/>
  <c r="Q100" i="27"/>
  <c r="R100" i="27"/>
  <c r="S100" i="27"/>
  <c r="T100" i="27"/>
  <c r="U100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B101" i="27" a="1"/>
  <c r="B101" i="27"/>
  <c r="D101" i="27"/>
  <c r="E101" i="27"/>
  <c r="F101" i="27"/>
  <c r="G101" i="27"/>
  <c r="H101" i="27"/>
  <c r="I101" i="27"/>
  <c r="J101" i="27"/>
  <c r="K101" i="27"/>
  <c r="L101" i="27"/>
  <c r="M101" i="27"/>
  <c r="N101" i="27"/>
  <c r="O101" i="27"/>
  <c r="P101" i="27"/>
  <c r="Q101" i="27"/>
  <c r="R101" i="27"/>
  <c r="S101" i="27"/>
  <c r="T101" i="27"/>
  <c r="U101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B102" i="27" a="1"/>
  <c r="B102" i="27"/>
  <c r="D102" i="27"/>
  <c r="E102" i="27"/>
  <c r="F102" i="27"/>
  <c r="G102" i="27"/>
  <c r="H102" i="27"/>
  <c r="I102" i="27"/>
  <c r="J102" i="27"/>
  <c r="K102" i="27"/>
  <c r="L102" i="27"/>
  <c r="M102" i="27"/>
  <c r="N102" i="27"/>
  <c r="O102" i="27"/>
  <c r="P102" i="27"/>
  <c r="Q102" i="27"/>
  <c r="R102" i="27"/>
  <c r="S102" i="27"/>
  <c r="T102" i="27"/>
  <c r="U10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B103" i="27" a="1"/>
  <c r="B103" i="27"/>
  <c r="D103" i="27"/>
  <c r="E103" i="27"/>
  <c r="F103" i="27"/>
  <c r="G103" i="27"/>
  <c r="H103" i="27"/>
  <c r="I103" i="27"/>
  <c r="J103" i="27"/>
  <c r="K103" i="27"/>
  <c r="L103" i="27"/>
  <c r="M103" i="27"/>
  <c r="N103" i="27"/>
  <c r="O103" i="27"/>
  <c r="P103" i="27"/>
  <c r="Q103" i="27"/>
  <c r="R103" i="27"/>
  <c r="S103" i="27"/>
  <c r="T103" i="27"/>
  <c r="U103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B104" i="27" a="1"/>
  <c r="B104" i="27"/>
  <c r="D104" i="27"/>
  <c r="E104" i="27"/>
  <c r="F104" i="27"/>
  <c r="G104" i="27"/>
  <c r="H104" i="27"/>
  <c r="I104" i="27"/>
  <c r="J104" i="27"/>
  <c r="K104" i="27"/>
  <c r="L104" i="27"/>
  <c r="M104" i="27"/>
  <c r="N104" i="27"/>
  <c r="O104" i="27"/>
  <c r="P104" i="27"/>
  <c r="Q104" i="27"/>
  <c r="R104" i="27"/>
  <c r="S104" i="27"/>
  <c r="T104" i="27"/>
  <c r="U104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B105" i="27" a="1"/>
  <c r="B105" i="27"/>
  <c r="D105" i="27"/>
  <c r="E105" i="27"/>
  <c r="F105" i="27"/>
  <c r="G105" i="27"/>
  <c r="H105" i="27"/>
  <c r="I105" i="27"/>
  <c r="J105" i="27"/>
  <c r="K105" i="27"/>
  <c r="L105" i="27"/>
  <c r="M105" i="27"/>
  <c r="N105" i="27"/>
  <c r="O105" i="27"/>
  <c r="P105" i="27"/>
  <c r="Q105" i="27"/>
  <c r="R105" i="27"/>
  <c r="S105" i="27"/>
  <c r="T105" i="27"/>
  <c r="U105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B106" i="27" a="1"/>
  <c r="B106" i="27"/>
  <c r="D106" i="27"/>
  <c r="E106" i="27"/>
  <c r="F106" i="27"/>
  <c r="G106" i="27"/>
  <c r="H106" i="27"/>
  <c r="I106" i="27"/>
  <c r="J106" i="27"/>
  <c r="K106" i="27"/>
  <c r="L106" i="27"/>
  <c r="M106" i="27"/>
  <c r="N106" i="27"/>
  <c r="O106" i="27"/>
  <c r="P106" i="27"/>
  <c r="Q106" i="27"/>
  <c r="R106" i="27"/>
  <c r="S106" i="27"/>
  <c r="T106" i="27"/>
  <c r="U106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B107" i="27" a="1"/>
  <c r="B107" i="27"/>
  <c r="D107" i="27"/>
  <c r="E107" i="27"/>
  <c r="F107" i="27"/>
  <c r="G107" i="27"/>
  <c r="H107" i="27"/>
  <c r="I107" i="27"/>
  <c r="J107" i="27"/>
  <c r="K107" i="27"/>
  <c r="L107" i="27"/>
  <c r="M107" i="27"/>
  <c r="N107" i="27"/>
  <c r="O107" i="27"/>
  <c r="P107" i="27"/>
  <c r="Q107" i="27"/>
  <c r="R107" i="27"/>
  <c r="S107" i="27"/>
  <c r="T107" i="27"/>
  <c r="U107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B108" i="27" a="1"/>
  <c r="B108" i="27"/>
  <c r="D108" i="27"/>
  <c r="E108" i="27"/>
  <c r="F108" i="27"/>
  <c r="G108" i="27"/>
  <c r="H108" i="27"/>
  <c r="I108" i="27"/>
  <c r="J108" i="27"/>
  <c r="K108" i="27"/>
  <c r="L108" i="27"/>
  <c r="M108" i="27"/>
  <c r="N108" i="27"/>
  <c r="O108" i="27"/>
  <c r="P108" i="27"/>
  <c r="Q108" i="27"/>
  <c r="R108" i="27"/>
  <c r="S108" i="27"/>
  <c r="T108" i="27"/>
  <c r="U108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B109" i="27" a="1"/>
  <c r="B109" i="27"/>
  <c r="D109" i="27"/>
  <c r="E109" i="27"/>
  <c r="F109" i="27"/>
  <c r="G109" i="27"/>
  <c r="H109" i="27"/>
  <c r="I109" i="27"/>
  <c r="J109" i="27"/>
  <c r="K109" i="27"/>
  <c r="L109" i="27"/>
  <c r="M109" i="27"/>
  <c r="N109" i="27"/>
  <c r="O109" i="27"/>
  <c r="P109" i="27"/>
  <c r="Q109" i="27"/>
  <c r="R109" i="27"/>
  <c r="S109" i="27"/>
  <c r="T109" i="27"/>
  <c r="U109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B110" i="27" a="1"/>
  <c r="B110" i="27"/>
  <c r="D110" i="27"/>
  <c r="E110" i="27"/>
  <c r="F110" i="27"/>
  <c r="G110" i="27"/>
  <c r="H110" i="27"/>
  <c r="I110" i="27"/>
  <c r="J110" i="27"/>
  <c r="K110" i="27"/>
  <c r="L110" i="27"/>
  <c r="M110" i="27"/>
  <c r="N110" i="27"/>
  <c r="O110" i="27"/>
  <c r="P110" i="27"/>
  <c r="Q110" i="27"/>
  <c r="R110" i="27"/>
  <c r="S110" i="27"/>
  <c r="T110" i="27"/>
  <c r="U110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B111" i="27" a="1"/>
  <c r="B111" i="27"/>
  <c r="D111" i="27"/>
  <c r="E111" i="27"/>
  <c r="F111" i="27"/>
  <c r="G111" i="27"/>
  <c r="H111" i="27"/>
  <c r="I111" i="27"/>
  <c r="J111" i="27"/>
  <c r="K111" i="27"/>
  <c r="L111" i="27"/>
  <c r="M111" i="27"/>
  <c r="N111" i="27"/>
  <c r="O111" i="27"/>
  <c r="P111" i="27"/>
  <c r="Q111" i="27"/>
  <c r="R111" i="27"/>
  <c r="S111" i="27"/>
  <c r="T111" i="27"/>
  <c r="U111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B112" i="27" a="1"/>
  <c r="B112" i="27"/>
  <c r="D112" i="27"/>
  <c r="E112" i="27"/>
  <c r="F112" i="27"/>
  <c r="G112" i="27"/>
  <c r="H112" i="27"/>
  <c r="I112" i="27"/>
  <c r="J112" i="27"/>
  <c r="K112" i="27"/>
  <c r="L112" i="27"/>
  <c r="M112" i="27"/>
  <c r="N112" i="27"/>
  <c r="O112" i="27"/>
  <c r="P112" i="27"/>
  <c r="Q112" i="27"/>
  <c r="R112" i="27"/>
  <c r="S112" i="27"/>
  <c r="T112" i="27"/>
  <c r="U112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B113" i="27" a="1"/>
  <c r="B113" i="27"/>
  <c r="D113" i="27"/>
  <c r="E113" i="27"/>
  <c r="F113" i="27"/>
  <c r="G113" i="27"/>
  <c r="H113" i="27"/>
  <c r="I113" i="27"/>
  <c r="J113" i="27"/>
  <c r="K113" i="27"/>
  <c r="L113" i="27"/>
  <c r="M113" i="27"/>
  <c r="N113" i="27"/>
  <c r="O113" i="27"/>
  <c r="P113" i="27"/>
  <c r="Q113" i="27"/>
  <c r="R113" i="27"/>
  <c r="S113" i="27"/>
  <c r="T113" i="27"/>
  <c r="U113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B114" i="27" a="1"/>
  <c r="B114" i="27"/>
  <c r="D114" i="27"/>
  <c r="E114" i="27"/>
  <c r="F114" i="27"/>
  <c r="G114" i="27"/>
  <c r="H114" i="27"/>
  <c r="I114" i="27"/>
  <c r="J114" i="27"/>
  <c r="K114" i="27"/>
  <c r="L114" i="27"/>
  <c r="M114" i="27"/>
  <c r="N114" i="27"/>
  <c r="O114" i="27"/>
  <c r="P114" i="27"/>
  <c r="Q114" i="27"/>
  <c r="R114" i="27"/>
  <c r="S114" i="27"/>
  <c r="T114" i="27"/>
  <c r="U114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B115" i="27" a="1"/>
  <c r="B115" i="27"/>
  <c r="D115" i="27"/>
  <c r="E115" i="27"/>
  <c r="F115" i="27"/>
  <c r="G115" i="27"/>
  <c r="H115" i="27"/>
  <c r="I115" i="27"/>
  <c r="J115" i="27"/>
  <c r="K115" i="27"/>
  <c r="L115" i="27"/>
  <c r="M115" i="27"/>
  <c r="N115" i="27"/>
  <c r="O115" i="27"/>
  <c r="P115" i="27"/>
  <c r="Q115" i="27"/>
  <c r="R115" i="27"/>
  <c r="S115" i="27"/>
  <c r="T115" i="27"/>
  <c r="U115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B116" i="27" a="1"/>
  <c r="B116" i="27"/>
  <c r="D116" i="27"/>
  <c r="E116" i="27"/>
  <c r="F116" i="27"/>
  <c r="G116" i="27"/>
  <c r="H116" i="27"/>
  <c r="I116" i="27"/>
  <c r="J116" i="27"/>
  <c r="K116" i="27"/>
  <c r="L116" i="27"/>
  <c r="M116" i="27"/>
  <c r="N116" i="27"/>
  <c r="O116" i="27"/>
  <c r="P116" i="27"/>
  <c r="Q116" i="27"/>
  <c r="R116" i="27"/>
  <c r="S116" i="27"/>
  <c r="T116" i="27"/>
  <c r="U116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B117" i="27" a="1"/>
  <c r="B117" i="27"/>
  <c r="D117" i="27"/>
  <c r="E117" i="27"/>
  <c r="F117" i="27"/>
  <c r="G117" i="27"/>
  <c r="H117" i="27"/>
  <c r="I117" i="27"/>
  <c r="J117" i="27"/>
  <c r="K117" i="27"/>
  <c r="L117" i="27"/>
  <c r="M117" i="27"/>
  <c r="N117" i="27"/>
  <c r="O117" i="27"/>
  <c r="P117" i="27"/>
  <c r="Q117" i="27"/>
  <c r="R117" i="27"/>
  <c r="S117" i="27"/>
  <c r="T117" i="27"/>
  <c r="U117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B118" i="27" a="1"/>
  <c r="B118" i="27"/>
  <c r="D118" i="27"/>
  <c r="E118" i="27"/>
  <c r="F118" i="27"/>
  <c r="G118" i="27"/>
  <c r="H118" i="27"/>
  <c r="I118" i="27"/>
  <c r="J118" i="27"/>
  <c r="K118" i="27"/>
  <c r="L118" i="27"/>
  <c r="M118" i="27"/>
  <c r="N118" i="27"/>
  <c r="O118" i="27"/>
  <c r="P118" i="27"/>
  <c r="Q118" i="27"/>
  <c r="R118" i="27"/>
  <c r="S118" i="27"/>
  <c r="T118" i="27"/>
  <c r="U118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B119" i="27" a="1"/>
  <c r="B119" i="27"/>
  <c r="D119" i="27"/>
  <c r="E119" i="27"/>
  <c r="F119" i="27"/>
  <c r="G119" i="27"/>
  <c r="H119" i="27"/>
  <c r="I119" i="27"/>
  <c r="J119" i="27"/>
  <c r="K119" i="27"/>
  <c r="L119" i="27"/>
  <c r="M119" i="27"/>
  <c r="N119" i="27"/>
  <c r="O119" i="27"/>
  <c r="P119" i="27"/>
  <c r="Q119" i="27"/>
  <c r="R119" i="27"/>
  <c r="S119" i="27"/>
  <c r="T119" i="27"/>
  <c r="U119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B120" i="27" a="1"/>
  <c r="B120" i="27"/>
  <c r="D120" i="27"/>
  <c r="E120" i="27"/>
  <c r="F120" i="27"/>
  <c r="G120" i="27"/>
  <c r="H120" i="27"/>
  <c r="I120" i="27"/>
  <c r="J120" i="27"/>
  <c r="K120" i="27"/>
  <c r="L120" i="27"/>
  <c r="M120" i="27"/>
  <c r="N120" i="27"/>
  <c r="O120" i="27"/>
  <c r="P120" i="27"/>
  <c r="Q120" i="27"/>
  <c r="R120" i="27"/>
  <c r="S120" i="27"/>
  <c r="T120" i="27"/>
  <c r="U120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B121" i="27" a="1"/>
  <c r="B121" i="27"/>
  <c r="D121" i="27"/>
  <c r="E121" i="27"/>
  <c r="F121" i="27"/>
  <c r="G121" i="27"/>
  <c r="H121" i="27"/>
  <c r="I121" i="27"/>
  <c r="J121" i="27"/>
  <c r="K121" i="27"/>
  <c r="L121" i="27"/>
  <c r="M121" i="27"/>
  <c r="N121" i="27"/>
  <c r="O121" i="27"/>
  <c r="P121" i="27"/>
  <c r="Q121" i="27"/>
  <c r="R121" i="27"/>
  <c r="S121" i="27"/>
  <c r="T121" i="27"/>
  <c r="U121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B122" i="27" a="1"/>
  <c r="B122" i="27"/>
  <c r="D122" i="27"/>
  <c r="E122" i="27"/>
  <c r="F122" i="27"/>
  <c r="G122" i="27"/>
  <c r="H122" i="27"/>
  <c r="I122" i="27"/>
  <c r="J122" i="27"/>
  <c r="K122" i="27"/>
  <c r="L122" i="27"/>
  <c r="M122" i="27"/>
  <c r="N122" i="27"/>
  <c r="O122" i="27"/>
  <c r="P122" i="27"/>
  <c r="Q122" i="27"/>
  <c r="R122" i="27"/>
  <c r="S122" i="27"/>
  <c r="T122" i="27"/>
  <c r="U122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B123" i="27" a="1"/>
  <c r="B123" i="27"/>
  <c r="D123" i="27"/>
  <c r="E123" i="27"/>
  <c r="F123" i="27"/>
  <c r="G123" i="27"/>
  <c r="H123" i="27"/>
  <c r="I123" i="27"/>
  <c r="J123" i="27"/>
  <c r="K123" i="27"/>
  <c r="L123" i="27"/>
  <c r="M123" i="27"/>
  <c r="N123" i="27"/>
  <c r="O123" i="27"/>
  <c r="P123" i="27"/>
  <c r="Q123" i="27"/>
  <c r="R123" i="27"/>
  <c r="S123" i="27"/>
  <c r="T123" i="27"/>
  <c r="U123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B124" i="27" a="1"/>
  <c r="B124" i="27"/>
  <c r="D124" i="27"/>
  <c r="E124" i="27"/>
  <c r="F124" i="27"/>
  <c r="G124" i="27"/>
  <c r="H124" i="27"/>
  <c r="I124" i="27"/>
  <c r="J124" i="27"/>
  <c r="K124" i="27"/>
  <c r="L124" i="27"/>
  <c r="M124" i="27"/>
  <c r="N124" i="27"/>
  <c r="O124" i="27"/>
  <c r="P124" i="27"/>
  <c r="Q124" i="27"/>
  <c r="R124" i="27"/>
  <c r="S124" i="27"/>
  <c r="T124" i="27"/>
  <c r="U124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B125" i="27" a="1"/>
  <c r="B125" i="27"/>
  <c r="D125" i="27"/>
  <c r="E125" i="27"/>
  <c r="F125" i="27"/>
  <c r="G125" i="27"/>
  <c r="H125" i="27"/>
  <c r="I125" i="27"/>
  <c r="J125" i="27"/>
  <c r="K125" i="27"/>
  <c r="L125" i="27"/>
  <c r="M125" i="27"/>
  <c r="N125" i="27"/>
  <c r="O125" i="27"/>
  <c r="P125" i="27"/>
  <c r="Q125" i="27"/>
  <c r="R125" i="27"/>
  <c r="S125" i="27"/>
  <c r="T125" i="27"/>
  <c r="U125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B126" i="27" a="1"/>
  <c r="B126" i="27"/>
  <c r="D126" i="27"/>
  <c r="E126" i="27"/>
  <c r="F126" i="27"/>
  <c r="G126" i="27"/>
  <c r="H126" i="27"/>
  <c r="I126" i="27"/>
  <c r="J126" i="27"/>
  <c r="K126" i="27"/>
  <c r="L126" i="27"/>
  <c r="M126" i="27"/>
  <c r="N126" i="27"/>
  <c r="O126" i="27"/>
  <c r="P126" i="27"/>
  <c r="Q126" i="27"/>
  <c r="R126" i="27"/>
  <c r="S126" i="27"/>
  <c r="T126" i="27"/>
  <c r="U126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B127" i="27" a="1"/>
  <c r="B127" i="27"/>
  <c r="D127" i="27"/>
  <c r="E127" i="27"/>
  <c r="F127" i="27"/>
  <c r="G127" i="27"/>
  <c r="H127" i="27"/>
  <c r="I127" i="27"/>
  <c r="J127" i="27"/>
  <c r="K127" i="27"/>
  <c r="L127" i="27"/>
  <c r="M127" i="27"/>
  <c r="N127" i="27"/>
  <c r="O127" i="27"/>
  <c r="P127" i="27"/>
  <c r="Q127" i="27"/>
  <c r="R127" i="27"/>
  <c r="S127" i="27"/>
  <c r="T127" i="27"/>
  <c r="U127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B128" i="27" a="1"/>
  <c r="B128" i="27"/>
  <c r="D128" i="27"/>
  <c r="E128" i="27"/>
  <c r="F128" i="27"/>
  <c r="G128" i="27"/>
  <c r="H128" i="27"/>
  <c r="I128" i="27"/>
  <c r="J128" i="27"/>
  <c r="K128" i="27"/>
  <c r="L128" i="27"/>
  <c r="M128" i="27"/>
  <c r="N128" i="27"/>
  <c r="O128" i="27"/>
  <c r="P128" i="27"/>
  <c r="Q128" i="27"/>
  <c r="R128" i="27"/>
  <c r="S128" i="27"/>
  <c r="T128" i="27"/>
  <c r="U128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B129" i="27" a="1"/>
  <c r="B129" i="27"/>
  <c r="D129" i="27"/>
  <c r="E129" i="27"/>
  <c r="F129" i="27"/>
  <c r="G129" i="27"/>
  <c r="H129" i="27"/>
  <c r="I129" i="27"/>
  <c r="J129" i="27"/>
  <c r="K129" i="27"/>
  <c r="L129" i="27"/>
  <c r="M129" i="27"/>
  <c r="N129" i="27"/>
  <c r="O129" i="27"/>
  <c r="P129" i="27"/>
  <c r="Q129" i="27"/>
  <c r="R129" i="27"/>
  <c r="S129" i="27"/>
  <c r="T129" i="27"/>
  <c r="U129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B130" i="27" a="1"/>
  <c r="B130" i="27"/>
  <c r="D130" i="27"/>
  <c r="E130" i="27"/>
  <c r="F130" i="27"/>
  <c r="G130" i="27"/>
  <c r="H130" i="27"/>
  <c r="I130" i="27"/>
  <c r="J130" i="27"/>
  <c r="K130" i="27"/>
  <c r="L130" i="27"/>
  <c r="M130" i="27"/>
  <c r="N130" i="27"/>
  <c r="O130" i="27"/>
  <c r="P130" i="27"/>
  <c r="Q130" i="27"/>
  <c r="R130" i="27"/>
  <c r="S130" i="27"/>
  <c r="T130" i="27"/>
  <c r="U130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B131" i="27" a="1"/>
  <c r="B131" i="27"/>
  <c r="D131" i="27"/>
  <c r="E131" i="27"/>
  <c r="F131" i="27"/>
  <c r="G131" i="27"/>
  <c r="H131" i="27"/>
  <c r="I131" i="27"/>
  <c r="J131" i="27"/>
  <c r="K131" i="27"/>
  <c r="L131" i="27"/>
  <c r="M131" i="27"/>
  <c r="N131" i="27"/>
  <c r="O131" i="27"/>
  <c r="P131" i="27"/>
  <c r="Q131" i="27"/>
  <c r="R131" i="27"/>
  <c r="S131" i="27"/>
  <c r="T131" i="27"/>
  <c r="U131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B132" i="27" a="1"/>
  <c r="B132" i="27"/>
  <c r="D132" i="27"/>
  <c r="E132" i="27"/>
  <c r="F132" i="27"/>
  <c r="G132" i="27"/>
  <c r="H132" i="27"/>
  <c r="I132" i="27"/>
  <c r="J132" i="27"/>
  <c r="K132" i="27"/>
  <c r="L132" i="27"/>
  <c r="M132" i="27"/>
  <c r="N132" i="27"/>
  <c r="O132" i="27"/>
  <c r="P132" i="27"/>
  <c r="Q132" i="27"/>
  <c r="R132" i="27"/>
  <c r="S132" i="27"/>
  <c r="T132" i="27"/>
  <c r="U132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B133" i="27" a="1"/>
  <c r="B133" i="27"/>
  <c r="D133" i="27"/>
  <c r="E133" i="27"/>
  <c r="F133" i="27"/>
  <c r="G133" i="27"/>
  <c r="H133" i="27"/>
  <c r="I133" i="27"/>
  <c r="J133" i="27"/>
  <c r="K133" i="27"/>
  <c r="L133" i="27"/>
  <c r="M133" i="27"/>
  <c r="N133" i="27"/>
  <c r="O133" i="27"/>
  <c r="P133" i="27"/>
  <c r="Q133" i="27"/>
  <c r="R133" i="27"/>
  <c r="S133" i="27"/>
  <c r="T133" i="27"/>
  <c r="U133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B134" i="27" a="1"/>
  <c r="B134" i="27"/>
  <c r="D134" i="27"/>
  <c r="E134" i="27"/>
  <c r="F134" i="27"/>
  <c r="G134" i="27"/>
  <c r="H134" i="27"/>
  <c r="I134" i="27"/>
  <c r="J134" i="27"/>
  <c r="K134" i="27"/>
  <c r="L134" i="27"/>
  <c r="M134" i="27"/>
  <c r="N134" i="27"/>
  <c r="O134" i="27"/>
  <c r="P134" i="27"/>
  <c r="Q134" i="27"/>
  <c r="R134" i="27"/>
  <c r="S134" i="27"/>
  <c r="T134" i="27"/>
  <c r="U134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B135" i="27" a="1"/>
  <c r="B135" i="27"/>
  <c r="D135" i="27"/>
  <c r="E135" i="27"/>
  <c r="F135" i="27"/>
  <c r="G135" i="27"/>
  <c r="H135" i="27"/>
  <c r="I135" i="27"/>
  <c r="J135" i="27"/>
  <c r="K135" i="27"/>
  <c r="L135" i="27"/>
  <c r="M135" i="27"/>
  <c r="N135" i="27"/>
  <c r="O135" i="27"/>
  <c r="P135" i="27"/>
  <c r="Q135" i="27"/>
  <c r="R135" i="27"/>
  <c r="S135" i="27"/>
  <c r="T135" i="27"/>
  <c r="U135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B136" i="27" a="1"/>
  <c r="B136" i="27"/>
  <c r="D136" i="27"/>
  <c r="E136" i="27"/>
  <c r="F136" i="27"/>
  <c r="G136" i="27"/>
  <c r="H136" i="27"/>
  <c r="I136" i="27"/>
  <c r="J136" i="27"/>
  <c r="K136" i="27"/>
  <c r="L136" i="27"/>
  <c r="M136" i="27"/>
  <c r="N136" i="27"/>
  <c r="O136" i="27"/>
  <c r="P136" i="27"/>
  <c r="Q136" i="27"/>
  <c r="R136" i="27"/>
  <c r="S136" i="27"/>
  <c r="T136" i="27"/>
  <c r="U136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B137" i="27" a="1"/>
  <c r="B137" i="27"/>
  <c r="D137" i="27"/>
  <c r="E137" i="27"/>
  <c r="F137" i="27"/>
  <c r="G137" i="27"/>
  <c r="H137" i="27"/>
  <c r="I137" i="27"/>
  <c r="J137" i="27"/>
  <c r="K137" i="27"/>
  <c r="L137" i="27"/>
  <c r="M137" i="27"/>
  <c r="N137" i="27"/>
  <c r="O137" i="27"/>
  <c r="P137" i="27"/>
  <c r="Q137" i="27"/>
  <c r="R137" i="27"/>
  <c r="S137" i="27"/>
  <c r="T137" i="27"/>
  <c r="U137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B138" i="27" a="1"/>
  <c r="B138" i="27"/>
  <c r="D138" i="27"/>
  <c r="E138" i="27"/>
  <c r="F138" i="27"/>
  <c r="G138" i="27"/>
  <c r="H138" i="27"/>
  <c r="I138" i="27"/>
  <c r="J138" i="27"/>
  <c r="K138" i="27"/>
  <c r="L138" i="27"/>
  <c r="M138" i="27"/>
  <c r="N138" i="27"/>
  <c r="O138" i="27"/>
  <c r="P138" i="27"/>
  <c r="Q138" i="27"/>
  <c r="R138" i="27"/>
  <c r="S138" i="27"/>
  <c r="T138" i="27"/>
  <c r="U138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B139" i="27" a="1"/>
  <c r="B139" i="27"/>
  <c r="D139" i="27"/>
  <c r="E139" i="27"/>
  <c r="F139" i="27"/>
  <c r="G139" i="27"/>
  <c r="H139" i="27"/>
  <c r="I139" i="27"/>
  <c r="J139" i="27"/>
  <c r="K139" i="27"/>
  <c r="L139" i="27"/>
  <c r="M139" i="27"/>
  <c r="N139" i="27"/>
  <c r="O139" i="27"/>
  <c r="P139" i="27"/>
  <c r="Q139" i="27"/>
  <c r="R139" i="27"/>
  <c r="S139" i="27"/>
  <c r="T139" i="27"/>
  <c r="U139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B140" i="27" a="1"/>
  <c r="B140" i="27"/>
  <c r="D140" i="27"/>
  <c r="E140" i="27"/>
  <c r="F140" i="27"/>
  <c r="G140" i="27"/>
  <c r="H140" i="27"/>
  <c r="I140" i="27"/>
  <c r="J140" i="27"/>
  <c r="K140" i="27"/>
  <c r="L140" i="27"/>
  <c r="M140" i="27"/>
  <c r="N140" i="27"/>
  <c r="O140" i="27"/>
  <c r="P140" i="27"/>
  <c r="Q140" i="27"/>
  <c r="R140" i="27"/>
  <c r="S140" i="27"/>
  <c r="T140" i="27"/>
  <c r="U140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B141" i="27" a="1"/>
  <c r="B141" i="27"/>
  <c r="D141" i="27"/>
  <c r="E141" i="27"/>
  <c r="F141" i="27"/>
  <c r="G141" i="27"/>
  <c r="H141" i="27"/>
  <c r="I141" i="27"/>
  <c r="J141" i="27"/>
  <c r="K141" i="27"/>
  <c r="L141" i="27"/>
  <c r="M141" i="27"/>
  <c r="N141" i="27"/>
  <c r="O141" i="27"/>
  <c r="P141" i="27"/>
  <c r="Q141" i="27"/>
  <c r="R141" i="27"/>
  <c r="S141" i="27"/>
  <c r="T141" i="27"/>
  <c r="U141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B142" i="27" a="1"/>
  <c r="B142" i="27"/>
  <c r="D142" i="27"/>
  <c r="E142" i="27"/>
  <c r="F142" i="27"/>
  <c r="G142" i="27"/>
  <c r="H142" i="27"/>
  <c r="I142" i="27"/>
  <c r="J142" i="27"/>
  <c r="K142" i="27"/>
  <c r="L142" i="27"/>
  <c r="M142" i="27"/>
  <c r="N142" i="27"/>
  <c r="O142" i="27"/>
  <c r="P142" i="27"/>
  <c r="Q142" i="27"/>
  <c r="R142" i="27"/>
  <c r="S142" i="27"/>
  <c r="T142" i="27"/>
  <c r="U142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B143" i="27" a="1"/>
  <c r="B143" i="27"/>
  <c r="D143" i="27"/>
  <c r="E143" i="27"/>
  <c r="F143" i="27"/>
  <c r="G143" i="27"/>
  <c r="H143" i="27"/>
  <c r="I143" i="27"/>
  <c r="J143" i="27"/>
  <c r="K143" i="27"/>
  <c r="L143" i="27"/>
  <c r="M143" i="27"/>
  <c r="N143" i="27"/>
  <c r="O143" i="27"/>
  <c r="P143" i="27"/>
  <c r="Q143" i="27"/>
  <c r="R143" i="27"/>
  <c r="S143" i="27"/>
  <c r="T143" i="27"/>
  <c r="U143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B144" i="27" a="1"/>
  <c r="B144" i="27"/>
  <c r="D144" i="27"/>
  <c r="E144" i="27"/>
  <c r="F144" i="27"/>
  <c r="G144" i="27"/>
  <c r="H144" i="27"/>
  <c r="I144" i="27"/>
  <c r="J144" i="27"/>
  <c r="K144" i="27"/>
  <c r="L144" i="27"/>
  <c r="M144" i="27"/>
  <c r="N144" i="27"/>
  <c r="O144" i="27"/>
  <c r="P144" i="27"/>
  <c r="Q144" i="27"/>
  <c r="R144" i="27"/>
  <c r="S144" i="27"/>
  <c r="T144" i="27"/>
  <c r="U144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B145" i="27" a="1"/>
  <c r="B145" i="27"/>
  <c r="D145" i="27"/>
  <c r="E145" i="27"/>
  <c r="F145" i="27"/>
  <c r="G145" i="27"/>
  <c r="H145" i="27"/>
  <c r="I145" i="27"/>
  <c r="J145" i="27"/>
  <c r="K145" i="27"/>
  <c r="L145" i="27"/>
  <c r="M145" i="27"/>
  <c r="N145" i="27"/>
  <c r="O145" i="27"/>
  <c r="P145" i="27"/>
  <c r="Q145" i="27"/>
  <c r="R145" i="27"/>
  <c r="S145" i="27"/>
  <c r="T145" i="27"/>
  <c r="U145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C8" i="27"/>
  <c r="AZ8" i="27"/>
  <c r="C9" i="27"/>
  <c r="AZ9" i="27"/>
  <c r="C10" i="27"/>
  <c r="AZ10" i="27"/>
  <c r="C11" i="27"/>
  <c r="AZ11" i="27"/>
  <c r="C12" i="27"/>
  <c r="AZ12" i="27"/>
  <c r="C13" i="27"/>
  <c r="AZ13" i="27"/>
  <c r="C14" i="27"/>
  <c r="AZ14" i="27"/>
  <c r="C15" i="27"/>
  <c r="AZ15" i="27"/>
  <c r="C16" i="27"/>
  <c r="AZ16" i="27"/>
  <c r="C17" i="27"/>
  <c r="AZ17" i="27"/>
  <c r="C18" i="27"/>
  <c r="AZ18" i="27"/>
  <c r="C19" i="27"/>
  <c r="AZ19" i="27"/>
  <c r="C20" i="27"/>
  <c r="AZ20" i="27"/>
  <c r="C21" i="27"/>
  <c r="AZ21" i="27"/>
  <c r="C22" i="27"/>
  <c r="AZ22" i="27"/>
  <c r="C23" i="27"/>
  <c r="AZ23" i="27"/>
  <c r="C24" i="27"/>
  <c r="AZ24" i="27"/>
  <c r="C25" i="27"/>
  <c r="AZ25" i="27"/>
  <c r="C26" i="27"/>
  <c r="AZ26" i="27"/>
  <c r="C27" i="27"/>
  <c r="AZ27" i="27"/>
  <c r="C28" i="27"/>
  <c r="AZ28" i="27"/>
  <c r="C29" i="27"/>
  <c r="AZ29" i="27"/>
  <c r="C30" i="27"/>
  <c r="AZ30" i="27"/>
  <c r="C31" i="27"/>
  <c r="AZ31" i="27"/>
  <c r="C32" i="27"/>
  <c r="AZ32" i="27"/>
  <c r="C33" i="27"/>
  <c r="AZ33" i="27"/>
  <c r="C34" i="27"/>
  <c r="AZ34" i="27"/>
  <c r="C35" i="27"/>
  <c r="AZ35" i="27"/>
  <c r="C36" i="27"/>
  <c r="AZ36" i="27"/>
  <c r="C37" i="27"/>
  <c r="AZ37" i="27"/>
  <c r="C38" i="27"/>
  <c r="AZ38" i="27"/>
  <c r="C39" i="27"/>
  <c r="AZ39" i="27"/>
  <c r="C40" i="27"/>
  <c r="AZ40" i="27"/>
  <c r="C41" i="27"/>
  <c r="AZ41" i="27"/>
  <c r="C42" i="27"/>
  <c r="AZ42" i="27"/>
  <c r="C43" i="27"/>
  <c r="AZ43" i="27"/>
  <c r="C44" i="27"/>
  <c r="AZ44" i="27"/>
  <c r="C45" i="27"/>
  <c r="AZ45" i="27"/>
  <c r="C46" i="27"/>
  <c r="AZ46" i="27"/>
  <c r="C47" i="27"/>
  <c r="AZ47" i="27"/>
  <c r="C48" i="27"/>
  <c r="AZ48" i="27"/>
  <c r="C49" i="27"/>
  <c r="AZ49" i="27"/>
  <c r="C50" i="27"/>
  <c r="AZ50" i="27"/>
  <c r="C51" i="27"/>
  <c r="AZ51" i="27"/>
  <c r="C52" i="27"/>
  <c r="AZ52" i="27"/>
  <c r="C53" i="27"/>
  <c r="AZ53" i="27"/>
  <c r="C54" i="27"/>
  <c r="AZ54" i="27"/>
  <c r="C55" i="27"/>
  <c r="AZ55" i="27"/>
  <c r="C56" i="27"/>
  <c r="AZ56" i="27"/>
  <c r="C57" i="27"/>
  <c r="AZ57" i="27"/>
  <c r="C58" i="27"/>
  <c r="AZ58" i="27"/>
  <c r="C59" i="27"/>
  <c r="AZ59" i="27"/>
  <c r="C60" i="27"/>
  <c r="AZ60" i="27"/>
  <c r="C61" i="27"/>
  <c r="AZ61" i="27"/>
  <c r="C62" i="27"/>
  <c r="AZ62" i="27"/>
  <c r="C63" i="27"/>
  <c r="AZ63" i="27"/>
  <c r="C64" i="27"/>
  <c r="AZ64" i="27"/>
  <c r="C65" i="27"/>
  <c r="AZ65" i="27"/>
  <c r="C66" i="27"/>
  <c r="AZ66" i="27"/>
  <c r="C67" i="27"/>
  <c r="AZ67" i="27"/>
  <c r="C68" i="27"/>
  <c r="AZ68" i="27"/>
  <c r="C69" i="27"/>
  <c r="AZ69" i="27"/>
  <c r="C70" i="27"/>
  <c r="AZ70" i="27"/>
  <c r="C71" i="27"/>
  <c r="AZ71" i="27"/>
  <c r="C72" i="27"/>
  <c r="AZ72" i="27"/>
  <c r="C73" i="27"/>
  <c r="AZ73" i="27"/>
  <c r="C74" i="27"/>
  <c r="AZ74" i="27"/>
  <c r="C75" i="27"/>
  <c r="AZ75" i="27"/>
  <c r="C76" i="27"/>
  <c r="AZ76" i="27"/>
  <c r="C77" i="27"/>
  <c r="AZ77" i="27"/>
  <c r="C78" i="27"/>
  <c r="AZ78" i="27"/>
  <c r="C79" i="27"/>
  <c r="AZ79" i="27"/>
  <c r="C80" i="27"/>
  <c r="AZ80" i="27"/>
  <c r="C81" i="27"/>
  <c r="AZ81" i="27"/>
  <c r="C82" i="27"/>
  <c r="AZ82" i="27"/>
  <c r="C83" i="27"/>
  <c r="AZ83" i="27"/>
  <c r="C84" i="27"/>
  <c r="AZ84" i="27"/>
  <c r="C85" i="27"/>
  <c r="AZ85" i="27"/>
  <c r="C86" i="27"/>
  <c r="AZ86" i="27"/>
  <c r="C87" i="27"/>
  <c r="AZ87" i="27"/>
  <c r="C88" i="27"/>
  <c r="AZ88" i="27"/>
  <c r="C89" i="27"/>
  <c r="AZ89" i="27"/>
  <c r="C90" i="27"/>
  <c r="AZ90" i="27"/>
  <c r="C91" i="27"/>
  <c r="AZ91" i="27"/>
  <c r="C92" i="27"/>
  <c r="AZ92" i="27"/>
  <c r="C93" i="27"/>
  <c r="AZ93" i="27"/>
  <c r="C94" i="27"/>
  <c r="AZ94" i="27"/>
  <c r="C95" i="27"/>
  <c r="AZ95" i="27"/>
  <c r="C96" i="27"/>
  <c r="AZ96" i="27"/>
  <c r="C97" i="27"/>
  <c r="AZ97" i="27"/>
  <c r="C98" i="27"/>
  <c r="AZ98" i="27"/>
  <c r="C99" i="27"/>
  <c r="AZ99" i="27"/>
  <c r="C100" i="27"/>
  <c r="AZ100" i="27"/>
  <c r="C101" i="27"/>
  <c r="AZ101" i="27"/>
  <c r="C102" i="27"/>
  <c r="AZ102" i="27"/>
  <c r="C103" i="27"/>
  <c r="AZ103" i="27"/>
  <c r="C104" i="27"/>
  <c r="AZ104" i="27"/>
  <c r="C105" i="27"/>
  <c r="AZ105" i="27"/>
  <c r="C106" i="27"/>
  <c r="AZ106" i="27"/>
  <c r="C107" i="27"/>
  <c r="AZ107" i="27"/>
  <c r="C108" i="27"/>
  <c r="AZ108" i="27"/>
  <c r="C109" i="27"/>
  <c r="AZ109" i="27"/>
  <c r="C110" i="27"/>
  <c r="AZ110" i="27"/>
  <c r="C111" i="27"/>
  <c r="AZ111" i="27"/>
  <c r="C112" i="27"/>
  <c r="AZ112" i="27"/>
  <c r="C113" i="27"/>
  <c r="AZ113" i="27"/>
  <c r="C114" i="27"/>
  <c r="AZ114" i="27"/>
  <c r="C115" i="27"/>
  <c r="AZ115" i="27"/>
  <c r="C116" i="27"/>
  <c r="AZ116" i="27"/>
  <c r="C117" i="27"/>
  <c r="AZ117" i="27"/>
  <c r="C118" i="27"/>
  <c r="AZ118" i="27"/>
  <c r="C119" i="27"/>
  <c r="AZ119" i="27"/>
  <c r="C120" i="27"/>
  <c r="AZ120" i="27"/>
  <c r="C121" i="27"/>
  <c r="AZ121" i="27"/>
  <c r="C122" i="27"/>
  <c r="AZ122" i="27"/>
  <c r="C123" i="27"/>
  <c r="AZ123" i="27"/>
  <c r="C124" i="27"/>
  <c r="AZ124" i="27"/>
  <c r="C125" i="27"/>
  <c r="AZ125" i="27"/>
  <c r="C126" i="27"/>
  <c r="AZ126" i="27"/>
  <c r="C127" i="27"/>
  <c r="AZ127" i="27"/>
  <c r="C128" i="27"/>
  <c r="AZ128" i="27"/>
  <c r="C129" i="27"/>
  <c r="AZ129" i="27"/>
  <c r="C130" i="27"/>
  <c r="AZ130" i="27"/>
  <c r="C131" i="27"/>
  <c r="AZ131" i="27"/>
  <c r="C132" i="27"/>
  <c r="AZ132" i="27"/>
  <c r="C133" i="27"/>
  <c r="AZ133" i="27"/>
  <c r="C134" i="27"/>
  <c r="AZ134" i="27"/>
  <c r="C135" i="27"/>
  <c r="AZ135" i="27"/>
  <c r="C136" i="27"/>
  <c r="AZ136" i="27"/>
  <c r="C137" i="27"/>
  <c r="AZ137" i="27"/>
  <c r="C138" i="27"/>
  <c r="AZ138" i="27"/>
  <c r="C139" i="27"/>
  <c r="AZ139" i="27"/>
  <c r="C140" i="27"/>
  <c r="AZ140" i="27"/>
  <c r="C141" i="27"/>
  <c r="AZ141" i="27"/>
  <c r="C142" i="27"/>
  <c r="AZ142" i="27"/>
  <c r="C143" i="27"/>
  <c r="AZ143" i="27"/>
  <c r="C144" i="27"/>
  <c r="AZ144" i="27"/>
  <c r="C145" i="27"/>
  <c r="AZ145" i="27"/>
</calcChain>
</file>

<file path=xl/sharedStrings.xml><?xml version="1.0" encoding="utf-8"?>
<sst xmlns="http://schemas.openxmlformats.org/spreadsheetml/2006/main" count="657" uniqueCount="212">
  <si>
    <t>nom</t>
  </si>
  <si>
    <t>prenom</t>
  </si>
  <si>
    <t>couleur</t>
  </si>
  <si>
    <t>relai</t>
  </si>
  <si>
    <t>5B</t>
  </si>
  <si>
    <t>relais</t>
  </si>
  <si>
    <t>vertical</t>
  </si>
  <si>
    <t>dalle</t>
  </si>
  <si>
    <t>verticale</t>
  </si>
  <si>
    <t>devers</t>
  </si>
  <si>
    <t>jaune</t>
  </si>
  <si>
    <t>vert</t>
  </si>
  <si>
    <t>bleu</t>
  </si>
  <si>
    <t>rouge</t>
  </si>
  <si>
    <t>noir</t>
  </si>
  <si>
    <t>6A</t>
  </si>
  <si>
    <t>5C</t>
  </si>
  <si>
    <t>6A+</t>
  </si>
  <si>
    <t>5B+</t>
  </si>
  <si>
    <t>4+</t>
  </si>
  <si>
    <t>5A</t>
  </si>
  <si>
    <t>6B+</t>
  </si>
  <si>
    <t>6B</t>
  </si>
  <si>
    <t>5C+</t>
  </si>
  <si>
    <t>type</t>
  </si>
  <si>
    <t>difficulté</t>
  </si>
  <si>
    <t>reussite</t>
  </si>
  <si>
    <t>TOP</t>
  </si>
  <si>
    <t>Liste des couleurs possibles</t>
  </si>
  <si>
    <t>degaines franchies</t>
  </si>
  <si>
    <t>S1</t>
  </si>
  <si>
    <t>nombre de passages</t>
  </si>
  <si>
    <t>élèves</t>
  </si>
  <si>
    <t>Liste de validation en colonne E</t>
  </si>
  <si>
    <t xml:space="preserve">  formule matricielle</t>
  </si>
  <si>
    <t>5A+</t>
  </si>
  <si>
    <t>Noeud magique utilisé</t>
  </si>
  <si>
    <t>Elèves</t>
  </si>
  <si>
    <t>Saisir le Nom recherché</t>
  </si>
  <si>
    <t>4B</t>
  </si>
  <si>
    <t>4A</t>
  </si>
  <si>
    <t>4c+</t>
  </si>
  <si>
    <t>4C</t>
  </si>
  <si>
    <t>n°</t>
  </si>
  <si>
    <t>eleves</t>
  </si>
  <si>
    <t>4C+</t>
  </si>
  <si>
    <t>TP</t>
  </si>
  <si>
    <t>nbre de passages</t>
  </si>
  <si>
    <t>exemple</t>
  </si>
  <si>
    <t>relai 1                    Verticale</t>
  </si>
  <si>
    <t>RELAI 2                  Dalle</t>
  </si>
  <si>
    <t>RELAI 3                    Dalle</t>
  </si>
  <si>
    <t>RELAI 4                        Verticale</t>
  </si>
  <si>
    <t>RELAI 5                 Verticale</t>
  </si>
  <si>
    <t>RELAI 6                               Verticale</t>
  </si>
  <si>
    <t>RELAI 7                Verticale</t>
  </si>
  <si>
    <t>RELAI 8            Devers</t>
  </si>
  <si>
    <t>RELAI 9            Devers</t>
  </si>
  <si>
    <t>RELAI 10  Devers</t>
  </si>
  <si>
    <t>RELAI 12 Devers</t>
  </si>
  <si>
    <t>RELAI 15  Verticale</t>
  </si>
  <si>
    <t>RELAI 13  Devers</t>
  </si>
  <si>
    <t>RELAI 11              Devers</t>
  </si>
  <si>
    <t>RELAI 14 Devers</t>
  </si>
  <si>
    <t>RELAI 16 Verticale</t>
  </si>
  <si>
    <t>diff</t>
  </si>
  <si>
    <t xml:space="preserve">relai </t>
  </si>
  <si>
    <t>évaluation selon meilleurs relais</t>
  </si>
  <si>
    <t>ordre difficultés (de haut en bas)</t>
  </si>
  <si>
    <t>score</t>
  </si>
  <si>
    <t>lettres</t>
  </si>
  <si>
    <t>A</t>
  </si>
  <si>
    <t>B</t>
  </si>
  <si>
    <t>C</t>
  </si>
  <si>
    <t>D</t>
  </si>
  <si>
    <t>A+</t>
  </si>
  <si>
    <t>B+</t>
  </si>
  <si>
    <t>C+</t>
  </si>
  <si>
    <t>A DIFFICILE</t>
  </si>
  <si>
    <t>DE FACILE</t>
  </si>
  <si>
    <t>Verticale</t>
  </si>
  <si>
    <t>Dalle</t>
  </si>
  <si>
    <t>Devers</t>
  </si>
  <si>
    <t>Bareme</t>
  </si>
  <si>
    <t>Diff.</t>
  </si>
  <si>
    <t>Lettre</t>
  </si>
  <si>
    <t>Type</t>
  </si>
  <si>
    <t>Code</t>
  </si>
  <si>
    <t>Score</t>
  </si>
  <si>
    <t>4Dalle</t>
  </si>
  <si>
    <t>+</t>
  </si>
  <si>
    <t>4+Dalle</t>
  </si>
  <si>
    <t>4ADalle</t>
  </si>
  <si>
    <t>4A+Dalle</t>
  </si>
  <si>
    <t>4BDalle</t>
  </si>
  <si>
    <t>4B+Dalle</t>
  </si>
  <si>
    <t>4CDalle</t>
  </si>
  <si>
    <t>4C+Dalle</t>
  </si>
  <si>
    <t>4DDalle</t>
  </si>
  <si>
    <t>4Verticale</t>
  </si>
  <si>
    <t>4+Verticale</t>
  </si>
  <si>
    <t>4AVerticale</t>
  </si>
  <si>
    <t>4A+Verticale</t>
  </si>
  <si>
    <t>4BVerticale</t>
  </si>
  <si>
    <t>4B+Verticale</t>
  </si>
  <si>
    <t>4CVerticale</t>
  </si>
  <si>
    <t>4C+Verticale</t>
  </si>
  <si>
    <t>4DVerticale</t>
  </si>
  <si>
    <t>4Devers</t>
  </si>
  <si>
    <t>4+Devers</t>
  </si>
  <si>
    <t>4ADevers</t>
  </si>
  <si>
    <t>4A+Devers</t>
  </si>
  <si>
    <t>4BDevers</t>
  </si>
  <si>
    <t>4B+Devers</t>
  </si>
  <si>
    <t>4CDevers</t>
  </si>
  <si>
    <t>4C+Devers</t>
  </si>
  <si>
    <t>4DDevers</t>
  </si>
  <si>
    <t>5Dalle</t>
  </si>
  <si>
    <t>5+Dalle</t>
  </si>
  <si>
    <t>5ADalle</t>
  </si>
  <si>
    <t>5A+Dalle</t>
  </si>
  <si>
    <t>5BDalle</t>
  </si>
  <si>
    <t>5B+Dalle</t>
  </si>
  <si>
    <t>5CDalle</t>
  </si>
  <si>
    <t>5C+Dalle</t>
  </si>
  <si>
    <t>5DDalle</t>
  </si>
  <si>
    <t>5Verticale</t>
  </si>
  <si>
    <t>5+Verticale</t>
  </si>
  <si>
    <t>5AVerticale</t>
  </si>
  <si>
    <t>5A+Verticale</t>
  </si>
  <si>
    <t>5BVerticale</t>
  </si>
  <si>
    <t>5B+Verticale</t>
  </si>
  <si>
    <t>5CVerticale</t>
  </si>
  <si>
    <t>5C+Verticale</t>
  </si>
  <si>
    <t>5DVerticale</t>
  </si>
  <si>
    <t>5Devers</t>
  </si>
  <si>
    <t>5+Devers</t>
  </si>
  <si>
    <t>5ADevers</t>
  </si>
  <si>
    <t>5A+Devers</t>
  </si>
  <si>
    <t>5BDevers</t>
  </si>
  <si>
    <t>5B+Devers</t>
  </si>
  <si>
    <t>5CDevers</t>
  </si>
  <si>
    <t>5C+Devers</t>
  </si>
  <si>
    <t>5DDevers</t>
  </si>
  <si>
    <t>6Dalle</t>
  </si>
  <si>
    <t>6+Dalle</t>
  </si>
  <si>
    <t>6ADalle</t>
  </si>
  <si>
    <t>6A+Dalle</t>
  </si>
  <si>
    <t>6BDalle</t>
  </si>
  <si>
    <t>6B+Dalle</t>
  </si>
  <si>
    <t>6CDalle</t>
  </si>
  <si>
    <t>6C+Dalle</t>
  </si>
  <si>
    <t>6DDalle</t>
  </si>
  <si>
    <t>6Verticale</t>
  </si>
  <si>
    <t>6+Verticale</t>
  </si>
  <si>
    <t>6AVerticale</t>
  </si>
  <si>
    <t>6A+Verticale</t>
  </si>
  <si>
    <t>6BVerticale</t>
  </si>
  <si>
    <t>6B+Verticale</t>
  </si>
  <si>
    <t>6CVerticale</t>
  </si>
  <si>
    <t>6C+Verticale</t>
  </si>
  <si>
    <t>6DVerticale</t>
  </si>
  <si>
    <t>6Devers</t>
  </si>
  <si>
    <t>6+Devers</t>
  </si>
  <si>
    <t>6ADevers</t>
  </si>
  <si>
    <t>6A+Devers</t>
  </si>
  <si>
    <t>6BDevers</t>
  </si>
  <si>
    <t>6B+Devers</t>
  </si>
  <si>
    <t>6CDevers</t>
  </si>
  <si>
    <t>6C+Devers</t>
  </si>
  <si>
    <t>6DDevers</t>
  </si>
  <si>
    <t>NOMS</t>
  </si>
  <si>
    <t>élève 1</t>
  </si>
  <si>
    <t>élève 2</t>
  </si>
  <si>
    <t>élève 3</t>
  </si>
  <si>
    <t>élève 4</t>
  </si>
  <si>
    <t>élève 5</t>
  </si>
  <si>
    <t>élève 6</t>
  </si>
  <si>
    <t>élève 7</t>
  </si>
  <si>
    <t>élève 8</t>
  </si>
  <si>
    <t>élève 9</t>
  </si>
  <si>
    <t>élève 10</t>
  </si>
  <si>
    <t>élève 11</t>
  </si>
  <si>
    <t>élève 12</t>
  </si>
  <si>
    <t>élève 13</t>
  </si>
  <si>
    <t>élève 14</t>
  </si>
  <si>
    <t>élève 15</t>
  </si>
  <si>
    <t>élève 16</t>
  </si>
  <si>
    <t>élève 17</t>
  </si>
  <si>
    <t>élève 18</t>
  </si>
  <si>
    <t>élève 19</t>
  </si>
  <si>
    <t>élève 20</t>
  </si>
  <si>
    <t>élève 21</t>
  </si>
  <si>
    <t>élève 22</t>
  </si>
  <si>
    <t>élève 23</t>
  </si>
  <si>
    <t>élève 24</t>
  </si>
  <si>
    <t>élève 25</t>
  </si>
  <si>
    <t>élève 26</t>
  </si>
  <si>
    <t>élève 27</t>
  </si>
  <si>
    <t>élève 28</t>
  </si>
  <si>
    <t>élève 30</t>
  </si>
  <si>
    <t>élève 31</t>
  </si>
  <si>
    <t>planning escalade</t>
  </si>
  <si>
    <t>x</t>
  </si>
  <si>
    <t>date du cycle</t>
  </si>
  <si>
    <t>noire</t>
  </si>
  <si>
    <t>violette</t>
  </si>
  <si>
    <t>7A</t>
  </si>
  <si>
    <t xml:space="preserve">violette </t>
  </si>
  <si>
    <t>6c</t>
  </si>
  <si>
    <t>élève 23</t>
  </si>
  <si>
    <t>élève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</si>
</sst>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41414"/>
      <name val="Inherit"/>
    </font>
    <font>
      <sz val="8"/>
      <name val="Calibri"/>
      <family val="2"/>
      <scheme val="minor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gray0625">
        <fgColor auto="1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gradientFill type="path" left="0.5" right="0.5" top="0.5" bottom="0.5">
        <stop position="0">
          <color rgb="FFFFC000"/>
        </stop>
        <stop position="1">
          <color theme="4"/>
        </stop>
      </gradientFill>
    </fill>
    <fill>
      <gradientFill type="path" left="0.5" right="0.5" top="0.5" bottom="0.5">
        <stop position="0">
          <color theme="4" tint="0.59999389629810485"/>
        </stop>
        <stop position="1">
          <color theme="0"/>
        </stop>
      </gradientFill>
    </fill>
    <fill>
      <gradientFill type="path" left="0.5" right="0.5" top="0.5" bottom="0.5">
        <stop position="0">
          <color rgb="FF0070C0"/>
        </stop>
        <stop position="1">
          <color rgb="FFFFFF00"/>
        </stop>
      </gradient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448AC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7AFD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5E6F6"/>
        <bgColor indexed="64"/>
      </patternFill>
    </fill>
    <fill>
      <patternFill patternType="solid">
        <fgColor rgb="FFE5F1FB"/>
        <bgColor indexed="64"/>
      </patternFill>
    </fill>
    <fill>
      <patternFill patternType="solid">
        <fgColor rgb="FFF0F7FE"/>
        <bgColor indexed="64"/>
      </patternFill>
    </fill>
    <fill>
      <patternFill patternType="solid">
        <fgColor rgb="FF4CAF50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4336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FFEB3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C27B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medium">
        <color rgb="FF708090"/>
      </left>
      <right style="medium">
        <color rgb="FF708090"/>
      </right>
      <top style="medium">
        <color rgb="FF708090"/>
      </top>
      <bottom style="medium">
        <color rgb="FF708090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  <border>
      <left style="medium">
        <color rgb="FFC4C7C5"/>
      </left>
      <right style="medium">
        <color rgb="FFC4C7C5"/>
      </right>
      <top/>
      <bottom/>
      <diagonal/>
    </border>
    <border>
      <left style="medium">
        <color rgb="FFC4C7C5"/>
      </left>
      <right style="medium">
        <color rgb="FFC4C7C5"/>
      </right>
      <top/>
      <bottom style="medium">
        <color rgb="FFC4C7C5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8" borderId="0" xfId="0" applyFill="1"/>
    <xf numFmtId="0" fontId="0" fillId="9" borderId="3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 vertical="center" wrapText="1"/>
      <protection locked="0"/>
    </xf>
    <xf numFmtId="0" fontId="3" fillId="12" borderId="4" xfId="0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0" fillId="12" borderId="0" xfId="0" applyFill="1" applyAlignment="1">
      <alignment horizontal="center" vertical="center" wrapText="1"/>
    </xf>
    <xf numFmtId="0" fontId="7" fillId="0" borderId="0" xfId="0" applyFont="1" applyAlignment="1">
      <alignment horizontal="left" vertical="center" readingOrder="1"/>
    </xf>
    <xf numFmtId="0" fontId="0" fillId="14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16" borderId="16" xfId="0" applyFont="1" applyFill="1" applyBorder="1" applyAlignment="1">
      <alignment horizontal="center" vertical="center" wrapText="1"/>
    </xf>
    <xf numFmtId="0" fontId="5" fillId="17" borderId="15" xfId="0" applyFont="1" applyFill="1" applyBorder="1" applyAlignment="1">
      <alignment horizontal="center" vertical="center" wrapText="1"/>
    </xf>
    <xf numFmtId="0" fontId="5" fillId="14" borderId="16" xfId="0" applyFont="1" applyFill="1" applyBorder="1" applyAlignment="1">
      <alignment horizontal="center" vertical="center" wrapText="1"/>
    </xf>
    <xf numFmtId="0" fontId="5" fillId="16" borderId="17" xfId="0" applyFont="1" applyFill="1" applyBorder="1" applyAlignment="1">
      <alignment horizontal="center" vertical="center" wrapText="1"/>
    </xf>
    <xf numFmtId="0" fontId="4" fillId="18" borderId="16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14" borderId="15" xfId="0" applyFont="1" applyFill="1" applyBorder="1" applyAlignment="1">
      <alignment horizontal="center" vertical="center" wrapText="1"/>
    </xf>
    <xf numFmtId="0" fontId="4" fillId="19" borderId="16" xfId="0" applyFont="1" applyFill="1" applyBorder="1" applyAlignment="1">
      <alignment horizontal="center" vertical="center" wrapText="1"/>
    </xf>
    <xf numFmtId="0" fontId="5" fillId="17" borderId="18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14" borderId="18" xfId="0" applyFont="1" applyFill="1" applyBorder="1" applyAlignment="1">
      <alignment horizontal="center" vertical="center" wrapText="1"/>
    </xf>
    <xf numFmtId="0" fontId="4" fillId="20" borderId="16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17" borderId="17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16" borderId="17" xfId="0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5" fillId="7" borderId="17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horizontal="center" vertical="center" wrapText="1"/>
    </xf>
    <xf numFmtId="0" fontId="0" fillId="7" borderId="20" xfId="0" applyFill="1" applyBorder="1" applyAlignment="1">
      <alignment horizontal="center" vertical="center" wrapText="1"/>
    </xf>
    <xf numFmtId="0" fontId="6" fillId="7" borderId="17" xfId="0" applyFont="1" applyFill="1" applyBorder="1" applyAlignment="1">
      <alignment horizontal="center" vertical="center" wrapText="1"/>
    </xf>
    <xf numFmtId="0" fontId="6" fillId="7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1" borderId="0" xfId="0" applyFont="1" applyFill="1" applyAlignment="1" applyProtection="1">
      <alignment horizontal="center" vertical="center" wrapText="1"/>
    </xf>
    <xf numFmtId="0" fontId="0" fillId="12" borderId="1" xfId="0" applyFill="1" applyBorder="1" applyAlignment="1" applyProtection="1">
      <alignment horizontal="center" vertical="center" wrapText="1"/>
    </xf>
    <xf numFmtId="0" fontId="0" fillId="10" borderId="3" xfId="0" applyFill="1" applyBorder="1" applyAlignment="1" applyProtection="1">
      <alignment horizontal="center" vertical="center" wrapText="1"/>
    </xf>
    <xf numFmtId="0" fontId="0" fillId="12" borderId="7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9" borderId="1" xfId="0" applyFill="1" applyBorder="1" applyAlignment="1" applyProtection="1">
      <alignment horizontal="center"/>
    </xf>
    <xf numFmtId="0" fontId="0" fillId="0" borderId="0" xfId="0" applyProtection="1"/>
    <xf numFmtId="0" fontId="0" fillId="6" borderId="2" xfId="0" applyFill="1" applyBorder="1" applyAlignment="1" applyProtection="1">
      <alignment horizontal="center"/>
    </xf>
    <xf numFmtId="0" fontId="0" fillId="6" borderId="0" xfId="0" applyFill="1" applyProtection="1"/>
    <xf numFmtId="0" fontId="1" fillId="0" borderId="0" xfId="0" applyFont="1" applyProtection="1"/>
    <xf numFmtId="0" fontId="0" fillId="7" borderId="1" xfId="0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0" borderId="1" xfId="0" applyBorder="1" applyProtection="1"/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0" fontId="0" fillId="14" borderId="0" xfId="0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4" fillId="19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5" borderId="1" xfId="0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7" borderId="22" xfId="0" applyFont="1" applyFill="1" applyBorder="1" applyProtection="1"/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22" xfId="0" applyFont="1" applyBorder="1" applyProtection="1"/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 vertical="center" wrapText="1"/>
      <protection locked="0"/>
    </xf>
    <xf numFmtId="0" fontId="0" fillId="7" borderId="23" xfId="0" applyFill="1" applyBorder="1" applyAlignment="1" applyProtection="1">
      <alignment horizontal="center" vertical="center" wrapText="1"/>
      <protection locked="0"/>
    </xf>
    <xf numFmtId="0" fontId="7" fillId="7" borderId="0" xfId="0" applyFont="1" applyFill="1" applyAlignment="1">
      <alignment horizontal="left" vertical="center" readingOrder="1"/>
    </xf>
    <xf numFmtId="0" fontId="0" fillId="7" borderId="0" xfId="0" applyFill="1" applyAlignment="1"/>
    <xf numFmtId="0" fontId="0" fillId="0" borderId="0" xfId="0" applyFill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0" fillId="9" borderId="20" xfId="0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 wrapText="1"/>
    </xf>
    <xf numFmtId="0" fontId="0" fillId="0" borderId="21" xfId="0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9" fillId="0" borderId="0" xfId="0" applyFont="1" applyAlignment="1">
      <alignment vertical="center"/>
    </xf>
    <xf numFmtId="0" fontId="11" fillId="0" borderId="27" xfId="0" applyFont="1" applyBorder="1" applyAlignment="1">
      <alignment horizontal="left" vertical="center" wrapText="1" indent="1"/>
    </xf>
    <xf numFmtId="0" fontId="11" fillId="0" borderId="28" xfId="0" applyFont="1" applyBorder="1" applyAlignment="1">
      <alignment horizontal="left" vertical="center" wrapText="1" indent="1"/>
    </xf>
    <xf numFmtId="0" fontId="0" fillId="0" borderId="29" xfId="0" applyBorder="1" applyAlignment="1">
      <alignment horizontal="left" vertical="center" wrapText="1" indent="1"/>
    </xf>
    <xf numFmtId="0" fontId="12" fillId="0" borderId="29" xfId="0" applyFont="1" applyBorder="1" applyAlignment="1">
      <alignment horizontal="left" vertical="center" wrapText="1" indent="1"/>
    </xf>
    <xf numFmtId="0" fontId="0" fillId="0" borderId="30" xfId="0" applyBorder="1" applyAlignment="1">
      <alignment horizontal="left" vertical="center" wrapText="1" indent="1"/>
    </xf>
    <xf numFmtId="0" fontId="10" fillId="0" borderId="28" xfId="0" applyFont="1" applyBorder="1" applyAlignment="1">
      <alignment horizontal="left" vertical="center" wrapText="1" indent="1"/>
    </xf>
    <xf numFmtId="0" fontId="10" fillId="0" borderId="29" xfId="0" applyFont="1" applyBorder="1" applyAlignment="1">
      <alignment horizontal="left" vertical="center" wrapText="1" indent="1"/>
    </xf>
    <xf numFmtId="0" fontId="10" fillId="0" borderId="30" xfId="0" applyFont="1" applyBorder="1" applyAlignment="1">
      <alignment horizontal="left" vertical="center" wrapText="1" indent="1"/>
    </xf>
    <xf numFmtId="0" fontId="12" fillId="0" borderId="30" xfId="0" applyFont="1" applyBorder="1" applyAlignment="1">
      <alignment horizontal="left" vertical="center" wrapText="1" indent="1"/>
    </xf>
    <xf numFmtId="0" fontId="10" fillId="0" borderId="28" xfId="0" applyFont="1" applyBorder="1" applyAlignment="1">
      <alignment vertical="center" wrapText="1"/>
    </xf>
    <xf numFmtId="0" fontId="10" fillId="0" borderId="29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0" fillId="25" borderId="29" xfId="0" applyFill="1" applyBorder="1" applyAlignment="1">
      <alignment horizontal="left" vertical="center" wrapText="1" indent="1"/>
    </xf>
    <xf numFmtId="0" fontId="10" fillId="25" borderId="29" xfId="0" applyFont="1" applyFill="1" applyBorder="1" applyAlignment="1">
      <alignment vertical="center" wrapText="1"/>
    </xf>
    <xf numFmtId="0" fontId="0" fillId="0" borderId="5" xfId="0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10" borderId="9" xfId="0" applyFill="1" applyBorder="1" applyAlignment="1" applyProtection="1">
      <alignment horizontal="center" vertical="center" wrapText="1"/>
    </xf>
    <xf numFmtId="0" fontId="0" fillId="10" borderId="6" xfId="0" applyFill="1" applyBorder="1" applyAlignment="1" applyProtection="1">
      <alignment horizontal="center" vertical="center" wrapText="1"/>
    </xf>
    <xf numFmtId="0" fontId="0" fillId="21" borderId="0" xfId="0" applyFill="1" applyBorder="1" applyAlignment="1">
      <alignment horizontal="center" vertical="center" wrapText="1"/>
    </xf>
    <xf numFmtId="0" fontId="0" fillId="21" borderId="10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 vertical="center" wrapText="1"/>
    </xf>
    <xf numFmtId="0" fontId="0" fillId="21" borderId="11" xfId="0" applyFill="1" applyBorder="1" applyAlignment="1">
      <alignment horizontal="center" vertical="center" wrapText="1"/>
    </xf>
    <xf numFmtId="0" fontId="0" fillId="22" borderId="10" xfId="0" applyFill="1" applyBorder="1" applyAlignment="1">
      <alignment horizontal="center" vertical="center" wrapText="1"/>
    </xf>
    <xf numFmtId="0" fontId="0" fillId="22" borderId="12" xfId="0" applyFill="1" applyBorder="1" applyAlignment="1">
      <alignment horizontal="center" vertical="center" wrapText="1"/>
    </xf>
    <xf numFmtId="0" fontId="0" fillId="22" borderId="11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21" borderId="14" xfId="0" applyFill="1" applyBorder="1" applyAlignment="1">
      <alignment horizontal="center" vertical="center" wrapText="1"/>
    </xf>
    <xf numFmtId="0" fontId="0" fillId="21" borderId="19" xfId="0" applyFill="1" applyBorder="1" applyAlignment="1">
      <alignment horizontal="center" vertical="center" wrapText="1"/>
    </xf>
    <xf numFmtId="0" fontId="0" fillId="23" borderId="0" xfId="0" applyFill="1" applyBorder="1" applyAlignment="1">
      <alignment horizontal="center" vertical="center" wrapText="1"/>
    </xf>
    <xf numFmtId="0" fontId="0" fillId="2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3" borderId="14" xfId="0" applyFill="1" applyBorder="1" applyAlignment="1">
      <alignment horizontal="center" vertical="center" wrapText="1"/>
    </xf>
    <xf numFmtId="0" fontId="10" fillId="0" borderId="28" xfId="0" applyFont="1" applyBorder="1" applyAlignment="1">
      <alignment horizontal="left" vertical="center" wrapText="1" indent="1"/>
    </xf>
    <xf numFmtId="0" fontId="10" fillId="0" borderId="29" xfId="0" applyFont="1" applyBorder="1" applyAlignment="1">
      <alignment horizontal="left" vertical="center" wrapText="1" indent="1"/>
    </xf>
    <xf numFmtId="0" fontId="10" fillId="0" borderId="30" xfId="0" applyFont="1" applyBorder="1" applyAlignment="1">
      <alignment horizontal="left" vertical="center" wrapText="1" indent="1"/>
    </xf>
    <xf numFmtId="0" fontId="0" fillId="0" borderId="1" xfId="0" applyBorder="1" applyAlignment="1" applyProtection="1">
      <alignment horizontal="center" vertical="center"/>
    </xf>
    <xf numFmtId="0" fontId="0" fillId="9" borderId="0" xfId="0" applyFill="1" applyAlignment="1" applyProtection="1">
      <alignment horizontal="center" vertical="center"/>
      <protection locked="0"/>
    </xf>
    <xf numFmtId="0" fontId="0" fillId="26" borderId="0" xfId="0" applyFill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1" xfId="0" applyBorder="1" applyProtection="1">
      <protection locked="0"/>
    </xf>
    <xf numFmtId="0" fontId="0" fillId="0" borderId="1" xfId="0" applyFill="1" applyBorder="1"/>
    <xf numFmtId="14" fontId="0" fillId="28" borderId="1" xfId="0" applyNumberFormat="1" applyFill="1" applyBorder="1" applyProtection="1">
      <protection locked="0"/>
    </xf>
    <xf numFmtId="14" fontId="0" fillId="29" borderId="1" xfId="0" applyNumberFormat="1" applyFill="1" applyBorder="1" applyProtection="1">
      <protection locked="0"/>
    </xf>
    <xf numFmtId="14" fontId="0" fillId="30" borderId="1" xfId="0" applyNumberFormat="1" applyFill="1" applyBorder="1" applyProtection="1">
      <protection locked="0"/>
    </xf>
    <xf numFmtId="14" fontId="0" fillId="31" borderId="1" xfId="0" applyNumberFormat="1" applyFill="1" applyBorder="1" applyProtection="1">
      <protection locked="0"/>
    </xf>
    <xf numFmtId="14" fontId="0" fillId="32" borderId="1" xfId="0" applyNumberFormat="1" applyFill="1" applyBorder="1" applyProtection="1">
      <protection locked="0"/>
    </xf>
    <xf numFmtId="14" fontId="0" fillId="33" borderId="1" xfId="0" applyNumberFormat="1" applyFill="1" applyBorder="1" applyProtection="1">
      <protection locked="0"/>
    </xf>
    <xf numFmtId="14" fontId="0" fillId="34" borderId="1" xfId="0" applyNumberFormat="1" applyFill="1" applyBorder="1" applyProtection="1">
      <protection locked="0"/>
    </xf>
    <xf numFmtId="14" fontId="0" fillId="35" borderId="1" xfId="0" applyNumberFormat="1" applyFill="1" applyBorder="1" applyProtection="1">
      <protection locked="0"/>
    </xf>
    <xf numFmtId="14" fontId="0" fillId="36" borderId="1" xfId="0" applyNumberFormat="1" applyFill="1" applyBorder="1" applyProtection="1">
      <protection locked="0"/>
    </xf>
    <xf numFmtId="14" fontId="0" fillId="37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Alignment="1" applyProtection="1">
      <alignment horizontal="center"/>
    </xf>
    <xf numFmtId="0" fontId="14" fillId="38" borderId="15" xfId="0" applyFont="1" applyFill="1" applyBorder="1" applyAlignment="1">
      <alignment horizontal="center" vertical="center" wrapText="1"/>
    </xf>
    <xf numFmtId="0" fontId="14" fillId="39" borderId="16" xfId="0" applyFont="1" applyFill="1" applyBorder="1" applyAlignment="1">
      <alignment horizontal="center" vertical="center" wrapText="1"/>
    </xf>
    <xf numFmtId="0" fontId="5" fillId="40" borderId="17" xfId="0" applyFont="1" applyFill="1" applyBorder="1" applyAlignment="1">
      <alignment horizontal="center" vertical="center" wrapText="1"/>
    </xf>
    <xf numFmtId="0" fontId="14" fillId="41" borderId="16" xfId="0" applyFont="1" applyFill="1" applyBorder="1" applyAlignment="1">
      <alignment horizontal="center" vertical="center" wrapText="1"/>
    </xf>
    <xf numFmtId="0" fontId="14" fillId="42" borderId="17" xfId="0" applyFont="1" applyFill="1" applyBorder="1" applyAlignment="1">
      <alignment horizontal="center" vertical="center" wrapText="1"/>
    </xf>
    <xf numFmtId="0" fontId="15" fillId="43" borderId="15" xfId="0" applyFont="1" applyFill="1" applyBorder="1" applyAlignment="1">
      <alignment horizontal="center" vertical="center" wrapText="1"/>
    </xf>
    <xf numFmtId="0" fontId="14" fillId="39" borderId="17" xfId="0" applyFont="1" applyFill="1" applyBorder="1" applyAlignment="1">
      <alignment horizontal="center" vertical="center" wrapText="1"/>
    </xf>
    <xf numFmtId="0" fontId="14" fillId="42" borderId="16" xfId="0" applyFont="1" applyFill="1" applyBorder="1" applyAlignment="1">
      <alignment horizontal="center" vertical="center" wrapText="1"/>
    </xf>
    <xf numFmtId="0" fontId="15" fillId="44" borderId="17" xfId="0" applyFont="1" applyFill="1" applyBorder="1" applyAlignment="1">
      <alignment horizontal="center" vertical="center" wrapText="1"/>
    </xf>
    <xf numFmtId="0" fontId="14" fillId="45" borderId="16" xfId="0" applyFont="1" applyFill="1" applyBorder="1" applyAlignment="1">
      <alignment horizontal="center" vertical="center" wrapText="1"/>
    </xf>
    <xf numFmtId="0" fontId="4" fillId="40" borderId="16" xfId="0" applyFont="1" applyFill="1" applyBorder="1" applyAlignment="1">
      <alignment horizontal="center" vertical="center" wrapText="1"/>
    </xf>
    <xf numFmtId="0" fontId="15" fillId="44" borderId="16" xfId="0" applyFont="1" applyFill="1" applyBorder="1" applyAlignment="1">
      <alignment horizontal="center" vertical="center" wrapText="1"/>
    </xf>
    <xf numFmtId="0" fontId="15" fillId="43" borderId="18" xfId="0" applyFont="1" applyFill="1" applyBorder="1" applyAlignment="1">
      <alignment horizontal="center" vertical="center" wrapText="1"/>
    </xf>
    <xf numFmtId="0" fontId="5" fillId="40" borderId="15" xfId="0" applyFont="1" applyFill="1" applyBorder="1" applyAlignment="1">
      <alignment horizontal="center" vertical="center" wrapText="1"/>
    </xf>
    <xf numFmtId="0" fontId="14" fillId="41" borderId="15" xfId="0" applyFont="1" applyFill="1" applyBorder="1" applyAlignment="1">
      <alignment horizontal="center" vertical="center" wrapText="1"/>
    </xf>
    <xf numFmtId="0" fontId="14" fillId="38" borderId="18" xfId="0" applyFont="1" applyFill="1" applyBorder="1" applyAlignment="1">
      <alignment horizontal="center" vertical="center" wrapText="1"/>
    </xf>
    <xf numFmtId="0" fontId="14" fillId="45" borderId="15" xfId="0" applyFont="1" applyFill="1" applyBorder="1" applyAlignment="1">
      <alignment horizontal="center" vertical="center" wrapText="1"/>
    </xf>
    <xf numFmtId="0" fontId="15" fillId="43" borderId="16" xfId="0" applyFont="1" applyFill="1" applyBorder="1" applyAlignment="1">
      <alignment horizontal="center" vertical="center" wrapText="1"/>
    </xf>
    <xf numFmtId="0" fontId="14" fillId="41" borderId="18" xfId="0" applyFont="1" applyFill="1" applyBorder="1" applyAlignment="1">
      <alignment horizontal="center" vertical="center" wrapText="1"/>
    </xf>
    <xf numFmtId="0" fontId="5" fillId="40" borderId="16" xfId="0" applyFont="1" applyFill="1" applyBorder="1" applyAlignment="1">
      <alignment horizontal="center" vertical="center" wrapText="1"/>
    </xf>
    <xf numFmtId="0" fontId="6" fillId="40" borderId="17" xfId="0" applyFont="1" applyFill="1" applyBorder="1" applyAlignment="1">
      <alignment horizontal="center" vertical="center" wrapText="1"/>
    </xf>
    <xf numFmtId="0" fontId="13" fillId="43" borderId="15" xfId="0" applyFont="1" applyFill="1" applyBorder="1" applyAlignment="1">
      <alignment horizontal="center" vertical="center" wrapText="1"/>
    </xf>
    <xf numFmtId="0" fontId="16" fillId="38" borderId="17" xfId="0" applyFont="1" applyFill="1" applyBorder="1" applyAlignment="1">
      <alignment horizontal="center" vertical="center" wrapText="1"/>
    </xf>
    <xf numFmtId="0" fontId="16" fillId="39" borderId="17" xfId="0" applyFont="1" applyFill="1" applyBorder="1" applyAlignment="1">
      <alignment horizontal="center" vertical="center" wrapText="1"/>
    </xf>
    <xf numFmtId="0" fontId="13" fillId="44" borderId="20" xfId="0" applyFont="1" applyFill="1" applyBorder="1" applyAlignment="1">
      <alignment horizontal="center" vertical="center" wrapText="1"/>
    </xf>
  </cellXfs>
  <cellStyles count="1">
    <cellStyle name="Normal" xfId="0" builtinId="0"/>
  </cellStyles>
  <dxfs count="26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gradientFill degree="90"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99"/>
      <color rgb="FFF1A087"/>
      <color rgb="FF000000"/>
      <color rgb="FFE14D1F"/>
      <color rgb="FFFFFF99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161925</xdr:rowOff>
    </xdr:from>
    <xdr:to>
      <xdr:col>9</xdr:col>
      <xdr:colOff>352424</xdr:colOff>
      <xdr:row>0</xdr:row>
      <xdr:rowOff>600075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10199" y="161925"/>
          <a:ext cx="295275" cy="438150"/>
        </a:xfrm>
        <a:prstGeom prst="ben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isting" displayName="TabListing" ref="A1:A51" totalsRowShown="0" headerRowDxfId="25" dataDxfId="24">
  <autoFilter ref="A1:A51" xr:uid="{00000000-0009-0000-0100-000006000000}"/>
  <sortState xmlns:xlrd2="http://schemas.microsoft.com/office/spreadsheetml/2017/richdata2" ref="A2:A5">
    <sortCondition ref="A1:A5"/>
  </sortState>
  <tableColumns count="1">
    <tableColumn id="1" xr3:uid="{00000000-0010-0000-0000-000001000000}" name="élèves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leves" displayName="Eleves" ref="B1:B149" totalsRowShown="0" headerRowDxfId="22" dataDxfId="20" headerRowBorderDxfId="21" tableBorderDxfId="19" totalsRowBorderDxfId="18">
  <sortState xmlns:xlrd2="http://schemas.microsoft.com/office/spreadsheetml/2017/richdata2" ref="B2:B149">
    <sortCondition ref="B2:B149"/>
  </sortState>
  <tableColumns count="1">
    <tableColumn id="1" xr3:uid="{00000000-0010-0000-0100-000001000000}" name="Elèves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8" tint="0.39997558519241921"/>
  </sheetPr>
  <dimension ref="A1:AN200"/>
  <sheetViews>
    <sheetView tabSelected="1" workbookViewId="0">
      <selection activeCell="I8" sqref="I8"/>
    </sheetView>
  </sheetViews>
  <sheetFormatPr baseColWidth="10" defaultColWidth="10.7109375" defaultRowHeight="15"/>
  <cols>
    <col min="1" max="3" width="23" style="67" customWidth="1"/>
    <col min="4" max="4" width="11.42578125" style="11"/>
    <col min="5" max="23" width="10.7109375" style="11"/>
    <col min="24" max="40" width="11.42578125" style="5"/>
  </cols>
  <sheetData>
    <row r="1" spans="1:15">
      <c r="A1" s="67" t="s">
        <v>32</v>
      </c>
      <c r="C1" s="151" t="s">
        <v>202</v>
      </c>
      <c r="D1" s="152" t="s">
        <v>204</v>
      </c>
    </row>
    <row r="2" spans="1:15">
      <c r="A2" s="54" t="s">
        <v>48</v>
      </c>
      <c r="B2" s="54"/>
      <c r="C2" s="63"/>
      <c r="D2" s="152"/>
    </row>
    <row r="3" spans="1:15">
      <c r="A3" s="67" t="s">
        <v>172</v>
      </c>
      <c r="C3" s="153">
        <v>46280</v>
      </c>
      <c r="D3" s="152"/>
      <c r="E3" s="149" t="s">
        <v>5</v>
      </c>
      <c r="F3" s="59" t="s">
        <v>24</v>
      </c>
      <c r="G3" s="59" t="s">
        <v>2</v>
      </c>
      <c r="H3" s="59" t="s">
        <v>25</v>
      </c>
      <c r="I3" s="59" t="s">
        <v>2</v>
      </c>
      <c r="J3" s="59" t="s">
        <v>25</v>
      </c>
      <c r="K3" s="59" t="s">
        <v>2</v>
      </c>
      <c r="L3" s="59" t="s">
        <v>25</v>
      </c>
      <c r="M3" s="59" t="s">
        <v>2</v>
      </c>
      <c r="N3" s="59" t="s">
        <v>25</v>
      </c>
      <c r="O3" s="66" t="s">
        <v>26</v>
      </c>
    </row>
    <row r="4" spans="1:15">
      <c r="A4" s="67" t="s">
        <v>173</v>
      </c>
      <c r="C4" s="154">
        <v>46281</v>
      </c>
      <c r="D4" s="152"/>
      <c r="E4" s="150">
        <v>1</v>
      </c>
      <c r="F4" s="52" t="s">
        <v>6</v>
      </c>
      <c r="G4" s="60" t="s">
        <v>10</v>
      </c>
      <c r="H4" s="60" t="s">
        <v>39</v>
      </c>
      <c r="I4" s="61" t="s">
        <v>12</v>
      </c>
      <c r="J4" s="61" t="s">
        <v>15</v>
      </c>
      <c r="K4" s="62"/>
      <c r="L4" s="62"/>
      <c r="M4" s="52" t="s">
        <v>46</v>
      </c>
      <c r="N4" s="52">
        <v>4</v>
      </c>
      <c r="O4" s="66">
        <v>1</v>
      </c>
    </row>
    <row r="5" spans="1:15">
      <c r="A5" s="67" t="s">
        <v>174</v>
      </c>
      <c r="C5" s="155">
        <v>46282</v>
      </c>
      <c r="D5" s="152" t="s">
        <v>203</v>
      </c>
      <c r="E5" s="150">
        <v>2</v>
      </c>
      <c r="F5" s="52" t="s">
        <v>7</v>
      </c>
      <c r="G5" s="60" t="s">
        <v>11</v>
      </c>
      <c r="H5" s="60" t="s">
        <v>4</v>
      </c>
      <c r="I5" s="61" t="s">
        <v>13</v>
      </c>
      <c r="J5" s="61" t="s">
        <v>16</v>
      </c>
      <c r="K5" s="62" t="s">
        <v>205</v>
      </c>
      <c r="L5" s="62" t="s">
        <v>22</v>
      </c>
      <c r="M5" s="52" t="s">
        <v>46</v>
      </c>
      <c r="N5" s="52" t="s">
        <v>35</v>
      </c>
      <c r="O5" s="66">
        <v>2</v>
      </c>
    </row>
    <row r="6" spans="1:15">
      <c r="A6" s="67" t="s">
        <v>175</v>
      </c>
      <c r="C6" s="156">
        <v>46283</v>
      </c>
      <c r="D6" s="152"/>
      <c r="E6" s="150">
        <v>3</v>
      </c>
      <c r="F6" s="52" t="s">
        <v>7</v>
      </c>
      <c r="G6" s="60" t="s">
        <v>10</v>
      </c>
      <c r="H6" s="60" t="s">
        <v>40</v>
      </c>
      <c r="I6" s="61" t="s">
        <v>12</v>
      </c>
      <c r="J6" s="61" t="s">
        <v>15</v>
      </c>
      <c r="K6" s="62" t="s">
        <v>205</v>
      </c>
      <c r="L6" s="62" t="s">
        <v>15</v>
      </c>
      <c r="M6" s="52" t="s">
        <v>46</v>
      </c>
      <c r="N6" s="52">
        <v>4</v>
      </c>
      <c r="O6" s="66">
        <v>3</v>
      </c>
    </row>
    <row r="7" spans="1:15">
      <c r="A7" s="67" t="s">
        <v>176</v>
      </c>
      <c r="C7" s="157">
        <v>46284</v>
      </c>
      <c r="D7" s="152"/>
      <c r="E7" s="150">
        <v>4</v>
      </c>
      <c r="F7" s="52" t="s">
        <v>8</v>
      </c>
      <c r="G7" s="60" t="s">
        <v>11</v>
      </c>
      <c r="H7" s="60" t="s">
        <v>18</v>
      </c>
      <c r="I7" s="61" t="s">
        <v>13</v>
      </c>
      <c r="J7" s="61" t="s">
        <v>16</v>
      </c>
      <c r="K7" s="62" t="s">
        <v>205</v>
      </c>
      <c r="L7" s="62" t="s">
        <v>22</v>
      </c>
      <c r="M7" s="52" t="s">
        <v>46</v>
      </c>
      <c r="N7" s="52" t="s">
        <v>35</v>
      </c>
      <c r="O7" s="66">
        <v>4</v>
      </c>
    </row>
    <row r="8" spans="1:15">
      <c r="A8" s="67" t="s">
        <v>177</v>
      </c>
      <c r="C8" s="158">
        <v>46285</v>
      </c>
      <c r="D8" s="152"/>
      <c r="E8" s="150">
        <v>5</v>
      </c>
      <c r="F8" s="52" t="s">
        <v>8</v>
      </c>
      <c r="G8" s="60" t="s">
        <v>10</v>
      </c>
      <c r="H8" s="60" t="s">
        <v>39</v>
      </c>
      <c r="I8" s="61" t="s">
        <v>206</v>
      </c>
      <c r="J8" s="61" t="s">
        <v>21</v>
      </c>
      <c r="K8" s="62"/>
      <c r="L8" s="62"/>
      <c r="M8" s="52" t="s">
        <v>46</v>
      </c>
      <c r="N8" s="52" t="s">
        <v>19</v>
      </c>
      <c r="O8" s="66">
        <v>5</v>
      </c>
    </row>
    <row r="9" spans="1:15">
      <c r="A9" s="67" t="s">
        <v>178</v>
      </c>
      <c r="C9" s="159">
        <v>46286</v>
      </c>
      <c r="D9" s="152"/>
      <c r="E9" s="150">
        <v>6</v>
      </c>
      <c r="F9" s="52" t="s">
        <v>8</v>
      </c>
      <c r="G9" s="60" t="s">
        <v>11</v>
      </c>
      <c r="H9" s="60" t="s">
        <v>20</v>
      </c>
      <c r="I9" s="61" t="s">
        <v>12</v>
      </c>
      <c r="J9" s="61" t="s">
        <v>15</v>
      </c>
      <c r="K9" s="62"/>
      <c r="L9" s="62"/>
      <c r="M9" s="52" t="s">
        <v>46</v>
      </c>
      <c r="N9" s="52" t="s">
        <v>20</v>
      </c>
      <c r="O9" s="66" t="s">
        <v>27</v>
      </c>
    </row>
    <row r="10" spans="1:15">
      <c r="A10" s="67" t="s">
        <v>179</v>
      </c>
      <c r="C10" s="160">
        <v>46287</v>
      </c>
      <c r="D10" s="152"/>
      <c r="E10" s="150">
        <v>7</v>
      </c>
      <c r="F10" s="52" t="s">
        <v>8</v>
      </c>
      <c r="G10" s="60" t="s">
        <v>10</v>
      </c>
      <c r="H10" s="60" t="s">
        <v>39</v>
      </c>
      <c r="I10" s="61"/>
      <c r="J10" s="61"/>
      <c r="K10" s="62"/>
      <c r="L10" s="62"/>
      <c r="M10" s="52" t="s">
        <v>46</v>
      </c>
      <c r="N10" s="52" t="s">
        <v>19</v>
      </c>
      <c r="O10" s="54"/>
    </row>
    <row r="11" spans="1:15">
      <c r="A11" s="67" t="s">
        <v>180</v>
      </c>
      <c r="C11" s="161">
        <v>46288</v>
      </c>
      <c r="D11" s="152"/>
      <c r="E11" s="150">
        <v>8</v>
      </c>
      <c r="F11" s="52" t="s">
        <v>9</v>
      </c>
      <c r="G11" s="60" t="s">
        <v>13</v>
      </c>
      <c r="H11" s="60" t="s">
        <v>16</v>
      </c>
      <c r="I11" s="61" t="s">
        <v>12</v>
      </c>
      <c r="J11" s="61" t="s">
        <v>15</v>
      </c>
      <c r="K11" s="62"/>
      <c r="L11" s="62"/>
      <c r="M11" s="52" t="s">
        <v>46</v>
      </c>
      <c r="N11" s="52" t="s">
        <v>18</v>
      </c>
      <c r="O11" s="54"/>
    </row>
    <row r="12" spans="1:15">
      <c r="A12" s="67" t="s">
        <v>181</v>
      </c>
      <c r="C12" s="162">
        <v>46289</v>
      </c>
      <c r="D12" s="152"/>
      <c r="E12" s="150">
        <v>9</v>
      </c>
      <c r="F12" s="52" t="s">
        <v>9</v>
      </c>
      <c r="G12" s="60" t="s">
        <v>11</v>
      </c>
      <c r="H12" s="60" t="s">
        <v>18</v>
      </c>
      <c r="I12" s="61" t="s">
        <v>206</v>
      </c>
      <c r="J12" s="61" t="s">
        <v>207</v>
      </c>
      <c r="K12" s="62"/>
      <c r="L12" s="62"/>
      <c r="M12" s="52" t="s">
        <v>46</v>
      </c>
      <c r="N12" s="52" t="s">
        <v>4</v>
      </c>
      <c r="O12" s="54"/>
    </row>
    <row r="13" spans="1:15">
      <c r="A13" s="67" t="s">
        <v>182</v>
      </c>
      <c r="C13" s="153">
        <v>46290</v>
      </c>
      <c r="D13" s="152"/>
      <c r="E13" s="150">
        <v>10</v>
      </c>
      <c r="F13" s="52" t="s">
        <v>9</v>
      </c>
      <c r="G13" s="60" t="s">
        <v>13</v>
      </c>
      <c r="H13" s="60" t="s">
        <v>23</v>
      </c>
      <c r="I13" s="61" t="s">
        <v>10</v>
      </c>
      <c r="J13" s="61" t="s">
        <v>41</v>
      </c>
      <c r="K13" s="62"/>
      <c r="L13" s="62"/>
      <c r="M13" s="52" t="s">
        <v>46</v>
      </c>
      <c r="N13" s="52" t="s">
        <v>16</v>
      </c>
      <c r="O13" s="54"/>
    </row>
    <row r="14" spans="1:15">
      <c r="A14" s="67" t="s">
        <v>183</v>
      </c>
      <c r="C14" s="163"/>
      <c r="D14" s="152"/>
      <c r="E14" s="150">
        <v>11</v>
      </c>
      <c r="F14" s="52" t="s">
        <v>9</v>
      </c>
      <c r="G14" s="60" t="s">
        <v>11</v>
      </c>
      <c r="H14" s="60" t="s">
        <v>18</v>
      </c>
      <c r="I14" s="61" t="s">
        <v>12</v>
      </c>
      <c r="J14" s="61" t="s">
        <v>15</v>
      </c>
      <c r="K14" s="62" t="s">
        <v>14</v>
      </c>
      <c r="L14" s="62" t="s">
        <v>21</v>
      </c>
      <c r="M14" s="52" t="s">
        <v>46</v>
      </c>
      <c r="N14" s="52" t="s">
        <v>4</v>
      </c>
      <c r="O14" s="54"/>
    </row>
    <row r="15" spans="1:15">
      <c r="A15" s="67" t="s">
        <v>184</v>
      </c>
      <c r="C15" s="163"/>
      <c r="D15" s="152"/>
      <c r="E15" s="150">
        <v>12</v>
      </c>
      <c r="F15" s="52" t="s">
        <v>9</v>
      </c>
      <c r="G15" s="60" t="s">
        <v>13</v>
      </c>
      <c r="H15" s="60" t="s">
        <v>23</v>
      </c>
      <c r="I15" s="61" t="s">
        <v>208</v>
      </c>
      <c r="J15" s="61" t="s">
        <v>209</v>
      </c>
      <c r="K15" s="62"/>
      <c r="L15" s="62"/>
      <c r="M15" s="52" t="s">
        <v>46</v>
      </c>
      <c r="N15" s="52" t="s">
        <v>16</v>
      </c>
      <c r="O15" s="54"/>
    </row>
    <row r="16" spans="1:15">
      <c r="A16" s="67" t="s">
        <v>185</v>
      </c>
      <c r="C16" s="163"/>
      <c r="D16" s="152"/>
      <c r="E16" s="150">
        <v>13</v>
      </c>
      <c r="F16" s="52" t="s">
        <v>9</v>
      </c>
      <c r="G16" s="60" t="s">
        <v>11</v>
      </c>
      <c r="H16" s="60" t="s">
        <v>18</v>
      </c>
      <c r="I16" s="61" t="s">
        <v>12</v>
      </c>
      <c r="J16" s="61" t="s">
        <v>15</v>
      </c>
      <c r="K16" s="62"/>
      <c r="L16" s="62"/>
      <c r="M16" s="52" t="s">
        <v>46</v>
      </c>
      <c r="N16" s="52" t="s">
        <v>4</v>
      </c>
      <c r="O16" s="54"/>
    </row>
    <row r="17" spans="1:15">
      <c r="A17" s="67" t="s">
        <v>186</v>
      </c>
      <c r="C17" s="88"/>
      <c r="E17" s="52">
        <v>14</v>
      </c>
      <c r="F17" s="52" t="s">
        <v>9</v>
      </c>
      <c r="G17" s="60" t="s">
        <v>10</v>
      </c>
      <c r="H17" s="60" t="s">
        <v>42</v>
      </c>
      <c r="I17" s="61"/>
      <c r="J17" s="61"/>
      <c r="K17" s="62"/>
      <c r="L17" s="62"/>
      <c r="M17" s="52" t="s">
        <v>46</v>
      </c>
      <c r="N17" s="52" t="s">
        <v>19</v>
      </c>
      <c r="O17" s="54"/>
    </row>
    <row r="18" spans="1:15">
      <c r="A18" s="67" t="s">
        <v>187</v>
      </c>
      <c r="C18" s="88"/>
      <c r="E18" s="52">
        <v>15</v>
      </c>
      <c r="F18" s="52" t="s">
        <v>6</v>
      </c>
      <c r="G18" s="60" t="s">
        <v>13</v>
      </c>
      <c r="H18" s="60" t="s">
        <v>16</v>
      </c>
      <c r="I18" s="61" t="s">
        <v>14</v>
      </c>
      <c r="J18" s="61" t="s">
        <v>17</v>
      </c>
      <c r="K18" s="62"/>
      <c r="L18" s="62"/>
      <c r="M18" s="52" t="s">
        <v>46</v>
      </c>
      <c r="N18" s="52" t="s">
        <v>18</v>
      </c>
      <c r="O18" s="54"/>
    </row>
    <row r="19" spans="1:15">
      <c r="A19" s="67" t="s">
        <v>188</v>
      </c>
      <c r="C19" s="88"/>
      <c r="E19" s="52">
        <v>16</v>
      </c>
      <c r="F19" s="52" t="s">
        <v>6</v>
      </c>
      <c r="G19" s="60" t="s">
        <v>10</v>
      </c>
      <c r="H19" s="60" t="s">
        <v>39</v>
      </c>
      <c r="I19" s="61" t="s">
        <v>11</v>
      </c>
      <c r="J19" s="61" t="s">
        <v>4</v>
      </c>
      <c r="K19" s="62" t="s">
        <v>12</v>
      </c>
      <c r="L19" s="62" t="s">
        <v>15</v>
      </c>
      <c r="M19" s="52" t="s">
        <v>46</v>
      </c>
      <c r="N19" s="52">
        <v>4</v>
      </c>
      <c r="O19" s="54"/>
    </row>
    <row r="20" spans="1:15">
      <c r="A20" s="67" t="s">
        <v>189</v>
      </c>
      <c r="C20" s="88"/>
      <c r="E20" s="52"/>
      <c r="F20" s="52"/>
      <c r="G20" s="52"/>
      <c r="H20" s="52"/>
      <c r="I20" s="52"/>
      <c r="J20" s="52"/>
      <c r="K20" s="52"/>
      <c r="L20" s="52"/>
      <c r="M20" s="63"/>
      <c r="N20" s="63"/>
      <c r="O20" s="54"/>
    </row>
    <row r="21" spans="1:15">
      <c r="A21" s="67" t="s">
        <v>190</v>
      </c>
      <c r="C21" s="88"/>
    </row>
    <row r="22" spans="1:15">
      <c r="A22" s="67" t="s">
        <v>191</v>
      </c>
      <c r="C22" s="88"/>
    </row>
    <row r="23" spans="1:15">
      <c r="A23" s="67" t="s">
        <v>192</v>
      </c>
      <c r="C23" s="88"/>
    </row>
    <row r="24" spans="1:15">
      <c r="A24" s="67" t="s">
        <v>193</v>
      </c>
      <c r="C24" s="88"/>
    </row>
    <row r="25" spans="1:15">
      <c r="A25" s="67" t="s">
        <v>194</v>
      </c>
      <c r="C25" s="88"/>
    </row>
    <row r="26" spans="1:15">
      <c r="A26" s="67" t="s">
        <v>195</v>
      </c>
      <c r="C26" s="88"/>
    </row>
    <row r="27" spans="1:15">
      <c r="A27" s="67" t="s">
        <v>196</v>
      </c>
      <c r="C27" s="88"/>
    </row>
    <row r="28" spans="1:15">
      <c r="A28" s="67" t="s">
        <v>197</v>
      </c>
      <c r="C28" s="88"/>
    </row>
    <row r="29" spans="1:15">
      <c r="A29" s="67" t="s">
        <v>198</v>
      </c>
      <c r="C29" s="88"/>
    </row>
    <row r="30" spans="1:15">
      <c r="A30" s="67" t="s">
        <v>199</v>
      </c>
      <c r="C30" s="88"/>
    </row>
    <row r="31" spans="1:15">
      <c r="A31" s="67" t="s">
        <v>211</v>
      </c>
      <c r="C31" s="88"/>
    </row>
    <row r="32" spans="1:15">
      <c r="A32" s="67" t="s">
        <v>200</v>
      </c>
      <c r="C32" s="88"/>
    </row>
    <row r="33" spans="1:3">
      <c r="A33" s="67" t="s">
        <v>201</v>
      </c>
      <c r="C33" s="88"/>
    </row>
    <row r="34" spans="1:3">
      <c r="C34" s="88"/>
    </row>
    <row r="35" spans="1:3">
      <c r="C35" s="88"/>
    </row>
    <row r="36" spans="1:3">
      <c r="C36" s="88"/>
    </row>
    <row r="37" spans="1:3">
      <c r="C37" s="88"/>
    </row>
    <row r="38" spans="1:3">
      <c r="C38" s="88"/>
    </row>
    <row r="39" spans="1:3">
      <c r="C39" s="88"/>
    </row>
    <row r="40" spans="1:3">
      <c r="C40" s="88"/>
    </row>
    <row r="41" spans="1:3">
      <c r="C41" s="88"/>
    </row>
    <row r="42" spans="1:3">
      <c r="C42" s="88"/>
    </row>
    <row r="43" spans="1:3">
      <c r="C43" s="88"/>
    </row>
    <row r="44" spans="1:3">
      <c r="C44" s="88"/>
    </row>
    <row r="45" spans="1:3">
      <c r="C45" s="88"/>
    </row>
    <row r="46" spans="1:3">
      <c r="C46" s="88"/>
    </row>
    <row r="47" spans="1:3">
      <c r="C47" s="88"/>
    </row>
    <row r="48" spans="1:3">
      <c r="C48" s="88"/>
    </row>
    <row r="49" spans="3:3">
      <c r="C49" s="88"/>
    </row>
    <row r="50" spans="3:3">
      <c r="C50" s="88"/>
    </row>
    <row r="51" spans="3:3">
      <c r="C51" s="88"/>
    </row>
    <row r="200" spans="1:3">
      <c r="A200" s="87"/>
      <c r="B200" s="87"/>
      <c r="C200" s="87"/>
    </row>
  </sheetData>
  <sheetProtection select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9" tint="0.39997558519241921"/>
  </sheetPr>
  <dimension ref="A1:AH300"/>
  <sheetViews>
    <sheetView showGridLines="0" showZeros="0" zoomScale="101" zoomScaleNormal="120" workbookViewId="0">
      <selection activeCell="J15" sqref="J15"/>
    </sheetView>
  </sheetViews>
  <sheetFormatPr baseColWidth="10" defaultColWidth="11.42578125" defaultRowHeight="15"/>
  <cols>
    <col min="1" max="1" width="5.42578125" style="66" customWidth="1"/>
    <col min="2" max="2" width="11.42578125" style="2"/>
    <col min="3" max="3" width="6.85546875" style="2" customWidth="1"/>
    <col min="4" max="4" width="8.5703125" style="66" customWidth="1"/>
    <col min="5" max="5" width="11" style="2" customWidth="1"/>
    <col min="6" max="6" width="9.140625" style="66" customWidth="1"/>
    <col min="7" max="8" width="8.85546875" style="2" customWidth="1"/>
    <col min="9" max="9" width="9.7109375" style="66" customWidth="1"/>
    <col min="10" max="10" width="6" style="66" customWidth="1"/>
    <col min="11" max="11" width="10.5703125" style="66" customWidth="1"/>
    <col min="12" max="13" width="11.42578125" style="66"/>
    <col min="14" max="14" width="7.5703125" style="66" customWidth="1"/>
    <col min="15" max="16" width="11.42578125" style="66"/>
    <col min="17" max="17" width="10.7109375" style="66" customWidth="1"/>
    <col min="18" max="18" width="11.42578125" style="66"/>
    <col min="19" max="19" width="9.7109375" style="66" customWidth="1"/>
    <col min="20" max="23" width="11.42578125" style="66"/>
    <col min="24" max="24" width="11.42578125" style="54"/>
    <col min="25" max="27" width="11.42578125" style="66"/>
    <col min="28" max="28" width="14.140625" style="54" customWidth="1"/>
    <col min="29" max="33" width="8.7109375" style="54" customWidth="1"/>
    <col min="34" max="34" width="10.7109375" style="54" customWidth="1"/>
    <col min="35" max="35" width="8.7109375" style="54" customWidth="1"/>
    <col min="36" max="16384" width="11.42578125" style="54"/>
  </cols>
  <sheetData>
    <row r="1" spans="1:34" s="51" customFormat="1" ht="48.75" customHeight="1" thickBot="1">
      <c r="A1" s="47" t="s">
        <v>30</v>
      </c>
      <c r="B1" s="9" t="s">
        <v>37</v>
      </c>
      <c r="C1" s="10" t="s">
        <v>3</v>
      </c>
      <c r="D1" s="48" t="s">
        <v>24</v>
      </c>
      <c r="E1" s="10" t="s">
        <v>2</v>
      </c>
      <c r="F1" s="48" t="s">
        <v>25</v>
      </c>
      <c r="G1" s="10" t="s">
        <v>29</v>
      </c>
      <c r="H1" s="10" t="s">
        <v>36</v>
      </c>
      <c r="I1" s="48" t="s">
        <v>31</v>
      </c>
      <c r="J1" s="49"/>
      <c r="K1" s="8" t="s">
        <v>210</v>
      </c>
      <c r="L1" s="50" t="s">
        <v>0</v>
      </c>
      <c r="M1" s="48" t="s">
        <v>1</v>
      </c>
      <c r="N1" s="48" t="s">
        <v>3</v>
      </c>
      <c r="O1" s="48" t="s">
        <v>24</v>
      </c>
      <c r="P1" s="48" t="s">
        <v>2</v>
      </c>
      <c r="Q1" s="48" t="s">
        <v>25</v>
      </c>
      <c r="R1" s="48" t="s">
        <v>29</v>
      </c>
      <c r="S1" s="48" t="s">
        <v>36</v>
      </c>
      <c r="Y1" s="122" t="s">
        <v>28</v>
      </c>
      <c r="Z1" s="122"/>
      <c r="AA1" s="122"/>
      <c r="AB1" s="122"/>
      <c r="AD1" s="123" t="s">
        <v>33</v>
      </c>
      <c r="AE1" s="123"/>
      <c r="AF1" s="123"/>
      <c r="AG1" s="123"/>
    </row>
    <row r="2" spans="1:34" ht="15.75" thickTop="1">
      <c r="A2" s="52">
        <v>1</v>
      </c>
      <c r="B2" s="6" t="s">
        <v>48</v>
      </c>
      <c r="C2" s="7">
        <v>12</v>
      </c>
      <c r="D2" s="53" t="str">
        <f>IFERROR(VLOOKUP($C2,'LISTE A SAISIR'!$E$4:$N$19,2,0),"")</f>
        <v>devers</v>
      </c>
      <c r="E2" s="7" t="s">
        <v>46</v>
      </c>
      <c r="F2" s="53" t="str">
        <f>IFERROR(VLOOKUP($C2,'LISTE A SAISIR'!$E$4:$N$19,2+2*MATCH(E2,Y2:AB2,0),0),"")</f>
        <v>5C</v>
      </c>
      <c r="G2" s="7" t="s">
        <v>27</v>
      </c>
      <c r="H2" s="7"/>
      <c r="I2" s="53">
        <f t="shared" ref="I2:I33" si="0">COUNTIF($B$2:$B$149,B2)</f>
        <v>1</v>
      </c>
      <c r="J2" s="124" t="s">
        <v>38</v>
      </c>
      <c r="K2" s="125"/>
      <c r="L2" s="52" t="str">
        <f t="array" ref="L2">IFERROR(INDEX(B:B,SMALL(IF($B$2:$B$149=$K$1,ROW($B$2:$B$149)),ROWS(L$2:L2))),"")</f>
        <v>élève 23</v>
      </c>
      <c r="M2" s="52" t="str">
        <f t="array" ref="M2">IFERROR(INDEX(#REF!,SMALL(IF($B$2:$B$149=$K$1,ROW($B$2:$B$149)),ROWS(M$2:M2))),"")</f>
        <v/>
      </c>
      <c r="N2" s="52">
        <f t="array" ref="N2">IFERROR(INDEX(C:C,SMALL(IF($B$2:$B$149=$K$1,ROW($B$2:$B$149)),ROWS(N$2:N2))),"")</f>
        <v>11</v>
      </c>
      <c r="O2" s="52" t="str">
        <f t="array" ref="O2">IFERROR(INDEX(D:D,SMALL(IF($B$2:$B$149=$K$1,ROW($B$2:$B$149)),ROWS(O$2:O2))),"")</f>
        <v>devers</v>
      </c>
      <c r="P2" s="52" t="str">
        <f t="array" ref="P2">IFERROR(INDEX(E:E,SMALL(IF($B$2:$B$149=$K$1,ROW($B$2:$B$149)),ROWS(P$2:P2))),"")</f>
        <v>noir</v>
      </c>
      <c r="Q2" s="52" t="str">
        <f t="array" ref="Q2">IFERROR(INDEX(F:F,SMALL(IF($B$2:$B$149=$K$1,ROW($B$2:$B$149)),ROWS(Q$2:Q2))),"")</f>
        <v>6B+</v>
      </c>
      <c r="R2" s="52">
        <f t="array" ref="R2">IFERROR(INDEX(G:G,SMALL(IF($B$2:$B$149=$K$1,ROW($B$2:$B$149)),ROWS(R$2:R2))),"")</f>
        <v>2</v>
      </c>
      <c r="S2" s="52">
        <f t="array" ref="S2">IFERROR(INDEX(H:H,SMALL(IF($B$2:$B$149=$K$1,ROW($B$2:$B$149)),ROWS(S$2:S2))),"")</f>
        <v>0</v>
      </c>
      <c r="Y2" s="55" t="str">
        <f>IFERROR(""&amp;VLOOKUP($C2,'LISTE A SAISIR'!$E$4:$N$19,3,0),"")</f>
        <v>rouge</v>
      </c>
      <c r="Z2" s="55" t="str">
        <f>IFERROR(""&amp;VLOOKUP($C2,'LISTE A SAISIR'!$E$4:$N$19,5,0),"")</f>
        <v xml:space="preserve">violette </v>
      </c>
      <c r="AA2" s="55" t="str">
        <f>IFERROR(""&amp;VLOOKUP($C2,'LISTE A SAISIR'!$E$4:$N$19,7,0),"")</f>
        <v/>
      </c>
      <c r="AB2" s="55" t="str">
        <f>IFERROR(""&amp;VLOOKUP($C2,'LISTE A SAISIR'!$E$4:$N$19,9,0),"")</f>
        <v>TP</v>
      </c>
      <c r="AD2" s="56" t="str">
        <f t="array" ref="AD2">IFERROR(INDEX($A2:$AB2,SMALL(IF(NOT(COUNTIF($AC2:AC2,$Y2:$AB2)),COLUMN($Y2:$AB2)),1)),"")</f>
        <v>rouge</v>
      </c>
      <c r="AE2" s="56" t="str">
        <f t="array" ref="AE2">IFERROR(INDEX($A2:$AB2,SMALL(IF(NOT(COUNTIF($AC2:AD2,$Y2:$AB2)),COLUMN($Y2:$AB2)),1)),"")</f>
        <v xml:space="preserve">violette </v>
      </c>
      <c r="AF2" s="56" t="str">
        <f t="array" ref="AF2">IFERROR(INDEX($A2:$AB2,SMALL(IF(NOT(COUNTIF($AC2:AE2,$Y2:$AB2)),COLUMN($Y2:$AB2)),1)),"")</f>
        <v>TP</v>
      </c>
      <c r="AG2" s="56" t="str">
        <f t="array" ref="AG2">IFERROR(INDEX($A2:$AB2,SMALL(IF(NOT(COUNTIF($AC2:AF2,$Y2:$AB2)),COLUMN($Y2:$AB2)),1)),"")</f>
        <v/>
      </c>
      <c r="AH2" s="57" t="s">
        <v>34</v>
      </c>
    </row>
    <row r="3" spans="1:34">
      <c r="A3" s="52">
        <v>2</v>
      </c>
      <c r="B3" s="4" t="s">
        <v>194</v>
      </c>
      <c r="C3" s="43">
        <v>11</v>
      </c>
      <c r="D3" s="52" t="str">
        <f>IFERROR(VLOOKUP($C3,'LISTE A SAISIR'!$E$4:$N$19,2,0),"")</f>
        <v>devers</v>
      </c>
      <c r="E3" s="1" t="s">
        <v>14</v>
      </c>
      <c r="F3" s="53" t="str">
        <f>IFERROR(VLOOKUP($C3,'LISTE A SAISIR'!$E$4:$N$19,2+2*MATCH(E3,Y3:AB3,0),0),"")</f>
        <v>6B+</v>
      </c>
      <c r="G3" s="1">
        <v>2</v>
      </c>
      <c r="H3" s="1"/>
      <c r="I3" s="58">
        <f t="shared" si="0"/>
        <v>2</v>
      </c>
      <c r="J3" s="124"/>
      <c r="K3" s="125"/>
      <c r="L3" s="52" t="str">
        <f t="array" ref="L3">IFERROR(INDEX(B:B,SMALL(IF($B$2:$B$149=$K$1,ROW($B$2:$B$149)),ROWS(L$2:L3))),"")</f>
        <v>élève 23</v>
      </c>
      <c r="M3" s="52" t="str">
        <f t="array" ref="M3">IFERROR(INDEX(#REF!,SMALL(IF($B$2:$B$149=$K$1,ROW($B$2:$B$149)),ROWS(M$2:M3))),"")</f>
        <v/>
      </c>
      <c r="N3" s="52">
        <f t="array" ref="N3">IFERROR(INDEX(C:C,SMALL(IF($B$2:$B$149=$K$1,ROW($B$2:$B$149)),ROWS(N$2:N3))),"")</f>
        <v>15</v>
      </c>
      <c r="O3" s="52" t="str">
        <f t="array" ref="O3">IFERROR(INDEX(D:D,SMALL(IF($B$2:$B$149=$K$1,ROW($B$2:$B$149)),ROWS(O$2:O3))),"")</f>
        <v>vertical</v>
      </c>
      <c r="P3" s="52" t="str">
        <f t="array" ref="P3">IFERROR(INDEX(E:E,SMALL(IF($B$2:$B$149=$K$1,ROW($B$2:$B$149)),ROWS(P$2:P3))),"")</f>
        <v>TP</v>
      </c>
      <c r="Q3" s="52" t="str">
        <f t="array" ref="Q3">IFERROR(INDEX(F:F,SMALL(IF($B$2:$B$149=$K$1,ROW($B$2:$B$149)),ROWS(Q$2:Q3))),"")</f>
        <v>5B+</v>
      </c>
      <c r="R3" s="52">
        <f t="array" ref="R3">IFERROR(INDEX(G:G,SMALL(IF($B$2:$B$149=$K$1,ROW($B$2:$B$149)),ROWS(R$2:R3))),"")</f>
        <v>3</v>
      </c>
      <c r="S3" s="52">
        <f t="array" ref="S3">IFERROR(INDEX(H:H,SMALL(IF($B$2:$B$149=$K$1,ROW($B$2:$B$149)),ROWS(S$2:S3))),"")</f>
        <v>0</v>
      </c>
      <c r="Y3" s="55" t="str">
        <f>IFERROR(""&amp;VLOOKUP($C3,'LISTE A SAISIR'!$E$4:$L$19,3,0),"")</f>
        <v>vert</v>
      </c>
      <c r="Z3" s="55" t="str">
        <f>IFERROR(""&amp;VLOOKUP($C3,'LISTE A SAISIR'!$E$4:$L$19,5,0),"")</f>
        <v>bleu</v>
      </c>
      <c r="AA3" s="55" t="str">
        <f>IFERROR(""&amp;VLOOKUP($C3,'LISTE A SAISIR'!$E$4:$L$19,7,0),"")</f>
        <v>noir</v>
      </c>
      <c r="AB3" s="55" t="str">
        <f>IFERROR(""&amp;VLOOKUP($C3,'LISTE A SAISIR'!$E$4:$N$19,9,0),"")</f>
        <v>TP</v>
      </c>
      <c r="AD3" s="56" t="str">
        <f t="array" ref="AD3">IFERROR(INDEX($A3:$AB3,SMALL(IF(NOT(COUNTIF($AC3:AC3,$Y3:$AB3)),COLUMN($Y3:$AB3)),1)),"")</f>
        <v>vert</v>
      </c>
      <c r="AE3" s="56" t="str">
        <f t="array" ref="AE3">IFERROR(INDEX($A3:$AB3,SMALL(IF(NOT(COUNTIF($AC3:AD3,$Y3:$AB3)),COLUMN($Y3:$AB3)),1)),"")</f>
        <v>bleu</v>
      </c>
      <c r="AF3" s="56" t="str">
        <f t="array" ref="AF3">IFERROR(INDEX($A3:$AB3,SMALL(IF(NOT(COUNTIF($AC3:AE3,$Y3:$AB3)),COLUMN($Y3:$AB3)),1)),"")</f>
        <v>noir</v>
      </c>
      <c r="AG3" s="56" t="str">
        <f t="array" ref="AG3">IFERROR(INDEX($A3:$AB3,SMALL(IF(NOT(COUNTIF($AC3:AF3,$Y3:$AB3)),COLUMN($Y3:$AB3)),1)),"")</f>
        <v>TP</v>
      </c>
    </row>
    <row r="4" spans="1:34" ht="16.5" customHeight="1">
      <c r="A4" s="52">
        <v>3</v>
      </c>
      <c r="B4" s="4" t="s">
        <v>195</v>
      </c>
      <c r="C4" s="43">
        <v>9</v>
      </c>
      <c r="D4" s="53" t="str">
        <f>IFERROR(VLOOKUP($C4,'LISTE A SAISIR'!$E$4:$N$19,2,0),"")</f>
        <v>devers</v>
      </c>
      <c r="E4" s="1" t="s">
        <v>11</v>
      </c>
      <c r="F4" s="53" t="str">
        <f>IFERROR(VLOOKUP($C4,'LISTE A SAISIR'!$E$4:$N$19,2+2*MATCH(E4,Y4:AB4,0),0),"")</f>
        <v>5B+</v>
      </c>
      <c r="G4" s="1">
        <v>5</v>
      </c>
      <c r="H4" s="7"/>
      <c r="I4" s="53">
        <f t="shared" si="0"/>
        <v>2</v>
      </c>
      <c r="L4" s="52" t="str">
        <f t="array" ref="L4">IFERROR(INDEX(B:B,SMALL(IF($B$2:$B$149=$K$1,ROW($B$2:$B$149)),ROWS(L$2:L4))),"")</f>
        <v/>
      </c>
      <c r="M4" s="52" t="str">
        <f t="array" ref="M4">IFERROR(INDEX(#REF!,SMALL(IF($B$2:$B$149=$K$1,ROW($B$2:$B$149)),ROWS(M$2:M4))),"")</f>
        <v/>
      </c>
      <c r="N4" s="52" t="str">
        <f t="array" ref="N4">IFERROR(INDEX(C:C,SMALL(IF($B$2:$B$149=$K$1,ROW($B$2:$B$149)),ROWS(N$2:N4))),"")</f>
        <v/>
      </c>
      <c r="O4" s="52" t="str">
        <f t="array" ref="O4">IFERROR(INDEX(D:D,SMALL(IF($B$2:$B$149=$K$1,ROW($B$2:$B$149)),ROWS(O$2:O4))),"")</f>
        <v/>
      </c>
      <c r="P4" s="52" t="str">
        <f t="array" ref="P4">IFERROR(INDEX(E:E,SMALL(IF($B$2:$B$149=$K$1,ROW($B$2:$B$149)),ROWS(P$2:P4))),"")</f>
        <v/>
      </c>
      <c r="Q4" s="52" t="str">
        <f t="array" ref="Q4">IFERROR(INDEX(F:F,SMALL(IF($B$2:$B$149=$K$1,ROW($B$2:$B$149)),ROWS(Q$2:Q4))),"")</f>
        <v/>
      </c>
      <c r="R4" s="52" t="str">
        <f t="array" ref="R4">IFERROR(INDEX(G:G,SMALL(IF($B$2:$B$149=$K$1,ROW($B$2:$B$149)),ROWS(R$2:R4))),"")</f>
        <v/>
      </c>
      <c r="S4" s="52" t="str">
        <f t="array" ref="S4">IFERROR(INDEX(H:H,SMALL(IF($B$2:$B$149=$K$1,ROW($B$2:$B$149)),ROWS(S$2:S4))),"")</f>
        <v/>
      </c>
      <c r="Y4" s="55" t="str">
        <f>IFERROR(""&amp;VLOOKUP($C4,'LISTE A SAISIR'!$E$4:$L$19,3,0),"")</f>
        <v>vert</v>
      </c>
      <c r="Z4" s="55" t="str">
        <f>IFERROR(""&amp;VLOOKUP($C4,'LISTE A SAISIR'!$E$4:$L$19,5,0),"")</f>
        <v>violette</v>
      </c>
      <c r="AA4" s="55" t="str">
        <f>IFERROR(""&amp;VLOOKUP($C4,'LISTE A SAISIR'!$E$4:$L$19,7,0),"")</f>
        <v/>
      </c>
      <c r="AB4" s="55" t="str">
        <f>IFERROR(""&amp;VLOOKUP($C4,'LISTE A SAISIR'!$E$4:$N$19,9,0),"")</f>
        <v>TP</v>
      </c>
      <c r="AD4" s="56" t="str">
        <f t="array" ref="AD4">IFERROR(INDEX($A4:$AB4,SMALL(IF(NOT(COUNTIF($AC4:AC4,$Y4:$AB4)),COLUMN($Y4:$AB4)),1)),"")</f>
        <v>vert</v>
      </c>
      <c r="AE4" s="56" t="str">
        <f t="array" ref="AE4">IFERROR(INDEX($A4:$AB4,SMALL(IF(NOT(COUNTIF($AC4:AD4,$Y4:$AB4)),COLUMN($Y4:$AB4)),1)),"")</f>
        <v>violette</v>
      </c>
      <c r="AF4" s="56" t="str">
        <f t="array" ref="AF4">IFERROR(INDEX($A4:$AB4,SMALL(IF(NOT(COUNTIF($AC4:AE4,$Y4:$AB4)),COLUMN($Y4:$AB4)),1)),"")</f>
        <v>TP</v>
      </c>
      <c r="AG4" s="56" t="str">
        <f t="array" ref="AG4">IFERROR(INDEX($A4:$AB4,SMALL(IF(NOT(COUNTIF($AC4:AF4,$Y4:$AB4)),COLUMN($Y4:$AB4)),1)),"")</f>
        <v/>
      </c>
    </row>
    <row r="5" spans="1:34">
      <c r="A5" s="52">
        <v>4</v>
      </c>
      <c r="B5" s="4" t="s">
        <v>194</v>
      </c>
      <c r="C5" s="43">
        <v>15</v>
      </c>
      <c r="D5" s="52" t="str">
        <f>IFERROR(VLOOKUP($C5,'LISTE A SAISIR'!$E$4:$N$19,2,0),"")</f>
        <v>vertical</v>
      </c>
      <c r="E5" s="1" t="s">
        <v>46</v>
      </c>
      <c r="F5" s="53" t="str">
        <f>IFERROR(VLOOKUP($C5,'LISTE A SAISIR'!$E$4:$N$19,2+2*MATCH(E5,Y5:AB5,0),0),"")</f>
        <v>5B+</v>
      </c>
      <c r="G5" s="1">
        <v>3</v>
      </c>
      <c r="H5" s="1"/>
      <c r="I5" s="58">
        <f t="shared" si="0"/>
        <v>2</v>
      </c>
      <c r="L5" s="52" t="str">
        <f t="array" ref="L5">IFERROR(INDEX(B:B,SMALL(IF($B$2:$B$149=$K$1,ROW($B$2:$B$149)),ROWS(L$2:L5))),"")</f>
        <v/>
      </c>
      <c r="M5" s="52" t="str">
        <f t="array" ref="M5">IFERROR(INDEX(#REF!,SMALL(IF($B$2:$B$149=$K$1,ROW($B$2:$B$149)),ROWS(M$2:M5))),"")</f>
        <v/>
      </c>
      <c r="N5" s="52" t="str">
        <f t="array" ref="N5">IFERROR(INDEX(C:C,SMALL(IF($B$2:$B$149=$K$1,ROW($B$2:$B$149)),ROWS(N$2:N5))),"")</f>
        <v/>
      </c>
      <c r="O5" s="52" t="str">
        <f t="array" ref="O5">IFERROR(INDEX(D:D,SMALL(IF($B$2:$B$149=$K$1,ROW($B$2:$B$149)),ROWS(O$2:O5))),"")</f>
        <v/>
      </c>
      <c r="P5" s="52" t="str">
        <f t="array" ref="P5">IFERROR(INDEX(E:E,SMALL(IF($B$2:$B$149=$K$1,ROW($B$2:$B$149)),ROWS(P$2:P5))),"")</f>
        <v/>
      </c>
      <c r="Q5" s="52" t="str">
        <f t="array" ref="Q5">IFERROR(INDEX(F:F,SMALL(IF($B$2:$B$149=$K$1,ROW($B$2:$B$149)),ROWS(Q$2:Q5))),"")</f>
        <v/>
      </c>
      <c r="R5" s="52" t="str">
        <f t="array" ref="R5">IFERROR(INDEX(G:G,SMALL(IF($B$2:$B$149=$K$1,ROW($B$2:$B$149)),ROWS(R$2:R5))),"")</f>
        <v/>
      </c>
      <c r="S5" s="52" t="str">
        <f t="array" ref="S5">IFERROR(INDEX(H:H,SMALL(IF($B$2:$B$149=$K$1,ROW($B$2:$B$149)),ROWS(S$2:S5))),"")</f>
        <v/>
      </c>
      <c r="Y5" s="55" t="str">
        <f>IFERROR(""&amp;VLOOKUP($C5,'LISTE A SAISIR'!$E$4:$L$19,3,0),"")</f>
        <v>rouge</v>
      </c>
      <c r="Z5" s="55" t="str">
        <f>IFERROR(""&amp;VLOOKUP($C5,'LISTE A SAISIR'!$E$4:$L$19,5,0),"")</f>
        <v>noir</v>
      </c>
      <c r="AA5" s="55" t="str">
        <f>IFERROR(""&amp;VLOOKUP($C5,'LISTE A SAISIR'!$E$4:$L$19,7,0),"")</f>
        <v/>
      </c>
      <c r="AB5" s="55" t="str">
        <f>IFERROR(""&amp;VLOOKUP($C5,'LISTE A SAISIR'!$E$4:$N$19,9,0),"")</f>
        <v>TP</v>
      </c>
      <c r="AD5" s="56" t="str">
        <f t="array" ref="AD5">IFERROR(INDEX($A5:$AB5,SMALL(IF(NOT(COUNTIF($AC5:AC5,$Y5:$AB5)),COLUMN($Y5:$AB5)),1)),"")</f>
        <v>rouge</v>
      </c>
      <c r="AE5" s="56" t="str">
        <f t="array" ref="AE5">IFERROR(INDEX($A5:$AB5,SMALL(IF(NOT(COUNTIF($AC5:AD5,$Y5:$AB5)),COLUMN($Y5:$AB5)),1)),"")</f>
        <v>noir</v>
      </c>
      <c r="AF5" s="56" t="str">
        <f t="array" ref="AF5">IFERROR(INDEX($A5:$AB5,SMALL(IF(NOT(COUNTIF($AC5:AE5,$Y5:$AB5)),COLUMN($Y5:$AB5)),1)),"")</f>
        <v>TP</v>
      </c>
      <c r="AG5" s="56" t="str">
        <f t="array" ref="AG5">IFERROR(INDEX($A5:$AB5,SMALL(IF(NOT(COUNTIF($AC5:AF5,$Y5:$AB5)),COLUMN($Y5:$AB5)),1)),"")</f>
        <v/>
      </c>
    </row>
    <row r="6" spans="1:34">
      <c r="A6" s="52">
        <v>5</v>
      </c>
      <c r="B6" s="4" t="s">
        <v>195</v>
      </c>
      <c r="C6" s="43">
        <v>1</v>
      </c>
      <c r="D6" s="53" t="str">
        <f>IFERROR(VLOOKUP($C6,'LISTE A SAISIR'!$E$4:$N$19,2,0),"")</f>
        <v>vertical</v>
      </c>
      <c r="E6" s="1" t="s">
        <v>12</v>
      </c>
      <c r="F6" s="53" t="str">
        <f>IFERROR(VLOOKUP($C6,'LISTE A SAISIR'!$E$4:$N$19,2+2*MATCH(E6,Y6:AB6,0),0),"")</f>
        <v>6A</v>
      </c>
      <c r="G6" s="1">
        <v>5</v>
      </c>
      <c r="H6" s="7"/>
      <c r="I6" s="53">
        <f t="shared" si="0"/>
        <v>2</v>
      </c>
      <c r="L6" s="52" t="str">
        <f t="array" ref="L6">IFERROR(INDEX(B:B,SMALL(IF($B$2:$B$149=$K$1,ROW($B$2:$B$149)),ROWS(L$2:L6))),"")</f>
        <v/>
      </c>
      <c r="M6" s="52" t="str">
        <f t="array" ref="M6">IFERROR(INDEX(#REF!,SMALL(IF($B$2:$B$149=$K$1,ROW($B$2:$B$149)),ROWS(M$2:M6))),"")</f>
        <v/>
      </c>
      <c r="N6" s="52" t="str">
        <f t="array" ref="N6">IFERROR(INDEX(C:C,SMALL(IF($B$2:$B$149=$K$1,ROW($B$2:$B$149)),ROWS(N$2:N6))),"")</f>
        <v/>
      </c>
      <c r="O6" s="52" t="str">
        <f t="array" ref="O6">IFERROR(INDEX(D:D,SMALL(IF($B$2:$B$149=$K$1,ROW($B$2:$B$149)),ROWS(O$2:O6))),"")</f>
        <v/>
      </c>
      <c r="P6" s="52" t="str">
        <f t="array" ref="P6">IFERROR(INDEX(E:E,SMALL(IF($B$2:$B$149=$K$1,ROW($B$2:$B$149)),ROWS(P$2:P6))),"")</f>
        <v/>
      </c>
      <c r="Q6" s="52" t="str">
        <f t="array" ref="Q6">IFERROR(INDEX(F:F,SMALL(IF($B$2:$B$149=$K$1,ROW($B$2:$B$149)),ROWS(Q$2:Q6))),"")</f>
        <v/>
      </c>
      <c r="R6" s="52" t="str">
        <f t="array" ref="R6">IFERROR(INDEX(G:G,SMALL(IF($B$2:$B$149=$K$1,ROW($B$2:$B$149)),ROWS(R$2:R6))),"")</f>
        <v/>
      </c>
      <c r="S6" s="52" t="str">
        <f t="array" ref="S6">IFERROR(INDEX(H:H,SMALL(IF($B$2:$B$149=$K$1,ROW($B$2:$B$149)),ROWS(S$2:S6))),"")</f>
        <v/>
      </c>
      <c r="Y6" s="55" t="str">
        <f>IFERROR(""&amp;VLOOKUP($C6,'LISTE A SAISIR'!$E$4:$L$19,3,0),"")</f>
        <v>jaune</v>
      </c>
      <c r="Z6" s="55" t="str">
        <f>IFERROR(""&amp;VLOOKUP($C6,'LISTE A SAISIR'!$E$4:$L$19,5,0),"")</f>
        <v>bleu</v>
      </c>
      <c r="AA6" s="55" t="str">
        <f>IFERROR(""&amp;VLOOKUP($C6,'LISTE A SAISIR'!$E$4:$L$19,7,0),"")</f>
        <v/>
      </c>
      <c r="AB6" s="55" t="str">
        <f>IFERROR(""&amp;VLOOKUP($C6,'LISTE A SAISIR'!$E$4:$N$19,9,0),"")</f>
        <v>TP</v>
      </c>
      <c r="AD6" s="56" t="str">
        <f t="array" ref="AD6">IFERROR(INDEX($A6:$AB6,SMALL(IF(NOT(COUNTIF($AC6:AC6,$Y6:$AB6)),COLUMN($Y6:$AB6)),1)),"")</f>
        <v>jaune</v>
      </c>
      <c r="AE6" s="56" t="str">
        <f t="array" ref="AE6">IFERROR(INDEX($A6:$AB6,SMALL(IF(NOT(COUNTIF($AC6:AD6,$Y6:$AB6)),COLUMN($Y6:$AB6)),1)),"")</f>
        <v>bleu</v>
      </c>
      <c r="AF6" s="56" t="str">
        <f t="array" ref="AF6">IFERROR(INDEX($A6:$AB6,SMALL(IF(NOT(COUNTIF($AC6:AE6,$Y6:$AB6)),COLUMN($Y6:$AB6)),1)),"")</f>
        <v>TP</v>
      </c>
      <c r="AG6" s="56" t="str">
        <f t="array" ref="AG6">IFERROR(INDEX($A6:$AB6,SMALL(IF(NOT(COUNTIF($AC6:AF6,$Y6:$AB6)),COLUMN($Y6:$AB6)),1)),"")</f>
        <v/>
      </c>
    </row>
    <row r="7" spans="1:34">
      <c r="A7" s="52">
        <v>6</v>
      </c>
      <c r="B7" s="4" t="s">
        <v>197</v>
      </c>
      <c r="C7" s="43">
        <v>13</v>
      </c>
      <c r="D7" s="52" t="str">
        <f>IFERROR(VLOOKUP($C7,'LISTE A SAISIR'!$E$4:$N$19,2,0),"")</f>
        <v>devers</v>
      </c>
      <c r="E7" s="1" t="s">
        <v>46</v>
      </c>
      <c r="F7" s="53" t="str">
        <f>IFERROR(VLOOKUP($C7,'LISTE A SAISIR'!$E$4:$N$19,2+2*MATCH(E7,Y7:AB7,0),0),"")</f>
        <v>5B</v>
      </c>
      <c r="G7" s="1" t="s">
        <v>27</v>
      </c>
      <c r="H7" s="1"/>
      <c r="I7" s="58">
        <f t="shared" si="0"/>
        <v>3</v>
      </c>
      <c r="L7" s="52" t="str">
        <f>IFERROR(INDEX(B:B,SMALL(IF($B$2:$B$149=$K$1,ROW($B$2:$B$149)),ROWS(L$2:L7))),"")</f>
        <v/>
      </c>
      <c r="M7" s="52" t="str">
        <f t="array" ref="M7">IFERROR(INDEX(#REF!,SMALL(IF($B$2:$B$149=$K$1,ROW($B$2:$B$149)),ROWS(M$2:M7))),"")</f>
        <v/>
      </c>
      <c r="N7" s="52" t="str">
        <f t="array" ref="N7">IFERROR(INDEX(C:C,SMALL(IF($B$2:$B$149=$K$1,ROW($B$2:$B$149)),ROWS(N$2:N7))),"")</f>
        <v/>
      </c>
      <c r="O7" s="52" t="str">
        <f t="array" ref="O7">IFERROR(INDEX(D:D,SMALL(IF($B$2:$B$149=$K$1,ROW($B$2:$B$149)),ROWS(O$2:O7))),"")</f>
        <v/>
      </c>
      <c r="P7" s="52" t="str">
        <f t="array" ref="P7">IFERROR(INDEX(E:E,SMALL(IF($B$2:$B$149=$K$1,ROW($B$2:$B$149)),ROWS(P$2:P7))),"")</f>
        <v/>
      </c>
      <c r="Q7" s="52" t="str">
        <f t="array" ref="Q7">IFERROR(INDEX(F:F,SMALL(IF($B$2:$B$149=$K$1,ROW($B$2:$B$149)),ROWS(Q$2:Q7))),"")</f>
        <v/>
      </c>
      <c r="R7" s="52" t="str">
        <f t="array" ref="R7">IFERROR(INDEX(G:G,SMALL(IF($B$2:$B$149=$K$1,ROW($B$2:$B$149)),ROWS(R$2:R7))),"")</f>
        <v/>
      </c>
      <c r="S7" s="52" t="str">
        <f t="array" ref="S7">IFERROR(INDEX(H:H,SMALL(IF($B$2:$B$149=$K$1,ROW($B$2:$B$149)),ROWS(S$2:S7))),"")</f>
        <v/>
      </c>
      <c r="Y7" s="55" t="str">
        <f>IFERROR(""&amp;VLOOKUP($C7,'LISTE A SAISIR'!$E$4:$L$19,3,0),"")</f>
        <v>vert</v>
      </c>
      <c r="Z7" s="55" t="str">
        <f>IFERROR(""&amp;VLOOKUP($C7,'LISTE A SAISIR'!$E$4:$L$19,5,0),"")</f>
        <v>bleu</v>
      </c>
      <c r="AA7" s="55" t="str">
        <f>IFERROR(""&amp;VLOOKUP($C7,'LISTE A SAISIR'!$E$4:$L$19,7,0),"")</f>
        <v/>
      </c>
      <c r="AB7" s="55" t="str">
        <f>IFERROR(""&amp;VLOOKUP($C7,'LISTE A SAISIR'!$E$4:$N$19,9,0),"")</f>
        <v>TP</v>
      </c>
      <c r="AD7" s="56" t="str">
        <f t="array" ref="AD7">IFERROR(INDEX($A7:$AB7,SMALL(IF(NOT(COUNTIF($AC7:AC7,$Y7:$AB7)),COLUMN($Y7:$AB7)),1)),"")</f>
        <v>vert</v>
      </c>
      <c r="AE7" s="56" t="str">
        <f t="array" ref="AE7">IFERROR(INDEX($A7:$AB7,SMALL(IF(NOT(COUNTIF($AC7:AD7,$Y7:$AB7)),COLUMN($Y7:$AB7)),1)),"")</f>
        <v>bleu</v>
      </c>
      <c r="AF7" s="56" t="str">
        <f t="array" ref="AF7">IFERROR(INDEX($A7:$AB7,SMALL(IF(NOT(COUNTIF($AC7:AE7,$Y7:$AB7)),COLUMN($Y7:$AB7)),1)),"")</f>
        <v>TP</v>
      </c>
      <c r="AG7" s="56" t="str">
        <f t="array" ref="AG7">IFERROR(INDEX($A7:$AB7,SMALL(IF(NOT(COUNTIF($AC7:AF7,$Y7:$AB7)),COLUMN($Y7:$AB7)),1)),"")</f>
        <v/>
      </c>
    </row>
    <row r="8" spans="1:34">
      <c r="A8" s="52">
        <v>7</v>
      </c>
      <c r="B8" s="4" t="s">
        <v>197</v>
      </c>
      <c r="C8" s="43">
        <v>11</v>
      </c>
      <c r="D8" s="53" t="str">
        <f>IFERROR(VLOOKUP($C8,'LISTE A SAISIR'!$E$4:$N$19,2,0),"")</f>
        <v>devers</v>
      </c>
      <c r="E8" s="1" t="s">
        <v>14</v>
      </c>
      <c r="F8" s="53" t="str">
        <f>IFERROR(VLOOKUP($C8,'LISTE A SAISIR'!$E$4:$N$19,2+2*MATCH(E8,Y8:AB8,0),0),"")</f>
        <v>6B+</v>
      </c>
      <c r="G8" s="1" t="s">
        <v>27</v>
      </c>
      <c r="H8" s="7"/>
      <c r="I8" s="53">
        <f t="shared" si="0"/>
        <v>3</v>
      </c>
      <c r="L8" s="52" t="str">
        <f t="array" ref="L8">IFERROR(INDEX(B:B,SMALL(IF($B$2:$B$149=$K$1,ROW($B$2:$B$149)),ROWS(L$2:L8))),"")</f>
        <v/>
      </c>
      <c r="M8" s="52" t="str">
        <f t="array" ref="M8">IFERROR(INDEX(#REF!,SMALL(IF($B$2:$B$149=$K$1,ROW($B$2:$B$149)),ROWS(M$2:M8))),"")</f>
        <v/>
      </c>
      <c r="N8" s="52" t="str">
        <f t="array" ref="N8">IFERROR(INDEX(C:C,SMALL(IF($B$2:$B$149=$K$1,ROW($B$2:$B$149)),ROWS(N$2:N8))),"")</f>
        <v/>
      </c>
      <c r="O8" s="52" t="str">
        <f t="array" ref="O8">IFERROR(INDEX(D:D,SMALL(IF($B$2:$B$149=$K$1,ROW($B$2:$B$149)),ROWS(O$2:O8))),"")</f>
        <v/>
      </c>
      <c r="P8" s="52" t="str">
        <f t="array" ref="P8">IFERROR(INDEX(E:E,SMALL(IF($B$2:$B$149=$K$1,ROW($B$2:$B$149)),ROWS(P$2:P8))),"")</f>
        <v/>
      </c>
      <c r="Q8" s="52" t="str">
        <f t="array" ref="Q8">IFERROR(INDEX(F:F,SMALL(IF($B$2:$B$149=$K$1,ROW($B$2:$B$149)),ROWS(Q$2:Q8))),"")</f>
        <v/>
      </c>
      <c r="R8" s="52" t="str">
        <f t="array" ref="R8">IFERROR(INDEX(G:G,SMALL(IF($B$2:$B$149=$K$1,ROW($B$2:$B$149)),ROWS(R$2:R8))),"")</f>
        <v/>
      </c>
      <c r="S8" s="52" t="str">
        <f t="array" ref="S8">IFERROR(INDEX(H:H,SMALL(IF($B$2:$B$149=$K$1,ROW($B$2:$B$149)),ROWS(S$2:S8))),"")</f>
        <v/>
      </c>
      <c r="Y8" s="55" t="str">
        <f>IFERROR(""&amp;VLOOKUP($C8,'LISTE A SAISIR'!$E$4:$L$19,3,0),"")</f>
        <v>vert</v>
      </c>
      <c r="Z8" s="55" t="str">
        <f>IFERROR(""&amp;VLOOKUP($C8,'LISTE A SAISIR'!$E$4:$L$19,5,0),"")</f>
        <v>bleu</v>
      </c>
      <c r="AA8" s="55" t="str">
        <f>IFERROR(""&amp;VLOOKUP($C8,'LISTE A SAISIR'!$E$4:$L$19,7,0),"")</f>
        <v>noir</v>
      </c>
      <c r="AB8" s="55" t="str">
        <f>IFERROR(""&amp;VLOOKUP($C8,'LISTE A SAISIR'!$E$4:$N$19,9,0),"")</f>
        <v>TP</v>
      </c>
      <c r="AD8" s="56" t="str">
        <f t="array" ref="AD8">IFERROR(INDEX($A8:$AB8,SMALL(IF(NOT(COUNTIF($AC8:AC8,$Y8:$AB8)),COLUMN($Y8:$AB8)),1)),"")</f>
        <v>vert</v>
      </c>
      <c r="AE8" s="56" t="str">
        <f t="array" ref="AE8">IFERROR(INDEX($A8:$AB8,SMALL(IF(NOT(COUNTIF($AC8:AD8,$Y8:$AB8)),COLUMN($Y8:$AB8)),1)),"")</f>
        <v>bleu</v>
      </c>
      <c r="AF8" s="56" t="str">
        <f t="array" ref="AF8">IFERROR(INDEX($A8:$AB8,SMALL(IF(NOT(COUNTIF($AC8:AE8,$Y8:$AB8)),COLUMN($Y8:$AB8)),1)),"")</f>
        <v>noir</v>
      </c>
      <c r="AG8" s="56" t="str">
        <f t="array" ref="AG8">IFERROR(INDEX($A8:$AB8,SMALL(IF(NOT(COUNTIF($AC8:AF8,$Y8:$AB8)),COLUMN($Y8:$AB8)),1)),"")</f>
        <v>TP</v>
      </c>
    </row>
    <row r="9" spans="1:34">
      <c r="A9" s="52">
        <v>8</v>
      </c>
      <c r="B9" s="4" t="s">
        <v>197</v>
      </c>
      <c r="C9" s="43">
        <v>11</v>
      </c>
      <c r="D9" s="52" t="str">
        <f>IFERROR(VLOOKUP($C9,'LISTE A SAISIR'!$E$4:$N$19,2,0),"")</f>
        <v>devers</v>
      </c>
      <c r="E9" s="1" t="s">
        <v>14</v>
      </c>
      <c r="F9" s="53" t="str">
        <f>IFERROR(VLOOKUP($C9,'LISTE A SAISIR'!$E$4:$N$19,2+2*MATCH(E9,Y9:AB9,0),0),"")</f>
        <v>6B+</v>
      </c>
      <c r="G9" s="1">
        <v>3</v>
      </c>
      <c r="H9" s="1"/>
      <c r="I9" s="58">
        <f t="shared" si="0"/>
        <v>3</v>
      </c>
      <c r="L9" s="52" t="str">
        <f t="array" ref="L9">IFERROR(INDEX(B:B,SMALL(IF($B$2:$B$149=$K$1,ROW($B$2:$B$149)),ROWS(L$2:L9))),"")</f>
        <v/>
      </c>
      <c r="M9" s="52" t="str">
        <f t="array" ref="M9">IFERROR(INDEX(#REF!,SMALL(IF($B$2:$B$149=$K$1,ROW($B$2:$B$149)),ROWS(M$2:M9))),"")</f>
        <v/>
      </c>
      <c r="N9" s="52" t="str">
        <f t="array" ref="N9">IFERROR(INDEX(C:C,SMALL(IF($B$2:$B$149=$K$1,ROW($B$2:$B$149)),ROWS(N$2:N9))),"")</f>
        <v/>
      </c>
      <c r="O9" s="52" t="str">
        <f t="array" ref="O9">IFERROR(INDEX(D:D,SMALL(IF($B$2:$B$149=$K$1,ROW($B$2:$B$149)),ROWS(O$2:O9))),"")</f>
        <v/>
      </c>
      <c r="P9" s="52" t="str">
        <f t="array" ref="P9">IFERROR(INDEX(E:E,SMALL(IF($B$2:$B$149=$K$1,ROW($B$2:$B$149)),ROWS(P$2:P9))),"")</f>
        <v/>
      </c>
      <c r="Q9" s="52" t="str">
        <f t="array" ref="Q9">IFERROR(INDEX(F:F,SMALL(IF($B$2:$B$149=$K$1,ROW($B$2:$B$149)),ROWS(Q$2:Q9))),"")</f>
        <v/>
      </c>
      <c r="R9" s="52" t="str">
        <f t="array" ref="R9">IFERROR(INDEX(G:G,SMALL(IF($B$2:$B$149=$K$1,ROW($B$2:$B$149)),ROWS(R$2:R9))),"")</f>
        <v/>
      </c>
      <c r="S9" s="52" t="str">
        <f t="array" ref="S9">IFERROR(INDEX(H:H,SMALL(IF($B$2:$B$149=$K$1,ROW($B$2:$B$149)),ROWS(S$2:S9))),"")</f>
        <v/>
      </c>
      <c r="Y9" s="55" t="str">
        <f>IFERROR(""&amp;VLOOKUP($C9,'LISTE A SAISIR'!$E$4:$L$19,3,0),"")</f>
        <v>vert</v>
      </c>
      <c r="Z9" s="55" t="str">
        <f>IFERROR(""&amp;VLOOKUP($C9,'LISTE A SAISIR'!$E$4:$L$19,5,0),"")</f>
        <v>bleu</v>
      </c>
      <c r="AA9" s="55" t="str">
        <f>IFERROR(""&amp;VLOOKUP($C9,'LISTE A SAISIR'!$E$4:$L$19,7,0),"")</f>
        <v>noir</v>
      </c>
      <c r="AB9" s="55" t="str">
        <f>IFERROR(""&amp;VLOOKUP($C9,'LISTE A SAISIR'!$E$4:$N$19,9,0),"")</f>
        <v>TP</v>
      </c>
      <c r="AD9" s="56" t="str">
        <f t="array" ref="AD9">IFERROR(INDEX($A9:$AB9,SMALL(IF(NOT(COUNTIF($AC9:AC9,$Y9:$AB9)),COLUMN($Y9:$AB9)),1)),"")</f>
        <v>vert</v>
      </c>
      <c r="AE9" s="56" t="str">
        <f t="array" ref="AE9">IFERROR(INDEX($A9:$AB9,SMALL(IF(NOT(COUNTIF($AC9:AD9,$Y9:$AB9)),COLUMN($Y9:$AB9)),1)),"")</f>
        <v>bleu</v>
      </c>
      <c r="AF9" s="56" t="str">
        <f t="array" ref="AF9">IFERROR(INDEX($A9:$AB9,SMALL(IF(NOT(COUNTIF($AC9:AE9,$Y9:$AB9)),COLUMN($Y9:$AB9)),1)),"")</f>
        <v>noir</v>
      </c>
      <c r="AG9" s="56" t="str">
        <f t="array" ref="AG9">IFERROR(INDEX($A9:$AB9,SMALL(IF(NOT(COUNTIF($AC9:AF9,$Y9:$AB9)),COLUMN($Y9:$AB9)),1)),"")</f>
        <v>TP</v>
      </c>
    </row>
    <row r="10" spans="1:34">
      <c r="A10" s="52">
        <v>9</v>
      </c>
      <c r="B10" s="4" t="s">
        <v>172</v>
      </c>
      <c r="C10" s="43">
        <v>8</v>
      </c>
      <c r="D10" s="53" t="str">
        <f>IFERROR(VLOOKUP($C10,'LISTE A SAISIR'!$E$4:$N$19,2,0),"")</f>
        <v>devers</v>
      </c>
      <c r="E10" s="1" t="s">
        <v>12</v>
      </c>
      <c r="F10" s="53" t="str">
        <f>IFERROR(VLOOKUP($C10,'LISTE A SAISIR'!$E$4:$N$19,2+2*MATCH(E10,Y10:AB10,0),0),"")</f>
        <v>6A</v>
      </c>
      <c r="G10" s="1" t="s">
        <v>27</v>
      </c>
      <c r="H10" s="7"/>
      <c r="I10" s="53">
        <f t="shared" si="0"/>
        <v>1</v>
      </c>
      <c r="L10" s="52" t="str">
        <f t="array" ref="L10">IFERROR(INDEX(B:B,SMALL(IF($B$2:$B$149=$K$1,ROW($B$2:$B$149)),ROWS(L$2:L10))),"")</f>
        <v/>
      </c>
      <c r="M10" s="52" t="str">
        <f t="array" ref="M10">IFERROR(INDEX(#REF!,SMALL(IF($B$2:$B$149=$K$1,ROW($B$2:$B$149)),ROWS(M$2:M10))),"")</f>
        <v/>
      </c>
      <c r="N10" s="52" t="str">
        <f t="array" ref="N10">IFERROR(INDEX(C:C,SMALL(IF($B$2:$B$149=$K$1,ROW($B$2:$B$149)),ROWS(N$2:N10))),"")</f>
        <v/>
      </c>
      <c r="O10" s="52" t="str">
        <f t="array" ref="O10">IFERROR(INDEX(D:D,SMALL(IF($B$2:$B$149=$K$1,ROW($B$2:$B$149)),ROWS(O$2:O10))),"")</f>
        <v/>
      </c>
      <c r="P10" s="52" t="str">
        <f t="array" ref="P10">IFERROR(INDEX(E:E,SMALL(IF($B$2:$B$149=$K$1,ROW($B$2:$B$149)),ROWS(P$2:P10))),"")</f>
        <v/>
      </c>
      <c r="Q10" s="52" t="str">
        <f t="array" ref="Q10">IFERROR(INDEX(F:F,SMALL(IF($B$2:$B$149=$K$1,ROW($B$2:$B$149)),ROWS(Q$2:Q10))),"")</f>
        <v/>
      </c>
      <c r="R10" s="52" t="str">
        <f t="array" ref="R10">IFERROR(INDEX(G:G,SMALL(IF($B$2:$B$149=$K$1,ROW($B$2:$B$149)),ROWS(R$2:R10))),"")</f>
        <v/>
      </c>
      <c r="S10" s="52" t="str">
        <f t="array" ref="S10">IFERROR(INDEX(H:H,SMALL(IF($B$2:$B$149=$K$1,ROW($B$2:$B$149)),ROWS(S$2:S10))),"")</f>
        <v/>
      </c>
      <c r="Y10" s="55" t="str">
        <f>IFERROR(""&amp;VLOOKUP($C10,'LISTE A SAISIR'!$E$4:$L$19,3,0),"")</f>
        <v>rouge</v>
      </c>
      <c r="Z10" s="55" t="str">
        <f>IFERROR(""&amp;VLOOKUP($C10,'LISTE A SAISIR'!$E$4:$L$19,5,0),"")</f>
        <v>bleu</v>
      </c>
      <c r="AA10" s="55" t="str">
        <f>IFERROR(""&amp;VLOOKUP($C10,'LISTE A SAISIR'!$E$4:$L$19,7,0),"")</f>
        <v/>
      </c>
      <c r="AB10" s="55" t="str">
        <f>IFERROR(""&amp;VLOOKUP($C10,'LISTE A SAISIR'!$E$4:$N$19,9,0),"")</f>
        <v>TP</v>
      </c>
      <c r="AD10" s="56" t="str">
        <f t="array" ref="AD10">IFERROR(INDEX($A10:$AB10,SMALL(IF(NOT(COUNTIF($AC10:AC10,$Y10:$AB10)),COLUMN($Y10:$AB10)),1)),"")</f>
        <v>rouge</v>
      </c>
      <c r="AE10" s="56" t="str">
        <f t="array" ref="AE10">IFERROR(INDEX($A10:$AB10,SMALL(IF(NOT(COUNTIF($AC10:AD10,$Y10:$AB10)),COLUMN($Y10:$AB10)),1)),"")</f>
        <v>bleu</v>
      </c>
      <c r="AF10" s="56" t="str">
        <f t="array" ref="AF10">IFERROR(INDEX($A10:$AB10,SMALL(IF(NOT(COUNTIF($AC10:AE10,$Y10:$AB10)),COLUMN($Y10:$AB10)),1)),"")</f>
        <v>TP</v>
      </c>
      <c r="AG10" s="56" t="str">
        <f t="array" ref="AG10">IFERROR(INDEX($A10:$AB10,SMALL(IF(NOT(COUNTIF($AC10:AF10,$Y10:$AB10)),COLUMN($Y10:$AB10)),1)),"")</f>
        <v/>
      </c>
    </row>
    <row r="11" spans="1:34">
      <c r="A11" s="52">
        <v>10</v>
      </c>
      <c r="B11" s="4" t="s">
        <v>200</v>
      </c>
      <c r="C11" s="43">
        <v>4</v>
      </c>
      <c r="D11" s="52" t="str">
        <f>IFERROR(VLOOKUP($C11,'LISTE A SAISIR'!$E$4:$N$19,2,0),"")</f>
        <v>verticale</v>
      </c>
      <c r="E11" s="1" t="s">
        <v>13</v>
      </c>
      <c r="F11" s="53" t="str">
        <f>IFERROR(VLOOKUP($C11,'LISTE A SAISIR'!$E$4:$N$19,2+2*MATCH(E11,Y11:AB11,0),0),"")</f>
        <v>5C</v>
      </c>
      <c r="G11" s="1">
        <v>5</v>
      </c>
      <c r="H11" s="1"/>
      <c r="I11" s="58">
        <f t="shared" si="0"/>
        <v>1</v>
      </c>
      <c r="L11" s="52" t="str">
        <f t="array" ref="L11">IFERROR(INDEX(B:B,SMALL(IF($B$2:$B$149=$K$1,ROW($B$2:$B$149)),ROWS(L$2:L11))),"")</f>
        <v/>
      </c>
      <c r="M11" s="52" t="str">
        <f t="array" ref="M11">IFERROR(INDEX(#REF!,SMALL(IF($B$2:$B$149=$K$1,ROW($B$2:$B$149)),ROWS(M$2:M11))),"")</f>
        <v/>
      </c>
      <c r="N11" s="52" t="str">
        <f t="array" ref="N11">IFERROR(INDEX(C:C,SMALL(IF($B$2:$B$149=$K$1,ROW($B$2:$B$149)),ROWS(N$2:N11))),"")</f>
        <v/>
      </c>
      <c r="O11" s="52" t="str">
        <f t="array" ref="O11">IFERROR(INDEX(D:D,SMALL(IF($B$2:$B$149=$K$1,ROW($B$2:$B$149)),ROWS(O$2:O11))),"")</f>
        <v/>
      </c>
      <c r="P11" s="52" t="str">
        <f t="array" ref="P11">IFERROR(INDEX(E:E,SMALL(IF($B$2:$B$149=$K$1,ROW($B$2:$B$149)),ROWS(P$2:P11))),"")</f>
        <v/>
      </c>
      <c r="Q11" s="52" t="str">
        <f t="array" ref="Q11">IFERROR(INDEX(F:F,SMALL(IF($B$2:$B$149=$K$1,ROW($B$2:$B$149)),ROWS(Q$2:Q11))),"")</f>
        <v/>
      </c>
      <c r="R11" s="52" t="str">
        <f t="array" ref="R11">IFERROR(INDEX(G:G,SMALL(IF($B$2:$B$149=$K$1,ROW($B$2:$B$149)),ROWS(R$2:R11))),"")</f>
        <v/>
      </c>
      <c r="S11" s="52" t="str">
        <f t="array" ref="S11">IFERROR(INDEX(H:H,SMALL(IF($B$2:$B$149=$K$1,ROW($B$2:$B$149)),ROWS(S$2:S11))),"")</f>
        <v/>
      </c>
      <c r="Y11" s="55" t="str">
        <f>IFERROR(""&amp;VLOOKUP($C11,'LISTE A SAISIR'!$E$4:$L$19,3,0),"")</f>
        <v>vert</v>
      </c>
      <c r="Z11" s="55" t="str">
        <f>IFERROR(""&amp;VLOOKUP($C11,'LISTE A SAISIR'!$E$4:$L$19,5,0),"")</f>
        <v>rouge</v>
      </c>
      <c r="AA11" s="55" t="str">
        <f>IFERROR(""&amp;VLOOKUP($C11,'LISTE A SAISIR'!$E$4:$L$19,7,0),"")</f>
        <v>noire</v>
      </c>
      <c r="AB11" s="55" t="str">
        <f>IFERROR(""&amp;VLOOKUP($C11,'LISTE A SAISIR'!$E$4:$N$19,9,0),"")</f>
        <v>TP</v>
      </c>
      <c r="AD11" s="56" t="str">
        <f t="array" ref="AD11">IFERROR(INDEX($A11:$AB11,SMALL(IF(NOT(COUNTIF($AC11:AC11,$Y11:$AB11)),COLUMN($Y11:$AB11)),1)),"")</f>
        <v>vert</v>
      </c>
      <c r="AE11" s="56" t="str">
        <f t="array" ref="AE11">IFERROR(INDEX($A11:$AB11,SMALL(IF(NOT(COUNTIF($AC11:AD11,$Y11:$AB11)),COLUMN($Y11:$AB11)),1)),"")</f>
        <v>rouge</v>
      </c>
      <c r="AF11" s="56" t="str">
        <f t="array" ref="AF11">IFERROR(INDEX($A11:$AB11,SMALL(IF(NOT(COUNTIF($AC11:AE11,$Y11:$AB11)),COLUMN($Y11:$AB11)),1)),"")</f>
        <v>noire</v>
      </c>
      <c r="AG11" s="56" t="str">
        <f t="array" ref="AG11">IFERROR(INDEX($A11:$AB11,SMALL(IF(NOT(COUNTIF($AC11:AF11,$Y11:$AB11)),COLUMN($Y11:$AB11)),1)),"")</f>
        <v>TP</v>
      </c>
    </row>
    <row r="12" spans="1:34">
      <c r="A12" s="52">
        <v>11</v>
      </c>
      <c r="B12" s="4"/>
      <c r="C12" s="43"/>
      <c r="D12" s="53" t="str">
        <f>IFERROR(VLOOKUP($C12,'LISTE A SAISIR'!$E$4:$N$19,2,0),"")</f>
        <v/>
      </c>
      <c r="E12" s="1"/>
      <c r="F12" s="53" t="str">
        <f>IFERROR(VLOOKUP($C12,'LISTE A SAISIR'!$E$4:$N$19,2+2*MATCH(E12,Y12:AB12,0),0),"")</f>
        <v/>
      </c>
      <c r="G12" s="1"/>
      <c r="H12" s="7"/>
      <c r="I12" s="53">
        <f t="shared" si="0"/>
        <v>0</v>
      </c>
      <c r="J12" s="164"/>
      <c r="K12" s="164"/>
      <c r="L12" s="52" t="str">
        <f t="array" ref="L12">IFERROR(INDEX(B:B,SMALL(IF($B$2:$B$149=$K$1,ROW($B$2:$B$149)),ROWS(L$2:L12))),"")</f>
        <v/>
      </c>
      <c r="M12" s="52" t="str">
        <f t="array" ref="M12">IFERROR(INDEX(#REF!,SMALL(IF($B$2:$B$149=$K$1,ROW($B$2:$B$149)),ROWS(M$2:M12))),"")</f>
        <v/>
      </c>
      <c r="N12" s="52" t="str">
        <f t="array" ref="N12">IFERROR(INDEX(C:C,SMALL(IF($B$2:$B$149=$K$1,ROW($B$2:$B$149)),ROWS(N$2:N12))),"")</f>
        <v/>
      </c>
      <c r="O12" s="52" t="str">
        <f t="array" ref="O12">IFERROR(INDEX(D:D,SMALL(IF($B$2:$B$149=$K$1,ROW($B$2:$B$149)),ROWS(O$2:O12))),"")</f>
        <v/>
      </c>
      <c r="P12" s="52" t="str">
        <f t="array" ref="P12">IFERROR(INDEX(E:E,SMALL(IF($B$2:$B$149=$K$1,ROW($B$2:$B$149)),ROWS(P$2:P12))),"")</f>
        <v/>
      </c>
      <c r="Q12" s="52" t="str">
        <f t="array" ref="Q12">IFERROR(INDEX(F:F,SMALL(IF($B$2:$B$149=$K$1,ROW($B$2:$B$149)),ROWS(Q$2:Q12))),"")</f>
        <v/>
      </c>
      <c r="R12" s="52" t="str">
        <f t="array" ref="R12">IFERROR(INDEX(G:G,SMALL(IF($B$2:$B$149=$K$1,ROW($B$2:$B$149)),ROWS(R$2:R12))),"")</f>
        <v/>
      </c>
      <c r="S12" s="52" t="str">
        <f t="array" ref="S12">IFERROR(INDEX(H:H,SMALL(IF($B$2:$B$149=$K$1,ROW($B$2:$B$149)),ROWS(S$2:S12))),"")</f>
        <v/>
      </c>
      <c r="Y12" s="55" t="str">
        <f>IFERROR(""&amp;VLOOKUP($C12,'LISTE A SAISIR'!$E$4:$L$19,3,0),"")</f>
        <v/>
      </c>
      <c r="Z12" s="55" t="str">
        <f>IFERROR(""&amp;VLOOKUP($C12,'LISTE A SAISIR'!$E$4:$L$19,5,0),"")</f>
        <v/>
      </c>
      <c r="AA12" s="55" t="str">
        <f>IFERROR(""&amp;VLOOKUP($C12,'LISTE A SAISIR'!$E$4:$L$19,7,0),"")</f>
        <v/>
      </c>
      <c r="AB12" s="55" t="str">
        <f>IFERROR(""&amp;VLOOKUP($C12,'LISTE A SAISIR'!$E$4:$N$19,9,0),"")</f>
        <v/>
      </c>
      <c r="AD12" s="56" t="str">
        <f t="array" ref="AD12">IFERROR(INDEX($A12:$AB12,SMALL(IF(NOT(COUNTIF($AC12:AC12,$Y12:$AB12)),COLUMN($Y12:$AB12)),1)),"")</f>
        <v/>
      </c>
      <c r="AE12" s="56" t="str">
        <f t="array" ref="AE12">IFERROR(INDEX($A12:$AB12,SMALL(IF(NOT(COUNTIF($AC12:AD12,$Y12:$AB12)),COLUMN($Y12:$AB12)),1)),"")</f>
        <v/>
      </c>
      <c r="AF12" s="56" t="str">
        <f t="array" ref="AF12">IFERROR(INDEX($A12:$AB12,SMALL(IF(NOT(COUNTIF($AC12:AE12,$Y12:$AB12)),COLUMN($Y12:$AB12)),1)),"")</f>
        <v/>
      </c>
      <c r="AG12" s="56" t="str">
        <f t="array" ref="AG12">IFERROR(INDEX($A12:$AB12,SMALL(IF(NOT(COUNTIF($AC12:AF12,$Y12:$AB12)),COLUMN($Y12:$AB12)),1)),"")</f>
        <v/>
      </c>
    </row>
    <row r="13" spans="1:34">
      <c r="A13" s="52">
        <v>12</v>
      </c>
      <c r="B13" s="4"/>
      <c r="C13" s="43"/>
      <c r="D13" s="52" t="str">
        <f>IFERROR(VLOOKUP($C13,'LISTE A SAISIR'!$E$4:$N$19,2,0),"")</f>
        <v/>
      </c>
      <c r="E13" s="1"/>
      <c r="F13" s="53" t="str">
        <f>IFERROR(VLOOKUP($C13,'LISTE A SAISIR'!$E$4:$N$19,2+2*MATCH(E13,Y13:AB13,0),0),"")</f>
        <v/>
      </c>
      <c r="G13" s="1"/>
      <c r="H13" s="1"/>
      <c r="I13" s="58">
        <f t="shared" si="0"/>
        <v>0</v>
      </c>
      <c r="J13" s="164"/>
      <c r="K13" s="164"/>
      <c r="L13" s="52" t="str">
        <f t="array" ref="L13">IFERROR(INDEX(B:B,SMALL(IF($B$2:$B$149=$K$1,ROW($B$2:$B$149)),ROWS(L$2:L13))),"")</f>
        <v/>
      </c>
      <c r="M13" s="52" t="str">
        <f t="array" ref="M13">IFERROR(INDEX(#REF!,SMALL(IF($B$2:$B$149=$K$1,ROW($B$2:$B$149)),ROWS(M$2:M13))),"")</f>
        <v/>
      </c>
      <c r="N13" s="52" t="str">
        <f t="array" ref="N13">IFERROR(INDEX(C:C,SMALL(IF($B$2:$B$149=$K$1,ROW($B$2:$B$149)),ROWS(N$2:N13))),"")</f>
        <v/>
      </c>
      <c r="O13" s="52" t="str">
        <f t="array" ref="O13">IFERROR(INDEX(D:D,SMALL(IF($B$2:$B$149=$K$1,ROW($B$2:$B$149)),ROWS(O$2:O13))),"")</f>
        <v/>
      </c>
      <c r="P13" s="52" t="str">
        <f t="array" ref="P13">IFERROR(INDEX(E:E,SMALL(IF($B$2:$B$149=$K$1,ROW($B$2:$B$149)),ROWS(P$2:P13))),"")</f>
        <v/>
      </c>
      <c r="Q13" s="52" t="str">
        <f t="array" ref="Q13">IFERROR(INDEX(F:F,SMALL(IF($B$2:$B$149=$K$1,ROW($B$2:$B$149)),ROWS(Q$2:Q13))),"")</f>
        <v/>
      </c>
      <c r="R13" s="52" t="str">
        <f t="array" ref="R13">IFERROR(INDEX(G:G,SMALL(IF($B$2:$B$149=$K$1,ROW($B$2:$B$149)),ROWS(R$2:R13))),"")</f>
        <v/>
      </c>
      <c r="S13" s="52" t="str">
        <f t="array" ref="S13">IFERROR(INDEX(H:H,SMALL(IF($B$2:$B$149=$K$1,ROW($B$2:$B$149)),ROWS(S$2:S13))),"")</f>
        <v/>
      </c>
      <c r="Y13" s="55" t="str">
        <f>IFERROR(""&amp;VLOOKUP($C13,'LISTE A SAISIR'!$E$4:$L$19,3,0),"")</f>
        <v/>
      </c>
      <c r="Z13" s="55" t="str">
        <f>IFERROR(""&amp;VLOOKUP($C13,'LISTE A SAISIR'!$E$4:$L$19,5,0),"")</f>
        <v/>
      </c>
      <c r="AA13" s="55" t="str">
        <f>IFERROR(""&amp;VLOOKUP($C13,'LISTE A SAISIR'!$E$4:$L$19,7,0),"")</f>
        <v/>
      </c>
      <c r="AB13" s="55" t="str">
        <f>IFERROR(""&amp;VLOOKUP($C13,'LISTE A SAISIR'!$E$4:$N$19,9,0),"")</f>
        <v/>
      </c>
      <c r="AD13" s="56" t="str">
        <f t="array" ref="AD13">IFERROR(INDEX($A13:$AB13,SMALL(IF(NOT(COUNTIF($AC13:AC13,$Y13:$AB13)),COLUMN($Y13:$AB13)),1)),"")</f>
        <v/>
      </c>
      <c r="AE13" s="56" t="str">
        <f t="array" ref="AE13">IFERROR(INDEX($A13:$AB13,SMALL(IF(NOT(COUNTIF($AC13:AD13,$Y13:$AB13)),COLUMN($Y13:$AB13)),1)),"")</f>
        <v/>
      </c>
      <c r="AF13" s="56" t="str">
        <f t="array" ref="AF13">IFERROR(INDEX($A13:$AB13,SMALL(IF(NOT(COUNTIF($AC13:AE13,$Y13:$AB13)),COLUMN($Y13:$AB13)),1)),"")</f>
        <v/>
      </c>
      <c r="AG13" s="56" t="str">
        <f t="array" ref="AG13">IFERROR(INDEX($A13:$AB13,SMALL(IF(NOT(COUNTIF($AC13:AF13,$Y13:$AB13)),COLUMN($Y13:$AB13)),1)),"")</f>
        <v/>
      </c>
    </row>
    <row r="14" spans="1:34">
      <c r="A14" s="52">
        <v>13</v>
      </c>
      <c r="B14" s="4"/>
      <c r="C14" s="43"/>
      <c r="D14" s="53" t="str">
        <f>IFERROR(VLOOKUP($C14,'LISTE A SAISIR'!$E$4:$N$19,2,0),"")</f>
        <v/>
      </c>
      <c r="E14" s="1"/>
      <c r="F14" s="53" t="str">
        <f>IFERROR(VLOOKUP($C14,'LISTE A SAISIR'!$E$4:$N$19,2+2*MATCH(E14,Y14:AB14,0),0),"")</f>
        <v/>
      </c>
      <c r="G14" s="1"/>
      <c r="H14" s="7"/>
      <c r="I14" s="53">
        <f t="shared" si="0"/>
        <v>0</v>
      </c>
      <c r="J14" s="164"/>
      <c r="K14" s="164"/>
      <c r="L14" s="52" t="str">
        <f t="array" ref="L14">IFERROR(INDEX(B:B,SMALL(IF($B$2:$B$149=$K$1,ROW($B$2:$B$149)),ROWS(L$2:L14))),"")</f>
        <v/>
      </c>
      <c r="M14" s="52" t="str">
        <f t="array" ref="M14">IFERROR(INDEX(#REF!,SMALL(IF($B$2:$B$149=$K$1,ROW($B$2:$B$149)),ROWS(M$2:M14))),"")</f>
        <v/>
      </c>
      <c r="N14" s="52" t="str">
        <f t="array" ref="N14">IFERROR(INDEX(C:C,SMALL(IF($B$2:$B$149=$K$1,ROW($B$2:$B$149)),ROWS(N$2:N14))),"")</f>
        <v/>
      </c>
      <c r="O14" s="52" t="str">
        <f t="array" ref="O14">IFERROR(INDEX(D:D,SMALL(IF($B$2:$B$149=$K$1,ROW($B$2:$B$149)),ROWS(O$2:O14))),"")</f>
        <v/>
      </c>
      <c r="P14" s="52" t="str">
        <f t="array" ref="P14">IFERROR(INDEX(E:E,SMALL(IF($B$2:$B$149=$K$1,ROW($B$2:$B$149)),ROWS(P$2:P14))),"")</f>
        <v/>
      </c>
      <c r="Q14" s="52" t="str">
        <f t="array" ref="Q14">IFERROR(INDEX(F:F,SMALL(IF($B$2:$B$149=$K$1,ROW($B$2:$B$149)),ROWS(Q$2:Q14))),"")</f>
        <v/>
      </c>
      <c r="R14" s="52" t="str">
        <f t="array" ref="R14">IFERROR(INDEX(G:G,SMALL(IF($B$2:$B$149=$K$1,ROW($B$2:$B$149)),ROWS(R$2:R14))),"")</f>
        <v/>
      </c>
      <c r="S14" s="52" t="str">
        <f t="array" ref="S14">IFERROR(INDEX(H:H,SMALL(IF($B$2:$B$149=$K$1,ROW($B$2:$B$149)),ROWS(S$2:S14))),"")</f>
        <v/>
      </c>
      <c r="Y14" s="55" t="str">
        <f>IFERROR(""&amp;VLOOKUP($C14,'LISTE A SAISIR'!$E$4:$L$19,3,0),"")</f>
        <v/>
      </c>
      <c r="Z14" s="55" t="str">
        <f>IFERROR(""&amp;VLOOKUP($C14,'LISTE A SAISIR'!$E$4:$L$19,5,0),"")</f>
        <v/>
      </c>
      <c r="AA14" s="55" t="str">
        <f>IFERROR(""&amp;VLOOKUP($C14,'LISTE A SAISIR'!$E$4:$L$19,7,0),"")</f>
        <v/>
      </c>
      <c r="AB14" s="55" t="str">
        <f>IFERROR(""&amp;VLOOKUP($C14,'LISTE A SAISIR'!$E$4:$N$19,9,0),"")</f>
        <v/>
      </c>
      <c r="AD14" s="56" t="str">
        <f t="array" ref="AD14">IFERROR(INDEX($A14:$AB14,SMALL(IF(NOT(COUNTIF($AC14:AC14,$Y14:$AB14)),COLUMN($Y14:$AB14)),1)),"")</f>
        <v/>
      </c>
      <c r="AE14" s="56" t="str">
        <f t="array" ref="AE14">IFERROR(INDEX($A14:$AB14,SMALL(IF(NOT(COUNTIF($AC14:AD14,$Y14:$AB14)),COLUMN($Y14:$AB14)),1)),"")</f>
        <v/>
      </c>
      <c r="AF14" s="56" t="str">
        <f t="array" ref="AF14">IFERROR(INDEX($A14:$AB14,SMALL(IF(NOT(COUNTIF($AC14:AE14,$Y14:$AB14)),COLUMN($Y14:$AB14)),1)),"")</f>
        <v/>
      </c>
      <c r="AG14" s="56" t="str">
        <f t="array" ref="AG14">IFERROR(INDEX($A14:$AB14,SMALL(IF(NOT(COUNTIF($AC14:AF14,$Y14:$AB14)),COLUMN($Y14:$AB14)),1)),"")</f>
        <v/>
      </c>
    </row>
    <row r="15" spans="1:34">
      <c r="A15" s="52">
        <v>14</v>
      </c>
      <c r="B15" s="4"/>
      <c r="C15" s="43"/>
      <c r="D15" s="52" t="str">
        <f>IFERROR(VLOOKUP($C15,'LISTE A SAISIR'!$E$4:$N$19,2,0),"")</f>
        <v/>
      </c>
      <c r="E15" s="1"/>
      <c r="F15" s="53" t="str">
        <f>IFERROR(VLOOKUP($C15,'LISTE A SAISIR'!$E$4:$N$19,2+2*MATCH(E15,Y15:AB15,0),0),"")</f>
        <v/>
      </c>
      <c r="G15" s="1"/>
      <c r="H15" s="1"/>
      <c r="I15" s="58">
        <f t="shared" si="0"/>
        <v>0</v>
      </c>
      <c r="J15" s="164"/>
      <c r="K15" s="164"/>
      <c r="L15" s="52" t="str">
        <f t="array" ref="L15">IFERROR(INDEX(B:B,SMALL(IF($B$2:$B$149=$K$1,ROW($B$2:$B$149)),ROWS(L$2:L15))),"")</f>
        <v/>
      </c>
      <c r="M15" s="52" t="str">
        <f t="array" ref="M15">IFERROR(INDEX(#REF!,SMALL(IF($B$2:$B$149=$K$1,ROW($B$2:$B$149)),ROWS(M$2:M15))),"")</f>
        <v/>
      </c>
      <c r="N15" s="52" t="str">
        <f t="array" ref="N15">IFERROR(INDEX(C:C,SMALL(IF($B$2:$B$149=$K$1,ROW($B$2:$B$149)),ROWS(N$2:N15))),"")</f>
        <v/>
      </c>
      <c r="O15" s="52" t="str">
        <f t="array" ref="O15">IFERROR(INDEX(D:D,SMALL(IF($B$2:$B$149=$K$1,ROW($B$2:$B$149)),ROWS(O$2:O15))),"")</f>
        <v/>
      </c>
      <c r="P15" s="52" t="str">
        <f t="array" ref="P15">IFERROR(INDEX(E:E,SMALL(IF($B$2:$B$149=$K$1,ROW($B$2:$B$149)),ROWS(P$2:P15))),"")</f>
        <v/>
      </c>
      <c r="Q15" s="52" t="str">
        <f t="array" ref="Q15">IFERROR(INDEX(F:F,SMALL(IF($B$2:$B$149=$K$1,ROW($B$2:$B$149)),ROWS(Q$2:Q15))),"")</f>
        <v/>
      </c>
      <c r="R15" s="52" t="str">
        <f t="array" ref="R15">IFERROR(INDEX(G:G,SMALL(IF($B$2:$B$149=$K$1,ROW($B$2:$B$149)),ROWS(R$2:R15))),"")</f>
        <v/>
      </c>
      <c r="S15" s="52" t="str">
        <f t="array" ref="S15">IFERROR(INDEX(H:H,SMALL(IF($B$2:$B$149=$K$1,ROW($B$2:$B$149)),ROWS(S$2:S15))),"")</f>
        <v/>
      </c>
      <c r="Y15" s="55" t="str">
        <f>IFERROR(""&amp;VLOOKUP($C15,'LISTE A SAISIR'!$E$4:$L$19,3,0),"")</f>
        <v/>
      </c>
      <c r="Z15" s="55" t="str">
        <f>IFERROR(""&amp;VLOOKUP($C15,'LISTE A SAISIR'!$E$4:$L$19,5,0),"")</f>
        <v/>
      </c>
      <c r="AA15" s="55" t="str">
        <f>IFERROR(""&amp;VLOOKUP($C15,'LISTE A SAISIR'!$E$4:$L$19,7,0),"")</f>
        <v/>
      </c>
      <c r="AB15" s="55" t="str">
        <f>IFERROR(""&amp;VLOOKUP($C15,'LISTE A SAISIR'!$E$4:$N$19,9,0),"")</f>
        <v/>
      </c>
      <c r="AD15" s="56" t="str">
        <f t="array" ref="AD15">IFERROR(INDEX($A15:$AB15,SMALL(IF(NOT(COUNTIF($AC15:AC15,$Y15:$AB15)),COLUMN($Y15:$AB15)),1)),"")</f>
        <v/>
      </c>
      <c r="AE15" s="56" t="str">
        <f t="array" ref="AE15">IFERROR(INDEX($A15:$AB15,SMALL(IF(NOT(COUNTIF($AC15:AD15,$Y15:$AB15)),COLUMN($Y15:$AB15)),1)),"")</f>
        <v/>
      </c>
      <c r="AF15" s="56" t="str">
        <f t="array" ref="AF15">IFERROR(INDEX($A15:$AB15,SMALL(IF(NOT(COUNTIF($AC15:AE15,$Y15:$AB15)),COLUMN($Y15:$AB15)),1)),"")</f>
        <v/>
      </c>
      <c r="AG15" s="56" t="str">
        <f t="array" ref="AG15">IFERROR(INDEX($A15:$AB15,SMALL(IF(NOT(COUNTIF($AC15:AF15,$Y15:$AB15)),COLUMN($Y15:$AB15)),1)),"")</f>
        <v/>
      </c>
    </row>
    <row r="16" spans="1:34">
      <c r="A16" s="52">
        <v>15</v>
      </c>
      <c r="B16" s="4"/>
      <c r="C16" s="43"/>
      <c r="D16" s="53" t="str">
        <f>IFERROR(VLOOKUP($C16,'LISTE A SAISIR'!$E$4:$N$19,2,0),"")</f>
        <v/>
      </c>
      <c r="E16" s="1"/>
      <c r="F16" s="53" t="str">
        <f>IFERROR(VLOOKUP($C16,'LISTE A SAISIR'!$E$4:$N$19,2+2*MATCH(E16,Y16:AB16,0),0),"")</f>
        <v/>
      </c>
      <c r="G16" s="1"/>
      <c r="H16" s="7"/>
      <c r="I16" s="53">
        <f t="shared" si="0"/>
        <v>0</v>
      </c>
      <c r="J16" s="164"/>
      <c r="K16" s="164"/>
      <c r="L16" s="52" t="str">
        <f t="array" ref="L16">IFERROR(INDEX(B:B,SMALL(IF($B$2:$B$149=$K$1,ROW($B$2:$B$149)),ROWS(L$2:L16))),"")</f>
        <v/>
      </c>
      <c r="M16" s="52" t="str">
        <f t="array" ref="M16">IFERROR(INDEX(#REF!,SMALL(IF($B$2:$B$149=$K$1,ROW($B$2:$B$149)),ROWS(M$2:M16))),"")</f>
        <v/>
      </c>
      <c r="N16" s="52" t="str">
        <f t="array" ref="N16">IFERROR(INDEX(C:C,SMALL(IF($B$2:$B$149=$K$1,ROW($B$2:$B$149)),ROWS(N$2:N16))),"")</f>
        <v/>
      </c>
      <c r="O16" s="52" t="str">
        <f t="array" ref="O16">IFERROR(INDEX(D:D,SMALL(IF($B$2:$B$149=$K$1,ROW($B$2:$B$149)),ROWS(O$2:O16))),"")</f>
        <v/>
      </c>
      <c r="P16" s="52" t="str">
        <f t="array" ref="P16">IFERROR(INDEX(E:E,SMALL(IF($B$2:$B$149=$K$1,ROW($B$2:$B$149)),ROWS(P$2:P16))),"")</f>
        <v/>
      </c>
      <c r="Q16" s="52" t="str">
        <f t="array" ref="Q16">IFERROR(INDEX(F:F,SMALL(IF($B$2:$B$149=$K$1,ROW($B$2:$B$149)),ROWS(Q$2:Q16))),"")</f>
        <v/>
      </c>
      <c r="R16" s="52" t="str">
        <f t="array" ref="R16">IFERROR(INDEX(G:G,SMALL(IF($B$2:$B$149=$K$1,ROW($B$2:$B$149)),ROWS(R$2:R16))),"")</f>
        <v/>
      </c>
      <c r="S16" s="52" t="str">
        <f t="array" ref="S16">IFERROR(INDEX(H:H,SMALL(IF($B$2:$B$149=$K$1,ROW($B$2:$B$149)),ROWS(S$2:S16))),"")</f>
        <v/>
      </c>
      <c r="Y16" s="55" t="str">
        <f>IFERROR(""&amp;VLOOKUP($C16,'LISTE A SAISIR'!$E$4:$L$19,3,0),"")</f>
        <v/>
      </c>
      <c r="Z16" s="55" t="str">
        <f>IFERROR(""&amp;VLOOKUP($C16,'LISTE A SAISIR'!$E$4:$L$19,5,0),"")</f>
        <v/>
      </c>
      <c r="AA16" s="55" t="str">
        <f>IFERROR(""&amp;VLOOKUP($C16,'LISTE A SAISIR'!$E$4:$L$19,7,0),"")</f>
        <v/>
      </c>
      <c r="AB16" s="55" t="str">
        <f>IFERROR(""&amp;VLOOKUP($C16,'LISTE A SAISIR'!$E$4:$N$19,9,0),"")</f>
        <v/>
      </c>
      <c r="AD16" s="56" t="str">
        <f t="array" ref="AD16">IFERROR(INDEX($A16:$AB16,SMALL(IF(NOT(COUNTIF($AC16:AC16,$Y16:$AB16)),COLUMN($Y16:$AB16)),1)),"")</f>
        <v/>
      </c>
      <c r="AE16" s="56" t="str">
        <f t="array" ref="AE16">IFERROR(INDEX($A16:$AB16,SMALL(IF(NOT(COUNTIF($AC16:AD16,$Y16:$AB16)),COLUMN($Y16:$AB16)),1)),"")</f>
        <v/>
      </c>
      <c r="AF16" s="56" t="str">
        <f t="array" ref="AF16">IFERROR(INDEX($A16:$AB16,SMALL(IF(NOT(COUNTIF($AC16:AE16,$Y16:$AB16)),COLUMN($Y16:$AB16)),1)),"")</f>
        <v/>
      </c>
      <c r="AG16" s="56" t="str">
        <f t="array" ref="AG16">IFERROR(INDEX($A16:$AB16,SMALL(IF(NOT(COUNTIF($AC16:AF16,$Y16:$AB16)),COLUMN($Y16:$AB16)),1)),"")</f>
        <v/>
      </c>
    </row>
    <row r="17" spans="1:33">
      <c r="A17" s="52">
        <v>16</v>
      </c>
      <c r="B17" s="4"/>
      <c r="C17" s="43"/>
      <c r="D17" s="52" t="str">
        <f>IFERROR(VLOOKUP($C17,'LISTE A SAISIR'!$E$4:$N$19,2,0),"")</f>
        <v/>
      </c>
      <c r="E17" s="1"/>
      <c r="F17" s="53" t="str">
        <f>IFERROR(VLOOKUP($C17,'LISTE A SAISIR'!$E$4:$N$19,2+2*MATCH(E17,Y17:AB17,0),0),"")</f>
        <v/>
      </c>
      <c r="G17" s="1"/>
      <c r="H17" s="1"/>
      <c r="I17" s="58">
        <f t="shared" si="0"/>
        <v>0</v>
      </c>
      <c r="L17" s="52" t="str">
        <f t="array" ref="L17">IFERROR(INDEX(B:B,SMALL(IF($B$2:$B$149=$K$1,ROW($B$2:$B$149)),ROWS(L$2:L17))),"")</f>
        <v/>
      </c>
      <c r="M17" s="52" t="str">
        <f t="array" ref="M17">IFERROR(INDEX(#REF!,SMALL(IF($B$2:$B$149=$K$1,ROW($B$2:$B$149)),ROWS(M$2:M17))),"")</f>
        <v/>
      </c>
      <c r="N17" s="52" t="str">
        <f t="array" ref="N17">IFERROR(INDEX(C:C,SMALL(IF($B$2:$B$149=$K$1,ROW($B$2:$B$149)),ROWS(N$2:N17))),"")</f>
        <v/>
      </c>
      <c r="O17" s="52" t="str">
        <f t="array" ref="O17">IFERROR(INDEX(D:D,SMALL(IF($B$2:$B$149=$K$1,ROW($B$2:$B$149)),ROWS(O$2:O17))),"")</f>
        <v/>
      </c>
      <c r="P17" s="52" t="str">
        <f t="array" ref="P17">IFERROR(INDEX(E:E,SMALL(IF($B$2:$B$149=$K$1,ROW($B$2:$B$149)),ROWS(P$2:P17))),"")</f>
        <v/>
      </c>
      <c r="Q17" s="52" t="str">
        <f t="array" ref="Q17">IFERROR(INDEX(F:F,SMALL(IF($B$2:$B$149=$K$1,ROW($B$2:$B$149)),ROWS(Q$2:Q17))),"")</f>
        <v/>
      </c>
      <c r="R17" s="52" t="str">
        <f t="array" ref="R17">IFERROR(INDEX(G:G,SMALL(IF($B$2:$B$149=$K$1,ROW($B$2:$B$149)),ROWS(R$2:R17))),"")</f>
        <v/>
      </c>
      <c r="S17" s="52" t="str">
        <f t="array" ref="S17">IFERROR(INDEX(H:H,SMALL(IF($B$2:$B$149=$K$1,ROW($B$2:$B$149)),ROWS(S$2:S17))),"")</f>
        <v/>
      </c>
      <c r="Y17" s="55" t="str">
        <f>IFERROR(""&amp;VLOOKUP($C17,'LISTE A SAISIR'!$E$4:$L$19,3,0),"")</f>
        <v/>
      </c>
      <c r="Z17" s="55" t="str">
        <f>IFERROR(""&amp;VLOOKUP($C17,'LISTE A SAISIR'!$E$4:$L$19,5,0),"")</f>
        <v/>
      </c>
      <c r="AA17" s="55" t="str">
        <f>IFERROR(""&amp;VLOOKUP($C17,'LISTE A SAISIR'!$E$4:$L$19,7,0),"")</f>
        <v/>
      </c>
      <c r="AB17" s="55" t="str">
        <f>IFERROR(""&amp;VLOOKUP($C17,'LISTE A SAISIR'!$E$4:$N$19,9,0),"")</f>
        <v/>
      </c>
      <c r="AD17" s="56" t="str">
        <f t="array" ref="AD17">IFERROR(INDEX($A17:$AB17,SMALL(IF(NOT(COUNTIF($AC17:AC17,$Y17:$AB17)),COLUMN($Y17:$AB17)),1)),"")</f>
        <v/>
      </c>
      <c r="AE17" s="56" t="str">
        <f t="array" ref="AE17">IFERROR(INDEX($A17:$AB17,SMALL(IF(NOT(COUNTIF($AC17:AD17,$Y17:$AB17)),COLUMN($Y17:$AB17)),1)),"")</f>
        <v/>
      </c>
      <c r="AF17" s="56" t="str">
        <f t="array" ref="AF17">IFERROR(INDEX($A17:$AB17,SMALL(IF(NOT(COUNTIF($AC17:AE17,$Y17:$AB17)),COLUMN($Y17:$AB17)),1)),"")</f>
        <v/>
      </c>
      <c r="AG17" s="56" t="str">
        <f t="array" ref="AG17">IFERROR(INDEX($A17:$AB17,SMALL(IF(NOT(COUNTIF($AC17:AF17,$Y17:$AB17)),COLUMN($Y17:$AB17)),1)),"")</f>
        <v/>
      </c>
    </row>
    <row r="18" spans="1:33">
      <c r="A18" s="52">
        <v>17</v>
      </c>
      <c r="B18" s="4"/>
      <c r="C18" s="43"/>
      <c r="D18" s="53" t="str">
        <f>IFERROR(VLOOKUP($C18,'LISTE A SAISIR'!$E$4:$N$19,2,0),"")</f>
        <v/>
      </c>
      <c r="E18" s="1"/>
      <c r="F18" s="53" t="str">
        <f>IFERROR(VLOOKUP($C18,'LISTE A SAISIR'!$E$4:$N$19,2+2*MATCH(E18,Y18:AB18,0),0),"")</f>
        <v/>
      </c>
      <c r="G18" s="1"/>
      <c r="H18" s="7"/>
      <c r="I18" s="53">
        <f t="shared" si="0"/>
        <v>0</v>
      </c>
      <c r="L18" s="52" t="str">
        <f t="array" ref="L18">IFERROR(INDEX(B:B,SMALL(IF($B$2:$B$149=$K$1,ROW($B$2:$B$149)),ROWS(L$2:L18))),"")</f>
        <v/>
      </c>
      <c r="M18" s="52" t="str">
        <f t="array" ref="M18">IFERROR(INDEX(#REF!,SMALL(IF($B$2:$B$149=$K$1,ROW($B$2:$B$149)),ROWS(M$2:M18))),"")</f>
        <v/>
      </c>
      <c r="N18" s="52" t="str">
        <f t="array" ref="N18">IFERROR(INDEX(C:C,SMALL(IF($B$2:$B$149=$K$1,ROW($B$2:$B$149)),ROWS(N$2:N18))),"")</f>
        <v/>
      </c>
      <c r="O18" s="52" t="str">
        <f t="array" ref="O18">IFERROR(INDEX(D:D,SMALL(IF($B$2:$B$149=$K$1,ROW($B$2:$B$149)),ROWS(O$2:O18))),"")</f>
        <v/>
      </c>
      <c r="P18" s="52" t="str">
        <f t="array" ref="P18">IFERROR(INDEX(E:E,SMALL(IF($B$2:$B$149=$K$1,ROW($B$2:$B$149)),ROWS(P$2:P18))),"")</f>
        <v/>
      </c>
      <c r="Q18" s="52" t="str">
        <f t="array" ref="Q18">IFERROR(INDEX(F:F,SMALL(IF($B$2:$B$149=$K$1,ROW($B$2:$B$149)),ROWS(Q$2:Q18))),"")</f>
        <v/>
      </c>
      <c r="R18" s="52" t="str">
        <f t="array" ref="R18">IFERROR(INDEX(G:G,SMALL(IF($B$2:$B$149=$K$1,ROW($B$2:$B$149)),ROWS(R$2:R18))),"")</f>
        <v/>
      </c>
      <c r="S18" s="52" t="str">
        <f t="array" ref="S18">IFERROR(INDEX(H:H,SMALL(IF($B$2:$B$149=$K$1,ROW($B$2:$B$149)),ROWS(S$2:S18))),"")</f>
        <v/>
      </c>
      <c r="Y18" s="55" t="str">
        <f>IFERROR(""&amp;VLOOKUP($C18,'LISTE A SAISIR'!$E$4:$L$19,3,0),"")</f>
        <v/>
      </c>
      <c r="Z18" s="55" t="str">
        <f>IFERROR(""&amp;VLOOKUP($C18,'LISTE A SAISIR'!$E$4:$L$19,5,0),"")</f>
        <v/>
      </c>
      <c r="AA18" s="55" t="str">
        <f>IFERROR(""&amp;VLOOKUP($C18,'LISTE A SAISIR'!$E$4:$L$19,7,0),"")</f>
        <v/>
      </c>
      <c r="AB18" s="55" t="str">
        <f>IFERROR(""&amp;VLOOKUP($C18,'LISTE A SAISIR'!$E$4:$N$19,9,0),"")</f>
        <v/>
      </c>
      <c r="AD18" s="56" t="str">
        <f t="array" ref="AD18">IFERROR(INDEX($A18:$AB18,SMALL(IF(NOT(COUNTIF($AC18:AC18,$Y18:$AB18)),COLUMN($Y18:$AB18)),1)),"")</f>
        <v/>
      </c>
      <c r="AE18" s="56" t="str">
        <f t="array" ref="AE18">IFERROR(INDEX($A18:$AB18,SMALL(IF(NOT(COUNTIF($AC18:AD18,$Y18:$AB18)),COLUMN($Y18:$AB18)),1)),"")</f>
        <v/>
      </c>
      <c r="AF18" s="56" t="str">
        <f t="array" ref="AF18">IFERROR(INDEX($A18:$AB18,SMALL(IF(NOT(COUNTIF($AC18:AE18,$Y18:$AB18)),COLUMN($Y18:$AB18)),1)),"")</f>
        <v/>
      </c>
      <c r="AG18" s="56" t="str">
        <f t="array" ref="AG18">IFERROR(INDEX($A18:$AB18,SMALL(IF(NOT(COUNTIF($AC18:AF18,$Y18:$AB18)),COLUMN($Y18:$AB18)),1)),"")</f>
        <v/>
      </c>
    </row>
    <row r="19" spans="1:33">
      <c r="A19" s="52">
        <v>18</v>
      </c>
      <c r="B19" s="4"/>
      <c r="C19" s="43"/>
      <c r="D19" s="52" t="str">
        <f>IFERROR(VLOOKUP($C19,'LISTE A SAISIR'!$E$4:$N$19,2,0),"")</f>
        <v/>
      </c>
      <c r="E19" s="1"/>
      <c r="F19" s="53" t="str">
        <f>IFERROR(VLOOKUP($C19,'LISTE A SAISIR'!$E$4:$N$19,2+2*MATCH(E19,Y19:AB19,0),0),"")</f>
        <v/>
      </c>
      <c r="G19" s="1"/>
      <c r="H19" s="1"/>
      <c r="I19" s="58">
        <f t="shared" si="0"/>
        <v>0</v>
      </c>
      <c r="L19" s="52" t="str">
        <f t="array" ref="L19">IFERROR(INDEX(B:B,SMALL(IF($B$2:$B$149=$K$1,ROW($B$2:$B$149)),ROWS(L$2:L19))),"")</f>
        <v/>
      </c>
      <c r="M19" s="52" t="str">
        <f t="array" ref="M19">IFERROR(INDEX(#REF!,SMALL(IF($B$2:$B$149=$K$1,ROW($B$2:$B$149)),ROWS(M$2:M19))),"")</f>
        <v/>
      </c>
      <c r="N19" s="52" t="str">
        <f t="array" ref="N19">IFERROR(INDEX(C:C,SMALL(IF($B$2:$B$149=$K$1,ROW($B$2:$B$149)),ROWS(N$2:N19))),"")</f>
        <v/>
      </c>
      <c r="O19" s="52" t="str">
        <f t="array" ref="O19">IFERROR(INDEX(D:D,SMALL(IF($B$2:$B$149=$K$1,ROW($B$2:$B$149)),ROWS(O$2:O19))),"")</f>
        <v/>
      </c>
      <c r="P19" s="52" t="str">
        <f t="array" ref="P19">IFERROR(INDEX(E:E,SMALL(IF($B$2:$B$149=$K$1,ROW($B$2:$B$149)),ROWS(P$2:P19))),"")</f>
        <v/>
      </c>
      <c r="Q19" s="52" t="str">
        <f t="array" ref="Q19">IFERROR(INDEX(F:F,SMALL(IF($B$2:$B$149=$K$1,ROW($B$2:$B$149)),ROWS(Q$2:Q19))),"")</f>
        <v/>
      </c>
      <c r="R19" s="52" t="str">
        <f t="array" ref="R19">IFERROR(INDEX(G:G,SMALL(IF($B$2:$B$149=$K$1,ROW($B$2:$B$149)),ROWS(R$2:R19))),"")</f>
        <v/>
      </c>
      <c r="S19" s="52" t="str">
        <f t="array" ref="S19">IFERROR(INDEX(H:H,SMALL(IF($B$2:$B$149=$K$1,ROW($B$2:$B$149)),ROWS(S$2:S19))),"")</f>
        <v/>
      </c>
      <c r="Y19" s="55" t="str">
        <f>IFERROR(""&amp;VLOOKUP($C19,'LISTE A SAISIR'!$E$4:$L$19,3,0),"")</f>
        <v/>
      </c>
      <c r="Z19" s="55" t="str">
        <f>IFERROR(""&amp;VLOOKUP($C19,'LISTE A SAISIR'!$E$4:$L$19,5,0),"")</f>
        <v/>
      </c>
      <c r="AA19" s="55" t="str">
        <f>IFERROR(""&amp;VLOOKUP($C19,'LISTE A SAISIR'!$E$4:$L$19,7,0),"")</f>
        <v/>
      </c>
      <c r="AB19" s="55" t="str">
        <f>IFERROR(""&amp;VLOOKUP($C19,'LISTE A SAISIR'!$E$4:$N$19,9,0),"")</f>
        <v/>
      </c>
      <c r="AD19" s="56" t="str">
        <f t="array" ref="AD19">IFERROR(INDEX($A19:$AB19,SMALL(IF(NOT(COUNTIF($AC19:AC19,$Y19:$AB19)),COLUMN($Y19:$AB19)),1)),"")</f>
        <v/>
      </c>
      <c r="AE19" s="56" t="str">
        <f t="array" ref="AE19">IFERROR(INDEX($A19:$AB19,SMALL(IF(NOT(COUNTIF($AC19:AD19,$Y19:$AB19)),COLUMN($Y19:$AB19)),1)),"")</f>
        <v/>
      </c>
      <c r="AF19" s="56" t="str">
        <f t="array" ref="AF19">IFERROR(INDEX($A19:$AB19,SMALL(IF(NOT(COUNTIF($AC19:AE19,$Y19:$AB19)),COLUMN($Y19:$AB19)),1)),"")</f>
        <v/>
      </c>
      <c r="AG19" s="56" t="str">
        <f t="array" ref="AG19">IFERROR(INDEX($A19:$AB19,SMALL(IF(NOT(COUNTIF($AC19:AF19,$Y19:$AB19)),COLUMN($Y19:$AB19)),1)),"")</f>
        <v/>
      </c>
    </row>
    <row r="20" spans="1:33">
      <c r="A20" s="52">
        <v>19</v>
      </c>
      <c r="B20" s="4"/>
      <c r="C20" s="43"/>
      <c r="D20" s="53" t="str">
        <f>IFERROR(VLOOKUP($C20,'LISTE A SAISIR'!$E$4:$N$19,2,0),"")</f>
        <v/>
      </c>
      <c r="E20" s="1"/>
      <c r="F20" s="53" t="str">
        <f>IFERROR(VLOOKUP($C20,'LISTE A SAISIR'!$E$4:$N$19,2+2*MATCH(E20,Y20:AB20,0),0),"")</f>
        <v/>
      </c>
      <c r="G20" s="1"/>
      <c r="H20" s="7"/>
      <c r="I20" s="53">
        <f t="shared" si="0"/>
        <v>0</v>
      </c>
      <c r="L20" s="52" t="str">
        <f t="array" ref="L20">IFERROR(INDEX(B:B,SMALL(IF($B$2:$B$149=$K$1,ROW($B$2:$B$149)),ROWS(L$2:L20))),"")</f>
        <v/>
      </c>
      <c r="M20" s="52" t="str">
        <f t="array" ref="M20">IFERROR(INDEX(#REF!,SMALL(IF($B$2:$B$149=$K$1,ROW($B$2:$B$149)),ROWS(M$2:M20))),"")</f>
        <v/>
      </c>
      <c r="N20" s="52" t="str">
        <f t="array" ref="N20">IFERROR(INDEX(C:C,SMALL(IF($B$2:$B$149=$K$1,ROW($B$2:$B$149)),ROWS(N$2:N20))),"")</f>
        <v/>
      </c>
      <c r="O20" s="52" t="str">
        <f t="array" ref="O20">IFERROR(INDEX(D:D,SMALL(IF($B$2:$B$149=$K$1,ROW($B$2:$B$149)),ROWS(O$2:O20))),"")</f>
        <v/>
      </c>
      <c r="P20" s="52" t="str">
        <f t="array" ref="P20">IFERROR(INDEX(E:E,SMALL(IF($B$2:$B$149=$K$1,ROW($B$2:$B$149)),ROWS(P$2:P20))),"")</f>
        <v/>
      </c>
      <c r="Q20" s="52" t="str">
        <f t="array" ref="Q20">IFERROR(INDEX(F:F,SMALL(IF($B$2:$B$149=$K$1,ROW($B$2:$B$149)),ROWS(Q$2:Q20))),"")</f>
        <v/>
      </c>
      <c r="R20" s="52" t="str">
        <f t="array" ref="R20">IFERROR(INDEX(G:G,SMALL(IF($B$2:$B$149=$K$1,ROW($B$2:$B$149)),ROWS(R$2:R20))),"")</f>
        <v/>
      </c>
      <c r="S20" s="52" t="str">
        <f t="array" ref="S20">IFERROR(INDEX(H:H,SMALL(IF($B$2:$B$149=$K$1,ROW($B$2:$B$149)),ROWS(S$2:S20))),"")</f>
        <v/>
      </c>
      <c r="Y20" s="55" t="str">
        <f>IFERROR(""&amp;VLOOKUP($C20,'LISTE A SAISIR'!$E$4:$L$19,3,0),"")</f>
        <v/>
      </c>
      <c r="Z20" s="55" t="str">
        <f>IFERROR(""&amp;VLOOKUP($C20,'LISTE A SAISIR'!$E$4:$L$19,5,0),"")</f>
        <v/>
      </c>
      <c r="AA20" s="55" t="str">
        <f>IFERROR(""&amp;VLOOKUP($C20,'LISTE A SAISIR'!$E$4:$L$19,7,0),"")</f>
        <v/>
      </c>
      <c r="AB20" s="55" t="str">
        <f>IFERROR(""&amp;VLOOKUP($C20,'LISTE A SAISIR'!$E$4:$N$19,9,0),"")</f>
        <v/>
      </c>
      <c r="AD20" s="56" t="str">
        <f t="array" ref="AD20">IFERROR(INDEX($A20:$AB20,SMALL(IF(NOT(COUNTIF($AC20:AC20,$Y20:$AB20)),COLUMN($Y20:$AB20)),1)),"")</f>
        <v/>
      </c>
      <c r="AE20" s="56" t="str">
        <f t="array" ref="AE20">IFERROR(INDEX($A20:$AB20,SMALL(IF(NOT(COUNTIF($AC20:AD20,$Y20:$AB20)),COLUMN($Y20:$AB20)),1)),"")</f>
        <v/>
      </c>
      <c r="AF20" s="56" t="str">
        <f t="array" ref="AF20">IFERROR(INDEX($A20:$AB20,SMALL(IF(NOT(COUNTIF($AC20:AE20,$Y20:$AB20)),COLUMN($Y20:$AB20)),1)),"")</f>
        <v/>
      </c>
      <c r="AG20" s="56" t="str">
        <f t="array" ref="AG20">IFERROR(INDEX($A20:$AB20,SMALL(IF(NOT(COUNTIF($AC20:AF20,$Y20:$AB20)),COLUMN($Y20:$AB20)),1)),"")</f>
        <v/>
      </c>
    </row>
    <row r="21" spans="1:33">
      <c r="A21" s="52">
        <v>20</v>
      </c>
      <c r="B21" s="4"/>
      <c r="C21" s="43"/>
      <c r="D21" s="52" t="str">
        <f>IFERROR(VLOOKUP($C21,'LISTE A SAISIR'!$E$4:$N$19,2,0),"")</f>
        <v/>
      </c>
      <c r="E21" s="1"/>
      <c r="F21" s="53" t="str">
        <f>IFERROR(VLOOKUP($C21,'LISTE A SAISIR'!$E$4:$N$19,2+2*MATCH(E21,Y21:AB21,0),0),"")</f>
        <v/>
      </c>
      <c r="G21" s="1"/>
      <c r="H21" s="1"/>
      <c r="I21" s="58">
        <f t="shared" si="0"/>
        <v>0</v>
      </c>
      <c r="L21" s="52" t="str">
        <f t="array" ref="L21">IFERROR(INDEX(B:B,SMALL(IF($B$2:$B$149=$K$1,ROW($B$2:$B$149)),ROWS(L$2:L21))),"")</f>
        <v/>
      </c>
      <c r="M21" s="52" t="str">
        <f t="array" ref="M21">IFERROR(INDEX(#REF!,SMALL(IF($B$2:$B$149=$K$1,ROW($B$2:$B$149)),ROWS(M$2:M21))),"")</f>
        <v/>
      </c>
      <c r="N21" s="52" t="str">
        <f t="array" ref="N21">IFERROR(INDEX(C:C,SMALL(IF($B$2:$B$149=$K$1,ROW($B$2:$B$149)),ROWS(N$2:N21))),"")</f>
        <v/>
      </c>
      <c r="O21" s="52" t="str">
        <f t="array" ref="O21">IFERROR(INDEX(D:D,SMALL(IF($B$2:$B$149=$K$1,ROW($B$2:$B$149)),ROWS(O$2:O21))),"")</f>
        <v/>
      </c>
      <c r="P21" s="52" t="str">
        <f t="array" ref="P21">IFERROR(INDEX(E:E,SMALL(IF($B$2:$B$149=$K$1,ROW($B$2:$B$149)),ROWS(P$2:P21))),"")</f>
        <v/>
      </c>
      <c r="Q21" s="52" t="str">
        <f t="array" ref="Q21">IFERROR(INDEX(F:F,SMALL(IF($B$2:$B$149=$K$1,ROW($B$2:$B$149)),ROWS(Q$2:Q21))),"")</f>
        <v/>
      </c>
      <c r="R21" s="52" t="str">
        <f t="array" ref="R21">IFERROR(INDEX(G:G,SMALL(IF($B$2:$B$149=$K$1,ROW($B$2:$B$149)),ROWS(R$2:R21))),"")</f>
        <v/>
      </c>
      <c r="S21" s="52" t="str">
        <f t="array" ref="S21">IFERROR(INDEX(H:H,SMALL(IF($B$2:$B$149=$K$1,ROW($B$2:$B$149)),ROWS(S$2:S21))),"")</f>
        <v/>
      </c>
      <c r="Y21" s="55" t="str">
        <f>IFERROR(""&amp;VLOOKUP($C21,'LISTE A SAISIR'!$E$4:$L$19,3,0),"")</f>
        <v/>
      </c>
      <c r="Z21" s="55" t="str">
        <f>IFERROR(""&amp;VLOOKUP($C21,'LISTE A SAISIR'!$E$4:$L$19,5,0),"")</f>
        <v/>
      </c>
      <c r="AA21" s="55" t="str">
        <f>IFERROR(""&amp;VLOOKUP($C21,'LISTE A SAISIR'!$E$4:$L$19,7,0),"")</f>
        <v/>
      </c>
      <c r="AB21" s="55" t="str">
        <f>IFERROR(""&amp;VLOOKUP($C21,'LISTE A SAISIR'!$E$4:$N$19,9,0),"")</f>
        <v/>
      </c>
      <c r="AD21" s="56" t="str">
        <f t="array" ref="AD21">IFERROR(INDEX($A21:$AB21,SMALL(IF(NOT(COUNTIF($AC21:AC21,$Y21:$AB21)),COLUMN($Y21:$AB21)),1)),"")</f>
        <v/>
      </c>
      <c r="AE21" s="56" t="str">
        <f t="array" ref="AE21">IFERROR(INDEX($A21:$AB21,SMALL(IF(NOT(COUNTIF($AC21:AD21,$Y21:$AB21)),COLUMN($Y21:$AB21)),1)),"")</f>
        <v/>
      </c>
      <c r="AF21" s="56" t="str">
        <f t="array" ref="AF21">IFERROR(INDEX($A21:$AB21,SMALL(IF(NOT(COUNTIF($AC21:AE21,$Y21:$AB21)),COLUMN($Y21:$AB21)),1)),"")</f>
        <v/>
      </c>
      <c r="AG21" s="56" t="str">
        <f t="array" ref="AG21">IFERROR(INDEX($A21:$AB21,SMALL(IF(NOT(COUNTIF($AC21:AF21,$Y21:$AB21)),COLUMN($Y21:$AB21)),1)),"")</f>
        <v/>
      </c>
    </row>
    <row r="22" spans="1:33">
      <c r="A22" s="52">
        <v>21</v>
      </c>
      <c r="B22" s="4"/>
      <c r="C22" s="43"/>
      <c r="D22" s="53" t="str">
        <f>IFERROR(VLOOKUP($C22,'LISTE A SAISIR'!$E$4:$N$19,2,0),"")</f>
        <v/>
      </c>
      <c r="E22" s="1"/>
      <c r="F22" s="53" t="str">
        <f>IFERROR(VLOOKUP($C22,'LISTE A SAISIR'!$E$4:$N$19,2+2*MATCH(E22,Y22:AB22,0),0),"")</f>
        <v/>
      </c>
      <c r="G22" s="1"/>
      <c r="H22" s="7"/>
      <c r="I22" s="53">
        <f t="shared" si="0"/>
        <v>0</v>
      </c>
      <c r="L22" s="52" t="str">
        <f t="array" ref="L22">IFERROR(INDEX(B:B,SMALL(IF($B$2:$B$149=$K$1,ROW($B$2:$B$149)),ROWS(L$2:L22))),"")</f>
        <v/>
      </c>
      <c r="M22" s="52" t="str">
        <f t="array" ref="M22">IFERROR(INDEX(#REF!,SMALL(IF($B$2:$B$149=$K$1,ROW($B$2:$B$149)),ROWS(M$2:M22))),"")</f>
        <v/>
      </c>
      <c r="N22" s="52" t="str">
        <f t="array" ref="N22">IFERROR(INDEX(C:C,SMALL(IF($B$2:$B$149=$K$1,ROW($B$2:$B$149)),ROWS(N$2:N22))),"")</f>
        <v/>
      </c>
      <c r="O22" s="52" t="str">
        <f t="array" ref="O22">IFERROR(INDEX(D:D,SMALL(IF($B$2:$B$149=$K$1,ROW($B$2:$B$149)),ROWS(O$2:O22))),"")</f>
        <v/>
      </c>
      <c r="P22" s="52" t="str">
        <f t="array" ref="P22">IFERROR(INDEX(E:E,SMALL(IF($B$2:$B$149=$K$1,ROW($B$2:$B$149)),ROWS(P$2:P22))),"")</f>
        <v/>
      </c>
      <c r="Q22" s="52" t="str">
        <f t="array" ref="Q22">IFERROR(INDEX(F:F,SMALL(IF($B$2:$B$149=$K$1,ROW($B$2:$B$149)),ROWS(Q$2:Q22))),"")</f>
        <v/>
      </c>
      <c r="R22" s="52" t="str">
        <f t="array" ref="R22">IFERROR(INDEX(G:G,SMALL(IF($B$2:$B$149=$K$1,ROW($B$2:$B$149)),ROWS(R$2:R22))),"")</f>
        <v/>
      </c>
      <c r="S22" s="52" t="str">
        <f t="array" ref="S22">IFERROR(INDEX(H:H,SMALL(IF($B$2:$B$149=$K$1,ROW($B$2:$B$149)),ROWS(S$2:S22))),"")</f>
        <v/>
      </c>
      <c r="Y22" s="55" t="str">
        <f>IFERROR(""&amp;VLOOKUP($C22,'LISTE A SAISIR'!$E$4:$L$19,3,0),"")</f>
        <v/>
      </c>
      <c r="Z22" s="55" t="str">
        <f>IFERROR(""&amp;VLOOKUP($C22,'LISTE A SAISIR'!$E$4:$L$19,5,0),"")</f>
        <v/>
      </c>
      <c r="AA22" s="55" t="str">
        <f>IFERROR(""&amp;VLOOKUP($C22,'LISTE A SAISIR'!$E$4:$L$19,7,0),"")</f>
        <v/>
      </c>
      <c r="AB22" s="55" t="str">
        <f>IFERROR(""&amp;VLOOKUP($C22,'LISTE A SAISIR'!$E$4:$N$19,9,0),"")</f>
        <v/>
      </c>
      <c r="AD22" s="56" t="str">
        <f t="array" ref="AD22">IFERROR(INDEX($A22:$AB22,SMALL(IF(NOT(COUNTIF($AC22:AC22,$Y22:$AB22)),COLUMN($Y22:$AB22)),1)),"")</f>
        <v/>
      </c>
      <c r="AE22" s="56" t="str">
        <f t="array" ref="AE22">IFERROR(INDEX($A22:$AB22,SMALL(IF(NOT(COUNTIF($AC22:AD22,$Y22:$AB22)),COLUMN($Y22:$AB22)),1)),"")</f>
        <v/>
      </c>
      <c r="AF22" s="56" t="str">
        <f t="array" ref="AF22">IFERROR(INDEX($A22:$AB22,SMALL(IF(NOT(COUNTIF($AC22:AE22,$Y22:$AB22)),COLUMN($Y22:$AB22)),1)),"")</f>
        <v/>
      </c>
      <c r="AG22" s="56" t="str">
        <f t="array" ref="AG22">IFERROR(INDEX($A22:$AB22,SMALL(IF(NOT(COUNTIF($AC22:AF22,$Y22:$AB22)),COLUMN($Y22:$AB22)),1)),"")</f>
        <v/>
      </c>
    </row>
    <row r="23" spans="1:33">
      <c r="A23" s="52">
        <v>22</v>
      </c>
      <c r="B23" s="4"/>
      <c r="C23" s="43"/>
      <c r="D23" s="52" t="str">
        <f>IFERROR(VLOOKUP($C23,'LISTE A SAISIR'!$E$4:$N$19,2,0),"")</f>
        <v/>
      </c>
      <c r="E23" s="1"/>
      <c r="F23" s="53" t="str">
        <f>IFERROR(VLOOKUP($C23,'LISTE A SAISIR'!$E$4:$N$19,2+2*MATCH(E23,Y23:AB23,0),0),"")</f>
        <v/>
      </c>
      <c r="G23" s="1"/>
      <c r="H23" s="1"/>
      <c r="I23" s="58">
        <f t="shared" si="0"/>
        <v>0</v>
      </c>
      <c r="L23" s="52" t="str">
        <f t="array" ref="L23">IFERROR(INDEX(B:B,SMALL(IF($B$2:$B$149=$K$1,ROW($B$2:$B$149)),ROWS(L$2:L23))),"")</f>
        <v/>
      </c>
      <c r="M23" s="52" t="str">
        <f t="array" ref="M23">IFERROR(INDEX(#REF!,SMALL(IF($B$2:$B$149=$K$1,ROW($B$2:$B$149)),ROWS(M$2:M23))),"")</f>
        <v/>
      </c>
      <c r="N23" s="52" t="str">
        <f t="array" ref="N23">IFERROR(INDEX(C:C,SMALL(IF($B$2:$B$149=$K$1,ROW($B$2:$B$149)),ROWS(N$2:N23))),"")</f>
        <v/>
      </c>
      <c r="O23" s="52" t="str">
        <f t="array" ref="O23">IFERROR(INDEX(D:D,SMALL(IF($B$2:$B$149=$K$1,ROW($B$2:$B$149)),ROWS(O$2:O23))),"")</f>
        <v/>
      </c>
      <c r="P23" s="52" t="str">
        <f t="array" ref="P23">IFERROR(INDEX(E:E,SMALL(IF($B$2:$B$149=$K$1,ROW($B$2:$B$149)),ROWS(P$2:P23))),"")</f>
        <v/>
      </c>
      <c r="Q23" s="52" t="str">
        <f t="array" ref="Q23">IFERROR(INDEX(F:F,SMALL(IF($B$2:$B$149=$K$1,ROW($B$2:$B$149)),ROWS(Q$2:Q23))),"")</f>
        <v/>
      </c>
      <c r="R23" s="52" t="str">
        <f t="array" ref="R23">IFERROR(INDEX(G:G,SMALL(IF($B$2:$B$149=$K$1,ROW($B$2:$B$149)),ROWS(R$2:R23))),"")</f>
        <v/>
      </c>
      <c r="S23" s="52" t="str">
        <f t="array" ref="S23">IFERROR(INDEX(H:H,SMALL(IF($B$2:$B$149=$K$1,ROW($B$2:$B$149)),ROWS(S$2:S23))),"")</f>
        <v/>
      </c>
      <c r="Y23" s="55" t="str">
        <f>IFERROR(""&amp;VLOOKUP($C23,'LISTE A SAISIR'!$E$4:$L$19,3,0),"")</f>
        <v/>
      </c>
      <c r="Z23" s="55" t="str">
        <f>IFERROR(""&amp;VLOOKUP($C23,'LISTE A SAISIR'!$E$4:$L$19,5,0),"")</f>
        <v/>
      </c>
      <c r="AA23" s="55" t="str">
        <f>IFERROR(""&amp;VLOOKUP($C23,'LISTE A SAISIR'!$E$4:$L$19,7,0),"")</f>
        <v/>
      </c>
      <c r="AB23" s="55" t="str">
        <f>IFERROR(""&amp;VLOOKUP($C23,'LISTE A SAISIR'!$E$4:$N$19,9,0),"")</f>
        <v/>
      </c>
      <c r="AD23" s="56" t="str">
        <f t="array" ref="AD23">IFERROR(INDEX($A23:$AB23,SMALL(IF(NOT(COUNTIF($AC23:AC23,$Y23:$AB23)),COLUMN($Y23:$AB23)),1)),"")</f>
        <v/>
      </c>
      <c r="AE23" s="56" t="str">
        <f t="array" ref="AE23">IFERROR(INDEX($A23:$AB23,SMALL(IF(NOT(COUNTIF($AC23:AD23,$Y23:$AB23)),COLUMN($Y23:$AB23)),1)),"")</f>
        <v/>
      </c>
      <c r="AF23" s="56" t="str">
        <f t="array" ref="AF23">IFERROR(INDEX($A23:$AB23,SMALL(IF(NOT(COUNTIF($AC23:AE23,$Y23:$AB23)),COLUMN($Y23:$AB23)),1)),"")</f>
        <v/>
      </c>
      <c r="AG23" s="56" t="str">
        <f t="array" ref="AG23">IFERROR(INDEX($A23:$AB23,SMALL(IF(NOT(COUNTIF($AC23:AF23,$Y23:$AB23)),COLUMN($Y23:$AB23)),1)),"")</f>
        <v/>
      </c>
    </row>
    <row r="24" spans="1:33">
      <c r="A24" s="52">
        <v>23</v>
      </c>
      <c r="B24" s="4"/>
      <c r="C24" s="43"/>
      <c r="D24" s="53" t="str">
        <f>IFERROR(VLOOKUP($C24,'LISTE A SAISIR'!$E$4:$N$19,2,0),"")</f>
        <v/>
      </c>
      <c r="E24" s="1"/>
      <c r="F24" s="53" t="str">
        <f>IFERROR(VLOOKUP($C24,'LISTE A SAISIR'!$E$4:$N$19,2+2*MATCH(E24,Y24:AB24,0),0),"")</f>
        <v/>
      </c>
      <c r="G24" s="1"/>
      <c r="H24" s="7"/>
      <c r="I24" s="53">
        <f t="shared" si="0"/>
        <v>0</v>
      </c>
      <c r="L24" s="52" t="str">
        <f t="array" ref="L24">IFERROR(INDEX(B:B,SMALL(IF($B$2:$B$149=$K$1,ROW($B$2:$B$149)),ROWS(L$2:L24))),"")</f>
        <v/>
      </c>
      <c r="M24" s="52" t="str">
        <f t="array" ref="M24">IFERROR(INDEX(#REF!,SMALL(IF($B$2:$B$149=$K$1,ROW($B$2:$B$149)),ROWS(M$2:M24))),"")</f>
        <v/>
      </c>
      <c r="N24" s="52" t="str">
        <f t="array" ref="N24">IFERROR(INDEX(C:C,SMALL(IF($B$2:$B$149=$K$1,ROW($B$2:$B$149)),ROWS(N$2:N24))),"")</f>
        <v/>
      </c>
      <c r="O24" s="52" t="str">
        <f t="array" ref="O24">IFERROR(INDEX(D:D,SMALL(IF($B$2:$B$149=$K$1,ROW($B$2:$B$149)),ROWS(O$2:O24))),"")</f>
        <v/>
      </c>
      <c r="P24" s="52" t="str">
        <f t="array" ref="P24">IFERROR(INDEX(E:E,SMALL(IF($B$2:$B$149=$K$1,ROW($B$2:$B$149)),ROWS(P$2:P24))),"")</f>
        <v/>
      </c>
      <c r="Q24" s="52" t="str">
        <f t="array" ref="Q24">IFERROR(INDEX(F:F,SMALL(IF($B$2:$B$149=$K$1,ROW($B$2:$B$149)),ROWS(Q$2:Q24))),"")</f>
        <v/>
      </c>
      <c r="R24" s="52" t="str">
        <f t="array" ref="R24">IFERROR(INDEX(G:G,SMALL(IF($B$2:$B$149=$K$1,ROW($B$2:$B$149)),ROWS(R$2:R24))),"")</f>
        <v/>
      </c>
      <c r="S24" s="52" t="str">
        <f t="array" ref="S24">IFERROR(INDEX(H:H,SMALL(IF($B$2:$B$149=$K$1,ROW($B$2:$B$149)),ROWS(S$2:S24))),"")</f>
        <v/>
      </c>
      <c r="Y24" s="55" t="str">
        <f>IFERROR(""&amp;VLOOKUP($C24,'LISTE A SAISIR'!$E$4:$L$19,3,0),"")</f>
        <v/>
      </c>
      <c r="Z24" s="55" t="str">
        <f>IFERROR(""&amp;VLOOKUP($C24,'LISTE A SAISIR'!$E$4:$L$19,5,0),"")</f>
        <v/>
      </c>
      <c r="AA24" s="55" t="str">
        <f>IFERROR(""&amp;VLOOKUP($C24,'LISTE A SAISIR'!$E$4:$L$19,7,0),"")</f>
        <v/>
      </c>
      <c r="AB24" s="55" t="str">
        <f>IFERROR(""&amp;VLOOKUP($C24,'LISTE A SAISIR'!$E$4:$N$19,9,0),"")</f>
        <v/>
      </c>
      <c r="AD24" s="56" t="str">
        <f t="array" ref="AD24">IFERROR(INDEX($A24:$AB24,SMALL(IF(NOT(COUNTIF($AC24:AC24,$Y24:$AB24)),COLUMN($Y24:$AB24)),1)),"")</f>
        <v/>
      </c>
      <c r="AE24" s="56" t="str">
        <f t="array" ref="AE24">IFERROR(INDEX($A24:$AB24,SMALL(IF(NOT(COUNTIF($AC24:AD24,$Y24:$AB24)),COLUMN($Y24:$AB24)),1)),"")</f>
        <v/>
      </c>
      <c r="AF24" s="56" t="str">
        <f t="array" ref="AF24">IFERROR(INDEX($A24:$AB24,SMALL(IF(NOT(COUNTIF($AC24:AE24,$Y24:$AB24)),COLUMN($Y24:$AB24)),1)),"")</f>
        <v/>
      </c>
      <c r="AG24" s="56" t="str">
        <f t="array" ref="AG24">IFERROR(INDEX($A24:$AB24,SMALL(IF(NOT(COUNTIF($AC24:AF24,$Y24:$AB24)),COLUMN($Y24:$AB24)),1)),"")</f>
        <v/>
      </c>
    </row>
    <row r="25" spans="1:33">
      <c r="A25" s="52">
        <v>24</v>
      </c>
      <c r="B25" s="4"/>
      <c r="C25" s="43"/>
      <c r="D25" s="52" t="str">
        <f>IFERROR(VLOOKUP($C25,'LISTE A SAISIR'!$E$4:$N$19,2,0),"")</f>
        <v/>
      </c>
      <c r="E25" s="1"/>
      <c r="F25" s="53" t="str">
        <f>IFERROR(VLOOKUP($C25,'LISTE A SAISIR'!$E$4:$N$19,2+2*MATCH(E25,Y25:AB25,0),0),"")</f>
        <v/>
      </c>
      <c r="G25" s="1"/>
      <c r="H25" s="1"/>
      <c r="I25" s="58">
        <f t="shared" si="0"/>
        <v>0</v>
      </c>
      <c r="L25" s="52" t="str">
        <f t="array" ref="L25">IFERROR(INDEX(B:B,SMALL(IF($B$2:$B$149=$K$1,ROW($B$2:$B$149)),ROWS(L$2:L25))),"")</f>
        <v/>
      </c>
      <c r="M25" s="52" t="str">
        <f t="array" ref="M25">IFERROR(INDEX(#REF!,SMALL(IF($B$2:$B$149=$K$1,ROW($B$2:$B$149)),ROWS(M$2:M25))),"")</f>
        <v/>
      </c>
      <c r="N25" s="52" t="str">
        <f t="array" ref="N25">IFERROR(INDEX(C:C,SMALL(IF($B$2:$B$149=$K$1,ROW($B$2:$B$149)),ROWS(N$2:N25))),"")</f>
        <v/>
      </c>
      <c r="O25" s="52" t="str">
        <f t="array" ref="O25">IFERROR(INDEX(D:D,SMALL(IF($B$2:$B$149=$K$1,ROW($B$2:$B$149)),ROWS(O$2:O25))),"")</f>
        <v/>
      </c>
      <c r="P25" s="52" t="str">
        <f t="array" ref="P25">IFERROR(INDEX(E:E,SMALL(IF($B$2:$B$149=$K$1,ROW($B$2:$B$149)),ROWS(P$2:P25))),"")</f>
        <v/>
      </c>
      <c r="Q25" s="52" t="str">
        <f t="array" ref="Q25">IFERROR(INDEX(F:F,SMALL(IF($B$2:$B$149=$K$1,ROW($B$2:$B$149)),ROWS(Q$2:Q25))),"")</f>
        <v/>
      </c>
      <c r="R25" s="52" t="str">
        <f t="array" ref="R25">IFERROR(INDEX(G:G,SMALL(IF($B$2:$B$149=$K$1,ROW($B$2:$B$149)),ROWS(R$2:R25))),"")</f>
        <v/>
      </c>
      <c r="S25" s="52" t="str">
        <f t="array" ref="S25">IFERROR(INDEX(H:H,SMALL(IF($B$2:$B$149=$K$1,ROW($B$2:$B$149)),ROWS(S$2:S25))),"")</f>
        <v/>
      </c>
      <c r="Y25" s="55" t="str">
        <f>IFERROR(""&amp;VLOOKUP($C25,'LISTE A SAISIR'!$E$4:$L$19,3,0),"")</f>
        <v/>
      </c>
      <c r="Z25" s="55" t="str">
        <f>IFERROR(""&amp;VLOOKUP($C25,'LISTE A SAISIR'!$E$4:$L$19,5,0),"")</f>
        <v/>
      </c>
      <c r="AA25" s="55" t="str">
        <f>IFERROR(""&amp;VLOOKUP($C25,'LISTE A SAISIR'!$E$4:$L$19,7,0),"")</f>
        <v/>
      </c>
      <c r="AB25" s="55" t="str">
        <f>IFERROR(""&amp;VLOOKUP($C25,'LISTE A SAISIR'!$E$4:$N$19,9,0),"")</f>
        <v/>
      </c>
      <c r="AD25" s="56" t="str">
        <f t="array" ref="AD25">IFERROR(INDEX($A25:$AB25,SMALL(IF(NOT(COUNTIF($AC25:AC25,$Y25:$AB25)),COLUMN($Y25:$AB25)),1)),"")</f>
        <v/>
      </c>
      <c r="AE25" s="56" t="str">
        <f t="array" ref="AE25">IFERROR(INDEX($A25:$AB25,SMALL(IF(NOT(COUNTIF($AC25:AD25,$Y25:$AB25)),COLUMN($Y25:$AB25)),1)),"")</f>
        <v/>
      </c>
      <c r="AF25" s="56" t="str">
        <f t="array" ref="AF25">IFERROR(INDEX($A25:$AB25,SMALL(IF(NOT(COUNTIF($AC25:AE25,$Y25:$AB25)),COLUMN($Y25:$AB25)),1)),"")</f>
        <v/>
      </c>
      <c r="AG25" s="56" t="str">
        <f t="array" ref="AG25">IFERROR(INDEX($A25:$AB25,SMALL(IF(NOT(COUNTIF($AC25:AF25,$Y25:$AB25)),COLUMN($Y25:$AB25)),1)),"")</f>
        <v/>
      </c>
    </row>
    <row r="26" spans="1:33">
      <c r="A26" s="52">
        <v>25</v>
      </c>
      <c r="B26" s="4"/>
      <c r="C26" s="43"/>
      <c r="D26" s="53" t="str">
        <f>IFERROR(VLOOKUP($C26,'LISTE A SAISIR'!$E$4:$N$19,2,0),"")</f>
        <v/>
      </c>
      <c r="E26" s="1"/>
      <c r="F26" s="53" t="str">
        <f>IFERROR(VLOOKUP($C26,'LISTE A SAISIR'!$E$4:$N$19,2+2*MATCH(E26,Y26:AB26,0),0),"")</f>
        <v/>
      </c>
      <c r="G26" s="1"/>
      <c r="H26" s="7"/>
      <c r="I26" s="53">
        <f t="shared" si="0"/>
        <v>0</v>
      </c>
      <c r="L26" s="52" t="str">
        <f t="array" ref="L26">IFERROR(INDEX(B:B,SMALL(IF($B$2:$B$149=$K$1,ROW($B$2:$B$149)),ROWS(L$2:L26))),"")</f>
        <v/>
      </c>
      <c r="M26" s="52" t="str">
        <f t="array" ref="M26">IFERROR(INDEX(#REF!,SMALL(IF($B$2:$B$149=$K$1,ROW($B$2:$B$149)),ROWS(M$2:M26))),"")</f>
        <v/>
      </c>
      <c r="N26" s="52" t="str">
        <f t="array" ref="N26">IFERROR(INDEX(C:C,SMALL(IF($B$2:$B$149=$K$1,ROW($B$2:$B$149)),ROWS(N$2:N26))),"")</f>
        <v/>
      </c>
      <c r="O26" s="52" t="str">
        <f t="array" ref="O26">IFERROR(INDEX(D:D,SMALL(IF($B$2:$B$149=$K$1,ROW($B$2:$B$149)),ROWS(O$2:O26))),"")</f>
        <v/>
      </c>
      <c r="P26" s="52" t="str">
        <f t="array" ref="P26">IFERROR(INDEX(E:E,SMALL(IF($B$2:$B$149=$K$1,ROW($B$2:$B$149)),ROWS(P$2:P26))),"")</f>
        <v/>
      </c>
      <c r="Q26" s="52" t="str">
        <f t="array" ref="Q26">IFERROR(INDEX(F:F,SMALL(IF($B$2:$B$149=$K$1,ROW($B$2:$B$149)),ROWS(Q$2:Q26))),"")</f>
        <v/>
      </c>
      <c r="R26" s="52" t="str">
        <f t="array" ref="R26">IFERROR(INDEX(G:G,SMALL(IF($B$2:$B$149=$K$1,ROW($B$2:$B$149)),ROWS(R$2:R26))),"")</f>
        <v/>
      </c>
      <c r="S26" s="52" t="str">
        <f t="array" ref="S26">IFERROR(INDEX(H:H,SMALL(IF($B$2:$B$149=$K$1,ROW($B$2:$B$149)),ROWS(S$2:S26))),"")</f>
        <v/>
      </c>
      <c r="Y26" s="55" t="str">
        <f>IFERROR(""&amp;VLOOKUP($C26,'LISTE A SAISIR'!$E$4:$L$19,3,0),"")</f>
        <v/>
      </c>
      <c r="Z26" s="55" t="str">
        <f>IFERROR(""&amp;VLOOKUP($C26,'LISTE A SAISIR'!$E$4:$L$19,5,0),"")</f>
        <v/>
      </c>
      <c r="AA26" s="55" t="str">
        <f>IFERROR(""&amp;VLOOKUP($C26,'LISTE A SAISIR'!$E$4:$L$19,7,0),"")</f>
        <v/>
      </c>
      <c r="AB26" s="55" t="str">
        <f>IFERROR(""&amp;VLOOKUP($C26,'LISTE A SAISIR'!$E$4:$N$19,9,0),"")</f>
        <v/>
      </c>
      <c r="AD26" s="56" t="str">
        <f t="array" ref="AD26">IFERROR(INDEX($A26:$AB26,SMALL(IF(NOT(COUNTIF($AC26:AC26,$Y26:$AB26)),COLUMN($Y26:$AB26)),1)),"")</f>
        <v/>
      </c>
      <c r="AE26" s="56" t="str">
        <f t="array" ref="AE26">IFERROR(INDEX($A26:$AB26,SMALL(IF(NOT(COUNTIF($AC26:AD26,$Y26:$AB26)),COLUMN($Y26:$AB26)),1)),"")</f>
        <v/>
      </c>
      <c r="AF26" s="56" t="str">
        <f t="array" ref="AF26">IFERROR(INDEX($A26:$AB26,SMALL(IF(NOT(COUNTIF($AC26:AE26,$Y26:$AB26)),COLUMN($Y26:$AB26)),1)),"")</f>
        <v/>
      </c>
      <c r="AG26" s="56" t="str">
        <f t="array" ref="AG26">IFERROR(INDEX($A26:$AB26,SMALL(IF(NOT(COUNTIF($AC26:AF26,$Y26:$AB26)),COLUMN($Y26:$AB26)),1)),"")</f>
        <v/>
      </c>
    </row>
    <row r="27" spans="1:33">
      <c r="A27" s="52">
        <v>26</v>
      </c>
      <c r="B27" s="4"/>
      <c r="C27" s="43"/>
      <c r="D27" s="52" t="str">
        <f>IFERROR(VLOOKUP($C27,'LISTE A SAISIR'!$E$4:$N$19,2,0),"")</f>
        <v/>
      </c>
      <c r="E27" s="1"/>
      <c r="F27" s="53" t="str">
        <f>IFERROR(VLOOKUP($C27,'LISTE A SAISIR'!$E$4:$N$19,2+2*MATCH(E27,Y27:AB27,0),0),"")</f>
        <v/>
      </c>
      <c r="G27" s="1"/>
      <c r="H27" s="1"/>
      <c r="I27" s="58">
        <f t="shared" si="0"/>
        <v>0</v>
      </c>
      <c r="L27" s="52" t="str">
        <f t="array" ref="L27">IFERROR(INDEX(B:B,SMALL(IF($B$2:$B$149=$K$1,ROW($B$2:$B$149)),ROWS(L$2:L27))),"")</f>
        <v/>
      </c>
      <c r="M27" s="52" t="str">
        <f t="array" ref="M27">IFERROR(INDEX(#REF!,SMALL(IF($B$2:$B$149=$K$1,ROW($B$2:$B$149)),ROWS(M$2:M27))),"")</f>
        <v/>
      </c>
      <c r="N27" s="52" t="str">
        <f t="array" ref="N27">IFERROR(INDEX(C:C,SMALL(IF($B$2:$B$149=$K$1,ROW($B$2:$B$149)),ROWS(N$2:N27))),"")</f>
        <v/>
      </c>
      <c r="O27" s="52" t="str">
        <f t="array" ref="O27">IFERROR(INDEX(D:D,SMALL(IF($B$2:$B$149=$K$1,ROW($B$2:$B$149)),ROWS(O$2:O27))),"")</f>
        <v/>
      </c>
      <c r="P27" s="52" t="str">
        <f t="array" ref="P27">IFERROR(INDEX(E:E,SMALL(IF($B$2:$B$149=$K$1,ROW($B$2:$B$149)),ROWS(P$2:P27))),"")</f>
        <v/>
      </c>
      <c r="Q27" s="52" t="str">
        <f t="array" ref="Q27">IFERROR(INDEX(F:F,SMALL(IF($B$2:$B$149=$K$1,ROW($B$2:$B$149)),ROWS(Q$2:Q27))),"")</f>
        <v/>
      </c>
      <c r="R27" s="52" t="str">
        <f t="array" ref="R27">IFERROR(INDEX(G:G,SMALL(IF($B$2:$B$149=$K$1,ROW($B$2:$B$149)),ROWS(R$2:R27))),"")</f>
        <v/>
      </c>
      <c r="S27" s="52" t="str">
        <f t="array" ref="S27">IFERROR(INDEX(H:H,SMALL(IF($B$2:$B$149=$K$1,ROW($B$2:$B$149)),ROWS(S$2:S27))),"")</f>
        <v/>
      </c>
      <c r="Y27" s="55" t="str">
        <f>IFERROR(""&amp;VLOOKUP($C27,'LISTE A SAISIR'!$E$4:$L$19,3,0),"")</f>
        <v/>
      </c>
      <c r="Z27" s="55" t="str">
        <f>IFERROR(""&amp;VLOOKUP($C27,'LISTE A SAISIR'!$E$4:$L$19,5,0),"")</f>
        <v/>
      </c>
      <c r="AA27" s="55" t="str">
        <f>IFERROR(""&amp;VLOOKUP($C27,'LISTE A SAISIR'!$E$4:$L$19,7,0),"")</f>
        <v/>
      </c>
      <c r="AB27" s="55" t="str">
        <f>IFERROR(""&amp;VLOOKUP($C27,'LISTE A SAISIR'!$E$4:$N$19,9,0),"")</f>
        <v/>
      </c>
      <c r="AD27" s="56" t="str">
        <f t="array" ref="AD27">IFERROR(INDEX($A27:$AB27,SMALL(IF(NOT(COUNTIF($AC27:AC27,$Y27:$AB27)),COLUMN($Y27:$AB27)),1)),"")</f>
        <v/>
      </c>
      <c r="AE27" s="56" t="str">
        <f t="array" ref="AE27">IFERROR(INDEX($A27:$AB27,SMALL(IF(NOT(COUNTIF($AC27:AD27,$Y27:$AB27)),COLUMN($Y27:$AB27)),1)),"")</f>
        <v/>
      </c>
      <c r="AF27" s="56" t="str">
        <f t="array" ref="AF27">IFERROR(INDEX($A27:$AB27,SMALL(IF(NOT(COUNTIF($AC27:AE27,$Y27:$AB27)),COLUMN($Y27:$AB27)),1)),"")</f>
        <v/>
      </c>
      <c r="AG27" s="56" t="str">
        <f t="array" ref="AG27">IFERROR(INDEX($A27:$AB27,SMALL(IF(NOT(COUNTIF($AC27:AF27,$Y27:$AB27)),COLUMN($Y27:$AB27)),1)),"")</f>
        <v/>
      </c>
    </row>
    <row r="28" spans="1:33">
      <c r="A28" s="52">
        <v>27</v>
      </c>
      <c r="B28" s="4"/>
      <c r="C28" s="43"/>
      <c r="D28" s="53" t="str">
        <f>IFERROR(VLOOKUP($C28,'LISTE A SAISIR'!$E$4:$N$19,2,0),"")</f>
        <v/>
      </c>
      <c r="E28" s="1"/>
      <c r="F28" s="53" t="str">
        <f>IFERROR(VLOOKUP($C28,'LISTE A SAISIR'!$E$4:$N$19,2+2*MATCH(E28,Y28:AB28,0),0),"")</f>
        <v/>
      </c>
      <c r="G28" s="1"/>
      <c r="H28" s="7"/>
      <c r="I28" s="53">
        <f t="shared" si="0"/>
        <v>0</v>
      </c>
      <c r="L28" s="52" t="str">
        <f t="array" ref="L28">IFERROR(INDEX(B:B,SMALL(IF($B$2:$B$149=$K$1,ROW($B$2:$B$149)),ROWS(L$2:L28))),"")</f>
        <v/>
      </c>
      <c r="M28" s="52" t="str">
        <f t="array" ref="M28">IFERROR(INDEX(#REF!,SMALL(IF($B$2:$B$149=$K$1,ROW($B$2:$B$149)),ROWS(M$2:M28))),"")</f>
        <v/>
      </c>
      <c r="N28" s="52" t="str">
        <f t="array" ref="N28">IFERROR(INDEX(C:C,SMALL(IF($B$2:$B$149=$K$1,ROW($B$2:$B$149)),ROWS(N$2:N28))),"")</f>
        <v/>
      </c>
      <c r="O28" s="52" t="str">
        <f t="array" ref="O28">IFERROR(INDEX(D:D,SMALL(IF($B$2:$B$149=$K$1,ROW($B$2:$B$149)),ROWS(O$2:O28))),"")</f>
        <v/>
      </c>
      <c r="P28" s="52" t="str">
        <f t="array" ref="P28">IFERROR(INDEX(E:E,SMALL(IF($B$2:$B$149=$K$1,ROW($B$2:$B$149)),ROWS(P$2:P28))),"")</f>
        <v/>
      </c>
      <c r="Q28" s="52" t="str">
        <f t="array" ref="Q28">IFERROR(INDEX(F:F,SMALL(IF($B$2:$B$149=$K$1,ROW($B$2:$B$149)),ROWS(Q$2:Q28))),"")</f>
        <v/>
      </c>
      <c r="R28" s="52" t="str">
        <f t="array" ref="R28">IFERROR(INDEX(G:G,SMALL(IF($B$2:$B$149=$K$1,ROW($B$2:$B$149)),ROWS(R$2:R28))),"")</f>
        <v/>
      </c>
      <c r="S28" s="52" t="str">
        <f t="array" ref="S28">IFERROR(INDEX(H:H,SMALL(IF($B$2:$B$149=$K$1,ROW($B$2:$B$149)),ROWS(S$2:S28))),"")</f>
        <v/>
      </c>
      <c r="Y28" s="55" t="str">
        <f>IFERROR(""&amp;VLOOKUP($C28,'LISTE A SAISIR'!$E$4:$L$19,3,0),"")</f>
        <v/>
      </c>
      <c r="Z28" s="55" t="str">
        <f>IFERROR(""&amp;VLOOKUP($C28,'LISTE A SAISIR'!$E$4:$L$19,5,0),"")</f>
        <v/>
      </c>
      <c r="AA28" s="55" t="str">
        <f>IFERROR(""&amp;VLOOKUP($C28,'LISTE A SAISIR'!$E$4:$L$19,7,0),"")</f>
        <v/>
      </c>
      <c r="AB28" s="55" t="str">
        <f>IFERROR(""&amp;VLOOKUP($C28,'LISTE A SAISIR'!$E$4:$N$19,9,0),"")</f>
        <v/>
      </c>
      <c r="AD28" s="56" t="str">
        <f t="array" ref="AD28">IFERROR(INDEX($A28:$AB28,SMALL(IF(NOT(COUNTIF($AC28:AC28,$Y28:$AB28)),COLUMN($Y28:$AB28)),1)),"")</f>
        <v/>
      </c>
      <c r="AE28" s="56" t="str">
        <f t="array" ref="AE28">IFERROR(INDEX($A28:$AB28,SMALL(IF(NOT(COUNTIF($AC28:AD28,$Y28:$AB28)),COLUMN($Y28:$AB28)),1)),"")</f>
        <v/>
      </c>
      <c r="AF28" s="56" t="str">
        <f t="array" ref="AF28">IFERROR(INDEX($A28:$AB28,SMALL(IF(NOT(COUNTIF($AC28:AE28,$Y28:$AB28)),COLUMN($Y28:$AB28)),1)),"")</f>
        <v/>
      </c>
      <c r="AG28" s="56" t="str">
        <f t="array" ref="AG28">IFERROR(INDEX($A28:$AB28,SMALL(IF(NOT(COUNTIF($AC28:AF28,$Y28:$AB28)),COLUMN($Y28:$AB28)),1)),"")</f>
        <v/>
      </c>
    </row>
    <row r="29" spans="1:33">
      <c r="A29" s="52">
        <v>28</v>
      </c>
      <c r="B29" s="4"/>
      <c r="C29" s="43"/>
      <c r="D29" s="52" t="str">
        <f>IFERROR(VLOOKUP($C29,'LISTE A SAISIR'!$E$4:$N$19,2,0),"")</f>
        <v/>
      </c>
      <c r="E29" s="1"/>
      <c r="F29" s="53" t="str">
        <f>IFERROR(VLOOKUP($C29,'LISTE A SAISIR'!$E$4:$N$19,2+2*MATCH(E29,Y29:AB29,0),0),"")</f>
        <v/>
      </c>
      <c r="G29" s="1"/>
      <c r="H29" s="1"/>
      <c r="I29" s="58">
        <f t="shared" si="0"/>
        <v>0</v>
      </c>
      <c r="L29" s="52" t="str">
        <f t="array" ref="L29">IFERROR(INDEX(B:B,SMALL(IF($B$2:$B$149=$K$1,ROW($B$2:$B$149)),ROWS(L$2:L29))),"")</f>
        <v/>
      </c>
      <c r="M29" s="52" t="str">
        <f t="array" ref="M29">IFERROR(INDEX(#REF!,SMALL(IF($B$2:$B$149=$K$1,ROW($B$2:$B$149)),ROWS(M$2:M29))),"")</f>
        <v/>
      </c>
      <c r="N29" s="52" t="str">
        <f t="array" ref="N29">IFERROR(INDEX(C:C,SMALL(IF($B$2:$B$149=$K$1,ROW($B$2:$B$149)),ROWS(N$2:N29))),"")</f>
        <v/>
      </c>
      <c r="O29" s="52" t="str">
        <f t="array" ref="O29">IFERROR(INDEX(D:D,SMALL(IF($B$2:$B$149=$K$1,ROW($B$2:$B$149)),ROWS(O$2:O29))),"")</f>
        <v/>
      </c>
      <c r="P29" s="52" t="str">
        <f t="array" ref="P29">IFERROR(INDEX(E:E,SMALL(IF($B$2:$B$149=$K$1,ROW($B$2:$B$149)),ROWS(P$2:P29))),"")</f>
        <v/>
      </c>
      <c r="Q29" s="52" t="str">
        <f t="array" ref="Q29">IFERROR(INDEX(F:F,SMALL(IF($B$2:$B$149=$K$1,ROW($B$2:$B$149)),ROWS(Q$2:Q29))),"")</f>
        <v/>
      </c>
      <c r="R29" s="52" t="str">
        <f t="array" ref="R29">IFERROR(INDEX(G:G,SMALL(IF($B$2:$B$149=$K$1,ROW($B$2:$B$149)),ROWS(R$2:R29))),"")</f>
        <v/>
      </c>
      <c r="S29" s="52" t="str">
        <f t="array" ref="S29">IFERROR(INDEX(H:H,SMALL(IF($B$2:$B$149=$K$1,ROW($B$2:$B$149)),ROWS(S$2:S29))),"")</f>
        <v/>
      </c>
      <c r="Y29" s="55" t="str">
        <f>IFERROR(""&amp;VLOOKUP($C29,'LISTE A SAISIR'!$E$4:$L$19,3,0),"")</f>
        <v/>
      </c>
      <c r="Z29" s="55" t="str">
        <f>IFERROR(""&amp;VLOOKUP($C29,'LISTE A SAISIR'!$E$4:$L$19,5,0),"")</f>
        <v/>
      </c>
      <c r="AA29" s="55" t="str">
        <f>IFERROR(""&amp;VLOOKUP($C29,'LISTE A SAISIR'!$E$4:$L$19,7,0),"")</f>
        <v/>
      </c>
      <c r="AB29" s="55" t="str">
        <f>IFERROR(""&amp;VLOOKUP($C29,'LISTE A SAISIR'!$E$4:$N$19,9,0),"")</f>
        <v/>
      </c>
      <c r="AD29" s="56" t="str">
        <f t="array" ref="AD29">IFERROR(INDEX($A29:$AB29,SMALL(IF(NOT(COUNTIF($AC29:AC29,$Y29:$AB29)),COLUMN($Y29:$AB29)),1)),"")</f>
        <v/>
      </c>
      <c r="AE29" s="56" t="str">
        <f t="array" ref="AE29">IFERROR(INDEX($A29:$AB29,SMALL(IF(NOT(COUNTIF($AC29:AD29,$Y29:$AB29)),COLUMN($Y29:$AB29)),1)),"")</f>
        <v/>
      </c>
      <c r="AF29" s="56" t="str">
        <f t="array" ref="AF29">IFERROR(INDEX($A29:$AB29,SMALL(IF(NOT(COUNTIF($AC29:AE29,$Y29:$AB29)),COLUMN($Y29:$AB29)),1)),"")</f>
        <v/>
      </c>
      <c r="AG29" s="56" t="str">
        <f t="array" ref="AG29">IFERROR(INDEX($A29:$AB29,SMALL(IF(NOT(COUNTIF($AC29:AF29,$Y29:$AB29)),COLUMN($Y29:$AB29)),1)),"")</f>
        <v/>
      </c>
    </row>
    <row r="30" spans="1:33">
      <c r="A30" s="52">
        <v>29</v>
      </c>
      <c r="B30" s="4"/>
      <c r="C30" s="43"/>
      <c r="D30" s="53" t="str">
        <f>IFERROR(VLOOKUP($C30,'LISTE A SAISIR'!$E$4:$N$19,2,0),"")</f>
        <v/>
      </c>
      <c r="E30" s="1"/>
      <c r="F30" s="53" t="str">
        <f>IFERROR(VLOOKUP($C30,'LISTE A SAISIR'!$E$4:$N$19,2+2*MATCH(E30,Y30:AB30,0),0),"")</f>
        <v/>
      </c>
      <c r="G30" s="1"/>
      <c r="H30" s="7"/>
      <c r="I30" s="53">
        <f t="shared" si="0"/>
        <v>0</v>
      </c>
      <c r="L30" s="52" t="str">
        <f t="array" ref="L30">IFERROR(INDEX(B:B,SMALL(IF($B$2:$B$149=$K$1,ROW($B$2:$B$149)),ROWS(L$2:L30))),"")</f>
        <v/>
      </c>
      <c r="M30" s="52" t="str">
        <f t="array" ref="M30">IFERROR(INDEX(#REF!,SMALL(IF($B$2:$B$149=$K$1,ROW($B$2:$B$149)),ROWS(M$2:M30))),"")</f>
        <v/>
      </c>
      <c r="N30" s="52" t="str">
        <f t="array" ref="N30">IFERROR(INDEX(C:C,SMALL(IF($B$2:$B$149=$K$1,ROW($B$2:$B$149)),ROWS(N$2:N30))),"")</f>
        <v/>
      </c>
      <c r="O30" s="52" t="str">
        <f t="array" ref="O30">IFERROR(INDEX(D:D,SMALL(IF($B$2:$B$149=$K$1,ROW($B$2:$B$149)),ROWS(O$2:O30))),"")</f>
        <v/>
      </c>
      <c r="P30" s="52" t="str">
        <f t="array" ref="P30">IFERROR(INDEX(E:E,SMALL(IF($B$2:$B$149=$K$1,ROW($B$2:$B$149)),ROWS(P$2:P30))),"")</f>
        <v/>
      </c>
      <c r="Q30" s="52" t="str">
        <f t="array" ref="Q30">IFERROR(INDEX(F:F,SMALL(IF($B$2:$B$149=$K$1,ROW($B$2:$B$149)),ROWS(Q$2:Q30))),"")</f>
        <v/>
      </c>
      <c r="R30" s="52" t="str">
        <f t="array" ref="R30">IFERROR(INDEX(G:G,SMALL(IF($B$2:$B$149=$K$1,ROW($B$2:$B$149)),ROWS(R$2:R30))),"")</f>
        <v/>
      </c>
      <c r="S30" s="52" t="str">
        <f t="array" ref="S30">IFERROR(INDEX(H:H,SMALL(IF($B$2:$B$149=$K$1,ROW($B$2:$B$149)),ROWS(S$2:S30))),"")</f>
        <v/>
      </c>
      <c r="Y30" s="55" t="str">
        <f>IFERROR(""&amp;VLOOKUP($C30,'LISTE A SAISIR'!$E$4:$L$19,3,0),"")</f>
        <v/>
      </c>
      <c r="Z30" s="55" t="str">
        <f>IFERROR(""&amp;VLOOKUP($C30,'LISTE A SAISIR'!$E$4:$L$19,5,0),"")</f>
        <v/>
      </c>
      <c r="AA30" s="55" t="str">
        <f>IFERROR(""&amp;VLOOKUP($C30,'LISTE A SAISIR'!$E$4:$L$19,7,0),"")</f>
        <v/>
      </c>
      <c r="AB30" s="55" t="str">
        <f>IFERROR(""&amp;VLOOKUP($C30,'LISTE A SAISIR'!$E$4:$N$19,9,0),"")</f>
        <v/>
      </c>
      <c r="AD30" s="56" t="str">
        <f t="array" ref="AD30">IFERROR(INDEX($A30:$AB30,SMALL(IF(NOT(COUNTIF($AC30:AC30,$Y30:$AB30)),COLUMN($Y30:$AB30)),1)),"")</f>
        <v/>
      </c>
      <c r="AE30" s="56" t="str">
        <f t="array" ref="AE30">IFERROR(INDEX($A30:$AB30,SMALL(IF(NOT(COUNTIF($AC30:AD30,$Y30:$AB30)),COLUMN($Y30:$AB30)),1)),"")</f>
        <v/>
      </c>
      <c r="AF30" s="56" t="str">
        <f t="array" ref="AF30">IFERROR(INDEX($A30:$AB30,SMALL(IF(NOT(COUNTIF($AC30:AE30,$Y30:$AB30)),COLUMN($Y30:$AB30)),1)),"")</f>
        <v/>
      </c>
      <c r="AG30" s="56" t="str">
        <f t="array" ref="AG30">IFERROR(INDEX($A30:$AB30,SMALL(IF(NOT(COUNTIF($AC30:AF30,$Y30:$AB30)),COLUMN($Y30:$AB30)),1)),"")</f>
        <v/>
      </c>
    </row>
    <row r="31" spans="1:33">
      <c r="A31" s="52">
        <v>30</v>
      </c>
      <c r="B31" s="4"/>
      <c r="C31" s="43"/>
      <c r="D31" s="52" t="str">
        <f>IFERROR(VLOOKUP($C31,'LISTE A SAISIR'!$E$4:$N$19,2,0),"")</f>
        <v/>
      </c>
      <c r="E31" s="1"/>
      <c r="F31" s="53" t="str">
        <f>IFERROR(VLOOKUP($C31,'LISTE A SAISIR'!$E$4:$N$19,2+2*MATCH(E31,Y31:AB31,0),0),"")</f>
        <v/>
      </c>
      <c r="G31" s="1"/>
      <c r="H31" s="1"/>
      <c r="I31" s="58">
        <f t="shared" si="0"/>
        <v>0</v>
      </c>
      <c r="L31" s="52" t="str">
        <f t="array" ref="L31">IFERROR(INDEX(B:B,SMALL(IF($B$2:$B$149=$K$1,ROW($B$2:$B$149)),ROWS(L$2:L31))),"")</f>
        <v/>
      </c>
      <c r="M31" s="52" t="str">
        <f t="array" ref="M31">IFERROR(INDEX(#REF!,SMALL(IF($B$2:$B$149=$K$1,ROW($B$2:$B$149)),ROWS(M$2:M31))),"")</f>
        <v/>
      </c>
      <c r="N31" s="52" t="str">
        <f t="array" ref="N31">IFERROR(INDEX(C:C,SMALL(IF($B$2:$B$149=$K$1,ROW($B$2:$B$149)),ROWS(N$2:N31))),"")</f>
        <v/>
      </c>
      <c r="O31" s="52" t="str">
        <f t="array" ref="O31">IFERROR(INDEX(D:D,SMALL(IF($B$2:$B$149=$K$1,ROW($B$2:$B$149)),ROWS(O$2:O31))),"")</f>
        <v/>
      </c>
      <c r="P31" s="52" t="str">
        <f t="array" ref="P31">IFERROR(INDEX(E:E,SMALL(IF($B$2:$B$149=$K$1,ROW($B$2:$B$149)),ROWS(P$2:P31))),"")</f>
        <v/>
      </c>
      <c r="Q31" s="52" t="str">
        <f t="array" ref="Q31">IFERROR(INDEX(F:F,SMALL(IF($B$2:$B$149=$K$1,ROW($B$2:$B$149)),ROWS(Q$2:Q31))),"")</f>
        <v/>
      </c>
      <c r="R31" s="52" t="str">
        <f t="array" ref="R31">IFERROR(INDEX(G:G,SMALL(IF($B$2:$B$149=$K$1,ROW($B$2:$B$149)),ROWS(R$2:R31))),"")</f>
        <v/>
      </c>
      <c r="S31" s="52" t="str">
        <f t="array" ref="S31">IFERROR(INDEX(H:H,SMALL(IF($B$2:$B$149=$K$1,ROW($B$2:$B$149)),ROWS(S$2:S31))),"")</f>
        <v/>
      </c>
      <c r="Y31" s="55" t="str">
        <f>IFERROR(""&amp;VLOOKUP($C31,'LISTE A SAISIR'!$E$4:$L$19,3,0),"")</f>
        <v/>
      </c>
      <c r="Z31" s="55" t="str">
        <f>IFERROR(""&amp;VLOOKUP($C31,'LISTE A SAISIR'!$E$4:$L$19,5,0),"")</f>
        <v/>
      </c>
      <c r="AA31" s="55" t="str">
        <f>IFERROR(""&amp;VLOOKUP($C31,'LISTE A SAISIR'!$E$4:$L$19,7,0),"")</f>
        <v/>
      </c>
      <c r="AB31" s="55" t="str">
        <f>IFERROR(""&amp;VLOOKUP($C31,'LISTE A SAISIR'!$E$4:$N$19,9,0),"")</f>
        <v/>
      </c>
      <c r="AD31" s="56" t="str">
        <f t="array" ref="AD31">IFERROR(INDEX($A31:$AB31,SMALL(IF(NOT(COUNTIF($AC31:AC31,$Y31:$AB31)),COLUMN($Y31:$AB31)),1)),"")</f>
        <v/>
      </c>
      <c r="AE31" s="56" t="str">
        <f t="array" ref="AE31">IFERROR(INDEX($A31:$AB31,SMALL(IF(NOT(COUNTIF($AC31:AD31,$Y31:$AB31)),COLUMN($Y31:$AB31)),1)),"")</f>
        <v/>
      </c>
      <c r="AF31" s="56" t="str">
        <f t="array" ref="AF31">IFERROR(INDEX($A31:$AB31,SMALL(IF(NOT(COUNTIF($AC31:AE31,$Y31:$AB31)),COLUMN($Y31:$AB31)),1)),"")</f>
        <v/>
      </c>
      <c r="AG31" s="56" t="str">
        <f t="array" ref="AG31">IFERROR(INDEX($A31:$AB31,SMALL(IF(NOT(COUNTIF($AC31:AF31,$Y31:$AB31)),COLUMN($Y31:$AB31)),1)),"")</f>
        <v/>
      </c>
    </row>
    <row r="32" spans="1:33">
      <c r="A32" s="52">
        <v>31</v>
      </c>
      <c r="B32" s="4"/>
      <c r="C32" s="43"/>
      <c r="D32" s="53" t="str">
        <f>IFERROR(VLOOKUP($C32,'LISTE A SAISIR'!$E$4:$N$19,2,0),"")</f>
        <v/>
      </c>
      <c r="E32" s="1"/>
      <c r="F32" s="53" t="str">
        <f>IFERROR(VLOOKUP($C32,'LISTE A SAISIR'!$E$4:$N$19,2+2*MATCH(E32,Y32:AB32,0),0),"")</f>
        <v/>
      </c>
      <c r="G32" s="1"/>
      <c r="H32" s="7"/>
      <c r="I32" s="53">
        <f t="shared" si="0"/>
        <v>0</v>
      </c>
      <c r="L32" s="52" t="str">
        <f t="array" ref="L32">IFERROR(INDEX(B:B,SMALL(IF($B$2:$B$149=$K$1,ROW($B$2:$B$149)),ROWS(L$2:L32))),"")</f>
        <v/>
      </c>
      <c r="M32" s="52" t="str">
        <f t="array" ref="M32">IFERROR(INDEX(#REF!,SMALL(IF($B$2:$B$149=$K$1,ROW($B$2:$B$149)),ROWS(M$2:M32))),"")</f>
        <v/>
      </c>
      <c r="N32" s="52" t="str">
        <f t="array" ref="N32">IFERROR(INDEX(C:C,SMALL(IF($B$2:$B$149=$K$1,ROW($B$2:$B$149)),ROWS(N$2:N32))),"")</f>
        <v/>
      </c>
      <c r="O32" s="52" t="str">
        <f t="array" ref="O32">IFERROR(INDEX(D:D,SMALL(IF($B$2:$B$149=$K$1,ROW($B$2:$B$149)),ROWS(O$2:O32))),"")</f>
        <v/>
      </c>
      <c r="P32" s="52" t="str">
        <f t="array" ref="P32">IFERROR(INDEX(E:E,SMALL(IF($B$2:$B$149=$K$1,ROW($B$2:$B$149)),ROWS(P$2:P32))),"")</f>
        <v/>
      </c>
      <c r="Q32" s="52" t="str">
        <f t="array" ref="Q32">IFERROR(INDEX(F:F,SMALL(IF($B$2:$B$149=$K$1,ROW($B$2:$B$149)),ROWS(Q$2:Q32))),"")</f>
        <v/>
      </c>
      <c r="R32" s="52" t="str">
        <f t="array" ref="R32">IFERROR(INDEX(G:G,SMALL(IF($B$2:$B$149=$K$1,ROW($B$2:$B$149)),ROWS(R$2:R32))),"")</f>
        <v/>
      </c>
      <c r="S32" s="52" t="str">
        <f t="array" ref="S32">IFERROR(INDEX(H:H,SMALL(IF($B$2:$B$149=$K$1,ROW($B$2:$B$149)),ROWS(S$2:S32))),"")</f>
        <v/>
      </c>
      <c r="Y32" s="55" t="str">
        <f>IFERROR(""&amp;VLOOKUP($C32,'LISTE A SAISIR'!$E$4:$L$19,3,0),"")</f>
        <v/>
      </c>
      <c r="Z32" s="55" t="str">
        <f>IFERROR(""&amp;VLOOKUP($C32,'LISTE A SAISIR'!$E$4:$L$19,5,0),"")</f>
        <v/>
      </c>
      <c r="AA32" s="55" t="str">
        <f>IFERROR(""&amp;VLOOKUP($C32,'LISTE A SAISIR'!$E$4:$L$19,7,0),"")</f>
        <v/>
      </c>
      <c r="AB32" s="55" t="str">
        <f>IFERROR(""&amp;VLOOKUP($C32,'LISTE A SAISIR'!$E$4:$N$19,9,0),"")</f>
        <v/>
      </c>
      <c r="AD32" s="56" t="str">
        <f t="array" ref="AD32">IFERROR(INDEX($A32:$AB32,SMALL(IF(NOT(COUNTIF($AC32:AC32,$Y32:$AB32)),COLUMN($Y32:$AB32)),1)),"")</f>
        <v/>
      </c>
      <c r="AE32" s="56" t="str">
        <f t="array" ref="AE32">IFERROR(INDEX($A32:$AB32,SMALL(IF(NOT(COUNTIF($AC32:AD32,$Y32:$AB32)),COLUMN($Y32:$AB32)),1)),"")</f>
        <v/>
      </c>
      <c r="AF32" s="56" t="str">
        <f t="array" ref="AF32">IFERROR(INDEX($A32:$AB32,SMALL(IF(NOT(COUNTIF($AC32:AE32,$Y32:$AB32)),COLUMN($Y32:$AB32)),1)),"")</f>
        <v/>
      </c>
      <c r="AG32" s="56" t="str">
        <f t="array" ref="AG32">IFERROR(INDEX($A32:$AB32,SMALL(IF(NOT(COUNTIF($AC32:AF32,$Y32:$AB32)),COLUMN($Y32:$AB32)),1)),"")</f>
        <v/>
      </c>
    </row>
    <row r="33" spans="1:33">
      <c r="A33" s="52">
        <v>32</v>
      </c>
      <c r="B33" s="4"/>
      <c r="C33" s="43"/>
      <c r="D33" s="52" t="str">
        <f>IFERROR(VLOOKUP($C33,'LISTE A SAISIR'!$E$4:$N$19,2,0),"")</f>
        <v/>
      </c>
      <c r="E33" s="1"/>
      <c r="F33" s="53" t="str">
        <f>IFERROR(VLOOKUP($C33,'LISTE A SAISIR'!$E$4:$N$19,2+2*MATCH(E33,Y33:AB33,0),0),"")</f>
        <v/>
      </c>
      <c r="G33" s="1"/>
      <c r="H33" s="1"/>
      <c r="I33" s="58">
        <f t="shared" si="0"/>
        <v>0</v>
      </c>
      <c r="L33" s="52" t="str">
        <f t="array" ref="L33">IFERROR(INDEX(B:B,SMALL(IF($B$2:$B$149=$K$1,ROW($B$2:$B$149)),ROWS(L$2:L33))),"")</f>
        <v/>
      </c>
      <c r="M33" s="52" t="str">
        <f t="array" ref="M33">IFERROR(INDEX(#REF!,SMALL(IF($B$2:$B$149=$K$1,ROW($B$2:$B$149)),ROWS(M$2:M33))),"")</f>
        <v/>
      </c>
      <c r="N33" s="52" t="str">
        <f t="array" ref="N33">IFERROR(INDEX(C:C,SMALL(IF($B$2:$B$149=$K$1,ROW($B$2:$B$149)),ROWS(N$2:N33))),"")</f>
        <v/>
      </c>
      <c r="O33" s="52" t="str">
        <f t="array" ref="O33">IFERROR(INDEX(D:D,SMALL(IF($B$2:$B$149=$K$1,ROW($B$2:$B$149)),ROWS(O$2:O33))),"")</f>
        <v/>
      </c>
      <c r="P33" s="52" t="str">
        <f t="array" ref="P33">IFERROR(INDEX(E:E,SMALL(IF($B$2:$B$149=$K$1,ROW($B$2:$B$149)),ROWS(P$2:P33))),"")</f>
        <v/>
      </c>
      <c r="Q33" s="52" t="str">
        <f t="array" ref="Q33">IFERROR(INDEX(F:F,SMALL(IF($B$2:$B$149=$K$1,ROW($B$2:$B$149)),ROWS(Q$2:Q33))),"")</f>
        <v/>
      </c>
      <c r="R33" s="52" t="str">
        <f t="array" ref="R33">IFERROR(INDEX(G:G,SMALL(IF($B$2:$B$149=$K$1,ROW($B$2:$B$149)),ROWS(R$2:R33))),"")</f>
        <v/>
      </c>
      <c r="S33" s="52" t="str">
        <f t="array" ref="S33">IFERROR(INDEX(H:H,SMALL(IF($B$2:$B$149=$K$1,ROW($B$2:$B$149)),ROWS(S$2:S33))),"")</f>
        <v/>
      </c>
      <c r="Y33" s="55" t="str">
        <f>IFERROR(""&amp;VLOOKUP($C33,'LISTE A SAISIR'!$E$4:$L$19,3,0),"")</f>
        <v/>
      </c>
      <c r="Z33" s="55" t="str">
        <f>IFERROR(""&amp;VLOOKUP($C33,'LISTE A SAISIR'!$E$4:$L$19,5,0),"")</f>
        <v/>
      </c>
      <c r="AA33" s="55" t="str">
        <f>IFERROR(""&amp;VLOOKUP($C33,'LISTE A SAISIR'!$E$4:$L$19,7,0),"")</f>
        <v/>
      </c>
      <c r="AB33" s="55" t="str">
        <f>IFERROR(""&amp;VLOOKUP($C33,'LISTE A SAISIR'!$E$4:$N$19,9,0),"")</f>
        <v/>
      </c>
      <c r="AD33" s="56" t="str">
        <f t="array" ref="AD33">IFERROR(INDEX($A33:$AB33,SMALL(IF(NOT(COUNTIF($AC33:AC33,$Y33:$AB33)),COLUMN($Y33:$AB33)),1)),"")</f>
        <v/>
      </c>
      <c r="AE33" s="56" t="str">
        <f t="array" ref="AE33">IFERROR(INDEX($A33:$AB33,SMALL(IF(NOT(COUNTIF($AC33:AD33,$Y33:$AB33)),COLUMN($Y33:$AB33)),1)),"")</f>
        <v/>
      </c>
      <c r="AF33" s="56" t="str">
        <f t="array" ref="AF33">IFERROR(INDEX($A33:$AB33,SMALL(IF(NOT(COUNTIF($AC33:AE33,$Y33:$AB33)),COLUMN($Y33:$AB33)),1)),"")</f>
        <v/>
      </c>
      <c r="AG33" s="56" t="str">
        <f t="array" ref="AG33">IFERROR(INDEX($A33:$AB33,SMALL(IF(NOT(COUNTIF($AC33:AF33,$Y33:$AB33)),COLUMN($Y33:$AB33)),1)),"")</f>
        <v/>
      </c>
    </row>
    <row r="34" spans="1:33">
      <c r="A34" s="52">
        <v>33</v>
      </c>
      <c r="B34" s="4"/>
      <c r="C34" s="43"/>
      <c r="D34" s="53" t="str">
        <f>IFERROR(VLOOKUP($C34,'LISTE A SAISIR'!$E$4:$N$19,2,0),"")</f>
        <v/>
      </c>
      <c r="E34" s="1"/>
      <c r="F34" s="53" t="str">
        <f>IFERROR(VLOOKUP($C34,'LISTE A SAISIR'!$E$4:$N$19,2+2*MATCH(E34,Y34:AB34,0),0),"")</f>
        <v/>
      </c>
      <c r="G34" s="1"/>
      <c r="H34" s="7"/>
      <c r="I34" s="53">
        <f t="shared" ref="I34:I65" si="1">COUNTIF($B$2:$B$149,B34)</f>
        <v>0</v>
      </c>
      <c r="L34" s="52" t="str">
        <f t="array" ref="L34">IFERROR(INDEX(B:B,SMALL(IF($B$2:$B$149=$K$1,ROW($B$2:$B$149)),ROWS(L$2:L34))),"")</f>
        <v/>
      </c>
      <c r="M34" s="52" t="str">
        <f t="array" ref="M34">IFERROR(INDEX(#REF!,SMALL(IF($B$2:$B$149=$K$1,ROW($B$2:$B$149)),ROWS(M$2:M34))),"")</f>
        <v/>
      </c>
      <c r="N34" s="52" t="str">
        <f t="array" ref="N34">IFERROR(INDEX(C:C,SMALL(IF($B$2:$B$149=$K$1,ROW($B$2:$B$149)),ROWS(N$2:N34))),"")</f>
        <v/>
      </c>
      <c r="O34" s="52" t="str">
        <f t="array" ref="O34">IFERROR(INDEX(D:D,SMALL(IF($B$2:$B$149=$K$1,ROW($B$2:$B$149)),ROWS(O$2:O34))),"")</f>
        <v/>
      </c>
      <c r="P34" s="52" t="str">
        <f t="array" ref="P34">IFERROR(INDEX(E:E,SMALL(IF($B$2:$B$149=$K$1,ROW($B$2:$B$149)),ROWS(P$2:P34))),"")</f>
        <v/>
      </c>
      <c r="Q34" s="52" t="str">
        <f t="array" ref="Q34">IFERROR(INDEX(F:F,SMALL(IF($B$2:$B$149=$K$1,ROW($B$2:$B$149)),ROWS(Q$2:Q34))),"")</f>
        <v/>
      </c>
      <c r="R34" s="52" t="str">
        <f t="array" ref="R34">IFERROR(INDEX(G:G,SMALL(IF($B$2:$B$149=$K$1,ROW($B$2:$B$149)),ROWS(R$2:R34))),"")</f>
        <v/>
      </c>
      <c r="S34" s="52" t="str">
        <f t="array" ref="S34">IFERROR(INDEX(H:H,SMALL(IF($B$2:$B$149=$K$1,ROW($B$2:$B$149)),ROWS(S$2:S34))),"")</f>
        <v/>
      </c>
      <c r="Y34" s="55" t="str">
        <f>IFERROR(""&amp;VLOOKUP($C34,'LISTE A SAISIR'!$E$4:$L$19,3,0),"")</f>
        <v/>
      </c>
      <c r="Z34" s="55" t="str">
        <f>IFERROR(""&amp;VLOOKUP($C34,'LISTE A SAISIR'!$E$4:$L$19,5,0),"")</f>
        <v/>
      </c>
      <c r="AA34" s="55" t="str">
        <f>IFERROR(""&amp;VLOOKUP($C34,'LISTE A SAISIR'!$E$4:$L$19,7,0),"")</f>
        <v/>
      </c>
      <c r="AB34" s="55" t="str">
        <f>IFERROR(""&amp;VLOOKUP($C34,'LISTE A SAISIR'!$E$4:$N$19,9,0),"")</f>
        <v/>
      </c>
      <c r="AD34" s="56" t="str">
        <f t="array" ref="AD34">IFERROR(INDEX($A34:$AB34,SMALL(IF(NOT(COUNTIF($AC34:AC34,$Y34:$AB34)),COLUMN($Y34:$AB34)),1)),"")</f>
        <v/>
      </c>
      <c r="AE34" s="56" t="str">
        <f t="array" ref="AE34">IFERROR(INDEX($A34:$AB34,SMALL(IF(NOT(COUNTIF($AC34:AD34,$Y34:$AB34)),COLUMN($Y34:$AB34)),1)),"")</f>
        <v/>
      </c>
      <c r="AF34" s="56" t="str">
        <f t="array" ref="AF34">IFERROR(INDEX($A34:$AB34,SMALL(IF(NOT(COUNTIF($AC34:AE34,$Y34:$AB34)),COLUMN($Y34:$AB34)),1)),"")</f>
        <v/>
      </c>
      <c r="AG34" s="56" t="str">
        <f t="array" ref="AG34">IFERROR(INDEX($A34:$AB34,SMALL(IF(NOT(COUNTIF($AC34:AF34,$Y34:$AB34)),COLUMN($Y34:$AB34)),1)),"")</f>
        <v/>
      </c>
    </row>
    <row r="35" spans="1:33">
      <c r="A35" s="52">
        <v>34</v>
      </c>
      <c r="B35" s="4"/>
      <c r="C35" s="43"/>
      <c r="D35" s="52" t="str">
        <f>IFERROR(VLOOKUP($C35,'LISTE A SAISIR'!$E$4:$N$19,2,0),"")</f>
        <v/>
      </c>
      <c r="E35" s="1"/>
      <c r="F35" s="53" t="str">
        <f>IFERROR(VLOOKUP($C35,'LISTE A SAISIR'!$E$4:$N$19,2+2*MATCH(E35,Y35:AB35,0),0),"")</f>
        <v/>
      </c>
      <c r="G35" s="1"/>
      <c r="H35" s="1"/>
      <c r="I35" s="58">
        <f t="shared" si="1"/>
        <v>0</v>
      </c>
      <c r="L35" s="52" t="str">
        <f t="array" ref="L35">IFERROR(INDEX(B:B,SMALL(IF($B$2:$B$149=$K$1,ROW($B$2:$B$149)),ROWS(L$2:L35))),"")</f>
        <v/>
      </c>
      <c r="M35" s="52" t="str">
        <f t="array" ref="M35">IFERROR(INDEX(#REF!,SMALL(IF($B$2:$B$149=$K$1,ROW($B$2:$B$149)),ROWS(M$2:M35))),"")</f>
        <v/>
      </c>
      <c r="N35" s="52" t="str">
        <f t="array" ref="N35">IFERROR(INDEX(C:C,SMALL(IF($B$2:$B$149=$K$1,ROW($B$2:$B$149)),ROWS(N$2:N35))),"")</f>
        <v/>
      </c>
      <c r="O35" s="52" t="str">
        <f t="array" ref="O35">IFERROR(INDEX(D:D,SMALL(IF($B$2:$B$149=$K$1,ROW($B$2:$B$149)),ROWS(O$2:O35))),"")</f>
        <v/>
      </c>
      <c r="P35" s="52" t="str">
        <f t="array" ref="P35">IFERROR(INDEX(E:E,SMALL(IF($B$2:$B$149=$K$1,ROW($B$2:$B$149)),ROWS(P$2:P35))),"")</f>
        <v/>
      </c>
      <c r="Q35" s="52" t="str">
        <f t="array" ref="Q35">IFERROR(INDEX(F:F,SMALL(IF($B$2:$B$149=$K$1,ROW($B$2:$B$149)),ROWS(Q$2:Q35))),"")</f>
        <v/>
      </c>
      <c r="R35" s="52" t="str">
        <f t="array" ref="R35">IFERROR(INDEX(G:G,SMALL(IF($B$2:$B$149=$K$1,ROW($B$2:$B$149)),ROWS(R$2:R35))),"")</f>
        <v/>
      </c>
      <c r="S35" s="52" t="str">
        <f t="array" ref="S35">IFERROR(INDEX(H:H,SMALL(IF($B$2:$B$149=$K$1,ROW($B$2:$B$149)),ROWS(S$2:S35))),"")</f>
        <v/>
      </c>
      <c r="Y35" s="55" t="str">
        <f>IFERROR(""&amp;VLOOKUP($C35,'LISTE A SAISIR'!$E$4:$L$19,3,0),"")</f>
        <v/>
      </c>
      <c r="Z35" s="55" t="str">
        <f>IFERROR(""&amp;VLOOKUP($C35,'LISTE A SAISIR'!$E$4:$L$19,5,0),"")</f>
        <v/>
      </c>
      <c r="AA35" s="55" t="str">
        <f>IFERROR(""&amp;VLOOKUP($C35,'LISTE A SAISIR'!$E$4:$L$19,7,0),"")</f>
        <v/>
      </c>
      <c r="AB35" s="55" t="str">
        <f>IFERROR(""&amp;VLOOKUP($C35,'LISTE A SAISIR'!$E$4:$N$19,9,0),"")</f>
        <v/>
      </c>
      <c r="AD35" s="56" t="str">
        <f t="array" ref="AD35">IFERROR(INDEX($A35:$AB35,SMALL(IF(NOT(COUNTIF($AC35:AC35,$Y35:$AB35)),COLUMN($Y35:$AB35)),1)),"")</f>
        <v/>
      </c>
      <c r="AE35" s="56" t="str">
        <f t="array" ref="AE35">IFERROR(INDEX($A35:$AB35,SMALL(IF(NOT(COUNTIF($AC35:AD35,$Y35:$AB35)),COLUMN($Y35:$AB35)),1)),"")</f>
        <v/>
      </c>
      <c r="AF35" s="56" t="str">
        <f t="array" ref="AF35">IFERROR(INDEX($A35:$AB35,SMALL(IF(NOT(COUNTIF($AC35:AE35,$Y35:$AB35)),COLUMN($Y35:$AB35)),1)),"")</f>
        <v/>
      </c>
      <c r="AG35" s="56" t="str">
        <f t="array" ref="AG35">IFERROR(INDEX($A35:$AB35,SMALL(IF(NOT(COUNTIF($AC35:AF35,$Y35:$AB35)),COLUMN($Y35:$AB35)),1)),"")</f>
        <v/>
      </c>
    </row>
    <row r="36" spans="1:33">
      <c r="A36" s="52">
        <v>35</v>
      </c>
      <c r="B36" s="4"/>
      <c r="C36" s="43"/>
      <c r="D36" s="53" t="str">
        <f>IFERROR(VLOOKUP($C36,'LISTE A SAISIR'!$E$4:$N$19,2,0),"")</f>
        <v/>
      </c>
      <c r="E36" s="1"/>
      <c r="F36" s="53" t="str">
        <f>IFERROR(VLOOKUP($C36,'LISTE A SAISIR'!$E$4:$N$19,2+2*MATCH(E36,Y36:AB36,0),0),"")</f>
        <v/>
      </c>
      <c r="G36" s="1"/>
      <c r="H36" s="7"/>
      <c r="I36" s="53">
        <f t="shared" si="1"/>
        <v>0</v>
      </c>
      <c r="L36" s="52" t="str">
        <f t="array" ref="L36">IFERROR(INDEX(B:B,SMALL(IF($B$2:$B$149=$K$1,ROW($B$2:$B$149)),ROWS(L$2:L36))),"")</f>
        <v/>
      </c>
      <c r="M36" s="52" t="str">
        <f t="array" ref="M36">IFERROR(INDEX(#REF!,SMALL(IF($B$2:$B$149=$K$1,ROW($B$2:$B$149)),ROWS(M$2:M36))),"")</f>
        <v/>
      </c>
      <c r="N36" s="52" t="str">
        <f t="array" ref="N36">IFERROR(INDEX(C:C,SMALL(IF($B$2:$B$149=$K$1,ROW($B$2:$B$149)),ROWS(N$2:N36))),"")</f>
        <v/>
      </c>
      <c r="O36" s="52" t="str">
        <f t="array" ref="O36">IFERROR(INDEX(D:D,SMALL(IF($B$2:$B$149=$K$1,ROW($B$2:$B$149)),ROWS(O$2:O36))),"")</f>
        <v/>
      </c>
      <c r="P36" s="52" t="str">
        <f t="array" ref="P36">IFERROR(INDEX(E:E,SMALL(IF($B$2:$B$149=$K$1,ROW($B$2:$B$149)),ROWS(P$2:P36))),"")</f>
        <v/>
      </c>
      <c r="Q36" s="52" t="str">
        <f t="array" ref="Q36">IFERROR(INDEX(F:F,SMALL(IF($B$2:$B$149=$K$1,ROW($B$2:$B$149)),ROWS(Q$2:Q36))),"")</f>
        <v/>
      </c>
      <c r="R36" s="52" t="str">
        <f t="array" ref="R36">IFERROR(INDEX(G:G,SMALL(IF($B$2:$B$149=$K$1,ROW($B$2:$B$149)),ROWS(R$2:R36))),"")</f>
        <v/>
      </c>
      <c r="S36" s="52" t="str">
        <f t="array" ref="S36">IFERROR(INDEX(H:H,SMALL(IF($B$2:$B$149=$K$1,ROW($B$2:$B$149)),ROWS(S$2:S36))),"")</f>
        <v/>
      </c>
      <c r="Y36" s="55" t="str">
        <f>IFERROR(""&amp;VLOOKUP($C36,'LISTE A SAISIR'!$E$4:$L$19,3,0),"")</f>
        <v/>
      </c>
      <c r="Z36" s="55" t="str">
        <f>IFERROR(""&amp;VLOOKUP($C36,'LISTE A SAISIR'!$E$4:$L$19,5,0),"")</f>
        <v/>
      </c>
      <c r="AA36" s="55" t="str">
        <f>IFERROR(""&amp;VLOOKUP($C36,'LISTE A SAISIR'!$E$4:$L$19,7,0),"")</f>
        <v/>
      </c>
      <c r="AB36" s="55" t="str">
        <f>IFERROR(""&amp;VLOOKUP($C36,'LISTE A SAISIR'!$E$4:$N$19,9,0),"")</f>
        <v/>
      </c>
      <c r="AD36" s="56" t="str">
        <f t="array" ref="AD36">IFERROR(INDEX($A36:$AB36,SMALL(IF(NOT(COUNTIF($AC36:AC36,$Y36:$AB36)),COLUMN($Y36:$AB36)),1)),"")</f>
        <v/>
      </c>
      <c r="AE36" s="56" t="str">
        <f t="array" ref="AE36">IFERROR(INDEX($A36:$AB36,SMALL(IF(NOT(COUNTIF($AC36:AD36,$Y36:$AB36)),COLUMN($Y36:$AB36)),1)),"")</f>
        <v/>
      </c>
      <c r="AF36" s="56" t="str">
        <f t="array" ref="AF36">IFERROR(INDEX($A36:$AB36,SMALL(IF(NOT(COUNTIF($AC36:AE36,$Y36:$AB36)),COLUMN($Y36:$AB36)),1)),"")</f>
        <v/>
      </c>
      <c r="AG36" s="56" t="str">
        <f t="array" ref="AG36">IFERROR(INDEX($A36:$AB36,SMALL(IF(NOT(COUNTIF($AC36:AF36,$Y36:$AB36)),COLUMN($Y36:$AB36)),1)),"")</f>
        <v/>
      </c>
    </row>
    <row r="37" spans="1:33">
      <c r="A37" s="52">
        <v>36</v>
      </c>
      <c r="B37" s="4"/>
      <c r="C37" s="43"/>
      <c r="D37" s="52" t="str">
        <f>IFERROR(VLOOKUP($C37,'LISTE A SAISIR'!$E$4:$N$19,2,0),"")</f>
        <v/>
      </c>
      <c r="E37" s="1"/>
      <c r="F37" s="53" t="str">
        <f>IFERROR(VLOOKUP($C37,'LISTE A SAISIR'!$E$4:$N$19,2+2*MATCH(E37,Y37:AB37,0),0),"")</f>
        <v/>
      </c>
      <c r="G37" s="1"/>
      <c r="H37" s="1"/>
      <c r="I37" s="58">
        <f t="shared" si="1"/>
        <v>0</v>
      </c>
      <c r="L37" s="52" t="str">
        <f t="array" ref="L37">IFERROR(INDEX(B:B,SMALL(IF($B$2:$B$149=$K$1,ROW($B$2:$B$149)),ROWS(L$2:L37))),"")</f>
        <v/>
      </c>
      <c r="M37" s="52" t="str">
        <f t="array" ref="M37">IFERROR(INDEX(#REF!,SMALL(IF($B$2:$B$149=$K$1,ROW($B$2:$B$149)),ROWS(M$2:M37))),"")</f>
        <v/>
      </c>
      <c r="N37" s="52" t="str">
        <f t="array" ref="N37">IFERROR(INDEX(C:C,SMALL(IF($B$2:$B$149=$K$1,ROW($B$2:$B$149)),ROWS(N$2:N37))),"")</f>
        <v/>
      </c>
      <c r="O37" s="52" t="str">
        <f t="array" ref="O37">IFERROR(INDEX(D:D,SMALL(IF($B$2:$B$149=$K$1,ROW($B$2:$B$149)),ROWS(O$2:O37))),"")</f>
        <v/>
      </c>
      <c r="P37" s="52" t="str">
        <f t="array" ref="P37">IFERROR(INDEX(E:E,SMALL(IF($B$2:$B$149=$K$1,ROW($B$2:$B$149)),ROWS(P$2:P37))),"")</f>
        <v/>
      </c>
      <c r="Q37" s="52" t="str">
        <f t="array" ref="Q37">IFERROR(INDEX(F:F,SMALL(IF($B$2:$B$149=$K$1,ROW($B$2:$B$149)),ROWS(Q$2:Q37))),"")</f>
        <v/>
      </c>
      <c r="R37" s="52" t="str">
        <f t="array" ref="R37">IFERROR(INDEX(G:G,SMALL(IF($B$2:$B$149=$K$1,ROW($B$2:$B$149)),ROWS(R$2:R37))),"")</f>
        <v/>
      </c>
      <c r="S37" s="52" t="str">
        <f t="array" ref="S37">IFERROR(INDEX(H:H,SMALL(IF($B$2:$B$149=$K$1,ROW($B$2:$B$149)),ROWS(S$2:S37))),"")</f>
        <v/>
      </c>
      <c r="Y37" s="55" t="str">
        <f>IFERROR(""&amp;VLOOKUP($C37,'LISTE A SAISIR'!$E$4:$L$19,3,0),"")</f>
        <v/>
      </c>
      <c r="Z37" s="55" t="str">
        <f>IFERROR(""&amp;VLOOKUP($C37,'LISTE A SAISIR'!$E$4:$L$19,5,0),"")</f>
        <v/>
      </c>
      <c r="AA37" s="55" t="str">
        <f>IFERROR(""&amp;VLOOKUP($C37,'LISTE A SAISIR'!$E$4:$L$19,7,0),"")</f>
        <v/>
      </c>
      <c r="AB37" s="55" t="str">
        <f>IFERROR(""&amp;VLOOKUP($C37,'LISTE A SAISIR'!$E$4:$N$19,9,0),"")</f>
        <v/>
      </c>
      <c r="AD37" s="56" t="str">
        <f t="array" ref="AD37">IFERROR(INDEX($A37:$AB37,SMALL(IF(NOT(COUNTIF($AC37:AC37,$Y37:$AB37)),COLUMN($Y37:$AB37)),1)),"")</f>
        <v/>
      </c>
      <c r="AE37" s="56" t="str">
        <f t="array" ref="AE37">IFERROR(INDEX($A37:$AB37,SMALL(IF(NOT(COUNTIF($AC37:AD37,$Y37:$AB37)),COLUMN($Y37:$AB37)),1)),"")</f>
        <v/>
      </c>
      <c r="AF37" s="56" t="str">
        <f t="array" ref="AF37">IFERROR(INDEX($A37:$AB37,SMALL(IF(NOT(COUNTIF($AC37:AE37,$Y37:$AB37)),COLUMN($Y37:$AB37)),1)),"")</f>
        <v/>
      </c>
      <c r="AG37" s="56" t="str">
        <f t="array" ref="AG37">IFERROR(INDEX($A37:$AB37,SMALL(IF(NOT(COUNTIF($AC37:AF37,$Y37:$AB37)),COLUMN($Y37:$AB37)),1)),"")</f>
        <v/>
      </c>
    </row>
    <row r="38" spans="1:33">
      <c r="A38" s="52">
        <v>37</v>
      </c>
      <c r="B38" s="4"/>
      <c r="C38" s="43"/>
      <c r="D38" s="53" t="str">
        <f>IFERROR(VLOOKUP($C38,'LISTE A SAISIR'!$E$4:$N$19,2,0),"")</f>
        <v/>
      </c>
      <c r="E38" s="1"/>
      <c r="F38" s="53" t="str">
        <f>IFERROR(VLOOKUP($C38,'LISTE A SAISIR'!$E$4:$N$19,2+2*MATCH(E38,Y38:AB38,0),0),"")</f>
        <v/>
      </c>
      <c r="G38" s="1"/>
      <c r="H38" s="7"/>
      <c r="I38" s="53">
        <f t="shared" si="1"/>
        <v>0</v>
      </c>
      <c r="L38" s="52" t="str">
        <f t="array" ref="L38">IFERROR(INDEX(B:B,SMALL(IF($B$2:$B$149=$K$1,ROW($B$2:$B$149)),ROWS(L$2:L38))),"")</f>
        <v/>
      </c>
      <c r="M38" s="52" t="str">
        <f t="array" ref="M38">IFERROR(INDEX(#REF!,SMALL(IF($B$2:$B$149=$K$1,ROW($B$2:$B$149)),ROWS(M$2:M38))),"")</f>
        <v/>
      </c>
      <c r="N38" s="52" t="str">
        <f t="array" ref="N38">IFERROR(INDEX(C:C,SMALL(IF($B$2:$B$149=$K$1,ROW($B$2:$B$149)),ROWS(N$2:N38))),"")</f>
        <v/>
      </c>
      <c r="O38" s="52" t="str">
        <f t="array" ref="O38">IFERROR(INDEX(D:D,SMALL(IF($B$2:$B$149=$K$1,ROW($B$2:$B$149)),ROWS(O$2:O38))),"")</f>
        <v/>
      </c>
      <c r="P38" s="52" t="str">
        <f t="array" ref="P38">IFERROR(INDEX(E:E,SMALL(IF($B$2:$B$149=$K$1,ROW($B$2:$B$149)),ROWS(P$2:P38))),"")</f>
        <v/>
      </c>
      <c r="Q38" s="52" t="str">
        <f t="array" ref="Q38">IFERROR(INDEX(F:F,SMALL(IF($B$2:$B$149=$K$1,ROW($B$2:$B$149)),ROWS(Q$2:Q38))),"")</f>
        <v/>
      </c>
      <c r="R38" s="52" t="str">
        <f t="array" ref="R38">IFERROR(INDEX(G:G,SMALL(IF($B$2:$B$149=$K$1,ROW($B$2:$B$149)),ROWS(R$2:R38))),"")</f>
        <v/>
      </c>
      <c r="S38" s="52" t="str">
        <f t="array" ref="S38">IFERROR(INDEX(H:H,SMALL(IF($B$2:$B$149=$K$1,ROW($B$2:$B$149)),ROWS(S$2:S38))),"")</f>
        <v/>
      </c>
      <c r="Y38" s="55" t="str">
        <f>IFERROR(""&amp;VLOOKUP($C38,'LISTE A SAISIR'!$E$4:$L$19,3,0),"")</f>
        <v/>
      </c>
      <c r="Z38" s="55" t="str">
        <f>IFERROR(""&amp;VLOOKUP($C38,'LISTE A SAISIR'!$E$4:$L$19,5,0),"")</f>
        <v/>
      </c>
      <c r="AA38" s="55" t="str">
        <f>IFERROR(""&amp;VLOOKUP($C38,'LISTE A SAISIR'!$E$4:$L$19,7,0),"")</f>
        <v/>
      </c>
      <c r="AB38" s="55" t="str">
        <f>IFERROR(""&amp;VLOOKUP($C38,'LISTE A SAISIR'!$E$4:$N$19,9,0),"")</f>
        <v/>
      </c>
      <c r="AD38" s="56" t="str">
        <f t="array" ref="AD38">IFERROR(INDEX($A38:$AB38,SMALL(IF(NOT(COUNTIF($AC38:AC38,$Y38:$AB38)),COLUMN($Y38:$AB38)),1)),"")</f>
        <v/>
      </c>
      <c r="AE38" s="56" t="str">
        <f t="array" ref="AE38">IFERROR(INDEX($A38:$AB38,SMALL(IF(NOT(COUNTIF($AC38:AD38,$Y38:$AB38)),COLUMN($Y38:$AB38)),1)),"")</f>
        <v/>
      </c>
      <c r="AF38" s="56" t="str">
        <f t="array" ref="AF38">IFERROR(INDEX($A38:$AB38,SMALL(IF(NOT(COUNTIF($AC38:AE38,$Y38:$AB38)),COLUMN($Y38:$AB38)),1)),"")</f>
        <v/>
      </c>
      <c r="AG38" s="56" t="str">
        <f t="array" ref="AG38">IFERROR(INDEX($A38:$AB38,SMALL(IF(NOT(COUNTIF($AC38:AF38,$Y38:$AB38)),COLUMN($Y38:$AB38)),1)),"")</f>
        <v/>
      </c>
    </row>
    <row r="39" spans="1:33">
      <c r="A39" s="52">
        <v>38</v>
      </c>
      <c r="B39" s="4"/>
      <c r="C39" s="43"/>
      <c r="D39" s="52" t="str">
        <f>IFERROR(VLOOKUP($C39,'LISTE A SAISIR'!$E$4:$N$19,2,0),"")</f>
        <v/>
      </c>
      <c r="E39" s="1"/>
      <c r="F39" s="53" t="str">
        <f>IFERROR(VLOOKUP($C39,'LISTE A SAISIR'!$E$4:$N$19,2+2*MATCH(E39,Y39:AB39,0),0),"")</f>
        <v/>
      </c>
      <c r="G39" s="1"/>
      <c r="H39" s="1"/>
      <c r="I39" s="58">
        <f t="shared" si="1"/>
        <v>0</v>
      </c>
      <c r="L39" s="52" t="str">
        <f t="array" ref="L39">IFERROR(INDEX(B:B,SMALL(IF($B$2:$B$149=$K$1,ROW($B$2:$B$149)),ROWS(L$2:L39))),"")</f>
        <v/>
      </c>
      <c r="M39" s="52" t="str">
        <f t="array" ref="M39">IFERROR(INDEX(#REF!,SMALL(IF($B$2:$B$149=$K$1,ROW($B$2:$B$149)),ROWS(M$2:M39))),"")</f>
        <v/>
      </c>
      <c r="N39" s="52" t="str">
        <f t="array" ref="N39">IFERROR(INDEX(C:C,SMALL(IF($B$2:$B$149=$K$1,ROW($B$2:$B$149)),ROWS(N$2:N39))),"")</f>
        <v/>
      </c>
      <c r="O39" s="52" t="str">
        <f t="array" ref="O39">IFERROR(INDEX(D:D,SMALL(IF($B$2:$B$149=$K$1,ROW($B$2:$B$149)),ROWS(O$2:O39))),"")</f>
        <v/>
      </c>
      <c r="P39" s="52" t="str">
        <f t="array" ref="P39">IFERROR(INDEX(E:E,SMALL(IF($B$2:$B$149=$K$1,ROW($B$2:$B$149)),ROWS(P$2:P39))),"")</f>
        <v/>
      </c>
      <c r="Q39" s="52" t="str">
        <f t="array" ref="Q39">IFERROR(INDEX(F:F,SMALL(IF($B$2:$B$149=$K$1,ROW($B$2:$B$149)),ROWS(Q$2:Q39))),"")</f>
        <v/>
      </c>
      <c r="R39" s="52" t="str">
        <f t="array" ref="R39">IFERROR(INDEX(G:G,SMALL(IF($B$2:$B$149=$K$1,ROW($B$2:$B$149)),ROWS(R$2:R39))),"")</f>
        <v/>
      </c>
      <c r="S39" s="52" t="str">
        <f t="array" ref="S39">IFERROR(INDEX(H:H,SMALL(IF($B$2:$B$149=$K$1,ROW($B$2:$B$149)),ROWS(S$2:S39))),"")</f>
        <v/>
      </c>
      <c r="Y39" s="55" t="str">
        <f>IFERROR(""&amp;VLOOKUP($C39,'LISTE A SAISIR'!$E$4:$L$19,3,0),"")</f>
        <v/>
      </c>
      <c r="Z39" s="55" t="str">
        <f>IFERROR(""&amp;VLOOKUP($C39,'LISTE A SAISIR'!$E$4:$L$19,5,0),"")</f>
        <v/>
      </c>
      <c r="AA39" s="55" t="str">
        <f>IFERROR(""&amp;VLOOKUP($C39,'LISTE A SAISIR'!$E$4:$L$19,7,0),"")</f>
        <v/>
      </c>
      <c r="AB39" s="55" t="str">
        <f>IFERROR(""&amp;VLOOKUP($C39,'LISTE A SAISIR'!$E$4:$N$19,9,0),"")</f>
        <v/>
      </c>
      <c r="AD39" s="56" t="str">
        <f t="array" ref="AD39">IFERROR(INDEX($A39:$AB39,SMALL(IF(NOT(COUNTIF($AC39:AC39,$Y39:$AB39)),COLUMN($Y39:$AB39)),1)),"")</f>
        <v/>
      </c>
      <c r="AE39" s="56" t="str">
        <f t="array" ref="AE39">IFERROR(INDEX($A39:$AB39,SMALL(IF(NOT(COUNTIF($AC39:AD39,$Y39:$AB39)),COLUMN($Y39:$AB39)),1)),"")</f>
        <v/>
      </c>
      <c r="AF39" s="56" t="str">
        <f t="array" ref="AF39">IFERROR(INDEX($A39:$AB39,SMALL(IF(NOT(COUNTIF($AC39:AE39,$Y39:$AB39)),COLUMN($Y39:$AB39)),1)),"")</f>
        <v/>
      </c>
      <c r="AG39" s="56" t="str">
        <f t="array" ref="AG39">IFERROR(INDEX($A39:$AB39,SMALL(IF(NOT(COUNTIF($AC39:AF39,$Y39:$AB39)),COLUMN($Y39:$AB39)),1)),"")</f>
        <v/>
      </c>
    </row>
    <row r="40" spans="1:33">
      <c r="A40" s="52">
        <v>39</v>
      </c>
      <c r="B40" s="4"/>
      <c r="C40" s="43"/>
      <c r="D40" s="53" t="str">
        <f>IFERROR(VLOOKUP($C40,'LISTE A SAISIR'!$E$4:$N$19,2,0),"")</f>
        <v/>
      </c>
      <c r="E40" s="1"/>
      <c r="F40" s="53" t="str">
        <f>IFERROR(VLOOKUP($C40,'LISTE A SAISIR'!$E$4:$N$19,2+2*MATCH(E40,Y40:AB40,0),0),"")</f>
        <v/>
      </c>
      <c r="G40" s="1"/>
      <c r="H40" s="7"/>
      <c r="I40" s="53">
        <f t="shared" si="1"/>
        <v>0</v>
      </c>
      <c r="L40" s="52" t="str">
        <f t="array" ref="L40">IFERROR(INDEX(B:B,SMALL(IF($B$2:$B$149=$K$1,ROW($B$2:$B$149)),ROWS(L$2:L40))),"")</f>
        <v/>
      </c>
      <c r="M40" s="52" t="str">
        <f t="array" ref="M40">IFERROR(INDEX(#REF!,SMALL(IF($B$2:$B$149=$K$1,ROW($B$2:$B$149)),ROWS(M$2:M40))),"")</f>
        <v/>
      </c>
      <c r="N40" s="52" t="str">
        <f t="array" ref="N40">IFERROR(INDEX(C:C,SMALL(IF($B$2:$B$149=$K$1,ROW($B$2:$B$149)),ROWS(N$2:N40))),"")</f>
        <v/>
      </c>
      <c r="O40" s="52" t="str">
        <f t="array" ref="O40">IFERROR(INDEX(D:D,SMALL(IF($B$2:$B$149=$K$1,ROW($B$2:$B$149)),ROWS(O$2:O40))),"")</f>
        <v/>
      </c>
      <c r="P40" s="52" t="str">
        <f t="array" ref="P40">IFERROR(INDEX(E:E,SMALL(IF($B$2:$B$149=$K$1,ROW($B$2:$B$149)),ROWS(P$2:P40))),"")</f>
        <v/>
      </c>
      <c r="Q40" s="52" t="str">
        <f t="array" ref="Q40">IFERROR(INDEX(F:F,SMALL(IF($B$2:$B$149=$K$1,ROW($B$2:$B$149)),ROWS(Q$2:Q40))),"")</f>
        <v/>
      </c>
      <c r="R40" s="52" t="str">
        <f t="array" ref="R40">IFERROR(INDEX(G:G,SMALL(IF($B$2:$B$149=$K$1,ROW($B$2:$B$149)),ROWS(R$2:R40))),"")</f>
        <v/>
      </c>
      <c r="S40" s="52" t="str">
        <f t="array" ref="S40">IFERROR(INDEX(H:H,SMALL(IF($B$2:$B$149=$K$1,ROW($B$2:$B$149)),ROWS(S$2:S40))),"")</f>
        <v/>
      </c>
      <c r="Y40" s="55" t="str">
        <f>IFERROR(""&amp;VLOOKUP($C40,'LISTE A SAISIR'!$E$4:$L$19,3,0),"")</f>
        <v/>
      </c>
      <c r="Z40" s="55" t="str">
        <f>IFERROR(""&amp;VLOOKUP($C40,'LISTE A SAISIR'!$E$4:$L$19,5,0),"")</f>
        <v/>
      </c>
      <c r="AA40" s="55" t="str">
        <f>IFERROR(""&amp;VLOOKUP($C40,'LISTE A SAISIR'!$E$4:$L$19,7,0),"")</f>
        <v/>
      </c>
      <c r="AB40" s="55" t="str">
        <f>IFERROR(""&amp;VLOOKUP($C40,'LISTE A SAISIR'!$E$4:$N$19,9,0),"")</f>
        <v/>
      </c>
      <c r="AD40" s="56" t="str">
        <f t="array" ref="AD40">IFERROR(INDEX($A40:$AB40,SMALL(IF(NOT(COUNTIF($AC40:AC40,$Y40:$AB40)),COLUMN($Y40:$AB40)),1)),"")</f>
        <v/>
      </c>
      <c r="AE40" s="56" t="str">
        <f t="array" ref="AE40">IFERROR(INDEX($A40:$AB40,SMALL(IF(NOT(COUNTIF($AC40:AD40,$Y40:$AB40)),COLUMN($Y40:$AB40)),1)),"")</f>
        <v/>
      </c>
      <c r="AF40" s="56" t="str">
        <f t="array" ref="AF40">IFERROR(INDEX($A40:$AB40,SMALL(IF(NOT(COUNTIF($AC40:AE40,$Y40:$AB40)),COLUMN($Y40:$AB40)),1)),"")</f>
        <v/>
      </c>
      <c r="AG40" s="56" t="str">
        <f t="array" ref="AG40">IFERROR(INDEX($A40:$AB40,SMALL(IF(NOT(COUNTIF($AC40:AF40,$Y40:$AB40)),COLUMN($Y40:$AB40)),1)),"")</f>
        <v/>
      </c>
    </row>
    <row r="41" spans="1:33">
      <c r="A41" s="52">
        <v>40</v>
      </c>
      <c r="B41" s="4"/>
      <c r="C41" s="43"/>
      <c r="D41" s="52" t="str">
        <f>IFERROR(VLOOKUP($C41,'LISTE A SAISIR'!$E$4:$N$19,2,0),"")</f>
        <v/>
      </c>
      <c r="E41" s="1"/>
      <c r="F41" s="53" t="str">
        <f>IFERROR(VLOOKUP($C41,'LISTE A SAISIR'!$E$4:$N$19,2+2*MATCH(E41,Y41:AB41,0),0),"")</f>
        <v/>
      </c>
      <c r="G41" s="1"/>
      <c r="H41" s="1"/>
      <c r="I41" s="58">
        <f t="shared" si="1"/>
        <v>0</v>
      </c>
      <c r="L41" s="52" t="str">
        <f t="array" ref="L41">IFERROR(INDEX(B:B,SMALL(IF($B$2:$B$149=$K$1,ROW($B$2:$B$149)),ROWS(L$2:L41))),"")</f>
        <v/>
      </c>
      <c r="M41" s="52" t="str">
        <f t="array" ref="M41">IFERROR(INDEX(#REF!,SMALL(IF($B$2:$B$149=$K$1,ROW($B$2:$B$149)),ROWS(M$2:M41))),"")</f>
        <v/>
      </c>
      <c r="N41" s="52" t="str">
        <f t="array" ref="N41">IFERROR(INDEX(C:C,SMALL(IF($B$2:$B$149=$K$1,ROW($B$2:$B$149)),ROWS(N$2:N41))),"")</f>
        <v/>
      </c>
      <c r="O41" s="52" t="str">
        <f t="array" ref="O41">IFERROR(INDEX(D:D,SMALL(IF($B$2:$B$149=$K$1,ROW($B$2:$B$149)),ROWS(O$2:O41))),"")</f>
        <v/>
      </c>
      <c r="P41" s="52" t="str">
        <f t="array" ref="P41">IFERROR(INDEX(E:E,SMALL(IF($B$2:$B$149=$K$1,ROW($B$2:$B$149)),ROWS(P$2:P41))),"")</f>
        <v/>
      </c>
      <c r="Q41" s="52" t="str">
        <f t="array" ref="Q41">IFERROR(INDEX(F:F,SMALL(IF($B$2:$B$149=$K$1,ROW($B$2:$B$149)),ROWS(Q$2:Q41))),"")</f>
        <v/>
      </c>
      <c r="R41" s="52" t="str">
        <f t="array" ref="R41">IFERROR(INDEX(G:G,SMALL(IF($B$2:$B$149=$K$1,ROW($B$2:$B$149)),ROWS(R$2:R41))),"")</f>
        <v/>
      </c>
      <c r="S41" s="52" t="str">
        <f t="array" ref="S41">IFERROR(INDEX(H:H,SMALL(IF($B$2:$B$149=$K$1,ROW($B$2:$B$149)),ROWS(S$2:S41))),"")</f>
        <v/>
      </c>
      <c r="Y41" s="55" t="str">
        <f>IFERROR(""&amp;VLOOKUP($C41,'LISTE A SAISIR'!$E$4:$L$19,3,0),"")</f>
        <v/>
      </c>
      <c r="Z41" s="55" t="str">
        <f>IFERROR(""&amp;VLOOKUP($C41,'LISTE A SAISIR'!$E$4:$L$19,5,0),"")</f>
        <v/>
      </c>
      <c r="AA41" s="55" t="str">
        <f>IFERROR(""&amp;VLOOKUP($C41,'LISTE A SAISIR'!$E$4:$L$19,7,0),"")</f>
        <v/>
      </c>
      <c r="AB41" s="55" t="str">
        <f>IFERROR(""&amp;VLOOKUP($C41,'LISTE A SAISIR'!$E$4:$N$19,9,0),"")</f>
        <v/>
      </c>
      <c r="AD41" s="56" t="str">
        <f t="array" ref="AD41">IFERROR(INDEX($A41:$AB41,SMALL(IF(NOT(COUNTIF($AC41:AC41,$Y41:$AB41)),COLUMN($Y41:$AB41)),1)),"")</f>
        <v/>
      </c>
      <c r="AE41" s="56" t="str">
        <f t="array" ref="AE41">IFERROR(INDEX($A41:$AB41,SMALL(IF(NOT(COUNTIF($AC41:AD41,$Y41:$AB41)),COLUMN($Y41:$AB41)),1)),"")</f>
        <v/>
      </c>
      <c r="AF41" s="56" t="str">
        <f t="array" ref="AF41">IFERROR(INDEX($A41:$AB41,SMALL(IF(NOT(COUNTIF($AC41:AE41,$Y41:$AB41)),COLUMN($Y41:$AB41)),1)),"")</f>
        <v/>
      </c>
      <c r="AG41" s="56" t="str">
        <f t="array" ref="AG41">IFERROR(INDEX($A41:$AB41,SMALL(IF(NOT(COUNTIF($AC41:AF41,$Y41:$AB41)),COLUMN($Y41:$AB41)),1)),"")</f>
        <v/>
      </c>
    </row>
    <row r="42" spans="1:33">
      <c r="A42" s="52">
        <v>41</v>
      </c>
      <c r="B42" s="4"/>
      <c r="C42" s="43"/>
      <c r="D42" s="53" t="str">
        <f>IFERROR(VLOOKUP($C42,'LISTE A SAISIR'!$E$4:$N$19,2,0),"")</f>
        <v/>
      </c>
      <c r="E42" s="1"/>
      <c r="F42" s="53" t="str">
        <f>IFERROR(VLOOKUP($C42,'LISTE A SAISIR'!$E$4:$N$19,2+2*MATCH(E42,Y42:AB42,0),0),"")</f>
        <v/>
      </c>
      <c r="G42" s="1"/>
      <c r="H42" s="7"/>
      <c r="I42" s="53">
        <f t="shared" si="1"/>
        <v>0</v>
      </c>
      <c r="L42" s="52" t="str">
        <f t="array" ref="L42">IFERROR(INDEX(B:B,SMALL(IF($B$2:$B$149=$K$1,ROW($B$2:$B$149)),ROWS(L$2:L42))),"")</f>
        <v/>
      </c>
      <c r="M42" s="52" t="str">
        <f t="array" ref="M42">IFERROR(INDEX(#REF!,SMALL(IF($B$2:$B$149=$K$1,ROW($B$2:$B$149)),ROWS(M$2:M42))),"")</f>
        <v/>
      </c>
      <c r="N42" s="52" t="str">
        <f t="array" ref="N42">IFERROR(INDEX(C:C,SMALL(IF($B$2:$B$149=$K$1,ROW($B$2:$B$149)),ROWS(N$2:N42))),"")</f>
        <v/>
      </c>
      <c r="O42" s="52" t="str">
        <f t="array" ref="O42">IFERROR(INDEX(D:D,SMALL(IF($B$2:$B$149=$K$1,ROW($B$2:$B$149)),ROWS(O$2:O42))),"")</f>
        <v/>
      </c>
      <c r="P42" s="52" t="str">
        <f t="array" ref="P42">IFERROR(INDEX(E:E,SMALL(IF($B$2:$B$149=$K$1,ROW($B$2:$B$149)),ROWS(P$2:P42))),"")</f>
        <v/>
      </c>
      <c r="Q42" s="52" t="str">
        <f t="array" ref="Q42">IFERROR(INDEX(F:F,SMALL(IF($B$2:$B$149=$K$1,ROW($B$2:$B$149)),ROWS(Q$2:Q42))),"")</f>
        <v/>
      </c>
      <c r="R42" s="52" t="str">
        <f t="array" ref="R42">IFERROR(INDEX(G:G,SMALL(IF($B$2:$B$149=$K$1,ROW($B$2:$B$149)),ROWS(R$2:R42))),"")</f>
        <v/>
      </c>
      <c r="S42" s="52" t="str">
        <f t="array" ref="S42">IFERROR(INDEX(H:H,SMALL(IF($B$2:$B$149=$K$1,ROW($B$2:$B$149)),ROWS(S$2:S42))),"")</f>
        <v/>
      </c>
      <c r="Y42" s="55" t="str">
        <f>IFERROR(""&amp;VLOOKUP($C42,'LISTE A SAISIR'!$E$4:$L$19,3,0),"")</f>
        <v/>
      </c>
      <c r="Z42" s="55" t="str">
        <f>IFERROR(""&amp;VLOOKUP($C42,'LISTE A SAISIR'!$E$4:$L$19,5,0),"")</f>
        <v/>
      </c>
      <c r="AA42" s="55" t="str">
        <f>IFERROR(""&amp;VLOOKUP($C42,'LISTE A SAISIR'!$E$4:$L$19,7,0),"")</f>
        <v/>
      </c>
      <c r="AB42" s="55" t="str">
        <f>IFERROR(""&amp;VLOOKUP($C42,'LISTE A SAISIR'!$E$4:$N$19,9,0),"")</f>
        <v/>
      </c>
      <c r="AD42" s="56" t="str">
        <f t="array" ref="AD42">IFERROR(INDEX($A42:$AB42,SMALL(IF(NOT(COUNTIF($AC42:AC42,$Y42:$AB42)),COLUMN($Y42:$AB42)),1)),"")</f>
        <v/>
      </c>
      <c r="AE42" s="56" t="str">
        <f t="array" ref="AE42">IFERROR(INDEX($A42:$AB42,SMALL(IF(NOT(COUNTIF($AC42:AD42,$Y42:$AB42)),COLUMN($Y42:$AB42)),1)),"")</f>
        <v/>
      </c>
      <c r="AF42" s="56" t="str">
        <f t="array" ref="AF42">IFERROR(INDEX($A42:$AB42,SMALL(IF(NOT(COUNTIF($AC42:AE42,$Y42:$AB42)),COLUMN($Y42:$AB42)),1)),"")</f>
        <v/>
      </c>
      <c r="AG42" s="56" t="str">
        <f t="array" ref="AG42">IFERROR(INDEX($A42:$AB42,SMALL(IF(NOT(COUNTIF($AC42:AF42,$Y42:$AB42)),COLUMN($Y42:$AB42)),1)),"")</f>
        <v/>
      </c>
    </row>
    <row r="43" spans="1:33">
      <c r="A43" s="52">
        <v>42</v>
      </c>
      <c r="B43" s="4"/>
      <c r="C43" s="43"/>
      <c r="D43" s="52" t="str">
        <f>IFERROR(VLOOKUP($C43,'LISTE A SAISIR'!$E$4:$N$19,2,0),"")</f>
        <v/>
      </c>
      <c r="E43" s="1"/>
      <c r="F43" s="53" t="str">
        <f>IFERROR(VLOOKUP($C43,'LISTE A SAISIR'!$E$4:$N$19,2+2*MATCH(E43,Y43:AB43,0),0),"")</f>
        <v/>
      </c>
      <c r="G43" s="1"/>
      <c r="H43" s="1"/>
      <c r="I43" s="58">
        <f t="shared" si="1"/>
        <v>0</v>
      </c>
      <c r="L43" s="52" t="str">
        <f t="array" ref="L43">IFERROR(INDEX(B:B,SMALL(IF($B$2:$B$149=$K$1,ROW($B$2:$B$149)),ROWS(L$2:L43))),"")</f>
        <v/>
      </c>
      <c r="M43" s="52" t="str">
        <f t="array" ref="M43">IFERROR(INDEX(#REF!,SMALL(IF($B$2:$B$149=$K$1,ROW($B$2:$B$149)),ROWS(M$2:M43))),"")</f>
        <v/>
      </c>
      <c r="N43" s="52" t="str">
        <f t="array" ref="N43">IFERROR(INDEX(C:C,SMALL(IF($B$2:$B$149=$K$1,ROW($B$2:$B$149)),ROWS(N$2:N43))),"")</f>
        <v/>
      </c>
      <c r="O43" s="52" t="str">
        <f t="array" ref="O43">IFERROR(INDEX(D:D,SMALL(IF($B$2:$B$149=$K$1,ROW($B$2:$B$149)),ROWS(O$2:O43))),"")</f>
        <v/>
      </c>
      <c r="P43" s="52" t="str">
        <f t="array" ref="P43">IFERROR(INDEX(E:E,SMALL(IF($B$2:$B$149=$K$1,ROW($B$2:$B$149)),ROWS(P$2:P43))),"")</f>
        <v/>
      </c>
      <c r="Q43" s="52" t="str">
        <f t="array" ref="Q43">IFERROR(INDEX(F:F,SMALL(IF($B$2:$B$149=$K$1,ROW($B$2:$B$149)),ROWS(Q$2:Q43))),"")</f>
        <v/>
      </c>
      <c r="R43" s="52" t="str">
        <f t="array" ref="R43">IFERROR(INDEX(G:G,SMALL(IF($B$2:$B$149=$K$1,ROW($B$2:$B$149)),ROWS(R$2:R43))),"")</f>
        <v/>
      </c>
      <c r="S43" s="52" t="str">
        <f t="array" ref="S43">IFERROR(INDEX(H:H,SMALL(IF($B$2:$B$149=$K$1,ROW($B$2:$B$149)),ROWS(S$2:S43))),"")</f>
        <v/>
      </c>
      <c r="Y43" s="55" t="str">
        <f>IFERROR(""&amp;VLOOKUP($C43,'LISTE A SAISIR'!$E$4:$L$19,3,0),"")</f>
        <v/>
      </c>
      <c r="Z43" s="55" t="str">
        <f>IFERROR(""&amp;VLOOKUP($C43,'LISTE A SAISIR'!$E$4:$L$19,5,0),"")</f>
        <v/>
      </c>
      <c r="AA43" s="55" t="str">
        <f>IFERROR(""&amp;VLOOKUP($C43,'LISTE A SAISIR'!$E$4:$L$19,7,0),"")</f>
        <v/>
      </c>
      <c r="AB43" s="55" t="str">
        <f>IFERROR(""&amp;VLOOKUP($C43,'LISTE A SAISIR'!$E$4:$N$19,9,0),"")</f>
        <v/>
      </c>
      <c r="AD43" s="56" t="str">
        <f t="array" ref="AD43">IFERROR(INDEX($A43:$AB43,SMALL(IF(NOT(COUNTIF($AC43:AC43,$Y43:$AB43)),COLUMN($Y43:$AB43)),1)),"")</f>
        <v/>
      </c>
      <c r="AE43" s="56" t="str">
        <f t="array" ref="AE43">IFERROR(INDEX($A43:$AB43,SMALL(IF(NOT(COUNTIF($AC43:AD43,$Y43:$AB43)),COLUMN($Y43:$AB43)),1)),"")</f>
        <v/>
      </c>
      <c r="AF43" s="56" t="str">
        <f t="array" ref="AF43">IFERROR(INDEX($A43:$AB43,SMALL(IF(NOT(COUNTIF($AC43:AE43,$Y43:$AB43)),COLUMN($Y43:$AB43)),1)),"")</f>
        <v/>
      </c>
      <c r="AG43" s="56" t="str">
        <f t="array" ref="AG43">IFERROR(INDEX($A43:$AB43,SMALL(IF(NOT(COUNTIF($AC43:AF43,$Y43:$AB43)),COLUMN($Y43:$AB43)),1)),"")</f>
        <v/>
      </c>
    </row>
    <row r="44" spans="1:33">
      <c r="A44" s="52">
        <v>43</v>
      </c>
      <c r="B44" s="4"/>
      <c r="C44" s="43"/>
      <c r="D44" s="53" t="str">
        <f>IFERROR(VLOOKUP($C44,'LISTE A SAISIR'!$E$4:$N$19,2,0),"")</f>
        <v/>
      </c>
      <c r="E44" s="1"/>
      <c r="F44" s="53" t="str">
        <f>IFERROR(VLOOKUP($C44,'LISTE A SAISIR'!$E$4:$N$19,2+2*MATCH(E44,Y44:AB44,0),0),"")</f>
        <v/>
      </c>
      <c r="G44" s="1"/>
      <c r="H44" s="7"/>
      <c r="I44" s="53">
        <f t="shared" si="1"/>
        <v>0</v>
      </c>
      <c r="L44" s="52" t="str">
        <f t="array" ref="L44">IFERROR(INDEX(B:B,SMALL(IF($B$2:$B$149=$K$1,ROW($B$2:$B$149)),ROWS(L$2:L44))),"")</f>
        <v/>
      </c>
      <c r="M44" s="52" t="str">
        <f t="array" ref="M44">IFERROR(INDEX(#REF!,SMALL(IF($B$2:$B$149=$K$1,ROW($B$2:$B$149)),ROWS(M$2:M44))),"")</f>
        <v/>
      </c>
      <c r="N44" s="52" t="str">
        <f t="array" ref="N44">IFERROR(INDEX(C:C,SMALL(IF($B$2:$B$149=$K$1,ROW($B$2:$B$149)),ROWS(N$2:N44))),"")</f>
        <v/>
      </c>
      <c r="O44" s="52" t="str">
        <f t="array" ref="O44">IFERROR(INDEX(D:D,SMALL(IF($B$2:$B$149=$K$1,ROW($B$2:$B$149)),ROWS(O$2:O44))),"")</f>
        <v/>
      </c>
      <c r="P44" s="52" t="str">
        <f t="array" ref="P44">IFERROR(INDEX(E:E,SMALL(IF($B$2:$B$149=$K$1,ROW($B$2:$B$149)),ROWS(P$2:P44))),"")</f>
        <v/>
      </c>
      <c r="Q44" s="52" t="str">
        <f t="array" ref="Q44">IFERROR(INDEX(F:F,SMALL(IF($B$2:$B$149=$K$1,ROW($B$2:$B$149)),ROWS(Q$2:Q44))),"")</f>
        <v/>
      </c>
      <c r="R44" s="52" t="str">
        <f t="array" ref="R44">IFERROR(INDEX(G:G,SMALL(IF($B$2:$B$149=$K$1,ROW($B$2:$B$149)),ROWS(R$2:R44))),"")</f>
        <v/>
      </c>
      <c r="S44" s="52" t="str">
        <f t="array" ref="S44">IFERROR(INDEX(H:H,SMALL(IF($B$2:$B$149=$K$1,ROW($B$2:$B$149)),ROWS(S$2:S44))),"")</f>
        <v/>
      </c>
      <c r="Y44" s="55" t="str">
        <f>IFERROR(""&amp;VLOOKUP($C44,'LISTE A SAISIR'!$E$4:$L$19,3,0),"")</f>
        <v/>
      </c>
      <c r="Z44" s="55" t="str">
        <f>IFERROR(""&amp;VLOOKUP($C44,'LISTE A SAISIR'!$E$4:$L$19,5,0),"")</f>
        <v/>
      </c>
      <c r="AA44" s="55" t="str">
        <f>IFERROR(""&amp;VLOOKUP($C44,'LISTE A SAISIR'!$E$4:$L$19,7,0),"")</f>
        <v/>
      </c>
      <c r="AB44" s="55" t="str">
        <f>IFERROR(""&amp;VLOOKUP($C44,'LISTE A SAISIR'!$E$4:$N$19,9,0),"")</f>
        <v/>
      </c>
      <c r="AD44" s="56" t="str">
        <f t="array" ref="AD44">IFERROR(INDEX($A44:$AB44,SMALL(IF(NOT(COUNTIF($AC44:AC44,$Y44:$AB44)),COLUMN($Y44:$AB44)),1)),"")</f>
        <v/>
      </c>
      <c r="AE44" s="56" t="str">
        <f t="array" ref="AE44">IFERROR(INDEX($A44:$AB44,SMALL(IF(NOT(COUNTIF($AC44:AD44,$Y44:$AB44)),COLUMN($Y44:$AB44)),1)),"")</f>
        <v/>
      </c>
      <c r="AF44" s="56" t="str">
        <f t="array" ref="AF44">IFERROR(INDEX($A44:$AB44,SMALL(IF(NOT(COUNTIF($AC44:AE44,$Y44:$AB44)),COLUMN($Y44:$AB44)),1)),"")</f>
        <v/>
      </c>
      <c r="AG44" s="56" t="str">
        <f t="array" ref="AG44">IFERROR(INDEX($A44:$AB44,SMALL(IF(NOT(COUNTIF($AC44:AF44,$Y44:$AB44)),COLUMN($Y44:$AB44)),1)),"")</f>
        <v/>
      </c>
    </row>
    <row r="45" spans="1:33">
      <c r="A45" s="52">
        <v>44</v>
      </c>
      <c r="B45" s="4"/>
      <c r="C45" s="43"/>
      <c r="D45" s="52" t="str">
        <f>IFERROR(VLOOKUP($C45,'LISTE A SAISIR'!$E$4:$N$19,2,0),"")</f>
        <v/>
      </c>
      <c r="E45" s="1"/>
      <c r="F45" s="53" t="str">
        <f>IFERROR(VLOOKUP($C45,'LISTE A SAISIR'!$E$4:$N$19,2+2*MATCH(E45,Y45:AB45,0),0),"")</f>
        <v/>
      </c>
      <c r="G45" s="1"/>
      <c r="H45" s="1"/>
      <c r="I45" s="58">
        <f t="shared" si="1"/>
        <v>0</v>
      </c>
      <c r="L45" s="52" t="str">
        <f t="array" ref="L45">IFERROR(INDEX(B:B,SMALL(IF($B$2:$B$149=$K$1,ROW($B$2:$B$149)),ROWS(L$2:L45))),"")</f>
        <v/>
      </c>
      <c r="M45" s="52" t="str">
        <f t="array" ref="M45">IFERROR(INDEX(#REF!,SMALL(IF($B$2:$B$149=$K$1,ROW($B$2:$B$149)),ROWS(M$2:M45))),"")</f>
        <v/>
      </c>
      <c r="N45" s="52" t="str">
        <f t="array" ref="N45">IFERROR(INDEX(C:C,SMALL(IF($B$2:$B$149=$K$1,ROW($B$2:$B$149)),ROWS(N$2:N45))),"")</f>
        <v/>
      </c>
      <c r="O45" s="52" t="str">
        <f t="array" ref="O45">IFERROR(INDEX(D:D,SMALL(IF($B$2:$B$149=$K$1,ROW($B$2:$B$149)),ROWS(O$2:O45))),"")</f>
        <v/>
      </c>
      <c r="P45" s="52" t="str">
        <f t="array" ref="P45">IFERROR(INDEX(E:E,SMALL(IF($B$2:$B$149=$K$1,ROW($B$2:$B$149)),ROWS(P$2:P45))),"")</f>
        <v/>
      </c>
      <c r="Q45" s="52" t="str">
        <f t="array" ref="Q45">IFERROR(INDEX(F:F,SMALL(IF($B$2:$B$149=$K$1,ROW($B$2:$B$149)),ROWS(Q$2:Q45))),"")</f>
        <v/>
      </c>
      <c r="R45" s="52" t="str">
        <f t="array" ref="R45">IFERROR(INDEX(G:G,SMALL(IF($B$2:$B$149=$K$1,ROW($B$2:$B$149)),ROWS(R$2:R45))),"")</f>
        <v/>
      </c>
      <c r="S45" s="52" t="str">
        <f t="array" ref="S45">IFERROR(INDEX(H:H,SMALL(IF($B$2:$B$149=$K$1,ROW($B$2:$B$149)),ROWS(S$2:S45))),"")</f>
        <v/>
      </c>
      <c r="Y45" s="55" t="str">
        <f>IFERROR(""&amp;VLOOKUP($C45,'LISTE A SAISIR'!$E$4:$L$19,3,0),"")</f>
        <v/>
      </c>
      <c r="Z45" s="55" t="str">
        <f>IFERROR(""&amp;VLOOKUP($C45,'LISTE A SAISIR'!$E$4:$L$19,5,0),"")</f>
        <v/>
      </c>
      <c r="AA45" s="55" t="str">
        <f>IFERROR(""&amp;VLOOKUP($C45,'LISTE A SAISIR'!$E$4:$L$19,7,0),"")</f>
        <v/>
      </c>
      <c r="AB45" s="55" t="str">
        <f>IFERROR(""&amp;VLOOKUP($C45,'LISTE A SAISIR'!$E$4:$N$19,9,0),"")</f>
        <v/>
      </c>
      <c r="AD45" s="56" t="str">
        <f t="array" ref="AD45">IFERROR(INDEX($A45:$AB45,SMALL(IF(NOT(COUNTIF($AC45:AC45,$Y45:$AB45)),COLUMN($Y45:$AB45)),1)),"")</f>
        <v/>
      </c>
      <c r="AE45" s="56" t="str">
        <f t="array" ref="AE45">IFERROR(INDEX($A45:$AB45,SMALL(IF(NOT(COUNTIF($AC45:AD45,$Y45:$AB45)),COLUMN($Y45:$AB45)),1)),"")</f>
        <v/>
      </c>
      <c r="AF45" s="56" t="str">
        <f t="array" ref="AF45">IFERROR(INDEX($A45:$AB45,SMALL(IF(NOT(COUNTIF($AC45:AE45,$Y45:$AB45)),COLUMN($Y45:$AB45)),1)),"")</f>
        <v/>
      </c>
      <c r="AG45" s="56" t="str">
        <f t="array" ref="AG45">IFERROR(INDEX($A45:$AB45,SMALL(IF(NOT(COUNTIF($AC45:AF45,$Y45:$AB45)),COLUMN($Y45:$AB45)),1)),"")</f>
        <v/>
      </c>
    </row>
    <row r="46" spans="1:33">
      <c r="A46" s="52">
        <v>45</v>
      </c>
      <c r="B46" s="4"/>
      <c r="C46" s="43"/>
      <c r="D46" s="53" t="str">
        <f>IFERROR(VLOOKUP($C46,'LISTE A SAISIR'!$E$4:$N$19,2,0),"")</f>
        <v/>
      </c>
      <c r="E46" s="1"/>
      <c r="F46" s="53" t="str">
        <f>IFERROR(VLOOKUP($C46,'LISTE A SAISIR'!$E$4:$N$19,2+2*MATCH(E46,Y46:AB46,0),0),"")</f>
        <v/>
      </c>
      <c r="G46" s="1"/>
      <c r="H46" s="7"/>
      <c r="I46" s="53">
        <f t="shared" si="1"/>
        <v>0</v>
      </c>
      <c r="L46" s="52" t="str">
        <f t="array" ref="L46">IFERROR(INDEX(B:B,SMALL(IF($B$2:$B$149=$K$1,ROW($B$2:$B$149)),ROWS(L$2:L46))),"")</f>
        <v/>
      </c>
      <c r="M46" s="52" t="str">
        <f t="array" ref="M46">IFERROR(INDEX(#REF!,SMALL(IF($B$2:$B$149=$K$1,ROW($B$2:$B$149)),ROWS(M$2:M46))),"")</f>
        <v/>
      </c>
      <c r="N46" s="52" t="str">
        <f t="array" ref="N46">IFERROR(INDEX(C:C,SMALL(IF($B$2:$B$149=$K$1,ROW($B$2:$B$149)),ROWS(N$2:N46))),"")</f>
        <v/>
      </c>
      <c r="O46" s="52" t="str">
        <f t="array" ref="O46">IFERROR(INDEX(D:D,SMALL(IF($B$2:$B$149=$K$1,ROW($B$2:$B$149)),ROWS(O$2:O46))),"")</f>
        <v/>
      </c>
      <c r="P46" s="52" t="str">
        <f t="array" ref="P46">IFERROR(INDEX(E:E,SMALL(IF($B$2:$B$149=$K$1,ROW($B$2:$B$149)),ROWS(P$2:P46))),"")</f>
        <v/>
      </c>
      <c r="Q46" s="52" t="str">
        <f t="array" ref="Q46">IFERROR(INDEX(F:F,SMALL(IF($B$2:$B$149=$K$1,ROW($B$2:$B$149)),ROWS(Q$2:Q46))),"")</f>
        <v/>
      </c>
      <c r="R46" s="52" t="str">
        <f t="array" ref="R46">IFERROR(INDEX(G:G,SMALL(IF($B$2:$B$149=$K$1,ROW($B$2:$B$149)),ROWS(R$2:R46))),"")</f>
        <v/>
      </c>
      <c r="S46" s="52" t="str">
        <f t="array" ref="S46">IFERROR(INDEX(H:H,SMALL(IF($B$2:$B$149=$K$1,ROW($B$2:$B$149)),ROWS(S$2:S46))),"")</f>
        <v/>
      </c>
      <c r="Y46" s="55" t="str">
        <f>IFERROR(""&amp;VLOOKUP($C46,'LISTE A SAISIR'!$E$4:$L$19,3,0),"")</f>
        <v/>
      </c>
      <c r="Z46" s="55" t="str">
        <f>IFERROR(""&amp;VLOOKUP($C46,'LISTE A SAISIR'!$E$4:$L$19,5,0),"")</f>
        <v/>
      </c>
      <c r="AA46" s="55" t="str">
        <f>IFERROR(""&amp;VLOOKUP($C46,'LISTE A SAISIR'!$E$4:$L$19,7,0),"")</f>
        <v/>
      </c>
      <c r="AB46" s="55" t="str">
        <f>IFERROR(""&amp;VLOOKUP($C46,'LISTE A SAISIR'!$E$4:$N$19,9,0),"")</f>
        <v/>
      </c>
      <c r="AD46" s="56" t="str">
        <f t="array" ref="AD46">IFERROR(INDEX($A46:$AB46,SMALL(IF(NOT(COUNTIF($AC46:AC46,$Y46:$AB46)),COLUMN($Y46:$AB46)),1)),"")</f>
        <v/>
      </c>
      <c r="AE46" s="56" t="str">
        <f t="array" ref="AE46">IFERROR(INDEX($A46:$AB46,SMALL(IF(NOT(COUNTIF($AC46:AD46,$Y46:$AB46)),COLUMN($Y46:$AB46)),1)),"")</f>
        <v/>
      </c>
      <c r="AF46" s="56" t="str">
        <f t="array" ref="AF46">IFERROR(INDEX($A46:$AB46,SMALL(IF(NOT(COUNTIF($AC46:AE46,$Y46:$AB46)),COLUMN($Y46:$AB46)),1)),"")</f>
        <v/>
      </c>
      <c r="AG46" s="56" t="str">
        <f t="array" ref="AG46">IFERROR(INDEX($A46:$AB46,SMALL(IF(NOT(COUNTIF($AC46:AF46,$Y46:$AB46)),COLUMN($Y46:$AB46)),1)),"")</f>
        <v/>
      </c>
    </row>
    <row r="47" spans="1:33">
      <c r="A47" s="52">
        <v>46</v>
      </c>
      <c r="B47" s="4"/>
      <c r="C47" s="43"/>
      <c r="D47" s="52" t="str">
        <f>IFERROR(VLOOKUP($C47,'LISTE A SAISIR'!$E$4:$N$19,2,0),"")</f>
        <v/>
      </c>
      <c r="E47" s="1"/>
      <c r="F47" s="53" t="str">
        <f>IFERROR(VLOOKUP($C47,'LISTE A SAISIR'!$E$4:$N$19,2+2*MATCH(E47,Y47:AB47,0),0),"")</f>
        <v/>
      </c>
      <c r="G47" s="1"/>
      <c r="H47" s="1"/>
      <c r="I47" s="58">
        <f t="shared" si="1"/>
        <v>0</v>
      </c>
      <c r="L47" s="52" t="str">
        <f t="array" ref="L47">IFERROR(INDEX(B:B,SMALL(IF($B$2:$B$149=$K$1,ROW($B$2:$B$149)),ROWS(L$2:L47))),"")</f>
        <v/>
      </c>
      <c r="M47" s="52" t="str">
        <f t="array" ref="M47">IFERROR(INDEX(#REF!,SMALL(IF($B$2:$B$149=$K$1,ROW($B$2:$B$149)),ROWS(M$2:M47))),"")</f>
        <v/>
      </c>
      <c r="N47" s="52" t="str">
        <f t="array" ref="N47">IFERROR(INDEX(C:C,SMALL(IF($B$2:$B$149=$K$1,ROW($B$2:$B$149)),ROWS(N$2:N47))),"")</f>
        <v/>
      </c>
      <c r="O47" s="52" t="str">
        <f t="array" ref="O47">IFERROR(INDEX(D:D,SMALL(IF($B$2:$B$149=$K$1,ROW($B$2:$B$149)),ROWS(O$2:O47))),"")</f>
        <v/>
      </c>
      <c r="P47" s="52" t="str">
        <f t="array" ref="P47">IFERROR(INDEX(E:E,SMALL(IF($B$2:$B$149=$K$1,ROW($B$2:$B$149)),ROWS(P$2:P47))),"")</f>
        <v/>
      </c>
      <c r="Q47" s="52" t="str">
        <f t="array" ref="Q47">IFERROR(INDEX(F:F,SMALL(IF($B$2:$B$149=$K$1,ROW($B$2:$B$149)),ROWS(Q$2:Q47))),"")</f>
        <v/>
      </c>
      <c r="R47" s="52" t="str">
        <f t="array" ref="R47">IFERROR(INDEX(G:G,SMALL(IF($B$2:$B$149=$K$1,ROW($B$2:$B$149)),ROWS(R$2:R47))),"")</f>
        <v/>
      </c>
      <c r="S47" s="52" t="str">
        <f t="array" ref="S47">IFERROR(INDEX(H:H,SMALL(IF($B$2:$B$149=$K$1,ROW($B$2:$B$149)),ROWS(S$2:S47))),"")</f>
        <v/>
      </c>
      <c r="Y47" s="55" t="str">
        <f>IFERROR(""&amp;VLOOKUP($C47,'LISTE A SAISIR'!$E$4:$L$19,3,0),"")</f>
        <v/>
      </c>
      <c r="Z47" s="55" t="str">
        <f>IFERROR(""&amp;VLOOKUP($C47,'LISTE A SAISIR'!$E$4:$L$19,5,0),"")</f>
        <v/>
      </c>
      <c r="AA47" s="55" t="str">
        <f>IFERROR(""&amp;VLOOKUP($C47,'LISTE A SAISIR'!$E$4:$L$19,7,0),"")</f>
        <v/>
      </c>
      <c r="AB47" s="55" t="str">
        <f>IFERROR(""&amp;VLOOKUP($C47,'LISTE A SAISIR'!$E$4:$N$19,9,0),"")</f>
        <v/>
      </c>
      <c r="AD47" s="56" t="str">
        <f t="array" ref="AD47">IFERROR(INDEX($A47:$AB47,SMALL(IF(NOT(COUNTIF($AC47:AC47,$Y47:$AB47)),COLUMN($Y47:$AB47)),1)),"")</f>
        <v/>
      </c>
      <c r="AE47" s="56" t="str">
        <f t="array" ref="AE47">IFERROR(INDEX($A47:$AB47,SMALL(IF(NOT(COUNTIF($AC47:AD47,$Y47:$AB47)),COLUMN($Y47:$AB47)),1)),"")</f>
        <v/>
      </c>
      <c r="AF47" s="56" t="str">
        <f t="array" ref="AF47">IFERROR(INDEX($A47:$AB47,SMALL(IF(NOT(COUNTIF($AC47:AE47,$Y47:$AB47)),COLUMN($Y47:$AB47)),1)),"")</f>
        <v/>
      </c>
      <c r="AG47" s="56" t="str">
        <f t="array" ref="AG47">IFERROR(INDEX($A47:$AB47,SMALL(IF(NOT(COUNTIF($AC47:AF47,$Y47:$AB47)),COLUMN($Y47:$AB47)),1)),"")</f>
        <v/>
      </c>
    </row>
    <row r="48" spans="1:33">
      <c r="A48" s="52">
        <v>47</v>
      </c>
      <c r="B48" s="4"/>
      <c r="C48" s="43"/>
      <c r="D48" s="53" t="str">
        <f>IFERROR(VLOOKUP($C48,'LISTE A SAISIR'!$E$4:$N$19,2,0),"")</f>
        <v/>
      </c>
      <c r="E48" s="1"/>
      <c r="F48" s="53" t="str">
        <f>IFERROR(VLOOKUP($C48,'LISTE A SAISIR'!$E$4:$N$19,2+2*MATCH(E48,Y48:AB48,0),0),"")</f>
        <v/>
      </c>
      <c r="G48" s="1"/>
      <c r="H48" s="7"/>
      <c r="I48" s="53">
        <f t="shared" si="1"/>
        <v>0</v>
      </c>
      <c r="L48" s="52" t="str">
        <f t="array" ref="L48">IFERROR(INDEX(B:B,SMALL(IF($B$2:$B$149=$K$1,ROW($B$2:$B$149)),ROWS(L$2:L48))),"")</f>
        <v/>
      </c>
      <c r="M48" s="52" t="str">
        <f t="array" ref="M48">IFERROR(INDEX(#REF!,SMALL(IF($B$2:$B$149=$K$1,ROW($B$2:$B$149)),ROWS(M$2:M48))),"")</f>
        <v/>
      </c>
      <c r="N48" s="52" t="str">
        <f t="array" ref="N48">IFERROR(INDEX(C:C,SMALL(IF($B$2:$B$149=$K$1,ROW($B$2:$B$149)),ROWS(N$2:N48))),"")</f>
        <v/>
      </c>
      <c r="O48" s="52" t="str">
        <f t="array" ref="O48">IFERROR(INDEX(D:D,SMALL(IF($B$2:$B$149=$K$1,ROW($B$2:$B$149)),ROWS(O$2:O48))),"")</f>
        <v/>
      </c>
      <c r="P48" s="52" t="str">
        <f t="array" ref="P48">IFERROR(INDEX(E:E,SMALL(IF($B$2:$B$149=$K$1,ROW($B$2:$B$149)),ROWS(P$2:P48))),"")</f>
        <v/>
      </c>
      <c r="Q48" s="52" t="str">
        <f t="array" ref="Q48">IFERROR(INDEX(F:F,SMALL(IF($B$2:$B$149=$K$1,ROW($B$2:$B$149)),ROWS(Q$2:Q48))),"")</f>
        <v/>
      </c>
      <c r="R48" s="52" t="str">
        <f t="array" ref="R48">IFERROR(INDEX(G:G,SMALL(IF($B$2:$B$149=$K$1,ROW($B$2:$B$149)),ROWS(R$2:R48))),"")</f>
        <v/>
      </c>
      <c r="S48" s="52" t="str">
        <f t="array" ref="S48">IFERROR(INDEX(H:H,SMALL(IF($B$2:$B$149=$K$1,ROW($B$2:$B$149)),ROWS(S$2:S48))),"")</f>
        <v/>
      </c>
      <c r="Y48" s="55" t="str">
        <f>IFERROR(""&amp;VLOOKUP($C48,'LISTE A SAISIR'!$E$4:$L$19,3,0),"")</f>
        <v/>
      </c>
      <c r="Z48" s="55" t="str">
        <f>IFERROR(""&amp;VLOOKUP($C48,'LISTE A SAISIR'!$E$4:$L$19,5,0),"")</f>
        <v/>
      </c>
      <c r="AA48" s="55" t="str">
        <f>IFERROR(""&amp;VLOOKUP($C48,'LISTE A SAISIR'!$E$4:$L$19,7,0),"")</f>
        <v/>
      </c>
      <c r="AB48" s="55" t="str">
        <f>IFERROR(""&amp;VLOOKUP($C48,'LISTE A SAISIR'!$E$4:$N$19,9,0),"")</f>
        <v/>
      </c>
      <c r="AD48" s="56" t="str">
        <f t="array" ref="AD48">IFERROR(INDEX($A48:$AB48,SMALL(IF(NOT(COUNTIF($AC48:AC48,$Y48:$AB48)),COLUMN($Y48:$AB48)),1)),"")</f>
        <v/>
      </c>
      <c r="AE48" s="56" t="str">
        <f t="array" ref="AE48">IFERROR(INDEX($A48:$AB48,SMALL(IF(NOT(COUNTIF($AC48:AD48,$Y48:$AB48)),COLUMN($Y48:$AB48)),1)),"")</f>
        <v/>
      </c>
      <c r="AF48" s="56" t="str">
        <f t="array" ref="AF48">IFERROR(INDEX($A48:$AB48,SMALL(IF(NOT(COUNTIF($AC48:AE48,$Y48:$AB48)),COLUMN($Y48:$AB48)),1)),"")</f>
        <v/>
      </c>
      <c r="AG48" s="56" t="str">
        <f t="array" ref="AG48">IFERROR(INDEX($A48:$AB48,SMALL(IF(NOT(COUNTIF($AC48:AF48,$Y48:$AB48)),COLUMN($Y48:$AB48)),1)),"")</f>
        <v/>
      </c>
    </row>
    <row r="49" spans="1:33">
      <c r="A49" s="52">
        <v>48</v>
      </c>
      <c r="B49" s="4"/>
      <c r="C49" s="43"/>
      <c r="D49" s="52" t="str">
        <f>IFERROR(VLOOKUP($C49,'LISTE A SAISIR'!$E$4:$N$19,2,0),"")</f>
        <v/>
      </c>
      <c r="E49" s="1"/>
      <c r="F49" s="53" t="str">
        <f>IFERROR(VLOOKUP($C49,'LISTE A SAISIR'!$E$4:$N$19,2+2*MATCH(E49,Y49:AB49,0),0),"")</f>
        <v/>
      </c>
      <c r="G49" s="1"/>
      <c r="H49" s="1"/>
      <c r="I49" s="58">
        <f t="shared" si="1"/>
        <v>0</v>
      </c>
      <c r="L49" s="52" t="str">
        <f t="array" ref="L49">IFERROR(INDEX(B:B,SMALL(IF($B$2:$B$149=$K$1,ROW($B$2:$B$149)),ROWS(L$2:L49))),"")</f>
        <v/>
      </c>
      <c r="M49" s="52" t="str">
        <f t="array" ref="M49">IFERROR(INDEX(#REF!,SMALL(IF($B$2:$B$149=$K$1,ROW($B$2:$B$149)),ROWS(M$2:M49))),"")</f>
        <v/>
      </c>
      <c r="N49" s="52" t="str">
        <f t="array" ref="N49">IFERROR(INDEX(C:C,SMALL(IF($B$2:$B$149=$K$1,ROW($B$2:$B$149)),ROWS(N$2:N49))),"")</f>
        <v/>
      </c>
      <c r="O49" s="52" t="str">
        <f t="array" ref="O49">IFERROR(INDEX(D:D,SMALL(IF($B$2:$B$149=$K$1,ROW($B$2:$B$149)),ROWS(O$2:O49))),"")</f>
        <v/>
      </c>
      <c r="P49" s="52" t="str">
        <f t="array" ref="P49">IFERROR(INDEX(E:E,SMALL(IF($B$2:$B$149=$K$1,ROW($B$2:$B$149)),ROWS(P$2:P49))),"")</f>
        <v/>
      </c>
      <c r="Q49" s="52" t="str">
        <f t="array" ref="Q49">IFERROR(INDEX(F:F,SMALL(IF($B$2:$B$149=$K$1,ROW($B$2:$B$149)),ROWS(Q$2:Q49))),"")</f>
        <v/>
      </c>
      <c r="R49" s="52" t="str">
        <f t="array" ref="R49">IFERROR(INDEX(G:G,SMALL(IF($B$2:$B$149=$K$1,ROW($B$2:$B$149)),ROWS(R$2:R49))),"")</f>
        <v/>
      </c>
      <c r="S49" s="52" t="str">
        <f t="array" ref="S49">IFERROR(INDEX(H:H,SMALL(IF($B$2:$B$149=$K$1,ROW($B$2:$B$149)),ROWS(S$2:S49))),"")</f>
        <v/>
      </c>
      <c r="Y49" s="55" t="str">
        <f>IFERROR(""&amp;VLOOKUP($C49,'LISTE A SAISIR'!$E$4:$L$19,3,0),"")</f>
        <v/>
      </c>
      <c r="Z49" s="55" t="str">
        <f>IFERROR(""&amp;VLOOKUP($C49,'LISTE A SAISIR'!$E$4:$L$19,5,0),"")</f>
        <v/>
      </c>
      <c r="AA49" s="55" t="str">
        <f>IFERROR(""&amp;VLOOKUP($C49,'LISTE A SAISIR'!$E$4:$L$19,7,0),"")</f>
        <v/>
      </c>
      <c r="AB49" s="55" t="str">
        <f>IFERROR(""&amp;VLOOKUP($C49,'LISTE A SAISIR'!$E$4:$N$19,9,0),"")</f>
        <v/>
      </c>
      <c r="AD49" s="56" t="str">
        <f t="array" ref="AD49">IFERROR(INDEX($A49:$AB49,SMALL(IF(NOT(COUNTIF($AC49:AC49,$Y49:$AB49)),COLUMN($Y49:$AB49)),1)),"")</f>
        <v/>
      </c>
      <c r="AE49" s="56" t="str">
        <f t="array" ref="AE49">IFERROR(INDEX($A49:$AB49,SMALL(IF(NOT(COUNTIF($AC49:AD49,$Y49:$AB49)),COLUMN($Y49:$AB49)),1)),"")</f>
        <v/>
      </c>
      <c r="AF49" s="56" t="str">
        <f t="array" ref="AF49">IFERROR(INDEX($A49:$AB49,SMALL(IF(NOT(COUNTIF($AC49:AE49,$Y49:$AB49)),COLUMN($Y49:$AB49)),1)),"")</f>
        <v/>
      </c>
      <c r="AG49" s="56" t="str">
        <f t="array" ref="AG49">IFERROR(INDEX($A49:$AB49,SMALL(IF(NOT(COUNTIF($AC49:AF49,$Y49:$AB49)),COLUMN($Y49:$AB49)),1)),"")</f>
        <v/>
      </c>
    </row>
    <row r="50" spans="1:33">
      <c r="A50" s="52">
        <v>49</v>
      </c>
      <c r="B50" s="4"/>
      <c r="C50" s="43"/>
      <c r="D50" s="53" t="str">
        <f>IFERROR(VLOOKUP($C50,'LISTE A SAISIR'!$E$4:$N$19,2,0),"")</f>
        <v/>
      </c>
      <c r="E50" s="1"/>
      <c r="F50" s="53" t="str">
        <f>IFERROR(VLOOKUP($C50,'LISTE A SAISIR'!$E$4:$N$19,2+2*MATCH(E50,Y50:AB50,0),0),"")</f>
        <v/>
      </c>
      <c r="G50" s="1"/>
      <c r="H50" s="7"/>
      <c r="I50" s="53">
        <f t="shared" si="1"/>
        <v>0</v>
      </c>
      <c r="L50" s="52" t="str">
        <f t="array" ref="L50">IFERROR(INDEX(B:B,SMALL(IF($B$2:$B$149=$K$1,ROW($B$2:$B$149)),ROWS(L$2:L50))),"")</f>
        <v/>
      </c>
      <c r="M50" s="52" t="str">
        <f t="array" ref="M50">IFERROR(INDEX(#REF!,SMALL(IF($B$2:$B$149=$K$1,ROW($B$2:$B$149)),ROWS(M$2:M50))),"")</f>
        <v/>
      </c>
      <c r="N50" s="52" t="str">
        <f t="array" ref="N50">IFERROR(INDEX(C:C,SMALL(IF($B$2:$B$149=$K$1,ROW($B$2:$B$149)),ROWS(N$2:N50))),"")</f>
        <v/>
      </c>
      <c r="O50" s="52" t="str">
        <f t="array" ref="O50">IFERROR(INDEX(D:D,SMALL(IF($B$2:$B$149=$K$1,ROW($B$2:$B$149)),ROWS(O$2:O50))),"")</f>
        <v/>
      </c>
      <c r="P50" s="52" t="str">
        <f t="array" ref="P50">IFERROR(INDEX(E:E,SMALL(IF($B$2:$B$149=$K$1,ROW($B$2:$B$149)),ROWS(P$2:P50))),"")</f>
        <v/>
      </c>
      <c r="Q50" s="52" t="str">
        <f t="array" ref="Q50">IFERROR(INDEX(F:F,SMALL(IF($B$2:$B$149=$K$1,ROW($B$2:$B$149)),ROWS(Q$2:Q50))),"")</f>
        <v/>
      </c>
      <c r="R50" s="52" t="str">
        <f t="array" ref="R50">IFERROR(INDEX(G:G,SMALL(IF($B$2:$B$149=$K$1,ROW($B$2:$B$149)),ROWS(R$2:R50))),"")</f>
        <v/>
      </c>
      <c r="S50" s="52" t="str">
        <f t="array" ref="S50">IFERROR(INDEX(H:H,SMALL(IF($B$2:$B$149=$K$1,ROW($B$2:$B$149)),ROWS(S$2:S50))),"")</f>
        <v/>
      </c>
      <c r="Y50" s="55" t="str">
        <f>IFERROR(""&amp;VLOOKUP($C50,'LISTE A SAISIR'!$E$4:$L$19,3,0),"")</f>
        <v/>
      </c>
      <c r="Z50" s="55" t="str">
        <f>IFERROR(""&amp;VLOOKUP($C50,'LISTE A SAISIR'!$E$4:$L$19,5,0),"")</f>
        <v/>
      </c>
      <c r="AA50" s="55" t="str">
        <f>IFERROR(""&amp;VLOOKUP($C50,'LISTE A SAISIR'!$E$4:$L$19,7,0),"")</f>
        <v/>
      </c>
      <c r="AB50" s="55" t="str">
        <f>IFERROR(""&amp;VLOOKUP($C50,'LISTE A SAISIR'!$E$4:$N$19,9,0),"")</f>
        <v/>
      </c>
      <c r="AD50" s="56" t="str">
        <f t="array" ref="AD50">IFERROR(INDEX($A50:$AB50,SMALL(IF(NOT(COUNTIF($AC50:AC50,$Y50:$AB50)),COLUMN($Y50:$AB50)),1)),"")</f>
        <v/>
      </c>
      <c r="AE50" s="56" t="str">
        <f t="array" ref="AE50">IFERROR(INDEX($A50:$AB50,SMALL(IF(NOT(COUNTIF($AC50:AD50,$Y50:$AB50)),COLUMN($Y50:$AB50)),1)),"")</f>
        <v/>
      </c>
      <c r="AF50" s="56" t="str">
        <f t="array" ref="AF50">IFERROR(INDEX($A50:$AB50,SMALL(IF(NOT(COUNTIF($AC50:AE50,$Y50:$AB50)),COLUMN($Y50:$AB50)),1)),"")</f>
        <v/>
      </c>
      <c r="AG50" s="56" t="str">
        <f t="array" ref="AG50">IFERROR(INDEX($A50:$AB50,SMALL(IF(NOT(COUNTIF($AC50:AF50,$Y50:$AB50)),COLUMN($Y50:$AB50)),1)),"")</f>
        <v/>
      </c>
    </row>
    <row r="51" spans="1:33">
      <c r="A51" s="52">
        <v>50</v>
      </c>
      <c r="B51" s="4"/>
      <c r="C51" s="43"/>
      <c r="D51" s="52" t="str">
        <f>IFERROR(VLOOKUP($C51,'LISTE A SAISIR'!$E$4:$N$19,2,0),"")</f>
        <v/>
      </c>
      <c r="E51" s="1"/>
      <c r="F51" s="53" t="str">
        <f>IFERROR(VLOOKUP($C51,'LISTE A SAISIR'!$E$4:$N$19,2+2*MATCH(E51,Y51:AB51,0),0),"")</f>
        <v/>
      </c>
      <c r="G51" s="1"/>
      <c r="H51" s="1"/>
      <c r="I51" s="58">
        <f t="shared" si="1"/>
        <v>0</v>
      </c>
      <c r="L51" s="52" t="str">
        <f t="array" ref="L51">IFERROR(INDEX(B:B,SMALL(IF($B$2:$B$149=$K$1,ROW($B$2:$B$149)),ROWS(L$2:L51))),"")</f>
        <v/>
      </c>
      <c r="M51" s="52" t="str">
        <f t="array" ref="M51">IFERROR(INDEX(#REF!,SMALL(IF($B$2:$B$149=$K$1,ROW($B$2:$B$149)),ROWS(M$2:M51))),"")</f>
        <v/>
      </c>
      <c r="N51" s="52" t="str">
        <f t="array" ref="N51">IFERROR(INDEX(C:C,SMALL(IF($B$2:$B$149=$K$1,ROW($B$2:$B$149)),ROWS(N$2:N51))),"")</f>
        <v/>
      </c>
      <c r="O51" s="52" t="str">
        <f t="array" ref="O51">IFERROR(INDEX(D:D,SMALL(IF($B$2:$B$149=$K$1,ROW($B$2:$B$149)),ROWS(O$2:O51))),"")</f>
        <v/>
      </c>
      <c r="P51" s="52" t="str">
        <f t="array" ref="P51">IFERROR(INDEX(E:E,SMALL(IF($B$2:$B$149=$K$1,ROW($B$2:$B$149)),ROWS(P$2:P51))),"")</f>
        <v/>
      </c>
      <c r="Q51" s="52" t="str">
        <f t="array" ref="Q51">IFERROR(INDEX(F:F,SMALL(IF($B$2:$B$149=$K$1,ROW($B$2:$B$149)),ROWS(Q$2:Q51))),"")</f>
        <v/>
      </c>
      <c r="R51" s="52" t="str">
        <f t="array" ref="R51">IFERROR(INDEX(G:G,SMALL(IF($B$2:$B$149=$K$1,ROW($B$2:$B$149)),ROWS(R$2:R51))),"")</f>
        <v/>
      </c>
      <c r="S51" s="52" t="str">
        <f t="array" ref="S51">IFERROR(INDEX(H:H,SMALL(IF($B$2:$B$149=$K$1,ROW($B$2:$B$149)),ROWS(S$2:S51))),"")</f>
        <v/>
      </c>
      <c r="Y51" s="55" t="str">
        <f>IFERROR(""&amp;VLOOKUP($C51,'LISTE A SAISIR'!$E$4:$L$19,3,0),"")</f>
        <v/>
      </c>
      <c r="Z51" s="55" t="str">
        <f>IFERROR(""&amp;VLOOKUP($C51,'LISTE A SAISIR'!$E$4:$L$19,5,0),"")</f>
        <v/>
      </c>
      <c r="AA51" s="55" t="str">
        <f>IFERROR(""&amp;VLOOKUP($C51,'LISTE A SAISIR'!$E$4:$L$19,7,0),"")</f>
        <v/>
      </c>
      <c r="AB51" s="55" t="str">
        <f>IFERROR(""&amp;VLOOKUP($C51,'LISTE A SAISIR'!$E$4:$N$19,9,0),"")</f>
        <v/>
      </c>
      <c r="AD51" s="56" t="str">
        <f t="array" ref="AD51">IFERROR(INDEX($A51:$AB51,SMALL(IF(NOT(COUNTIF($AC51:AC51,$Y51:$AB51)),COLUMN($Y51:$AB51)),1)),"")</f>
        <v/>
      </c>
      <c r="AE51" s="56" t="str">
        <f t="array" ref="AE51">IFERROR(INDEX($A51:$AB51,SMALL(IF(NOT(COUNTIF($AC51:AD51,$Y51:$AB51)),COLUMN($Y51:$AB51)),1)),"")</f>
        <v/>
      </c>
      <c r="AF51" s="56" t="str">
        <f t="array" ref="AF51">IFERROR(INDEX($A51:$AB51,SMALL(IF(NOT(COUNTIF($AC51:AE51,$Y51:$AB51)),COLUMN($Y51:$AB51)),1)),"")</f>
        <v/>
      </c>
      <c r="AG51" s="56" t="str">
        <f t="array" ref="AG51">IFERROR(INDEX($A51:$AB51,SMALL(IF(NOT(COUNTIF($AC51:AF51,$Y51:$AB51)),COLUMN($Y51:$AB51)),1)),"")</f>
        <v/>
      </c>
    </row>
    <row r="52" spans="1:33">
      <c r="A52" s="52">
        <v>51</v>
      </c>
      <c r="B52" s="4"/>
      <c r="C52" s="43"/>
      <c r="D52" s="53" t="str">
        <f>IFERROR(VLOOKUP($C52,'LISTE A SAISIR'!$E$4:$N$19,2,0),"")</f>
        <v/>
      </c>
      <c r="E52" s="1"/>
      <c r="F52" s="53" t="str">
        <f>IFERROR(VLOOKUP($C52,'LISTE A SAISIR'!$E$4:$N$19,2+2*MATCH(E52,Y52:AB52,0),0),"")</f>
        <v/>
      </c>
      <c r="G52" s="1"/>
      <c r="H52" s="7"/>
      <c r="I52" s="53">
        <f t="shared" si="1"/>
        <v>0</v>
      </c>
      <c r="L52" s="52" t="str">
        <f t="array" ref="L52">IFERROR(INDEX(B:B,SMALL(IF($B$2:$B$149=$K$1,ROW($B$2:$B$149)),ROWS(L$2:L52))),"")</f>
        <v/>
      </c>
      <c r="M52" s="52" t="str">
        <f t="array" ref="M52">IFERROR(INDEX(#REF!,SMALL(IF($B$2:$B$149=$K$1,ROW($B$2:$B$149)),ROWS(M$2:M52))),"")</f>
        <v/>
      </c>
      <c r="N52" s="52" t="str">
        <f t="array" ref="N52">IFERROR(INDEX(C:C,SMALL(IF($B$2:$B$149=$K$1,ROW($B$2:$B$149)),ROWS(N$2:N52))),"")</f>
        <v/>
      </c>
      <c r="O52" s="52" t="str">
        <f t="array" ref="O52">IFERROR(INDEX(D:D,SMALL(IF($B$2:$B$149=$K$1,ROW($B$2:$B$149)),ROWS(O$2:O52))),"")</f>
        <v/>
      </c>
      <c r="P52" s="52" t="str">
        <f t="array" ref="P52">IFERROR(INDEX(E:E,SMALL(IF($B$2:$B$149=$K$1,ROW($B$2:$B$149)),ROWS(P$2:P52))),"")</f>
        <v/>
      </c>
      <c r="Q52" s="52" t="str">
        <f t="array" ref="Q52">IFERROR(INDEX(F:F,SMALL(IF($B$2:$B$149=$K$1,ROW($B$2:$B$149)),ROWS(Q$2:Q52))),"")</f>
        <v/>
      </c>
      <c r="R52" s="52" t="str">
        <f t="array" ref="R52">IFERROR(INDEX(G:G,SMALL(IF($B$2:$B$149=$K$1,ROW($B$2:$B$149)),ROWS(R$2:R52))),"")</f>
        <v/>
      </c>
      <c r="S52" s="52" t="str">
        <f t="array" ref="S52">IFERROR(INDEX(H:H,SMALL(IF($B$2:$B$149=$K$1,ROW($B$2:$B$149)),ROWS(S$2:S52))),"")</f>
        <v/>
      </c>
      <c r="Y52" s="55" t="str">
        <f>IFERROR(""&amp;VLOOKUP($C52,'LISTE A SAISIR'!$E$4:$L$19,3,0),"")</f>
        <v/>
      </c>
      <c r="Z52" s="55" t="str">
        <f>IFERROR(""&amp;VLOOKUP($C52,'LISTE A SAISIR'!$E$4:$L$19,5,0),"")</f>
        <v/>
      </c>
      <c r="AA52" s="55" t="str">
        <f>IFERROR(""&amp;VLOOKUP($C52,'LISTE A SAISIR'!$E$4:$L$19,7,0),"")</f>
        <v/>
      </c>
      <c r="AB52" s="55" t="str">
        <f>IFERROR(""&amp;VLOOKUP($C52,'LISTE A SAISIR'!$E$4:$N$19,9,0),"")</f>
        <v/>
      </c>
      <c r="AD52" s="56" t="str">
        <f t="array" ref="AD52">IFERROR(INDEX($A52:$AB52,SMALL(IF(NOT(COUNTIF($AC52:AC52,$Y52:$AB52)),COLUMN($Y52:$AB52)),1)),"")</f>
        <v/>
      </c>
      <c r="AE52" s="56" t="str">
        <f t="array" ref="AE52">IFERROR(INDEX($A52:$AB52,SMALL(IF(NOT(COUNTIF($AC52:AD52,$Y52:$AB52)),COLUMN($Y52:$AB52)),1)),"")</f>
        <v/>
      </c>
      <c r="AF52" s="56" t="str">
        <f t="array" ref="AF52">IFERROR(INDEX($A52:$AB52,SMALL(IF(NOT(COUNTIF($AC52:AE52,$Y52:$AB52)),COLUMN($Y52:$AB52)),1)),"")</f>
        <v/>
      </c>
      <c r="AG52" s="56" t="str">
        <f t="array" ref="AG52">IFERROR(INDEX($A52:$AB52,SMALL(IF(NOT(COUNTIF($AC52:AF52,$Y52:$AB52)),COLUMN($Y52:$AB52)),1)),"")</f>
        <v/>
      </c>
    </row>
    <row r="53" spans="1:33">
      <c r="A53" s="52">
        <v>52</v>
      </c>
      <c r="B53" s="4"/>
      <c r="C53" s="43"/>
      <c r="D53" s="52" t="str">
        <f>IFERROR(VLOOKUP($C53,'LISTE A SAISIR'!$E$4:$N$19,2,0),"")</f>
        <v/>
      </c>
      <c r="E53" s="1"/>
      <c r="F53" s="53" t="str">
        <f>IFERROR(VLOOKUP($C53,'LISTE A SAISIR'!$E$4:$N$19,2+2*MATCH(E53,Y53:AB53,0),0),"")</f>
        <v/>
      </c>
      <c r="G53" s="1"/>
      <c r="H53" s="1"/>
      <c r="I53" s="58">
        <f t="shared" si="1"/>
        <v>0</v>
      </c>
      <c r="L53" s="52" t="str">
        <f t="array" ref="L53">IFERROR(INDEX(B:B,SMALL(IF($B$2:$B$149=$K$1,ROW($B$2:$B$149)),ROWS(L$2:L53))),"")</f>
        <v/>
      </c>
      <c r="M53" s="52" t="str">
        <f t="array" ref="M53">IFERROR(INDEX(#REF!,SMALL(IF($B$2:$B$149=$K$1,ROW($B$2:$B$149)),ROWS(M$2:M53))),"")</f>
        <v/>
      </c>
      <c r="N53" s="52" t="str">
        <f t="array" ref="N53">IFERROR(INDEX(C:C,SMALL(IF($B$2:$B$149=$K$1,ROW($B$2:$B$149)),ROWS(N$2:N53))),"")</f>
        <v/>
      </c>
      <c r="O53" s="52" t="str">
        <f t="array" ref="O53">IFERROR(INDEX(D:D,SMALL(IF($B$2:$B$149=$K$1,ROW($B$2:$B$149)),ROWS(O$2:O53))),"")</f>
        <v/>
      </c>
      <c r="P53" s="52" t="str">
        <f t="array" ref="P53">IFERROR(INDEX(E:E,SMALL(IF($B$2:$B$149=$K$1,ROW($B$2:$B$149)),ROWS(P$2:P53))),"")</f>
        <v/>
      </c>
      <c r="Q53" s="52" t="str">
        <f t="array" ref="Q53">IFERROR(INDEX(F:F,SMALL(IF($B$2:$B$149=$K$1,ROW($B$2:$B$149)),ROWS(Q$2:Q53))),"")</f>
        <v/>
      </c>
      <c r="R53" s="52" t="str">
        <f t="array" ref="R53">IFERROR(INDEX(G:G,SMALL(IF($B$2:$B$149=$K$1,ROW($B$2:$B$149)),ROWS(R$2:R53))),"")</f>
        <v/>
      </c>
      <c r="S53" s="52" t="str">
        <f t="array" ref="S53">IFERROR(INDEX(H:H,SMALL(IF($B$2:$B$149=$K$1,ROW($B$2:$B$149)),ROWS(S$2:S53))),"")</f>
        <v/>
      </c>
      <c r="Y53" s="55" t="str">
        <f>IFERROR(""&amp;VLOOKUP($C53,'LISTE A SAISIR'!$E$4:$L$19,3,0),"")</f>
        <v/>
      </c>
      <c r="Z53" s="55" t="str">
        <f>IFERROR(""&amp;VLOOKUP($C53,'LISTE A SAISIR'!$E$4:$L$19,5,0),"")</f>
        <v/>
      </c>
      <c r="AA53" s="55" t="str">
        <f>IFERROR(""&amp;VLOOKUP($C53,'LISTE A SAISIR'!$E$4:$L$19,7,0),"")</f>
        <v/>
      </c>
      <c r="AB53" s="55" t="str">
        <f>IFERROR(""&amp;VLOOKUP($C53,'LISTE A SAISIR'!$E$4:$N$19,9,0),"")</f>
        <v/>
      </c>
      <c r="AD53" s="56" t="str">
        <f t="array" ref="AD53">IFERROR(INDEX($A53:$AB53,SMALL(IF(NOT(COUNTIF($AC53:AC53,$Y53:$AB53)),COLUMN($Y53:$AB53)),1)),"")</f>
        <v/>
      </c>
      <c r="AE53" s="56" t="str">
        <f t="array" ref="AE53">IFERROR(INDEX($A53:$AB53,SMALL(IF(NOT(COUNTIF($AC53:AD53,$Y53:$AB53)),COLUMN($Y53:$AB53)),1)),"")</f>
        <v/>
      </c>
      <c r="AF53" s="56" t="str">
        <f t="array" ref="AF53">IFERROR(INDEX($A53:$AB53,SMALL(IF(NOT(COUNTIF($AC53:AE53,$Y53:$AB53)),COLUMN($Y53:$AB53)),1)),"")</f>
        <v/>
      </c>
      <c r="AG53" s="56" t="str">
        <f t="array" ref="AG53">IFERROR(INDEX($A53:$AB53,SMALL(IF(NOT(COUNTIF($AC53:AF53,$Y53:$AB53)),COLUMN($Y53:$AB53)),1)),"")</f>
        <v/>
      </c>
    </row>
    <row r="54" spans="1:33">
      <c r="A54" s="52">
        <v>53</v>
      </c>
      <c r="B54" s="4"/>
      <c r="C54" s="43"/>
      <c r="D54" s="53" t="str">
        <f>IFERROR(VLOOKUP($C54,'LISTE A SAISIR'!$E$4:$N$19,2,0),"")</f>
        <v/>
      </c>
      <c r="E54" s="1"/>
      <c r="F54" s="53" t="str">
        <f>IFERROR(VLOOKUP($C54,'LISTE A SAISIR'!$E$4:$N$19,2+2*MATCH(E54,Y54:AB54,0),0),"")</f>
        <v/>
      </c>
      <c r="G54" s="1"/>
      <c r="H54" s="7"/>
      <c r="I54" s="53">
        <f t="shared" si="1"/>
        <v>0</v>
      </c>
      <c r="L54" s="52" t="str">
        <f t="array" ref="L54">IFERROR(INDEX(B:B,SMALL(IF($B$2:$B$149=$K$1,ROW($B$2:$B$149)),ROWS(L$2:L54))),"")</f>
        <v/>
      </c>
      <c r="M54" s="52" t="str">
        <f t="array" ref="M54">IFERROR(INDEX(#REF!,SMALL(IF($B$2:$B$149=$K$1,ROW($B$2:$B$149)),ROWS(M$2:M54))),"")</f>
        <v/>
      </c>
      <c r="N54" s="52" t="str">
        <f t="array" ref="N54">IFERROR(INDEX(C:C,SMALL(IF($B$2:$B$149=$K$1,ROW($B$2:$B$149)),ROWS(N$2:N54))),"")</f>
        <v/>
      </c>
      <c r="O54" s="52" t="str">
        <f t="array" ref="O54">IFERROR(INDEX(D:D,SMALL(IF($B$2:$B$149=$K$1,ROW($B$2:$B$149)),ROWS(O$2:O54))),"")</f>
        <v/>
      </c>
      <c r="P54" s="52" t="str">
        <f t="array" ref="P54">IFERROR(INDEX(E:E,SMALL(IF($B$2:$B$149=$K$1,ROW($B$2:$B$149)),ROWS(P$2:P54))),"")</f>
        <v/>
      </c>
      <c r="Q54" s="52" t="str">
        <f t="array" ref="Q54">IFERROR(INDEX(F:F,SMALL(IF($B$2:$B$149=$K$1,ROW($B$2:$B$149)),ROWS(Q$2:Q54))),"")</f>
        <v/>
      </c>
      <c r="R54" s="52" t="str">
        <f t="array" ref="R54">IFERROR(INDEX(G:G,SMALL(IF($B$2:$B$149=$K$1,ROW($B$2:$B$149)),ROWS(R$2:R54))),"")</f>
        <v/>
      </c>
      <c r="S54" s="52" t="str">
        <f t="array" ref="S54">IFERROR(INDEX(H:H,SMALL(IF($B$2:$B$149=$K$1,ROW($B$2:$B$149)),ROWS(S$2:S54))),"")</f>
        <v/>
      </c>
      <c r="Y54" s="55" t="str">
        <f>IFERROR(""&amp;VLOOKUP($C54,'LISTE A SAISIR'!$E$4:$L$19,3,0),"")</f>
        <v/>
      </c>
      <c r="Z54" s="55" t="str">
        <f>IFERROR(""&amp;VLOOKUP($C54,'LISTE A SAISIR'!$E$4:$L$19,5,0),"")</f>
        <v/>
      </c>
      <c r="AA54" s="55" t="str">
        <f>IFERROR(""&amp;VLOOKUP($C54,'LISTE A SAISIR'!$E$4:$L$19,7,0),"")</f>
        <v/>
      </c>
      <c r="AB54" s="55" t="str">
        <f>IFERROR(""&amp;VLOOKUP($C54,'LISTE A SAISIR'!$E$4:$N$19,9,0),"")</f>
        <v/>
      </c>
      <c r="AD54" s="56" t="str">
        <f t="array" ref="AD54">IFERROR(INDEX($A54:$AB54,SMALL(IF(NOT(COUNTIF($AC54:AC54,$Y54:$AB54)),COLUMN($Y54:$AB54)),1)),"")</f>
        <v/>
      </c>
      <c r="AE54" s="56" t="str">
        <f t="array" ref="AE54">IFERROR(INDEX($A54:$AB54,SMALL(IF(NOT(COUNTIF($AC54:AD54,$Y54:$AB54)),COLUMN($Y54:$AB54)),1)),"")</f>
        <v/>
      </c>
      <c r="AF54" s="56" t="str">
        <f t="array" ref="AF54">IFERROR(INDEX($A54:$AB54,SMALL(IF(NOT(COUNTIF($AC54:AE54,$Y54:$AB54)),COLUMN($Y54:$AB54)),1)),"")</f>
        <v/>
      </c>
      <c r="AG54" s="56" t="str">
        <f t="array" ref="AG54">IFERROR(INDEX($A54:$AB54,SMALL(IF(NOT(COUNTIF($AC54:AF54,$Y54:$AB54)),COLUMN($Y54:$AB54)),1)),"")</f>
        <v/>
      </c>
    </row>
    <row r="55" spans="1:33">
      <c r="A55" s="52">
        <v>54</v>
      </c>
      <c r="B55" s="4"/>
      <c r="C55" s="43"/>
      <c r="D55" s="52" t="str">
        <f>IFERROR(VLOOKUP($C55,'LISTE A SAISIR'!$E$4:$N$19,2,0),"")</f>
        <v/>
      </c>
      <c r="E55" s="1"/>
      <c r="F55" s="53" t="str">
        <f>IFERROR(VLOOKUP($C55,'LISTE A SAISIR'!$E$4:$N$19,2+2*MATCH(E55,Y55:AB55,0),0),"")</f>
        <v/>
      </c>
      <c r="G55" s="1"/>
      <c r="H55" s="1"/>
      <c r="I55" s="58">
        <f t="shared" si="1"/>
        <v>0</v>
      </c>
      <c r="L55" s="52" t="str">
        <f t="array" ref="L55">IFERROR(INDEX(B:B,SMALL(IF($B$2:$B$149=$K$1,ROW($B$2:$B$149)),ROWS(L$2:L55))),"")</f>
        <v/>
      </c>
      <c r="M55" s="52" t="str">
        <f t="array" ref="M55">IFERROR(INDEX(#REF!,SMALL(IF($B$2:$B$149=$K$1,ROW($B$2:$B$149)),ROWS(M$2:M55))),"")</f>
        <v/>
      </c>
      <c r="N55" s="52" t="str">
        <f t="array" ref="N55">IFERROR(INDEX(C:C,SMALL(IF($B$2:$B$149=$K$1,ROW($B$2:$B$149)),ROWS(N$2:N55))),"")</f>
        <v/>
      </c>
      <c r="O55" s="52" t="str">
        <f t="array" ref="O55">IFERROR(INDEX(D:D,SMALL(IF($B$2:$B$149=$K$1,ROW($B$2:$B$149)),ROWS(O$2:O55))),"")</f>
        <v/>
      </c>
      <c r="P55" s="52" t="str">
        <f t="array" ref="P55">IFERROR(INDEX(E:E,SMALL(IF($B$2:$B$149=$K$1,ROW($B$2:$B$149)),ROWS(P$2:P55))),"")</f>
        <v/>
      </c>
      <c r="Q55" s="52" t="str">
        <f t="array" ref="Q55">IFERROR(INDEX(F:F,SMALL(IF($B$2:$B$149=$K$1,ROW($B$2:$B$149)),ROWS(Q$2:Q55))),"")</f>
        <v/>
      </c>
      <c r="R55" s="52" t="str">
        <f t="array" ref="R55">IFERROR(INDEX(G:G,SMALL(IF($B$2:$B$149=$K$1,ROW($B$2:$B$149)),ROWS(R$2:R55))),"")</f>
        <v/>
      </c>
      <c r="S55" s="52" t="str">
        <f t="array" ref="S55">IFERROR(INDEX(H:H,SMALL(IF($B$2:$B$149=$K$1,ROW($B$2:$B$149)),ROWS(S$2:S55))),"")</f>
        <v/>
      </c>
      <c r="Y55" s="55" t="str">
        <f>IFERROR(""&amp;VLOOKUP($C55,'LISTE A SAISIR'!$E$4:$L$19,3,0),"")</f>
        <v/>
      </c>
      <c r="Z55" s="55" t="str">
        <f>IFERROR(""&amp;VLOOKUP($C55,'LISTE A SAISIR'!$E$4:$L$19,5,0),"")</f>
        <v/>
      </c>
      <c r="AA55" s="55" t="str">
        <f>IFERROR(""&amp;VLOOKUP($C55,'LISTE A SAISIR'!$E$4:$L$19,7,0),"")</f>
        <v/>
      </c>
      <c r="AB55" s="55" t="str">
        <f>IFERROR(""&amp;VLOOKUP($C55,'LISTE A SAISIR'!$E$4:$N$19,9,0),"")</f>
        <v/>
      </c>
      <c r="AD55" s="56" t="str">
        <f t="array" ref="AD55">IFERROR(INDEX($A55:$AB55,SMALL(IF(NOT(COUNTIF($AC55:AC55,$Y55:$AB55)),COLUMN($Y55:$AB55)),1)),"")</f>
        <v/>
      </c>
      <c r="AE55" s="56" t="str">
        <f t="array" ref="AE55">IFERROR(INDEX($A55:$AB55,SMALL(IF(NOT(COUNTIF($AC55:AD55,$Y55:$AB55)),COLUMN($Y55:$AB55)),1)),"")</f>
        <v/>
      </c>
      <c r="AF55" s="56" t="str">
        <f t="array" ref="AF55">IFERROR(INDEX($A55:$AB55,SMALL(IF(NOT(COUNTIF($AC55:AE55,$Y55:$AB55)),COLUMN($Y55:$AB55)),1)),"")</f>
        <v/>
      </c>
      <c r="AG55" s="56" t="str">
        <f t="array" ref="AG55">IFERROR(INDEX($A55:$AB55,SMALL(IF(NOT(COUNTIF($AC55:AF55,$Y55:$AB55)),COLUMN($Y55:$AB55)),1)),"")</f>
        <v/>
      </c>
    </row>
    <row r="56" spans="1:33">
      <c r="A56" s="52">
        <v>55</v>
      </c>
      <c r="B56" s="4"/>
      <c r="C56" s="43"/>
      <c r="D56" s="53" t="str">
        <f>IFERROR(VLOOKUP($C56,'LISTE A SAISIR'!$E$4:$N$19,2,0),"")</f>
        <v/>
      </c>
      <c r="E56" s="1"/>
      <c r="F56" s="53" t="str">
        <f>IFERROR(VLOOKUP($C56,'LISTE A SAISIR'!$E$4:$N$19,2+2*MATCH(E56,Y56:AB56,0),0),"")</f>
        <v/>
      </c>
      <c r="G56" s="1"/>
      <c r="H56" s="7"/>
      <c r="I56" s="53">
        <f t="shared" si="1"/>
        <v>0</v>
      </c>
      <c r="L56" s="52" t="str">
        <f t="array" ref="L56">IFERROR(INDEX(B:B,SMALL(IF($B$2:$B$149=$K$1,ROW($B$2:$B$149)),ROWS(L$2:L56))),"")</f>
        <v/>
      </c>
      <c r="M56" s="52" t="str">
        <f t="array" ref="M56">IFERROR(INDEX(#REF!,SMALL(IF($B$2:$B$149=$K$1,ROW($B$2:$B$149)),ROWS(M$2:M56))),"")</f>
        <v/>
      </c>
      <c r="N56" s="52" t="str">
        <f t="array" ref="N56">IFERROR(INDEX(C:C,SMALL(IF($B$2:$B$149=$K$1,ROW($B$2:$B$149)),ROWS(N$2:N56))),"")</f>
        <v/>
      </c>
      <c r="O56" s="52" t="str">
        <f t="array" ref="O56">IFERROR(INDEX(D:D,SMALL(IF($B$2:$B$149=$K$1,ROW($B$2:$B$149)),ROWS(O$2:O56))),"")</f>
        <v/>
      </c>
      <c r="P56" s="52" t="str">
        <f t="array" ref="P56">IFERROR(INDEX(E:E,SMALL(IF($B$2:$B$149=$K$1,ROW($B$2:$B$149)),ROWS(P$2:P56))),"")</f>
        <v/>
      </c>
      <c r="Q56" s="52" t="str">
        <f t="array" ref="Q56">IFERROR(INDEX(F:F,SMALL(IF($B$2:$B$149=$K$1,ROW($B$2:$B$149)),ROWS(Q$2:Q56))),"")</f>
        <v/>
      </c>
      <c r="R56" s="52" t="str">
        <f t="array" ref="R56">IFERROR(INDEX(G:G,SMALL(IF($B$2:$B$149=$K$1,ROW($B$2:$B$149)),ROWS(R$2:R56))),"")</f>
        <v/>
      </c>
      <c r="S56" s="52" t="str">
        <f t="array" ref="S56">IFERROR(INDEX(H:H,SMALL(IF($B$2:$B$149=$K$1,ROW($B$2:$B$149)),ROWS(S$2:S56))),"")</f>
        <v/>
      </c>
      <c r="Y56" s="55" t="str">
        <f>IFERROR(""&amp;VLOOKUP($C56,'LISTE A SAISIR'!$E$4:$L$19,3,0),"")</f>
        <v/>
      </c>
      <c r="Z56" s="55" t="str">
        <f>IFERROR(""&amp;VLOOKUP($C56,'LISTE A SAISIR'!$E$4:$L$19,5,0),"")</f>
        <v/>
      </c>
      <c r="AA56" s="55" t="str">
        <f>IFERROR(""&amp;VLOOKUP($C56,'LISTE A SAISIR'!$E$4:$L$19,7,0),"")</f>
        <v/>
      </c>
      <c r="AB56" s="55" t="str">
        <f>IFERROR(""&amp;VLOOKUP($C56,'LISTE A SAISIR'!$E$4:$N$19,9,0),"")</f>
        <v/>
      </c>
      <c r="AD56" s="56" t="str">
        <f t="array" ref="AD56">IFERROR(INDEX($A56:$AB56,SMALL(IF(NOT(COUNTIF($AC56:AC56,$Y56:$AB56)),COLUMN($Y56:$AB56)),1)),"")</f>
        <v/>
      </c>
      <c r="AE56" s="56" t="str">
        <f t="array" ref="AE56">IFERROR(INDEX($A56:$AB56,SMALL(IF(NOT(COUNTIF($AC56:AD56,$Y56:$AB56)),COLUMN($Y56:$AB56)),1)),"")</f>
        <v/>
      </c>
      <c r="AF56" s="56" t="str">
        <f t="array" ref="AF56">IFERROR(INDEX($A56:$AB56,SMALL(IF(NOT(COUNTIF($AC56:AE56,$Y56:$AB56)),COLUMN($Y56:$AB56)),1)),"")</f>
        <v/>
      </c>
      <c r="AG56" s="56" t="str">
        <f t="array" ref="AG56">IFERROR(INDEX($A56:$AB56,SMALL(IF(NOT(COUNTIF($AC56:AF56,$Y56:$AB56)),COLUMN($Y56:$AB56)),1)),"")</f>
        <v/>
      </c>
    </row>
    <row r="57" spans="1:33">
      <c r="A57" s="52">
        <v>56</v>
      </c>
      <c r="B57" s="4"/>
      <c r="C57" s="43"/>
      <c r="D57" s="52" t="str">
        <f>IFERROR(VLOOKUP($C57,'LISTE A SAISIR'!$E$4:$N$19,2,0),"")</f>
        <v/>
      </c>
      <c r="E57" s="1"/>
      <c r="F57" s="53" t="str">
        <f>IFERROR(VLOOKUP($C57,'LISTE A SAISIR'!$E$4:$N$19,2+2*MATCH(E57,Y57:AB57,0),0),"")</f>
        <v/>
      </c>
      <c r="G57" s="1"/>
      <c r="H57" s="1"/>
      <c r="I57" s="58">
        <f t="shared" si="1"/>
        <v>0</v>
      </c>
      <c r="L57" s="52" t="str">
        <f t="array" ref="L57">IFERROR(INDEX(B:B,SMALL(IF($B$2:$B$149=$K$1,ROW($B$2:$B$149)),ROWS(L$2:L57))),"")</f>
        <v/>
      </c>
      <c r="M57" s="52" t="str">
        <f t="array" ref="M57">IFERROR(INDEX(#REF!,SMALL(IF($B$2:$B$149=$K$1,ROW($B$2:$B$149)),ROWS(M$2:M57))),"")</f>
        <v/>
      </c>
      <c r="N57" s="52" t="str">
        <f t="array" ref="N57">IFERROR(INDEX(C:C,SMALL(IF($B$2:$B$149=$K$1,ROW($B$2:$B$149)),ROWS(N$2:N57))),"")</f>
        <v/>
      </c>
      <c r="O57" s="52" t="str">
        <f t="array" ref="O57">IFERROR(INDEX(D:D,SMALL(IF($B$2:$B$149=$K$1,ROW($B$2:$B$149)),ROWS(O$2:O57))),"")</f>
        <v/>
      </c>
      <c r="P57" s="52" t="str">
        <f t="array" ref="P57">IFERROR(INDEX(E:E,SMALL(IF($B$2:$B$149=$K$1,ROW($B$2:$B$149)),ROWS(P$2:P57))),"")</f>
        <v/>
      </c>
      <c r="Q57" s="52" t="str">
        <f t="array" ref="Q57">IFERROR(INDEX(F:F,SMALL(IF($B$2:$B$149=$K$1,ROW($B$2:$B$149)),ROWS(Q$2:Q57))),"")</f>
        <v/>
      </c>
      <c r="R57" s="52" t="str">
        <f t="array" ref="R57">IFERROR(INDEX(G:G,SMALL(IF($B$2:$B$149=$K$1,ROW($B$2:$B$149)),ROWS(R$2:R57))),"")</f>
        <v/>
      </c>
      <c r="S57" s="52" t="str">
        <f t="array" ref="S57">IFERROR(INDEX(H:H,SMALL(IF($B$2:$B$149=$K$1,ROW($B$2:$B$149)),ROWS(S$2:S57))),"")</f>
        <v/>
      </c>
      <c r="Y57" s="55" t="str">
        <f>IFERROR(""&amp;VLOOKUP($C57,'LISTE A SAISIR'!$E$4:$L$19,3,0),"")</f>
        <v/>
      </c>
      <c r="Z57" s="55" t="str">
        <f>IFERROR(""&amp;VLOOKUP($C57,'LISTE A SAISIR'!$E$4:$L$19,5,0),"")</f>
        <v/>
      </c>
      <c r="AA57" s="55" t="str">
        <f>IFERROR(""&amp;VLOOKUP($C57,'LISTE A SAISIR'!$E$4:$L$19,7,0),"")</f>
        <v/>
      </c>
      <c r="AB57" s="55" t="str">
        <f>IFERROR(""&amp;VLOOKUP($C57,'LISTE A SAISIR'!$E$4:$N$19,9,0),"")</f>
        <v/>
      </c>
      <c r="AD57" s="56" t="str">
        <f t="array" ref="AD57">IFERROR(INDEX($A57:$AB57,SMALL(IF(NOT(COUNTIF($AC57:AC57,$Y57:$AB57)),COLUMN($Y57:$AB57)),1)),"")</f>
        <v/>
      </c>
      <c r="AE57" s="56" t="str">
        <f t="array" ref="AE57">IFERROR(INDEX($A57:$AB57,SMALL(IF(NOT(COUNTIF($AC57:AD57,$Y57:$AB57)),COLUMN($Y57:$AB57)),1)),"")</f>
        <v/>
      </c>
      <c r="AF57" s="56" t="str">
        <f t="array" ref="AF57">IFERROR(INDEX($A57:$AB57,SMALL(IF(NOT(COUNTIF($AC57:AE57,$Y57:$AB57)),COLUMN($Y57:$AB57)),1)),"")</f>
        <v/>
      </c>
      <c r="AG57" s="56" t="str">
        <f t="array" ref="AG57">IFERROR(INDEX($A57:$AB57,SMALL(IF(NOT(COUNTIF($AC57:AF57,$Y57:$AB57)),COLUMN($Y57:$AB57)),1)),"")</f>
        <v/>
      </c>
    </row>
    <row r="58" spans="1:33">
      <c r="A58" s="52">
        <v>57</v>
      </c>
      <c r="B58" s="4"/>
      <c r="C58" s="43"/>
      <c r="D58" s="53" t="str">
        <f>IFERROR(VLOOKUP($C58,'LISTE A SAISIR'!$E$4:$N$19,2,0),"")</f>
        <v/>
      </c>
      <c r="E58" s="1"/>
      <c r="F58" s="53" t="str">
        <f>IFERROR(VLOOKUP($C58,'LISTE A SAISIR'!$E$4:$N$19,2+2*MATCH(E58,Y58:AB58,0),0),"")</f>
        <v/>
      </c>
      <c r="G58" s="1"/>
      <c r="H58" s="7"/>
      <c r="I58" s="53">
        <f t="shared" si="1"/>
        <v>0</v>
      </c>
      <c r="L58" s="52" t="str">
        <f t="array" ref="L58">IFERROR(INDEX(B:B,SMALL(IF($B$2:$B$149=$K$1,ROW($B$2:$B$149)),ROWS(L$2:L58))),"")</f>
        <v/>
      </c>
      <c r="M58" s="52" t="str">
        <f t="array" ref="M58">IFERROR(INDEX(#REF!,SMALL(IF($B$2:$B$149=$K$1,ROW($B$2:$B$149)),ROWS(M$2:M58))),"")</f>
        <v/>
      </c>
      <c r="N58" s="52" t="str">
        <f t="array" ref="N58">IFERROR(INDEX(C:C,SMALL(IF($B$2:$B$149=$K$1,ROW($B$2:$B$149)),ROWS(N$2:N58))),"")</f>
        <v/>
      </c>
      <c r="O58" s="52" t="str">
        <f t="array" ref="O58">IFERROR(INDEX(D:D,SMALL(IF($B$2:$B$149=$K$1,ROW($B$2:$B$149)),ROWS(O$2:O58))),"")</f>
        <v/>
      </c>
      <c r="P58" s="52" t="str">
        <f t="array" ref="P58">IFERROR(INDEX(E:E,SMALL(IF($B$2:$B$149=$K$1,ROW($B$2:$B$149)),ROWS(P$2:P58))),"")</f>
        <v/>
      </c>
      <c r="Q58" s="52" t="str">
        <f t="array" ref="Q58">IFERROR(INDEX(F:F,SMALL(IF($B$2:$B$149=$K$1,ROW($B$2:$B$149)),ROWS(Q$2:Q58))),"")</f>
        <v/>
      </c>
      <c r="R58" s="52" t="str">
        <f t="array" ref="R58">IFERROR(INDEX(G:G,SMALL(IF($B$2:$B$149=$K$1,ROW($B$2:$B$149)),ROWS(R$2:R58))),"")</f>
        <v/>
      </c>
      <c r="S58" s="52" t="str">
        <f t="array" ref="S58">IFERROR(INDEX(H:H,SMALL(IF($B$2:$B$149=$K$1,ROW($B$2:$B$149)),ROWS(S$2:S58))),"")</f>
        <v/>
      </c>
      <c r="Y58" s="55" t="str">
        <f>IFERROR(""&amp;VLOOKUP($C58,'LISTE A SAISIR'!$E$4:$L$19,3,0),"")</f>
        <v/>
      </c>
      <c r="Z58" s="55" t="str">
        <f>IFERROR(""&amp;VLOOKUP($C58,'LISTE A SAISIR'!$E$4:$L$19,5,0),"")</f>
        <v/>
      </c>
      <c r="AA58" s="55" t="str">
        <f>IFERROR(""&amp;VLOOKUP($C58,'LISTE A SAISIR'!$E$4:$L$19,7,0),"")</f>
        <v/>
      </c>
      <c r="AB58" s="55" t="str">
        <f>IFERROR(""&amp;VLOOKUP($C58,'LISTE A SAISIR'!$E$4:$N$19,9,0),"")</f>
        <v/>
      </c>
      <c r="AD58" s="56" t="str">
        <f t="array" ref="AD58">IFERROR(INDEX($A58:$AB58,SMALL(IF(NOT(COUNTIF($AC58:AC58,$Y58:$AB58)),COLUMN($Y58:$AB58)),1)),"")</f>
        <v/>
      </c>
      <c r="AE58" s="56" t="str">
        <f t="array" ref="AE58">IFERROR(INDEX($A58:$AB58,SMALL(IF(NOT(COUNTIF($AC58:AD58,$Y58:$AB58)),COLUMN($Y58:$AB58)),1)),"")</f>
        <v/>
      </c>
      <c r="AF58" s="56" t="str">
        <f t="array" ref="AF58">IFERROR(INDEX($A58:$AB58,SMALL(IF(NOT(COUNTIF($AC58:AE58,$Y58:$AB58)),COLUMN($Y58:$AB58)),1)),"")</f>
        <v/>
      </c>
      <c r="AG58" s="56" t="str">
        <f t="array" ref="AG58">IFERROR(INDEX($A58:$AB58,SMALL(IF(NOT(COUNTIF($AC58:AF58,$Y58:$AB58)),COLUMN($Y58:$AB58)),1)),"")</f>
        <v/>
      </c>
    </row>
    <row r="59" spans="1:33">
      <c r="A59" s="52">
        <v>58</v>
      </c>
      <c r="B59" s="4"/>
      <c r="C59" s="43"/>
      <c r="D59" s="52" t="str">
        <f>IFERROR(VLOOKUP($C59,'LISTE A SAISIR'!$E$4:$N$19,2,0),"")</f>
        <v/>
      </c>
      <c r="E59" s="1"/>
      <c r="F59" s="53" t="str">
        <f>IFERROR(VLOOKUP($C59,'LISTE A SAISIR'!$E$4:$N$19,2+2*MATCH(E59,Y59:AB59,0),0),"")</f>
        <v/>
      </c>
      <c r="G59" s="1"/>
      <c r="H59" s="1"/>
      <c r="I59" s="58">
        <f t="shared" si="1"/>
        <v>0</v>
      </c>
      <c r="L59" s="52" t="str">
        <f t="array" ref="L59">IFERROR(INDEX(B:B,SMALL(IF($B$2:$B$149=$K$1,ROW($B$2:$B$149)),ROWS(L$2:L59))),"")</f>
        <v/>
      </c>
      <c r="M59" s="52" t="str">
        <f t="array" ref="M59">IFERROR(INDEX(#REF!,SMALL(IF($B$2:$B$149=$K$1,ROW($B$2:$B$149)),ROWS(M$2:M59))),"")</f>
        <v/>
      </c>
      <c r="N59" s="52" t="str">
        <f t="array" ref="N59">IFERROR(INDEX(C:C,SMALL(IF($B$2:$B$149=$K$1,ROW($B$2:$B$149)),ROWS(N$2:N59))),"")</f>
        <v/>
      </c>
      <c r="O59" s="52" t="str">
        <f t="array" ref="O59">IFERROR(INDEX(D:D,SMALL(IF($B$2:$B$149=$K$1,ROW($B$2:$B$149)),ROWS(O$2:O59))),"")</f>
        <v/>
      </c>
      <c r="P59" s="52" t="str">
        <f t="array" ref="P59">IFERROR(INDEX(E:E,SMALL(IF($B$2:$B$149=$K$1,ROW($B$2:$B$149)),ROWS(P$2:P59))),"")</f>
        <v/>
      </c>
      <c r="Q59" s="52" t="str">
        <f t="array" ref="Q59">IFERROR(INDEX(F:F,SMALL(IF($B$2:$B$149=$K$1,ROW($B$2:$B$149)),ROWS(Q$2:Q59))),"")</f>
        <v/>
      </c>
      <c r="R59" s="52" t="str">
        <f t="array" ref="R59">IFERROR(INDEX(G:G,SMALL(IF($B$2:$B$149=$K$1,ROW($B$2:$B$149)),ROWS(R$2:R59))),"")</f>
        <v/>
      </c>
      <c r="S59" s="52" t="str">
        <f t="array" ref="S59">IFERROR(INDEX(H:H,SMALL(IF($B$2:$B$149=$K$1,ROW($B$2:$B$149)),ROWS(S$2:S59))),"")</f>
        <v/>
      </c>
      <c r="Y59" s="55" t="str">
        <f>IFERROR(""&amp;VLOOKUP($C59,'LISTE A SAISIR'!$E$4:$L$19,3,0),"")</f>
        <v/>
      </c>
      <c r="Z59" s="55" t="str">
        <f>IFERROR(""&amp;VLOOKUP($C59,'LISTE A SAISIR'!$E$4:$L$19,5,0),"")</f>
        <v/>
      </c>
      <c r="AA59" s="55" t="str">
        <f>IFERROR(""&amp;VLOOKUP($C59,'LISTE A SAISIR'!$E$4:$L$19,7,0),"")</f>
        <v/>
      </c>
      <c r="AB59" s="55" t="str">
        <f>IFERROR(""&amp;VLOOKUP($C59,'LISTE A SAISIR'!$E$4:$N$19,9,0),"")</f>
        <v/>
      </c>
      <c r="AD59" s="56" t="str">
        <f t="array" ref="AD59">IFERROR(INDEX($A59:$AB59,SMALL(IF(NOT(COUNTIF($AC59:AC59,$Y59:$AB59)),COLUMN($Y59:$AB59)),1)),"")</f>
        <v/>
      </c>
      <c r="AE59" s="56" t="str">
        <f t="array" ref="AE59">IFERROR(INDEX($A59:$AB59,SMALL(IF(NOT(COUNTIF($AC59:AD59,$Y59:$AB59)),COLUMN($Y59:$AB59)),1)),"")</f>
        <v/>
      </c>
      <c r="AF59" s="56" t="str">
        <f t="array" ref="AF59">IFERROR(INDEX($A59:$AB59,SMALL(IF(NOT(COUNTIF($AC59:AE59,$Y59:$AB59)),COLUMN($Y59:$AB59)),1)),"")</f>
        <v/>
      </c>
      <c r="AG59" s="56" t="str">
        <f t="array" ref="AG59">IFERROR(INDEX($A59:$AB59,SMALL(IF(NOT(COUNTIF($AC59:AF59,$Y59:$AB59)),COLUMN($Y59:$AB59)),1)),"")</f>
        <v/>
      </c>
    </row>
    <row r="60" spans="1:33">
      <c r="A60" s="52">
        <v>59</v>
      </c>
      <c r="B60" s="4"/>
      <c r="C60" s="43"/>
      <c r="D60" s="53" t="str">
        <f>IFERROR(VLOOKUP($C60,'LISTE A SAISIR'!$E$4:$N$19,2,0),"")</f>
        <v/>
      </c>
      <c r="E60" s="1"/>
      <c r="F60" s="53" t="str">
        <f>IFERROR(VLOOKUP($C60,'LISTE A SAISIR'!$E$4:$N$19,2+2*MATCH(E60,Y60:AB60,0),0),"")</f>
        <v/>
      </c>
      <c r="G60" s="1"/>
      <c r="H60" s="7"/>
      <c r="I60" s="53">
        <f t="shared" si="1"/>
        <v>0</v>
      </c>
      <c r="L60" s="52" t="str">
        <f t="array" ref="L60">IFERROR(INDEX(B:B,SMALL(IF($B$2:$B$149=$K$1,ROW($B$2:$B$149)),ROWS(L$2:L60))),"")</f>
        <v/>
      </c>
      <c r="M60" s="52" t="str">
        <f t="array" ref="M60">IFERROR(INDEX(#REF!,SMALL(IF($B$2:$B$149=$K$1,ROW($B$2:$B$149)),ROWS(M$2:M60))),"")</f>
        <v/>
      </c>
      <c r="N60" s="52" t="str">
        <f t="array" ref="N60">IFERROR(INDEX(C:C,SMALL(IF($B$2:$B$149=$K$1,ROW($B$2:$B$149)),ROWS(N$2:N60))),"")</f>
        <v/>
      </c>
      <c r="O60" s="52" t="str">
        <f t="array" ref="O60">IFERROR(INDEX(D:D,SMALL(IF($B$2:$B$149=$K$1,ROW($B$2:$B$149)),ROWS(O$2:O60))),"")</f>
        <v/>
      </c>
      <c r="P60" s="52" t="str">
        <f t="array" ref="P60">IFERROR(INDEX(E:E,SMALL(IF($B$2:$B$149=$K$1,ROW($B$2:$B$149)),ROWS(P$2:P60))),"")</f>
        <v/>
      </c>
      <c r="Q60" s="52" t="str">
        <f t="array" ref="Q60">IFERROR(INDEX(F:F,SMALL(IF($B$2:$B$149=$K$1,ROW($B$2:$B$149)),ROWS(Q$2:Q60))),"")</f>
        <v/>
      </c>
      <c r="R60" s="52" t="str">
        <f t="array" ref="R60">IFERROR(INDEX(G:G,SMALL(IF($B$2:$B$149=$K$1,ROW($B$2:$B$149)),ROWS(R$2:R60))),"")</f>
        <v/>
      </c>
      <c r="S60" s="52" t="str">
        <f t="array" ref="S60">IFERROR(INDEX(H:H,SMALL(IF($B$2:$B$149=$K$1,ROW($B$2:$B$149)),ROWS(S$2:S60))),"")</f>
        <v/>
      </c>
      <c r="Y60" s="55" t="str">
        <f>IFERROR(""&amp;VLOOKUP($C60,'LISTE A SAISIR'!$E$4:$L$19,3,0),"")</f>
        <v/>
      </c>
      <c r="Z60" s="55" t="str">
        <f>IFERROR(""&amp;VLOOKUP($C60,'LISTE A SAISIR'!$E$4:$L$19,5,0),"")</f>
        <v/>
      </c>
      <c r="AA60" s="55" t="str">
        <f>IFERROR(""&amp;VLOOKUP($C60,'LISTE A SAISIR'!$E$4:$L$19,7,0),"")</f>
        <v/>
      </c>
      <c r="AB60" s="55" t="str">
        <f>IFERROR(""&amp;VLOOKUP($C60,'LISTE A SAISIR'!$E$4:$N$19,9,0),"")</f>
        <v/>
      </c>
      <c r="AD60" s="56" t="str">
        <f t="array" ref="AD60">IFERROR(INDEX($A60:$AB60,SMALL(IF(NOT(COUNTIF($AC60:AC60,$Y60:$AB60)),COLUMN($Y60:$AB60)),1)),"")</f>
        <v/>
      </c>
      <c r="AE60" s="56" t="str">
        <f t="array" ref="AE60">IFERROR(INDEX($A60:$AB60,SMALL(IF(NOT(COUNTIF($AC60:AD60,$Y60:$AB60)),COLUMN($Y60:$AB60)),1)),"")</f>
        <v/>
      </c>
      <c r="AF60" s="56" t="str">
        <f t="array" ref="AF60">IFERROR(INDEX($A60:$AB60,SMALL(IF(NOT(COUNTIF($AC60:AE60,$Y60:$AB60)),COLUMN($Y60:$AB60)),1)),"")</f>
        <v/>
      </c>
      <c r="AG60" s="56" t="str">
        <f t="array" ref="AG60">IFERROR(INDEX($A60:$AB60,SMALL(IF(NOT(COUNTIF($AC60:AF60,$Y60:$AB60)),COLUMN($Y60:$AB60)),1)),"")</f>
        <v/>
      </c>
    </row>
    <row r="61" spans="1:33">
      <c r="A61" s="52">
        <v>60</v>
      </c>
      <c r="B61" s="4"/>
      <c r="C61" s="43"/>
      <c r="D61" s="52" t="str">
        <f>IFERROR(VLOOKUP($C61,'LISTE A SAISIR'!$E$4:$N$19,2,0),"")</f>
        <v/>
      </c>
      <c r="E61" s="1"/>
      <c r="F61" s="53" t="str">
        <f>IFERROR(VLOOKUP($C61,'LISTE A SAISIR'!$E$4:$N$19,2+2*MATCH(E61,Y61:AB61,0),0),"")</f>
        <v/>
      </c>
      <c r="G61" s="1"/>
      <c r="H61" s="1"/>
      <c r="I61" s="58">
        <f t="shared" si="1"/>
        <v>0</v>
      </c>
      <c r="L61" s="52" t="str">
        <f t="array" ref="L61">IFERROR(INDEX(B:B,SMALL(IF($B$2:$B$149=$K$1,ROW($B$2:$B$149)),ROWS(L$2:L61))),"")</f>
        <v/>
      </c>
      <c r="M61" s="52" t="str">
        <f t="array" ref="M61">IFERROR(INDEX(#REF!,SMALL(IF($B$2:$B$149=$K$1,ROW($B$2:$B$149)),ROWS(M$2:M61))),"")</f>
        <v/>
      </c>
      <c r="N61" s="52" t="str">
        <f t="array" ref="N61">IFERROR(INDEX(C:C,SMALL(IF($B$2:$B$149=$K$1,ROW($B$2:$B$149)),ROWS(N$2:N61))),"")</f>
        <v/>
      </c>
      <c r="O61" s="52" t="str">
        <f t="array" ref="O61">IFERROR(INDEX(D:D,SMALL(IF($B$2:$B$149=$K$1,ROW($B$2:$B$149)),ROWS(O$2:O61))),"")</f>
        <v/>
      </c>
      <c r="P61" s="52" t="str">
        <f t="array" ref="P61">IFERROR(INDEX(E:E,SMALL(IF($B$2:$B$149=$K$1,ROW($B$2:$B$149)),ROWS(P$2:P61))),"")</f>
        <v/>
      </c>
      <c r="Q61" s="52" t="str">
        <f t="array" ref="Q61">IFERROR(INDEX(F:F,SMALL(IF($B$2:$B$149=$K$1,ROW($B$2:$B$149)),ROWS(Q$2:Q61))),"")</f>
        <v/>
      </c>
      <c r="R61" s="52" t="str">
        <f t="array" ref="R61">IFERROR(INDEX(G:G,SMALL(IF($B$2:$B$149=$K$1,ROW($B$2:$B$149)),ROWS(R$2:R61))),"")</f>
        <v/>
      </c>
      <c r="S61" s="52" t="str">
        <f t="array" ref="S61">IFERROR(INDEX(H:H,SMALL(IF($B$2:$B$149=$K$1,ROW($B$2:$B$149)),ROWS(S$2:S61))),"")</f>
        <v/>
      </c>
      <c r="Y61" s="55" t="str">
        <f>IFERROR(""&amp;VLOOKUP($C61,'LISTE A SAISIR'!$E$4:$L$19,3,0),"")</f>
        <v/>
      </c>
      <c r="Z61" s="55" t="str">
        <f>IFERROR(""&amp;VLOOKUP($C61,'LISTE A SAISIR'!$E$4:$L$19,5,0),"")</f>
        <v/>
      </c>
      <c r="AA61" s="55" t="str">
        <f>IFERROR(""&amp;VLOOKUP($C61,'LISTE A SAISIR'!$E$4:$L$19,7,0),"")</f>
        <v/>
      </c>
      <c r="AB61" s="55" t="str">
        <f>IFERROR(""&amp;VLOOKUP($C61,'LISTE A SAISIR'!$E$4:$N$19,9,0),"")</f>
        <v/>
      </c>
      <c r="AD61" s="56" t="str">
        <f t="array" ref="AD61">IFERROR(INDEX($A61:$AB61,SMALL(IF(NOT(COUNTIF($AC61:AC61,$Y61:$AB61)),COLUMN($Y61:$AB61)),1)),"")</f>
        <v/>
      </c>
      <c r="AE61" s="56" t="str">
        <f t="array" ref="AE61">IFERROR(INDEX($A61:$AB61,SMALL(IF(NOT(COUNTIF($AC61:AD61,$Y61:$AB61)),COLUMN($Y61:$AB61)),1)),"")</f>
        <v/>
      </c>
      <c r="AF61" s="56" t="str">
        <f t="array" ref="AF61">IFERROR(INDEX($A61:$AB61,SMALL(IF(NOT(COUNTIF($AC61:AE61,$Y61:$AB61)),COLUMN($Y61:$AB61)),1)),"")</f>
        <v/>
      </c>
      <c r="AG61" s="56" t="str">
        <f t="array" ref="AG61">IFERROR(INDEX($A61:$AB61,SMALL(IF(NOT(COUNTIF($AC61:AF61,$Y61:$AB61)),COLUMN($Y61:$AB61)),1)),"")</f>
        <v/>
      </c>
    </row>
    <row r="62" spans="1:33">
      <c r="A62" s="52">
        <v>61</v>
      </c>
      <c r="B62" s="4"/>
      <c r="C62" s="43"/>
      <c r="D62" s="53" t="str">
        <f>IFERROR(VLOOKUP($C62,'LISTE A SAISIR'!$E$4:$N$19,2,0),"")</f>
        <v/>
      </c>
      <c r="E62" s="1"/>
      <c r="F62" s="53" t="str">
        <f>IFERROR(VLOOKUP($C62,'LISTE A SAISIR'!$E$4:$N$19,2+2*MATCH(E62,Y62:AB62,0),0),"")</f>
        <v/>
      </c>
      <c r="G62" s="1"/>
      <c r="H62" s="7"/>
      <c r="I62" s="53">
        <f t="shared" si="1"/>
        <v>0</v>
      </c>
      <c r="L62" s="52" t="str">
        <f t="array" ref="L62">IFERROR(INDEX(B:B,SMALL(IF($B$2:$B$149=$K$1,ROW($B$2:$B$149)),ROWS(L$2:L62))),"")</f>
        <v/>
      </c>
      <c r="M62" s="52" t="str">
        <f t="array" ref="M62">IFERROR(INDEX(#REF!,SMALL(IF($B$2:$B$149=$K$1,ROW($B$2:$B$149)),ROWS(M$2:M62))),"")</f>
        <v/>
      </c>
      <c r="N62" s="52" t="str">
        <f t="array" ref="N62">IFERROR(INDEX(C:C,SMALL(IF($B$2:$B$149=$K$1,ROW($B$2:$B$149)),ROWS(N$2:N62))),"")</f>
        <v/>
      </c>
      <c r="O62" s="52" t="str">
        <f t="array" ref="O62">IFERROR(INDEX(D:D,SMALL(IF($B$2:$B$149=$K$1,ROW($B$2:$B$149)),ROWS(O$2:O62))),"")</f>
        <v/>
      </c>
      <c r="P62" s="52" t="str">
        <f t="array" ref="P62">IFERROR(INDEX(E:E,SMALL(IF($B$2:$B$149=$K$1,ROW($B$2:$B$149)),ROWS(P$2:P62))),"")</f>
        <v/>
      </c>
      <c r="Q62" s="52" t="str">
        <f t="array" ref="Q62">IFERROR(INDEX(F:F,SMALL(IF($B$2:$B$149=$K$1,ROW($B$2:$B$149)),ROWS(Q$2:Q62))),"")</f>
        <v/>
      </c>
      <c r="R62" s="52" t="str">
        <f t="array" ref="R62">IFERROR(INDEX(G:G,SMALL(IF($B$2:$B$149=$K$1,ROW($B$2:$B$149)),ROWS(R$2:R62))),"")</f>
        <v/>
      </c>
      <c r="S62" s="52" t="str">
        <f t="array" ref="S62">IFERROR(INDEX(H:H,SMALL(IF($B$2:$B$149=$K$1,ROW($B$2:$B$149)),ROWS(S$2:S62))),"")</f>
        <v/>
      </c>
      <c r="Y62" s="55" t="str">
        <f>IFERROR(""&amp;VLOOKUP($C62,'LISTE A SAISIR'!$E$4:$L$19,3,0),"")</f>
        <v/>
      </c>
      <c r="Z62" s="55" t="str">
        <f>IFERROR(""&amp;VLOOKUP($C62,'LISTE A SAISIR'!$E$4:$L$19,5,0),"")</f>
        <v/>
      </c>
      <c r="AA62" s="55" t="str">
        <f>IFERROR(""&amp;VLOOKUP($C62,'LISTE A SAISIR'!$E$4:$L$19,7,0),"")</f>
        <v/>
      </c>
      <c r="AB62" s="55" t="str">
        <f>IFERROR(""&amp;VLOOKUP($C62,'LISTE A SAISIR'!$E$4:$N$19,9,0),"")</f>
        <v/>
      </c>
      <c r="AD62" s="56" t="str">
        <f t="array" ref="AD62">IFERROR(INDEX($A62:$AB62,SMALL(IF(NOT(COUNTIF($AC62:AC62,$Y62:$AB62)),COLUMN($Y62:$AB62)),1)),"")</f>
        <v/>
      </c>
      <c r="AE62" s="56" t="str">
        <f t="array" ref="AE62">IFERROR(INDEX($A62:$AB62,SMALL(IF(NOT(COUNTIF($AC62:AD62,$Y62:$AB62)),COLUMN($Y62:$AB62)),1)),"")</f>
        <v/>
      </c>
      <c r="AF62" s="56" t="str">
        <f t="array" ref="AF62">IFERROR(INDEX($A62:$AB62,SMALL(IF(NOT(COUNTIF($AC62:AE62,$Y62:$AB62)),COLUMN($Y62:$AB62)),1)),"")</f>
        <v/>
      </c>
      <c r="AG62" s="56" t="str">
        <f t="array" ref="AG62">IFERROR(INDEX($A62:$AB62,SMALL(IF(NOT(COUNTIF($AC62:AF62,$Y62:$AB62)),COLUMN($Y62:$AB62)),1)),"")</f>
        <v/>
      </c>
    </row>
    <row r="63" spans="1:33">
      <c r="A63" s="52">
        <v>62</v>
      </c>
      <c r="B63" s="4"/>
      <c r="C63" s="43"/>
      <c r="D63" s="52" t="str">
        <f>IFERROR(VLOOKUP($C63,'LISTE A SAISIR'!$E$4:$N$19,2,0),"")</f>
        <v/>
      </c>
      <c r="E63" s="1"/>
      <c r="F63" s="53" t="str">
        <f>IFERROR(VLOOKUP($C63,'LISTE A SAISIR'!$E$4:$N$19,2+2*MATCH(E63,Y63:AB63,0),0),"")</f>
        <v/>
      </c>
      <c r="G63" s="1"/>
      <c r="H63" s="1"/>
      <c r="I63" s="58">
        <f t="shared" si="1"/>
        <v>0</v>
      </c>
      <c r="L63" s="52" t="str">
        <f t="array" ref="L63">IFERROR(INDEX(B:B,SMALL(IF($B$2:$B$149=$K$1,ROW($B$2:$B$149)),ROWS(L$2:L63))),"")</f>
        <v/>
      </c>
      <c r="M63" s="52" t="str">
        <f t="array" ref="M63">IFERROR(INDEX(#REF!,SMALL(IF($B$2:$B$149=$K$1,ROW($B$2:$B$149)),ROWS(M$2:M63))),"")</f>
        <v/>
      </c>
      <c r="N63" s="52" t="str">
        <f t="array" ref="N63">IFERROR(INDEX(C:C,SMALL(IF($B$2:$B$149=$K$1,ROW($B$2:$B$149)),ROWS(N$2:N63))),"")</f>
        <v/>
      </c>
      <c r="O63" s="52" t="str">
        <f t="array" ref="O63">IFERROR(INDEX(D:D,SMALL(IF($B$2:$B$149=$K$1,ROW($B$2:$B$149)),ROWS(O$2:O63))),"")</f>
        <v/>
      </c>
      <c r="P63" s="52" t="str">
        <f t="array" ref="P63">IFERROR(INDEX(E:E,SMALL(IF($B$2:$B$149=$K$1,ROW($B$2:$B$149)),ROWS(P$2:P63))),"")</f>
        <v/>
      </c>
      <c r="Q63" s="52" t="str">
        <f t="array" ref="Q63">IFERROR(INDEX(F:F,SMALL(IF($B$2:$B$149=$K$1,ROW($B$2:$B$149)),ROWS(Q$2:Q63))),"")</f>
        <v/>
      </c>
      <c r="R63" s="52" t="str">
        <f t="array" ref="R63">IFERROR(INDEX(G:G,SMALL(IF($B$2:$B$149=$K$1,ROW($B$2:$B$149)),ROWS(R$2:R63))),"")</f>
        <v/>
      </c>
      <c r="S63" s="52" t="str">
        <f t="array" ref="S63">IFERROR(INDEX(H:H,SMALL(IF($B$2:$B$149=$K$1,ROW($B$2:$B$149)),ROWS(S$2:S63))),"")</f>
        <v/>
      </c>
      <c r="Y63" s="55" t="str">
        <f>IFERROR(""&amp;VLOOKUP($C63,'LISTE A SAISIR'!$E$4:$L$19,3,0),"")</f>
        <v/>
      </c>
      <c r="Z63" s="55" t="str">
        <f>IFERROR(""&amp;VLOOKUP($C63,'LISTE A SAISIR'!$E$4:$L$19,5,0),"")</f>
        <v/>
      </c>
      <c r="AA63" s="55" t="str">
        <f>IFERROR(""&amp;VLOOKUP($C63,'LISTE A SAISIR'!$E$4:$L$19,7,0),"")</f>
        <v/>
      </c>
      <c r="AB63" s="55" t="str">
        <f>IFERROR(""&amp;VLOOKUP($C63,'LISTE A SAISIR'!$E$4:$N$19,9,0),"")</f>
        <v/>
      </c>
      <c r="AD63" s="56" t="str">
        <f t="array" ref="AD63">IFERROR(INDEX($A63:$AB63,SMALL(IF(NOT(COUNTIF($AC63:AC63,$Y63:$AB63)),COLUMN($Y63:$AB63)),1)),"")</f>
        <v/>
      </c>
      <c r="AE63" s="56" t="str">
        <f t="array" ref="AE63">IFERROR(INDEX($A63:$AB63,SMALL(IF(NOT(COUNTIF($AC63:AD63,$Y63:$AB63)),COLUMN($Y63:$AB63)),1)),"")</f>
        <v/>
      </c>
      <c r="AF63" s="56" t="str">
        <f t="array" ref="AF63">IFERROR(INDEX($A63:$AB63,SMALL(IF(NOT(COUNTIF($AC63:AE63,$Y63:$AB63)),COLUMN($Y63:$AB63)),1)),"")</f>
        <v/>
      </c>
      <c r="AG63" s="56" t="str">
        <f t="array" ref="AG63">IFERROR(INDEX($A63:$AB63,SMALL(IF(NOT(COUNTIF($AC63:AF63,$Y63:$AB63)),COLUMN($Y63:$AB63)),1)),"")</f>
        <v/>
      </c>
    </row>
    <row r="64" spans="1:33">
      <c r="A64" s="52">
        <v>63</v>
      </c>
      <c r="B64" s="4"/>
      <c r="C64" s="43"/>
      <c r="D64" s="53" t="str">
        <f>IFERROR(VLOOKUP($C64,'LISTE A SAISIR'!$E$4:$N$19,2,0),"")</f>
        <v/>
      </c>
      <c r="E64" s="1"/>
      <c r="F64" s="53" t="str">
        <f>IFERROR(VLOOKUP($C64,'LISTE A SAISIR'!$E$4:$N$19,2+2*MATCH(E64,Y64:AB64,0),0),"")</f>
        <v/>
      </c>
      <c r="G64" s="1"/>
      <c r="H64" s="7"/>
      <c r="I64" s="53">
        <f t="shared" si="1"/>
        <v>0</v>
      </c>
      <c r="L64" s="52" t="str">
        <f t="array" ref="L64">IFERROR(INDEX(B:B,SMALL(IF($B$2:$B$149=$K$1,ROW($B$2:$B$149)),ROWS(L$2:L64))),"")</f>
        <v/>
      </c>
      <c r="M64" s="52" t="str">
        <f t="array" ref="M64">IFERROR(INDEX(#REF!,SMALL(IF($B$2:$B$149=$K$1,ROW($B$2:$B$149)),ROWS(M$2:M64))),"")</f>
        <v/>
      </c>
      <c r="N64" s="52" t="str">
        <f t="array" ref="N64">IFERROR(INDEX(C:C,SMALL(IF($B$2:$B$149=$K$1,ROW($B$2:$B$149)),ROWS(N$2:N64))),"")</f>
        <v/>
      </c>
      <c r="O64" s="52" t="str">
        <f t="array" ref="O64">IFERROR(INDEX(D:D,SMALL(IF($B$2:$B$149=$K$1,ROW($B$2:$B$149)),ROWS(O$2:O64))),"")</f>
        <v/>
      </c>
      <c r="P64" s="52" t="str">
        <f t="array" ref="P64">IFERROR(INDEX(E:E,SMALL(IF($B$2:$B$149=$K$1,ROW($B$2:$B$149)),ROWS(P$2:P64))),"")</f>
        <v/>
      </c>
      <c r="Q64" s="52" t="str">
        <f t="array" ref="Q64">IFERROR(INDEX(F:F,SMALL(IF($B$2:$B$149=$K$1,ROW($B$2:$B$149)),ROWS(Q$2:Q64))),"")</f>
        <v/>
      </c>
      <c r="R64" s="52" t="str">
        <f t="array" ref="R64">IFERROR(INDEX(G:G,SMALL(IF($B$2:$B$149=$K$1,ROW($B$2:$B$149)),ROWS(R$2:R64))),"")</f>
        <v/>
      </c>
      <c r="S64" s="52" t="str">
        <f t="array" ref="S64">IFERROR(INDEX(H:H,SMALL(IF($B$2:$B$149=$K$1,ROW($B$2:$B$149)),ROWS(S$2:S64))),"")</f>
        <v/>
      </c>
      <c r="Y64" s="55" t="str">
        <f>IFERROR(""&amp;VLOOKUP($C64,'LISTE A SAISIR'!$E$4:$L$19,3,0),"")</f>
        <v/>
      </c>
      <c r="Z64" s="55" t="str">
        <f>IFERROR(""&amp;VLOOKUP($C64,'LISTE A SAISIR'!$E$4:$L$19,5,0),"")</f>
        <v/>
      </c>
      <c r="AA64" s="55" t="str">
        <f>IFERROR(""&amp;VLOOKUP($C64,'LISTE A SAISIR'!$E$4:$L$19,7,0),"")</f>
        <v/>
      </c>
      <c r="AB64" s="55" t="str">
        <f>IFERROR(""&amp;VLOOKUP($C64,'LISTE A SAISIR'!$E$4:$N$19,9,0),"")</f>
        <v/>
      </c>
      <c r="AD64" s="56" t="str">
        <f t="array" ref="AD64">IFERROR(INDEX($A64:$AB64,SMALL(IF(NOT(COUNTIF($AC64:AC64,$Y64:$AB64)),COLUMN($Y64:$AB64)),1)),"")</f>
        <v/>
      </c>
      <c r="AE64" s="56" t="str">
        <f t="array" ref="AE64">IFERROR(INDEX($A64:$AB64,SMALL(IF(NOT(COUNTIF($AC64:AD64,$Y64:$AB64)),COLUMN($Y64:$AB64)),1)),"")</f>
        <v/>
      </c>
      <c r="AF64" s="56" t="str">
        <f t="array" ref="AF64">IFERROR(INDEX($A64:$AB64,SMALL(IF(NOT(COUNTIF($AC64:AE64,$Y64:$AB64)),COLUMN($Y64:$AB64)),1)),"")</f>
        <v/>
      </c>
      <c r="AG64" s="56" t="str">
        <f t="array" ref="AG64">IFERROR(INDEX($A64:$AB64,SMALL(IF(NOT(COUNTIF($AC64:AF64,$Y64:$AB64)),COLUMN($Y64:$AB64)),1)),"")</f>
        <v/>
      </c>
    </row>
    <row r="65" spans="1:33">
      <c r="A65" s="52">
        <v>64</v>
      </c>
      <c r="B65" s="4"/>
      <c r="C65" s="43"/>
      <c r="D65" s="52" t="str">
        <f>IFERROR(VLOOKUP($C65,'LISTE A SAISIR'!$E$4:$N$19,2,0),"")</f>
        <v/>
      </c>
      <c r="E65" s="1"/>
      <c r="F65" s="53" t="str">
        <f>IFERROR(VLOOKUP($C65,'LISTE A SAISIR'!$E$4:$N$19,2+2*MATCH(E65,Y65:AB65,0),0),"")</f>
        <v/>
      </c>
      <c r="G65" s="1"/>
      <c r="H65" s="1"/>
      <c r="I65" s="58">
        <f t="shared" si="1"/>
        <v>0</v>
      </c>
      <c r="L65" s="52" t="str">
        <f t="array" ref="L65">IFERROR(INDEX(B:B,SMALL(IF($B$2:$B$149=$K$1,ROW($B$2:$B$149)),ROWS(L$2:L65))),"")</f>
        <v/>
      </c>
      <c r="M65" s="52" t="str">
        <f t="array" ref="M65">IFERROR(INDEX(#REF!,SMALL(IF($B$2:$B$149=$K$1,ROW($B$2:$B$149)),ROWS(M$2:M65))),"")</f>
        <v/>
      </c>
      <c r="N65" s="52" t="str">
        <f t="array" ref="N65">IFERROR(INDEX(C:C,SMALL(IF($B$2:$B$149=$K$1,ROW($B$2:$B$149)),ROWS(N$2:N65))),"")</f>
        <v/>
      </c>
      <c r="O65" s="52" t="str">
        <f t="array" ref="O65">IFERROR(INDEX(D:D,SMALL(IF($B$2:$B$149=$K$1,ROW($B$2:$B$149)),ROWS(O$2:O65))),"")</f>
        <v/>
      </c>
      <c r="P65" s="52" t="str">
        <f t="array" ref="P65">IFERROR(INDEX(E:E,SMALL(IF($B$2:$B$149=$K$1,ROW($B$2:$B$149)),ROWS(P$2:P65))),"")</f>
        <v/>
      </c>
      <c r="Q65" s="52" t="str">
        <f t="array" ref="Q65">IFERROR(INDEX(F:F,SMALL(IF($B$2:$B$149=$K$1,ROW($B$2:$B$149)),ROWS(Q$2:Q65))),"")</f>
        <v/>
      </c>
      <c r="R65" s="52" t="str">
        <f t="array" ref="R65">IFERROR(INDEX(G:G,SMALL(IF($B$2:$B$149=$K$1,ROW($B$2:$B$149)),ROWS(R$2:R65))),"")</f>
        <v/>
      </c>
      <c r="S65" s="52" t="str">
        <f t="array" ref="S65">IFERROR(INDEX(H:H,SMALL(IF($B$2:$B$149=$K$1,ROW($B$2:$B$149)),ROWS(S$2:S65))),"")</f>
        <v/>
      </c>
      <c r="Y65" s="55" t="str">
        <f>IFERROR(""&amp;VLOOKUP($C65,'LISTE A SAISIR'!$E$4:$L$19,3,0),"")</f>
        <v/>
      </c>
      <c r="Z65" s="55" t="str">
        <f>IFERROR(""&amp;VLOOKUP($C65,'LISTE A SAISIR'!$E$4:$L$19,5,0),"")</f>
        <v/>
      </c>
      <c r="AA65" s="55" t="str">
        <f>IFERROR(""&amp;VLOOKUP($C65,'LISTE A SAISIR'!$E$4:$L$19,7,0),"")</f>
        <v/>
      </c>
      <c r="AB65" s="55" t="str">
        <f>IFERROR(""&amp;VLOOKUP($C65,'LISTE A SAISIR'!$E$4:$N$19,9,0),"")</f>
        <v/>
      </c>
      <c r="AD65" s="56" t="str">
        <f t="array" ref="AD65">IFERROR(INDEX($A65:$AB65,SMALL(IF(NOT(COUNTIF($AC65:AC65,$Y65:$AB65)),COLUMN($Y65:$AB65)),1)),"")</f>
        <v/>
      </c>
      <c r="AE65" s="56" t="str">
        <f t="array" ref="AE65">IFERROR(INDEX($A65:$AB65,SMALL(IF(NOT(COUNTIF($AC65:AD65,$Y65:$AB65)),COLUMN($Y65:$AB65)),1)),"")</f>
        <v/>
      </c>
      <c r="AF65" s="56" t="str">
        <f t="array" ref="AF65">IFERROR(INDEX($A65:$AB65,SMALL(IF(NOT(COUNTIF($AC65:AE65,$Y65:$AB65)),COLUMN($Y65:$AB65)),1)),"")</f>
        <v/>
      </c>
      <c r="AG65" s="56" t="str">
        <f t="array" ref="AG65">IFERROR(INDEX($A65:$AB65,SMALL(IF(NOT(COUNTIF($AC65:AF65,$Y65:$AB65)),COLUMN($Y65:$AB65)),1)),"")</f>
        <v/>
      </c>
    </row>
    <row r="66" spans="1:33">
      <c r="A66" s="52">
        <v>65</v>
      </c>
      <c r="B66" s="4"/>
      <c r="C66" s="43"/>
      <c r="D66" s="53" t="str">
        <f>IFERROR(VLOOKUP($C66,'LISTE A SAISIR'!$E$4:$N$19,2,0),"")</f>
        <v/>
      </c>
      <c r="E66" s="1"/>
      <c r="F66" s="53" t="str">
        <f>IFERROR(VLOOKUP($C66,'LISTE A SAISIR'!$E$4:$N$19,2+2*MATCH(E66,Y66:AB66,0),0),"")</f>
        <v/>
      </c>
      <c r="G66" s="1"/>
      <c r="H66" s="7"/>
      <c r="I66" s="53">
        <f t="shared" ref="I66:I97" si="2">COUNTIF($B$2:$B$149,B66)</f>
        <v>0</v>
      </c>
      <c r="L66" s="52" t="str">
        <f t="array" ref="L66">IFERROR(INDEX(B:B,SMALL(IF($B$2:$B$149=$K$1,ROW($B$2:$B$149)),ROWS(L$2:L66))),"")</f>
        <v/>
      </c>
      <c r="M66" s="52" t="str">
        <f t="array" ref="M66">IFERROR(INDEX(#REF!,SMALL(IF($B$2:$B$149=$K$1,ROW($B$2:$B$149)),ROWS(M$2:M66))),"")</f>
        <v/>
      </c>
      <c r="N66" s="52" t="str">
        <f t="array" ref="N66">IFERROR(INDEX(C:C,SMALL(IF($B$2:$B$149=$K$1,ROW($B$2:$B$149)),ROWS(N$2:N66))),"")</f>
        <v/>
      </c>
      <c r="O66" s="52" t="str">
        <f t="array" ref="O66">IFERROR(INDEX(D:D,SMALL(IF($B$2:$B$149=$K$1,ROW($B$2:$B$149)),ROWS(O$2:O66))),"")</f>
        <v/>
      </c>
      <c r="P66" s="52" t="str">
        <f t="array" ref="P66">IFERROR(INDEX(E:E,SMALL(IF($B$2:$B$149=$K$1,ROW($B$2:$B$149)),ROWS(P$2:P66))),"")</f>
        <v/>
      </c>
      <c r="Q66" s="52" t="str">
        <f t="array" ref="Q66">IFERROR(INDEX(F:F,SMALL(IF($B$2:$B$149=$K$1,ROW($B$2:$B$149)),ROWS(Q$2:Q66))),"")</f>
        <v/>
      </c>
      <c r="R66" s="52" t="str">
        <f t="array" ref="R66">IFERROR(INDEX(G:G,SMALL(IF($B$2:$B$149=$K$1,ROW($B$2:$B$149)),ROWS(R$2:R66))),"")</f>
        <v/>
      </c>
      <c r="S66" s="52" t="str">
        <f t="array" ref="S66">IFERROR(INDEX(H:H,SMALL(IF($B$2:$B$149=$K$1,ROW($B$2:$B$149)),ROWS(S$2:S66))),"")</f>
        <v/>
      </c>
      <c r="Y66" s="55" t="str">
        <f>IFERROR(""&amp;VLOOKUP($C66,'LISTE A SAISIR'!$E$4:$L$19,3,0),"")</f>
        <v/>
      </c>
      <c r="Z66" s="55" t="str">
        <f>IFERROR(""&amp;VLOOKUP($C66,'LISTE A SAISIR'!$E$4:$L$19,5,0),"")</f>
        <v/>
      </c>
      <c r="AA66" s="55" t="str">
        <f>IFERROR(""&amp;VLOOKUP($C66,'LISTE A SAISIR'!$E$4:$L$19,7,0),"")</f>
        <v/>
      </c>
      <c r="AB66" s="55" t="str">
        <f>IFERROR(""&amp;VLOOKUP($C66,'LISTE A SAISIR'!$E$4:$N$19,9,0),"")</f>
        <v/>
      </c>
      <c r="AD66" s="56" t="str">
        <f t="array" ref="AD66">IFERROR(INDEX($A66:$AB66,SMALL(IF(NOT(COUNTIF($AC66:AC66,$Y66:$AB66)),COLUMN($Y66:$AB66)),1)),"")</f>
        <v/>
      </c>
      <c r="AE66" s="56" t="str">
        <f t="array" ref="AE66">IFERROR(INDEX($A66:$AB66,SMALL(IF(NOT(COUNTIF($AC66:AD66,$Y66:$AB66)),COLUMN($Y66:$AB66)),1)),"")</f>
        <v/>
      </c>
      <c r="AF66" s="56" t="str">
        <f t="array" ref="AF66">IFERROR(INDEX($A66:$AB66,SMALL(IF(NOT(COUNTIF($AC66:AE66,$Y66:$AB66)),COLUMN($Y66:$AB66)),1)),"")</f>
        <v/>
      </c>
      <c r="AG66" s="56" t="str">
        <f t="array" ref="AG66">IFERROR(INDEX($A66:$AB66,SMALL(IF(NOT(COUNTIF($AC66:AF66,$Y66:$AB66)),COLUMN($Y66:$AB66)),1)),"")</f>
        <v/>
      </c>
    </row>
    <row r="67" spans="1:33">
      <c r="A67" s="52">
        <v>66</v>
      </c>
      <c r="B67" s="4"/>
      <c r="C67" s="43"/>
      <c r="D67" s="52" t="str">
        <f>IFERROR(VLOOKUP($C67,'LISTE A SAISIR'!$E$4:$N$19,2,0),"")</f>
        <v/>
      </c>
      <c r="E67" s="1"/>
      <c r="F67" s="53" t="str">
        <f>IFERROR(VLOOKUP($C67,'LISTE A SAISIR'!$E$4:$N$19,2+2*MATCH(E67,Y67:AB67,0),0),"")</f>
        <v/>
      </c>
      <c r="G67" s="1"/>
      <c r="H67" s="1"/>
      <c r="I67" s="58">
        <f t="shared" si="2"/>
        <v>0</v>
      </c>
      <c r="L67" s="52" t="str">
        <f t="array" ref="L67">IFERROR(INDEX(B:B,SMALL(IF($B$2:$B$149=$K$1,ROW($B$2:$B$149)),ROWS(L$2:L67))),"")</f>
        <v/>
      </c>
      <c r="M67" s="52" t="str">
        <f t="array" ref="M67">IFERROR(INDEX(#REF!,SMALL(IF($B$2:$B$149=$K$1,ROW($B$2:$B$149)),ROWS(M$2:M67))),"")</f>
        <v/>
      </c>
      <c r="N67" s="52" t="str">
        <f t="array" ref="N67">IFERROR(INDEX(C:C,SMALL(IF($B$2:$B$149=$K$1,ROW($B$2:$B$149)),ROWS(N$2:N67))),"")</f>
        <v/>
      </c>
      <c r="O67" s="52" t="str">
        <f t="array" ref="O67">IFERROR(INDEX(D:D,SMALL(IF($B$2:$B$149=$K$1,ROW($B$2:$B$149)),ROWS(O$2:O67))),"")</f>
        <v/>
      </c>
      <c r="P67" s="52" t="str">
        <f t="array" ref="P67">IFERROR(INDEX(E:E,SMALL(IF($B$2:$B$149=$K$1,ROW($B$2:$B$149)),ROWS(P$2:P67))),"")</f>
        <v/>
      </c>
      <c r="Q67" s="52" t="str">
        <f t="array" ref="Q67">IFERROR(INDEX(F:F,SMALL(IF($B$2:$B$149=$K$1,ROW($B$2:$B$149)),ROWS(Q$2:Q67))),"")</f>
        <v/>
      </c>
      <c r="R67" s="52" t="str">
        <f t="array" ref="R67">IFERROR(INDEX(G:G,SMALL(IF($B$2:$B$149=$K$1,ROW($B$2:$B$149)),ROWS(R$2:R67))),"")</f>
        <v/>
      </c>
      <c r="S67" s="52" t="str">
        <f t="array" ref="S67">IFERROR(INDEX(H:H,SMALL(IF($B$2:$B$149=$K$1,ROW($B$2:$B$149)),ROWS(S$2:S67))),"")</f>
        <v/>
      </c>
      <c r="Y67" s="55" t="str">
        <f>IFERROR(""&amp;VLOOKUP($C67,'LISTE A SAISIR'!$E$4:$L$19,3,0),"")</f>
        <v/>
      </c>
      <c r="Z67" s="55" t="str">
        <f>IFERROR(""&amp;VLOOKUP($C67,'LISTE A SAISIR'!$E$4:$L$19,5,0),"")</f>
        <v/>
      </c>
      <c r="AA67" s="55" t="str">
        <f>IFERROR(""&amp;VLOOKUP($C67,'LISTE A SAISIR'!$E$4:$L$19,7,0),"")</f>
        <v/>
      </c>
      <c r="AB67" s="55" t="str">
        <f>IFERROR(""&amp;VLOOKUP($C67,'LISTE A SAISIR'!$E$4:$N$19,9,0),"")</f>
        <v/>
      </c>
      <c r="AD67" s="56" t="str">
        <f t="array" ref="AD67">IFERROR(INDEX($A67:$AB67,SMALL(IF(NOT(COUNTIF($AC67:AC67,$Y67:$AB67)),COLUMN($Y67:$AB67)),1)),"")</f>
        <v/>
      </c>
      <c r="AE67" s="56" t="str">
        <f t="array" ref="AE67">IFERROR(INDEX($A67:$AB67,SMALL(IF(NOT(COUNTIF($AC67:AD67,$Y67:$AB67)),COLUMN($Y67:$AB67)),1)),"")</f>
        <v/>
      </c>
      <c r="AF67" s="56" t="str">
        <f t="array" ref="AF67">IFERROR(INDEX($A67:$AB67,SMALL(IF(NOT(COUNTIF($AC67:AE67,$Y67:$AB67)),COLUMN($Y67:$AB67)),1)),"")</f>
        <v/>
      </c>
      <c r="AG67" s="56" t="str">
        <f t="array" ref="AG67">IFERROR(INDEX($A67:$AB67,SMALL(IF(NOT(COUNTIF($AC67:AF67,$Y67:$AB67)),COLUMN($Y67:$AB67)),1)),"")</f>
        <v/>
      </c>
    </row>
    <row r="68" spans="1:33">
      <c r="A68" s="52">
        <v>67</v>
      </c>
      <c r="B68" s="4"/>
      <c r="C68" s="43"/>
      <c r="D68" s="53" t="str">
        <f>IFERROR(VLOOKUP($C68,'LISTE A SAISIR'!$E$4:$N$19,2,0),"")</f>
        <v/>
      </c>
      <c r="E68" s="1"/>
      <c r="F68" s="53" t="str">
        <f>IFERROR(VLOOKUP($C68,'LISTE A SAISIR'!$E$4:$N$19,2+2*MATCH(E68,Y68:AB68,0),0),"")</f>
        <v/>
      </c>
      <c r="G68" s="1"/>
      <c r="H68" s="7"/>
      <c r="I68" s="53">
        <f t="shared" si="2"/>
        <v>0</v>
      </c>
      <c r="L68" s="52" t="str">
        <f t="array" ref="L68">IFERROR(INDEX(B:B,SMALL(IF($B$2:$B$149=$K$1,ROW($B$2:$B$149)),ROWS(L$2:L68))),"")</f>
        <v/>
      </c>
      <c r="M68" s="52" t="str">
        <f t="array" ref="M68">IFERROR(INDEX(#REF!,SMALL(IF($B$2:$B$149=$K$1,ROW($B$2:$B$149)),ROWS(M$2:M68))),"")</f>
        <v/>
      </c>
      <c r="N68" s="52" t="str">
        <f t="array" ref="N68">IFERROR(INDEX(C:C,SMALL(IF($B$2:$B$149=$K$1,ROW($B$2:$B$149)),ROWS(N$2:N68))),"")</f>
        <v/>
      </c>
      <c r="O68" s="52" t="str">
        <f t="array" ref="O68">IFERROR(INDEX(D:D,SMALL(IF($B$2:$B$149=$K$1,ROW($B$2:$B$149)),ROWS(O$2:O68))),"")</f>
        <v/>
      </c>
      <c r="P68" s="52" t="str">
        <f t="array" ref="P68">IFERROR(INDEX(E:E,SMALL(IF($B$2:$B$149=$K$1,ROW($B$2:$B$149)),ROWS(P$2:P68))),"")</f>
        <v/>
      </c>
      <c r="Q68" s="52" t="str">
        <f t="array" ref="Q68">IFERROR(INDEX(F:F,SMALL(IF($B$2:$B$149=$K$1,ROW($B$2:$B$149)),ROWS(Q$2:Q68))),"")</f>
        <v/>
      </c>
      <c r="R68" s="52" t="str">
        <f t="array" ref="R68">IFERROR(INDEX(G:G,SMALL(IF($B$2:$B$149=$K$1,ROW($B$2:$B$149)),ROWS(R$2:R68))),"")</f>
        <v/>
      </c>
      <c r="S68" s="52" t="str">
        <f t="array" ref="S68">IFERROR(INDEX(H:H,SMALL(IF($B$2:$B$149=$K$1,ROW($B$2:$B$149)),ROWS(S$2:S68))),"")</f>
        <v/>
      </c>
      <c r="Y68" s="55" t="str">
        <f>IFERROR(""&amp;VLOOKUP($C68,'LISTE A SAISIR'!$E$4:$L$19,3,0),"")</f>
        <v/>
      </c>
      <c r="Z68" s="55" t="str">
        <f>IFERROR(""&amp;VLOOKUP($C68,'LISTE A SAISIR'!$E$4:$L$19,5,0),"")</f>
        <v/>
      </c>
      <c r="AA68" s="55" t="str">
        <f>IFERROR(""&amp;VLOOKUP($C68,'LISTE A SAISIR'!$E$4:$L$19,7,0),"")</f>
        <v/>
      </c>
      <c r="AB68" s="55" t="str">
        <f>IFERROR(""&amp;VLOOKUP($C68,'LISTE A SAISIR'!$E$4:$N$19,9,0),"")</f>
        <v/>
      </c>
      <c r="AD68" s="56" t="str">
        <f t="array" ref="AD68">IFERROR(INDEX($A68:$AB68,SMALL(IF(NOT(COUNTIF($AC68:AC68,$Y68:$AB68)),COLUMN($Y68:$AB68)),1)),"")</f>
        <v/>
      </c>
      <c r="AE68" s="56" t="str">
        <f t="array" ref="AE68">IFERROR(INDEX($A68:$AB68,SMALL(IF(NOT(COUNTIF($AC68:AD68,$Y68:$AB68)),COLUMN($Y68:$AB68)),1)),"")</f>
        <v/>
      </c>
      <c r="AF68" s="56" t="str">
        <f t="array" ref="AF68">IFERROR(INDEX($A68:$AB68,SMALL(IF(NOT(COUNTIF($AC68:AE68,$Y68:$AB68)),COLUMN($Y68:$AB68)),1)),"")</f>
        <v/>
      </c>
      <c r="AG68" s="56" t="str">
        <f t="array" ref="AG68">IFERROR(INDEX($A68:$AB68,SMALL(IF(NOT(COUNTIF($AC68:AF68,$Y68:$AB68)),COLUMN($Y68:$AB68)),1)),"")</f>
        <v/>
      </c>
    </row>
    <row r="69" spans="1:33">
      <c r="A69" s="52">
        <v>68</v>
      </c>
      <c r="B69" s="4"/>
      <c r="C69" s="43"/>
      <c r="D69" s="52" t="str">
        <f>IFERROR(VLOOKUP($C69,'LISTE A SAISIR'!$E$4:$N$19,2,0),"")</f>
        <v/>
      </c>
      <c r="E69" s="1"/>
      <c r="F69" s="53" t="str">
        <f>IFERROR(VLOOKUP($C69,'LISTE A SAISIR'!$E$4:$N$19,2+2*MATCH(E69,Y69:AB69,0),0),"")</f>
        <v/>
      </c>
      <c r="G69" s="1"/>
      <c r="H69" s="1"/>
      <c r="I69" s="58">
        <f t="shared" si="2"/>
        <v>0</v>
      </c>
      <c r="L69" s="52" t="str">
        <f t="array" ref="L69">IFERROR(INDEX(B:B,SMALL(IF($B$2:$B$149=$K$1,ROW($B$2:$B$149)),ROWS(L$2:L69))),"")</f>
        <v/>
      </c>
      <c r="M69" s="52" t="str">
        <f t="array" ref="M69">IFERROR(INDEX(#REF!,SMALL(IF($B$2:$B$149=$K$1,ROW($B$2:$B$149)),ROWS(M$2:M69))),"")</f>
        <v/>
      </c>
      <c r="N69" s="52" t="str">
        <f t="array" ref="N69">IFERROR(INDEX(C:C,SMALL(IF($B$2:$B$149=$K$1,ROW($B$2:$B$149)),ROWS(N$2:N69))),"")</f>
        <v/>
      </c>
      <c r="O69" s="52" t="str">
        <f t="array" ref="O69">IFERROR(INDEX(D:D,SMALL(IF($B$2:$B$149=$K$1,ROW($B$2:$B$149)),ROWS(O$2:O69))),"")</f>
        <v/>
      </c>
      <c r="P69" s="52" t="str">
        <f t="array" ref="P69">IFERROR(INDEX(E:E,SMALL(IF($B$2:$B$149=$K$1,ROW($B$2:$B$149)),ROWS(P$2:P69))),"")</f>
        <v/>
      </c>
      <c r="Q69" s="52" t="str">
        <f t="array" ref="Q69">IFERROR(INDEX(F:F,SMALL(IF($B$2:$B$149=$K$1,ROW($B$2:$B$149)),ROWS(Q$2:Q69))),"")</f>
        <v/>
      </c>
      <c r="R69" s="52" t="str">
        <f t="array" ref="R69">IFERROR(INDEX(G:G,SMALL(IF($B$2:$B$149=$K$1,ROW($B$2:$B$149)),ROWS(R$2:R69))),"")</f>
        <v/>
      </c>
      <c r="S69" s="52" t="str">
        <f t="array" ref="S69">IFERROR(INDEX(H:H,SMALL(IF($B$2:$B$149=$K$1,ROW($B$2:$B$149)),ROWS(S$2:S69))),"")</f>
        <v/>
      </c>
      <c r="Y69" s="55" t="str">
        <f>IFERROR(""&amp;VLOOKUP($C69,'LISTE A SAISIR'!$E$4:$L$19,3,0),"")</f>
        <v/>
      </c>
      <c r="Z69" s="55" t="str">
        <f>IFERROR(""&amp;VLOOKUP($C69,'LISTE A SAISIR'!$E$4:$L$19,5,0),"")</f>
        <v/>
      </c>
      <c r="AA69" s="55" t="str">
        <f>IFERROR(""&amp;VLOOKUP($C69,'LISTE A SAISIR'!$E$4:$L$19,7,0),"")</f>
        <v/>
      </c>
      <c r="AB69" s="55" t="str">
        <f>IFERROR(""&amp;VLOOKUP($C69,'LISTE A SAISIR'!$E$4:$N$19,9,0),"")</f>
        <v/>
      </c>
      <c r="AD69" s="56" t="str">
        <f t="array" ref="AD69">IFERROR(INDEX($A69:$AB69,SMALL(IF(NOT(COUNTIF($AC69:AC69,$Y69:$AB69)),COLUMN($Y69:$AB69)),1)),"")</f>
        <v/>
      </c>
      <c r="AE69" s="56" t="str">
        <f t="array" ref="AE69">IFERROR(INDEX($A69:$AB69,SMALL(IF(NOT(COUNTIF($AC69:AD69,$Y69:$AB69)),COLUMN($Y69:$AB69)),1)),"")</f>
        <v/>
      </c>
      <c r="AF69" s="56" t="str">
        <f t="array" ref="AF69">IFERROR(INDEX($A69:$AB69,SMALL(IF(NOT(COUNTIF($AC69:AE69,$Y69:$AB69)),COLUMN($Y69:$AB69)),1)),"")</f>
        <v/>
      </c>
      <c r="AG69" s="56" t="str">
        <f t="array" ref="AG69">IFERROR(INDEX($A69:$AB69,SMALL(IF(NOT(COUNTIF($AC69:AF69,$Y69:$AB69)),COLUMN($Y69:$AB69)),1)),"")</f>
        <v/>
      </c>
    </row>
    <row r="70" spans="1:33">
      <c r="A70" s="52">
        <v>69</v>
      </c>
      <c r="B70" s="4"/>
      <c r="C70" s="43"/>
      <c r="D70" s="53" t="str">
        <f>IFERROR(VLOOKUP($C70,'LISTE A SAISIR'!$E$4:$N$19,2,0),"")</f>
        <v/>
      </c>
      <c r="E70" s="1"/>
      <c r="F70" s="53" t="str">
        <f>IFERROR(VLOOKUP($C70,'LISTE A SAISIR'!$E$4:$N$19,2+2*MATCH(E70,Y70:AB70,0),0),"")</f>
        <v/>
      </c>
      <c r="G70" s="1"/>
      <c r="H70" s="7"/>
      <c r="I70" s="53">
        <f t="shared" si="2"/>
        <v>0</v>
      </c>
      <c r="L70" s="52" t="str">
        <f t="array" ref="L70">IFERROR(INDEX(B:B,SMALL(IF($B$2:$B$149=$K$1,ROW($B$2:$B$149)),ROWS(L$2:L70))),"")</f>
        <v/>
      </c>
      <c r="M70" s="52" t="str">
        <f t="array" ref="M70">IFERROR(INDEX(#REF!,SMALL(IF($B$2:$B$149=$K$1,ROW($B$2:$B$149)),ROWS(M$2:M70))),"")</f>
        <v/>
      </c>
      <c r="N70" s="52" t="str">
        <f t="array" ref="N70">IFERROR(INDEX(C:C,SMALL(IF($B$2:$B$149=$K$1,ROW($B$2:$B$149)),ROWS(N$2:N70))),"")</f>
        <v/>
      </c>
      <c r="O70" s="52" t="str">
        <f t="array" ref="O70">IFERROR(INDEX(D:D,SMALL(IF($B$2:$B$149=$K$1,ROW($B$2:$B$149)),ROWS(O$2:O70))),"")</f>
        <v/>
      </c>
      <c r="P70" s="52" t="str">
        <f t="array" ref="P70">IFERROR(INDEX(E:E,SMALL(IF($B$2:$B$149=$K$1,ROW($B$2:$B$149)),ROWS(P$2:P70))),"")</f>
        <v/>
      </c>
      <c r="Q70" s="52" t="str">
        <f t="array" ref="Q70">IFERROR(INDEX(F:F,SMALL(IF($B$2:$B$149=$K$1,ROW($B$2:$B$149)),ROWS(Q$2:Q70))),"")</f>
        <v/>
      </c>
      <c r="R70" s="52" t="str">
        <f t="array" ref="R70">IFERROR(INDEX(G:G,SMALL(IF($B$2:$B$149=$K$1,ROW($B$2:$B$149)),ROWS(R$2:R70))),"")</f>
        <v/>
      </c>
      <c r="S70" s="52" t="str">
        <f t="array" ref="S70">IFERROR(INDEX(H:H,SMALL(IF($B$2:$B$149=$K$1,ROW($B$2:$B$149)),ROWS(S$2:S70))),"")</f>
        <v/>
      </c>
      <c r="Y70" s="55" t="str">
        <f>IFERROR(""&amp;VLOOKUP($C70,'LISTE A SAISIR'!$E$4:$L$19,3,0),"")</f>
        <v/>
      </c>
      <c r="Z70" s="55" t="str">
        <f>IFERROR(""&amp;VLOOKUP($C70,'LISTE A SAISIR'!$E$4:$L$19,5,0),"")</f>
        <v/>
      </c>
      <c r="AA70" s="55" t="str">
        <f>IFERROR(""&amp;VLOOKUP($C70,'LISTE A SAISIR'!$E$4:$L$19,7,0),"")</f>
        <v/>
      </c>
      <c r="AB70" s="55" t="str">
        <f>IFERROR(""&amp;VLOOKUP($C70,'LISTE A SAISIR'!$E$4:$N$19,9,0),"")</f>
        <v/>
      </c>
      <c r="AD70" s="56" t="str">
        <f t="array" ref="AD70">IFERROR(INDEX($A70:$AB70,SMALL(IF(NOT(COUNTIF($AC70:AC70,$Y70:$AB70)),COLUMN($Y70:$AB70)),1)),"")</f>
        <v/>
      </c>
      <c r="AE70" s="56" t="str">
        <f t="array" ref="AE70">IFERROR(INDEX($A70:$AB70,SMALL(IF(NOT(COUNTIF($AC70:AD70,$Y70:$AB70)),COLUMN($Y70:$AB70)),1)),"")</f>
        <v/>
      </c>
      <c r="AF70" s="56" t="str">
        <f t="array" ref="AF70">IFERROR(INDEX($A70:$AB70,SMALL(IF(NOT(COUNTIF($AC70:AE70,$Y70:$AB70)),COLUMN($Y70:$AB70)),1)),"")</f>
        <v/>
      </c>
      <c r="AG70" s="56" t="str">
        <f t="array" ref="AG70">IFERROR(INDEX($A70:$AB70,SMALL(IF(NOT(COUNTIF($AC70:AF70,$Y70:$AB70)),COLUMN($Y70:$AB70)),1)),"")</f>
        <v/>
      </c>
    </row>
    <row r="71" spans="1:33">
      <c r="A71" s="52">
        <v>70</v>
      </c>
      <c r="B71" s="4"/>
      <c r="C71" s="43"/>
      <c r="D71" s="52" t="str">
        <f>IFERROR(VLOOKUP($C71,'LISTE A SAISIR'!$E$4:$N$19,2,0),"")</f>
        <v/>
      </c>
      <c r="E71" s="1"/>
      <c r="F71" s="53" t="str">
        <f>IFERROR(VLOOKUP($C71,'LISTE A SAISIR'!$E$4:$N$19,2+2*MATCH(E71,Y71:AB71,0),0),"")</f>
        <v/>
      </c>
      <c r="G71" s="1"/>
      <c r="H71" s="1"/>
      <c r="I71" s="58">
        <f t="shared" si="2"/>
        <v>0</v>
      </c>
      <c r="L71" s="52" t="str">
        <f t="array" ref="L71">IFERROR(INDEX(B:B,SMALL(IF($B$2:$B$149=$K$1,ROW($B$2:$B$149)),ROWS(L$2:L71))),"")</f>
        <v/>
      </c>
      <c r="M71" s="52" t="str">
        <f t="array" ref="M71">IFERROR(INDEX(#REF!,SMALL(IF($B$2:$B$149=$K$1,ROW($B$2:$B$149)),ROWS(M$2:M71))),"")</f>
        <v/>
      </c>
      <c r="N71" s="52" t="str">
        <f t="array" ref="N71">IFERROR(INDEX(C:C,SMALL(IF($B$2:$B$149=$K$1,ROW($B$2:$B$149)),ROWS(N$2:N71))),"")</f>
        <v/>
      </c>
      <c r="O71" s="52" t="str">
        <f t="array" ref="O71">IFERROR(INDEX(D:D,SMALL(IF($B$2:$B$149=$K$1,ROW($B$2:$B$149)),ROWS(O$2:O71))),"")</f>
        <v/>
      </c>
      <c r="P71" s="52" t="str">
        <f t="array" ref="P71">IFERROR(INDEX(E:E,SMALL(IF($B$2:$B$149=$K$1,ROW($B$2:$B$149)),ROWS(P$2:P71))),"")</f>
        <v/>
      </c>
      <c r="Q71" s="52" t="str">
        <f t="array" ref="Q71">IFERROR(INDEX(F:F,SMALL(IF($B$2:$B$149=$K$1,ROW($B$2:$B$149)),ROWS(Q$2:Q71))),"")</f>
        <v/>
      </c>
      <c r="R71" s="52" t="str">
        <f t="array" ref="R71">IFERROR(INDEX(G:G,SMALL(IF($B$2:$B$149=$K$1,ROW($B$2:$B$149)),ROWS(R$2:R71))),"")</f>
        <v/>
      </c>
      <c r="S71" s="52" t="str">
        <f t="array" ref="S71">IFERROR(INDEX(H:H,SMALL(IF($B$2:$B$149=$K$1,ROW($B$2:$B$149)),ROWS(S$2:S71))),"")</f>
        <v/>
      </c>
      <c r="Y71" s="55" t="str">
        <f>IFERROR(""&amp;VLOOKUP($C71,'LISTE A SAISIR'!$E$4:$L$19,3,0),"")</f>
        <v/>
      </c>
      <c r="Z71" s="55" t="str">
        <f>IFERROR(""&amp;VLOOKUP($C71,'LISTE A SAISIR'!$E$4:$L$19,5,0),"")</f>
        <v/>
      </c>
      <c r="AA71" s="55" t="str">
        <f>IFERROR(""&amp;VLOOKUP($C71,'LISTE A SAISIR'!$E$4:$L$19,7,0),"")</f>
        <v/>
      </c>
      <c r="AB71" s="55" t="str">
        <f>IFERROR(""&amp;VLOOKUP($C71,'LISTE A SAISIR'!$E$4:$N$19,9,0),"")</f>
        <v/>
      </c>
      <c r="AD71" s="56" t="str">
        <f t="array" ref="AD71">IFERROR(INDEX($A71:$AB71,SMALL(IF(NOT(COUNTIF($AC71:AC71,$Y71:$AB71)),COLUMN($Y71:$AB71)),1)),"")</f>
        <v/>
      </c>
      <c r="AE71" s="56" t="str">
        <f t="array" ref="AE71">IFERROR(INDEX($A71:$AB71,SMALL(IF(NOT(COUNTIF($AC71:AD71,$Y71:$AB71)),COLUMN($Y71:$AB71)),1)),"")</f>
        <v/>
      </c>
      <c r="AF71" s="56" t="str">
        <f t="array" ref="AF71">IFERROR(INDEX($A71:$AB71,SMALL(IF(NOT(COUNTIF($AC71:AE71,$Y71:$AB71)),COLUMN($Y71:$AB71)),1)),"")</f>
        <v/>
      </c>
      <c r="AG71" s="56" t="str">
        <f t="array" ref="AG71">IFERROR(INDEX($A71:$AB71,SMALL(IF(NOT(COUNTIF($AC71:AF71,$Y71:$AB71)),COLUMN($Y71:$AB71)),1)),"")</f>
        <v/>
      </c>
    </row>
    <row r="72" spans="1:33">
      <c r="A72" s="52">
        <v>71</v>
      </c>
      <c r="B72" s="4"/>
      <c r="C72" s="43"/>
      <c r="D72" s="53" t="str">
        <f>IFERROR(VLOOKUP($C72,'LISTE A SAISIR'!$E$4:$N$19,2,0),"")</f>
        <v/>
      </c>
      <c r="E72" s="1"/>
      <c r="F72" s="53" t="str">
        <f>IFERROR(VLOOKUP($C72,'LISTE A SAISIR'!$E$4:$N$19,2+2*MATCH(E72,Y72:AB72,0),0),"")</f>
        <v/>
      </c>
      <c r="G72" s="1"/>
      <c r="H72" s="7"/>
      <c r="I72" s="53">
        <f t="shared" si="2"/>
        <v>0</v>
      </c>
      <c r="L72" s="52" t="str">
        <f t="array" ref="L72">IFERROR(INDEX(B:B,SMALL(IF($B$2:$B$149=$K$1,ROW($B$2:$B$149)),ROWS(L$2:L72))),"")</f>
        <v/>
      </c>
      <c r="M72" s="52" t="str">
        <f t="array" ref="M72">IFERROR(INDEX(#REF!,SMALL(IF($B$2:$B$149=$K$1,ROW($B$2:$B$149)),ROWS(M$2:M72))),"")</f>
        <v/>
      </c>
      <c r="N72" s="52" t="str">
        <f t="array" ref="N72">IFERROR(INDEX(C:C,SMALL(IF($B$2:$B$149=$K$1,ROW($B$2:$B$149)),ROWS(N$2:N72))),"")</f>
        <v/>
      </c>
      <c r="O72" s="52" t="str">
        <f t="array" ref="O72">IFERROR(INDEX(D:D,SMALL(IF($B$2:$B$149=$K$1,ROW($B$2:$B$149)),ROWS(O$2:O72))),"")</f>
        <v/>
      </c>
      <c r="P72" s="52" t="str">
        <f t="array" ref="P72">IFERROR(INDEX(E:E,SMALL(IF($B$2:$B$149=$K$1,ROW($B$2:$B$149)),ROWS(P$2:P72))),"")</f>
        <v/>
      </c>
      <c r="Q72" s="52" t="str">
        <f t="array" ref="Q72">IFERROR(INDEX(F:F,SMALL(IF($B$2:$B$149=$K$1,ROW($B$2:$B$149)),ROWS(Q$2:Q72))),"")</f>
        <v/>
      </c>
      <c r="R72" s="52" t="str">
        <f t="array" ref="R72">IFERROR(INDEX(G:G,SMALL(IF($B$2:$B$149=$K$1,ROW($B$2:$B$149)),ROWS(R$2:R72))),"")</f>
        <v/>
      </c>
      <c r="S72" s="52" t="str">
        <f t="array" ref="S72">IFERROR(INDEX(H:H,SMALL(IF($B$2:$B$149=$K$1,ROW($B$2:$B$149)),ROWS(S$2:S72))),"")</f>
        <v/>
      </c>
      <c r="Y72" s="55" t="str">
        <f>IFERROR(""&amp;VLOOKUP($C72,'LISTE A SAISIR'!$E$4:$L$19,3,0),"")</f>
        <v/>
      </c>
      <c r="Z72" s="55" t="str">
        <f>IFERROR(""&amp;VLOOKUP($C72,'LISTE A SAISIR'!$E$4:$L$19,5,0),"")</f>
        <v/>
      </c>
      <c r="AA72" s="55" t="str">
        <f>IFERROR(""&amp;VLOOKUP($C72,'LISTE A SAISIR'!$E$4:$L$19,7,0),"")</f>
        <v/>
      </c>
      <c r="AB72" s="55" t="str">
        <f>IFERROR(""&amp;VLOOKUP($C72,'LISTE A SAISIR'!$E$4:$N$19,9,0),"")</f>
        <v/>
      </c>
      <c r="AD72" s="56" t="str">
        <f t="array" ref="AD72">IFERROR(INDEX($A72:$AB72,SMALL(IF(NOT(COUNTIF($AC72:AC72,$Y72:$AB72)),COLUMN($Y72:$AB72)),1)),"")</f>
        <v/>
      </c>
      <c r="AE72" s="56" t="str">
        <f t="array" ref="AE72">IFERROR(INDEX($A72:$AB72,SMALL(IF(NOT(COUNTIF($AC72:AD72,$Y72:$AB72)),COLUMN($Y72:$AB72)),1)),"")</f>
        <v/>
      </c>
      <c r="AF72" s="56" t="str">
        <f t="array" ref="AF72">IFERROR(INDEX($A72:$AB72,SMALL(IF(NOT(COUNTIF($AC72:AE72,$Y72:$AB72)),COLUMN($Y72:$AB72)),1)),"")</f>
        <v/>
      </c>
      <c r="AG72" s="56" t="str">
        <f t="array" ref="AG72">IFERROR(INDEX($A72:$AB72,SMALL(IF(NOT(COUNTIF($AC72:AF72,$Y72:$AB72)),COLUMN($Y72:$AB72)),1)),"")</f>
        <v/>
      </c>
    </row>
    <row r="73" spans="1:33">
      <c r="A73" s="52">
        <v>72</v>
      </c>
      <c r="B73" s="4"/>
      <c r="C73" s="43"/>
      <c r="D73" s="52" t="str">
        <f>IFERROR(VLOOKUP($C73,'LISTE A SAISIR'!$E$4:$N$19,2,0),"")</f>
        <v/>
      </c>
      <c r="E73" s="1"/>
      <c r="F73" s="53" t="str">
        <f>IFERROR(VLOOKUP($C73,'LISTE A SAISIR'!$E$4:$N$19,2+2*MATCH(E73,Y73:AB73,0),0),"")</f>
        <v/>
      </c>
      <c r="G73" s="1"/>
      <c r="H73" s="1"/>
      <c r="I73" s="58">
        <f t="shared" si="2"/>
        <v>0</v>
      </c>
      <c r="L73" s="52" t="str">
        <f t="array" ref="L73">IFERROR(INDEX(B:B,SMALL(IF($B$2:$B$149=$K$1,ROW($B$2:$B$149)),ROWS(L$2:L73))),"")</f>
        <v/>
      </c>
      <c r="M73" s="52" t="str">
        <f t="array" ref="M73">IFERROR(INDEX(#REF!,SMALL(IF($B$2:$B$149=$K$1,ROW($B$2:$B$149)),ROWS(M$2:M73))),"")</f>
        <v/>
      </c>
      <c r="N73" s="52" t="str">
        <f t="array" ref="N73">IFERROR(INDEX(C:C,SMALL(IF($B$2:$B$149=$K$1,ROW($B$2:$B$149)),ROWS(N$2:N73))),"")</f>
        <v/>
      </c>
      <c r="O73" s="52" t="str">
        <f t="array" ref="O73">IFERROR(INDEX(D:D,SMALL(IF($B$2:$B$149=$K$1,ROW($B$2:$B$149)),ROWS(O$2:O73))),"")</f>
        <v/>
      </c>
      <c r="P73" s="52" t="str">
        <f t="array" ref="P73">IFERROR(INDEX(E:E,SMALL(IF($B$2:$B$149=$K$1,ROW($B$2:$B$149)),ROWS(P$2:P73))),"")</f>
        <v/>
      </c>
      <c r="Q73" s="52" t="str">
        <f t="array" ref="Q73">IFERROR(INDEX(F:F,SMALL(IF($B$2:$B$149=$K$1,ROW($B$2:$B$149)),ROWS(Q$2:Q73))),"")</f>
        <v/>
      </c>
      <c r="R73" s="52" t="str">
        <f t="array" ref="R73">IFERROR(INDEX(G:G,SMALL(IF($B$2:$B$149=$K$1,ROW($B$2:$B$149)),ROWS(R$2:R73))),"")</f>
        <v/>
      </c>
      <c r="S73" s="52" t="str">
        <f t="array" ref="S73">IFERROR(INDEX(H:H,SMALL(IF($B$2:$B$149=$K$1,ROW($B$2:$B$149)),ROWS(S$2:S73))),"")</f>
        <v/>
      </c>
      <c r="Y73" s="55" t="str">
        <f>IFERROR(""&amp;VLOOKUP($C73,'LISTE A SAISIR'!$E$4:$L$19,3,0),"")</f>
        <v/>
      </c>
      <c r="Z73" s="55" t="str">
        <f>IFERROR(""&amp;VLOOKUP($C73,'LISTE A SAISIR'!$E$4:$L$19,5,0),"")</f>
        <v/>
      </c>
      <c r="AA73" s="55" t="str">
        <f>IFERROR(""&amp;VLOOKUP($C73,'LISTE A SAISIR'!$E$4:$L$19,7,0),"")</f>
        <v/>
      </c>
      <c r="AB73" s="55" t="str">
        <f>IFERROR(""&amp;VLOOKUP($C73,'LISTE A SAISIR'!$E$4:$N$19,9,0),"")</f>
        <v/>
      </c>
      <c r="AD73" s="56" t="str">
        <f t="array" ref="AD73">IFERROR(INDEX($A73:$AB73,SMALL(IF(NOT(COUNTIF($AC73:AC73,$Y73:$AB73)),COLUMN($Y73:$AB73)),1)),"")</f>
        <v/>
      </c>
      <c r="AE73" s="56" t="str">
        <f t="array" ref="AE73">IFERROR(INDEX($A73:$AB73,SMALL(IF(NOT(COUNTIF($AC73:AD73,$Y73:$AB73)),COLUMN($Y73:$AB73)),1)),"")</f>
        <v/>
      </c>
      <c r="AF73" s="56" t="str">
        <f t="array" ref="AF73">IFERROR(INDEX($A73:$AB73,SMALL(IF(NOT(COUNTIF($AC73:AE73,$Y73:$AB73)),COLUMN($Y73:$AB73)),1)),"")</f>
        <v/>
      </c>
      <c r="AG73" s="56" t="str">
        <f t="array" ref="AG73">IFERROR(INDEX($A73:$AB73,SMALL(IF(NOT(COUNTIF($AC73:AF73,$Y73:$AB73)),COLUMN($Y73:$AB73)),1)),"")</f>
        <v/>
      </c>
    </row>
    <row r="74" spans="1:33">
      <c r="A74" s="52">
        <v>73</v>
      </c>
      <c r="B74" s="4"/>
      <c r="C74" s="43"/>
      <c r="D74" s="53" t="str">
        <f>IFERROR(VLOOKUP($C74,'LISTE A SAISIR'!$E$4:$N$19,2,0),"")</f>
        <v/>
      </c>
      <c r="E74" s="1"/>
      <c r="F74" s="53" t="str">
        <f>IFERROR(VLOOKUP($C74,'LISTE A SAISIR'!$E$4:$N$19,2+2*MATCH(E74,Y74:AB74,0),0),"")</f>
        <v/>
      </c>
      <c r="G74" s="1"/>
      <c r="H74" s="7"/>
      <c r="I74" s="53">
        <f t="shared" si="2"/>
        <v>0</v>
      </c>
      <c r="L74" s="52" t="str">
        <f t="array" ref="L74">IFERROR(INDEX(B:B,SMALL(IF($B$2:$B$149=$K$1,ROW($B$2:$B$149)),ROWS(L$2:L74))),"")</f>
        <v/>
      </c>
      <c r="M74" s="52" t="str">
        <f t="array" ref="M74">IFERROR(INDEX(#REF!,SMALL(IF($B$2:$B$149=$K$1,ROW($B$2:$B$149)),ROWS(M$2:M74))),"")</f>
        <v/>
      </c>
      <c r="N74" s="52" t="str">
        <f t="array" ref="N74">IFERROR(INDEX(C:C,SMALL(IF($B$2:$B$149=$K$1,ROW($B$2:$B$149)),ROWS(N$2:N74))),"")</f>
        <v/>
      </c>
      <c r="O74" s="52" t="str">
        <f t="array" ref="O74">IFERROR(INDEX(D:D,SMALL(IF($B$2:$B$149=$K$1,ROW($B$2:$B$149)),ROWS(O$2:O74))),"")</f>
        <v/>
      </c>
      <c r="P74" s="52" t="str">
        <f t="array" ref="P74">IFERROR(INDEX(E:E,SMALL(IF($B$2:$B$149=$K$1,ROW($B$2:$B$149)),ROWS(P$2:P74))),"")</f>
        <v/>
      </c>
      <c r="Q74" s="52" t="str">
        <f t="array" ref="Q74">IFERROR(INDEX(F:F,SMALL(IF($B$2:$B$149=$K$1,ROW($B$2:$B$149)),ROWS(Q$2:Q74))),"")</f>
        <v/>
      </c>
      <c r="R74" s="52" t="str">
        <f t="array" ref="R74">IFERROR(INDEX(G:G,SMALL(IF($B$2:$B$149=$K$1,ROW($B$2:$B$149)),ROWS(R$2:R74))),"")</f>
        <v/>
      </c>
      <c r="S74" s="52" t="str">
        <f t="array" ref="S74">IFERROR(INDEX(H:H,SMALL(IF($B$2:$B$149=$K$1,ROW($B$2:$B$149)),ROWS(S$2:S74))),"")</f>
        <v/>
      </c>
      <c r="Y74" s="55" t="str">
        <f>IFERROR(""&amp;VLOOKUP($C74,'LISTE A SAISIR'!$E$4:$L$19,3,0),"")</f>
        <v/>
      </c>
      <c r="Z74" s="55" t="str">
        <f>IFERROR(""&amp;VLOOKUP($C74,'LISTE A SAISIR'!$E$4:$L$19,5,0),"")</f>
        <v/>
      </c>
      <c r="AA74" s="55" t="str">
        <f>IFERROR(""&amp;VLOOKUP($C74,'LISTE A SAISIR'!$E$4:$L$19,7,0),"")</f>
        <v/>
      </c>
      <c r="AB74" s="55" t="str">
        <f>IFERROR(""&amp;VLOOKUP($C74,'LISTE A SAISIR'!$E$4:$N$19,9,0),"")</f>
        <v/>
      </c>
      <c r="AD74" s="56" t="str">
        <f t="array" ref="AD74">IFERROR(INDEX($A74:$AB74,SMALL(IF(NOT(COUNTIF($AC74:AC74,$Y74:$AB74)),COLUMN($Y74:$AB74)),1)),"")</f>
        <v/>
      </c>
      <c r="AE74" s="56" t="str">
        <f t="array" ref="AE74">IFERROR(INDEX($A74:$AB74,SMALL(IF(NOT(COUNTIF($AC74:AD74,$Y74:$AB74)),COLUMN($Y74:$AB74)),1)),"")</f>
        <v/>
      </c>
      <c r="AF74" s="56" t="str">
        <f t="array" ref="AF74">IFERROR(INDEX($A74:$AB74,SMALL(IF(NOT(COUNTIF($AC74:AE74,$Y74:$AB74)),COLUMN($Y74:$AB74)),1)),"")</f>
        <v/>
      </c>
      <c r="AG74" s="56" t="str">
        <f t="array" ref="AG74">IFERROR(INDEX($A74:$AB74,SMALL(IF(NOT(COUNTIF($AC74:AF74,$Y74:$AB74)),COLUMN($Y74:$AB74)),1)),"")</f>
        <v/>
      </c>
    </row>
    <row r="75" spans="1:33">
      <c r="A75" s="52">
        <v>74</v>
      </c>
      <c r="B75" s="4"/>
      <c r="C75" s="43"/>
      <c r="D75" s="52" t="str">
        <f>IFERROR(VLOOKUP($C75,'LISTE A SAISIR'!$E$4:$N$19,2,0),"")</f>
        <v/>
      </c>
      <c r="E75" s="1"/>
      <c r="F75" s="53" t="str">
        <f>IFERROR(VLOOKUP($C75,'LISTE A SAISIR'!$E$4:$N$19,2+2*MATCH(E75,Y75:AB75,0),0),"")</f>
        <v/>
      </c>
      <c r="G75" s="1"/>
      <c r="H75" s="1"/>
      <c r="I75" s="58">
        <f t="shared" si="2"/>
        <v>0</v>
      </c>
      <c r="L75" s="52" t="str">
        <f t="array" ref="L75">IFERROR(INDEX(B:B,SMALL(IF($B$2:$B$149=$K$1,ROW($B$2:$B$149)),ROWS(L$2:L75))),"")</f>
        <v/>
      </c>
      <c r="M75" s="52" t="str">
        <f t="array" ref="M75">IFERROR(INDEX(#REF!,SMALL(IF($B$2:$B$149=$K$1,ROW($B$2:$B$149)),ROWS(M$2:M75))),"")</f>
        <v/>
      </c>
      <c r="N75" s="52" t="str">
        <f t="array" ref="N75">IFERROR(INDEX(C:C,SMALL(IF($B$2:$B$149=$K$1,ROW($B$2:$B$149)),ROWS(N$2:N75))),"")</f>
        <v/>
      </c>
      <c r="O75" s="52" t="str">
        <f t="array" ref="O75">IFERROR(INDEX(D:D,SMALL(IF($B$2:$B$149=$K$1,ROW($B$2:$B$149)),ROWS(O$2:O75))),"")</f>
        <v/>
      </c>
      <c r="P75" s="52" t="str">
        <f t="array" ref="P75">IFERROR(INDEX(E:E,SMALL(IF($B$2:$B$149=$K$1,ROW($B$2:$B$149)),ROWS(P$2:P75))),"")</f>
        <v/>
      </c>
      <c r="Q75" s="52" t="str">
        <f t="array" ref="Q75">IFERROR(INDEX(F:F,SMALL(IF($B$2:$B$149=$K$1,ROW($B$2:$B$149)),ROWS(Q$2:Q75))),"")</f>
        <v/>
      </c>
      <c r="R75" s="52" t="str">
        <f t="array" ref="R75">IFERROR(INDEX(G:G,SMALL(IF($B$2:$B$149=$K$1,ROW($B$2:$B$149)),ROWS(R$2:R75))),"")</f>
        <v/>
      </c>
      <c r="S75" s="52" t="str">
        <f t="array" ref="S75">IFERROR(INDEX(H:H,SMALL(IF($B$2:$B$149=$K$1,ROW($B$2:$B$149)),ROWS(S$2:S75))),"")</f>
        <v/>
      </c>
      <c r="Y75" s="55" t="str">
        <f>IFERROR(""&amp;VLOOKUP($C75,'LISTE A SAISIR'!$E$4:$L$19,3,0),"")</f>
        <v/>
      </c>
      <c r="Z75" s="55" t="str">
        <f>IFERROR(""&amp;VLOOKUP($C75,'LISTE A SAISIR'!$E$4:$L$19,5,0),"")</f>
        <v/>
      </c>
      <c r="AA75" s="55" t="str">
        <f>IFERROR(""&amp;VLOOKUP($C75,'LISTE A SAISIR'!$E$4:$L$19,7,0),"")</f>
        <v/>
      </c>
      <c r="AB75" s="55" t="str">
        <f>IFERROR(""&amp;VLOOKUP($C75,'LISTE A SAISIR'!$E$4:$N$19,9,0),"")</f>
        <v/>
      </c>
      <c r="AD75" s="56" t="str">
        <f t="array" ref="AD75">IFERROR(INDEX($A75:$AB75,SMALL(IF(NOT(COUNTIF($AC75:AC75,$Y75:$AB75)),COLUMN($Y75:$AB75)),1)),"")</f>
        <v/>
      </c>
      <c r="AE75" s="56" t="str">
        <f t="array" ref="AE75">IFERROR(INDEX($A75:$AB75,SMALL(IF(NOT(COUNTIF($AC75:AD75,$Y75:$AB75)),COLUMN($Y75:$AB75)),1)),"")</f>
        <v/>
      </c>
      <c r="AF75" s="56" t="str">
        <f t="array" ref="AF75">IFERROR(INDEX($A75:$AB75,SMALL(IF(NOT(COUNTIF($AC75:AE75,$Y75:$AB75)),COLUMN($Y75:$AB75)),1)),"")</f>
        <v/>
      </c>
      <c r="AG75" s="56" t="str">
        <f t="array" ref="AG75">IFERROR(INDEX($A75:$AB75,SMALL(IF(NOT(COUNTIF($AC75:AF75,$Y75:$AB75)),COLUMN($Y75:$AB75)),1)),"")</f>
        <v/>
      </c>
    </row>
    <row r="76" spans="1:33">
      <c r="A76" s="52">
        <v>75</v>
      </c>
      <c r="B76" s="6"/>
      <c r="C76" s="7"/>
      <c r="D76" s="53" t="str">
        <f>IFERROR(VLOOKUP($C76,'LISTE A SAISIR'!$E$4:$N$19,2,0),"")</f>
        <v/>
      </c>
      <c r="E76" s="1"/>
      <c r="F76" s="53" t="str">
        <f>IFERROR(VLOOKUP($C76,'LISTE A SAISIR'!$E$4:$N$19,2+2*MATCH(E76,Y76:AB76,0),0),"")</f>
        <v/>
      </c>
      <c r="G76" s="1"/>
      <c r="H76" s="7"/>
      <c r="I76" s="53">
        <f t="shared" si="2"/>
        <v>0</v>
      </c>
      <c r="L76" s="52" t="str">
        <f t="array" ref="L76">IFERROR(INDEX(B:B,SMALL(IF($B$2:$B$149=$K$1,ROW($B$2:$B$149)),ROWS(L$2:L76))),"")</f>
        <v/>
      </c>
      <c r="M76" s="52" t="str">
        <f t="array" ref="M76">IFERROR(INDEX(#REF!,SMALL(IF($B$2:$B$149=$K$1,ROW($B$2:$B$149)),ROWS(M$2:M76))),"")</f>
        <v/>
      </c>
      <c r="N76" s="52" t="str">
        <f t="array" ref="N76">IFERROR(INDEX(C:C,SMALL(IF($B$2:$B$149=$K$1,ROW($B$2:$B$149)),ROWS(N$2:N76))),"")</f>
        <v/>
      </c>
      <c r="O76" s="52" t="str">
        <f t="array" ref="O76">IFERROR(INDEX(D:D,SMALL(IF($B$2:$B$149=$K$1,ROW($B$2:$B$149)),ROWS(O$2:O76))),"")</f>
        <v/>
      </c>
      <c r="P76" s="52" t="str">
        <f t="array" ref="P76">IFERROR(INDEX(E:E,SMALL(IF($B$2:$B$149=$K$1,ROW($B$2:$B$149)),ROWS(P$2:P76))),"")</f>
        <v/>
      </c>
      <c r="Q76" s="52" t="str">
        <f t="array" ref="Q76">IFERROR(INDEX(F:F,SMALL(IF($B$2:$B$149=$K$1,ROW($B$2:$B$149)),ROWS(Q$2:Q76))),"")</f>
        <v/>
      </c>
      <c r="R76" s="52" t="str">
        <f t="array" ref="R76">IFERROR(INDEX(G:G,SMALL(IF($B$2:$B$149=$K$1,ROW($B$2:$B$149)),ROWS(R$2:R76))),"")</f>
        <v/>
      </c>
      <c r="S76" s="52" t="str">
        <f t="array" ref="S76">IFERROR(INDEX(H:H,SMALL(IF($B$2:$B$149=$K$1,ROW($B$2:$B$149)),ROWS(S$2:S76))),"")</f>
        <v/>
      </c>
      <c r="Y76" s="55" t="str">
        <f>IFERROR(""&amp;VLOOKUP($C76,'LISTE A SAISIR'!$E$4:$L$19,3,0),"")</f>
        <v/>
      </c>
      <c r="Z76" s="55" t="str">
        <f>IFERROR(""&amp;VLOOKUP($C76,'LISTE A SAISIR'!$E$4:$L$19,5,0),"")</f>
        <v/>
      </c>
      <c r="AA76" s="55" t="str">
        <f>IFERROR(""&amp;VLOOKUP($C76,'LISTE A SAISIR'!$E$4:$L$19,7,0),"")</f>
        <v/>
      </c>
      <c r="AB76" s="55" t="str">
        <f>IFERROR(""&amp;VLOOKUP($C76,'LISTE A SAISIR'!$E$4:$N$19,9,0),"")</f>
        <v/>
      </c>
      <c r="AD76" s="56" t="str">
        <f t="array" ref="AD76">IFERROR(INDEX($A76:$AB76,SMALL(IF(NOT(COUNTIF($AC76:AC76,$Y76:$AB76)),COLUMN($Y76:$AB76)),1)),"")</f>
        <v/>
      </c>
      <c r="AE76" s="56" t="str">
        <f t="array" ref="AE76">IFERROR(INDEX($A76:$AB76,SMALL(IF(NOT(COUNTIF($AC76:AD76,$Y76:$AB76)),COLUMN($Y76:$AB76)),1)),"")</f>
        <v/>
      </c>
      <c r="AF76" s="56" t="str">
        <f t="array" ref="AF76">IFERROR(INDEX($A76:$AB76,SMALL(IF(NOT(COUNTIF($AC76:AE76,$Y76:$AB76)),COLUMN($Y76:$AB76)),1)),"")</f>
        <v/>
      </c>
      <c r="AG76" s="56" t="str">
        <f t="array" ref="AG76">IFERROR(INDEX($A76:$AB76,SMALL(IF(NOT(COUNTIF($AC76:AF76,$Y76:$AB76)),COLUMN($Y76:$AB76)),1)),"")</f>
        <v/>
      </c>
    </row>
    <row r="77" spans="1:33">
      <c r="A77" s="52">
        <v>76</v>
      </c>
      <c r="B77" s="4"/>
      <c r="C77" s="1"/>
      <c r="D77" s="52" t="str">
        <f>IFERROR(VLOOKUP($C77,'LISTE A SAISIR'!$E$4:$N$19,2,0),"")</f>
        <v/>
      </c>
      <c r="E77" s="1"/>
      <c r="F77" s="53" t="str">
        <f>IFERROR(VLOOKUP($C77,'LISTE A SAISIR'!$E$4:$N$19,2+2*MATCH(E77,Y77:AB77,0),0),"")</f>
        <v/>
      </c>
      <c r="G77" s="1"/>
      <c r="H77" s="1"/>
      <c r="I77" s="58">
        <f t="shared" si="2"/>
        <v>0</v>
      </c>
      <c r="L77" s="52" t="str">
        <f t="array" ref="L77">IFERROR(INDEX(B:B,SMALL(IF($B$2:$B$149=$K$1,ROW($B$2:$B$149)),ROWS(L$2:L77))),"")</f>
        <v/>
      </c>
      <c r="M77" s="52" t="str">
        <f t="array" ref="M77">IFERROR(INDEX(#REF!,SMALL(IF($B$2:$B$149=$K$1,ROW($B$2:$B$149)),ROWS(M$2:M77))),"")</f>
        <v/>
      </c>
      <c r="N77" s="52" t="str">
        <f t="array" ref="N77">IFERROR(INDEX(C:C,SMALL(IF($B$2:$B$149=$K$1,ROW($B$2:$B$149)),ROWS(N$2:N77))),"")</f>
        <v/>
      </c>
      <c r="O77" s="52" t="str">
        <f t="array" ref="O77">IFERROR(INDEX(D:D,SMALL(IF($B$2:$B$149=$K$1,ROW($B$2:$B$149)),ROWS(O$2:O77))),"")</f>
        <v/>
      </c>
      <c r="P77" s="52" t="str">
        <f t="array" ref="P77">IFERROR(INDEX(E:E,SMALL(IF($B$2:$B$149=$K$1,ROW($B$2:$B$149)),ROWS(P$2:P77))),"")</f>
        <v/>
      </c>
      <c r="Q77" s="52" t="str">
        <f t="array" ref="Q77">IFERROR(INDEX(F:F,SMALL(IF($B$2:$B$149=$K$1,ROW($B$2:$B$149)),ROWS(Q$2:Q77))),"")</f>
        <v/>
      </c>
      <c r="R77" s="52" t="str">
        <f t="array" ref="R77">IFERROR(INDEX(G:G,SMALL(IF($B$2:$B$149=$K$1,ROW($B$2:$B$149)),ROWS(R$2:R77))),"")</f>
        <v/>
      </c>
      <c r="S77" s="52" t="str">
        <f t="array" ref="S77">IFERROR(INDEX(H:H,SMALL(IF($B$2:$B$149=$K$1,ROW($B$2:$B$149)),ROWS(S$2:S77))),"")</f>
        <v/>
      </c>
      <c r="Y77" s="55" t="str">
        <f>IFERROR(""&amp;VLOOKUP($C77,'LISTE A SAISIR'!$E$4:$L$19,3,0),"")</f>
        <v/>
      </c>
      <c r="Z77" s="55" t="str">
        <f>IFERROR(""&amp;VLOOKUP($C77,'LISTE A SAISIR'!$E$4:$L$19,5,0),"")</f>
        <v/>
      </c>
      <c r="AA77" s="55" t="str">
        <f>IFERROR(""&amp;VLOOKUP($C77,'LISTE A SAISIR'!$E$4:$L$19,7,0),"")</f>
        <v/>
      </c>
      <c r="AB77" s="55" t="str">
        <f>IFERROR(""&amp;VLOOKUP($C77,'LISTE A SAISIR'!$E$4:$N$19,9,0),"")</f>
        <v/>
      </c>
      <c r="AD77" s="56" t="str">
        <f t="array" ref="AD77">IFERROR(INDEX($A77:$AB77,SMALL(IF(NOT(COUNTIF($AC77:AC77,$Y77:$AB77)),COLUMN($Y77:$AB77)),1)),"")</f>
        <v/>
      </c>
      <c r="AE77" s="56" t="str">
        <f t="array" ref="AE77">IFERROR(INDEX($A77:$AB77,SMALL(IF(NOT(COUNTIF($AC77:AD77,$Y77:$AB77)),COLUMN($Y77:$AB77)),1)),"")</f>
        <v/>
      </c>
      <c r="AF77" s="56" t="str">
        <f t="array" ref="AF77">IFERROR(INDEX($A77:$AB77,SMALL(IF(NOT(COUNTIF($AC77:AE77,$Y77:$AB77)),COLUMN($Y77:$AB77)),1)),"")</f>
        <v/>
      </c>
      <c r="AG77" s="56" t="str">
        <f t="array" ref="AG77">IFERROR(INDEX($A77:$AB77,SMALL(IF(NOT(COUNTIF($AC77:AF77,$Y77:$AB77)),COLUMN($Y77:$AB77)),1)),"")</f>
        <v/>
      </c>
    </row>
    <row r="78" spans="1:33">
      <c r="A78" s="52">
        <v>77</v>
      </c>
      <c r="B78" s="6"/>
      <c r="C78" s="7"/>
      <c r="D78" s="53" t="str">
        <f>IFERROR(VLOOKUP($C78,'LISTE A SAISIR'!$E$4:$N$19,2,0),"")</f>
        <v/>
      </c>
      <c r="E78" s="1"/>
      <c r="F78" s="53" t="str">
        <f>IFERROR(VLOOKUP($C78,'LISTE A SAISIR'!$E$4:$N$19,2+2*MATCH(E78,Y78:AB78,0),0),"")</f>
        <v/>
      </c>
      <c r="G78" s="1"/>
      <c r="H78" s="7"/>
      <c r="I78" s="53">
        <f t="shared" si="2"/>
        <v>0</v>
      </c>
      <c r="L78" s="52" t="str">
        <f t="array" ref="L78">IFERROR(INDEX(B:B,SMALL(IF($B$2:$B$149=$K$1,ROW($B$2:$B$149)),ROWS(L$2:L78))),"")</f>
        <v/>
      </c>
      <c r="M78" s="52" t="str">
        <f t="array" ref="M78">IFERROR(INDEX(#REF!,SMALL(IF($B$2:$B$149=$K$1,ROW($B$2:$B$149)),ROWS(M$2:M78))),"")</f>
        <v/>
      </c>
      <c r="N78" s="52" t="str">
        <f t="array" ref="N78">IFERROR(INDEX(C:C,SMALL(IF($B$2:$B$149=$K$1,ROW($B$2:$B$149)),ROWS(N$2:N78))),"")</f>
        <v/>
      </c>
      <c r="O78" s="52" t="str">
        <f t="array" ref="O78">IFERROR(INDEX(D:D,SMALL(IF($B$2:$B$149=$K$1,ROW($B$2:$B$149)),ROWS(O$2:O78))),"")</f>
        <v/>
      </c>
      <c r="P78" s="52" t="str">
        <f t="array" ref="P78">IFERROR(INDEX(E:E,SMALL(IF($B$2:$B$149=$K$1,ROW($B$2:$B$149)),ROWS(P$2:P78))),"")</f>
        <v/>
      </c>
      <c r="Q78" s="52" t="str">
        <f t="array" ref="Q78">IFERROR(INDEX(F:F,SMALL(IF($B$2:$B$149=$K$1,ROW($B$2:$B$149)),ROWS(Q$2:Q78))),"")</f>
        <v/>
      </c>
      <c r="R78" s="52" t="str">
        <f t="array" ref="R78">IFERROR(INDEX(G:G,SMALL(IF($B$2:$B$149=$K$1,ROW($B$2:$B$149)),ROWS(R$2:R78))),"")</f>
        <v/>
      </c>
      <c r="S78" s="52" t="str">
        <f t="array" ref="S78">IFERROR(INDEX(H:H,SMALL(IF($B$2:$B$149=$K$1,ROW($B$2:$B$149)),ROWS(S$2:S78))),"")</f>
        <v/>
      </c>
      <c r="Y78" s="55" t="str">
        <f>IFERROR(""&amp;VLOOKUP($C78,'LISTE A SAISIR'!$E$4:$L$19,3,0),"")</f>
        <v/>
      </c>
      <c r="Z78" s="55" t="str">
        <f>IFERROR(""&amp;VLOOKUP($C78,'LISTE A SAISIR'!$E$4:$L$19,5,0),"")</f>
        <v/>
      </c>
      <c r="AA78" s="55" t="str">
        <f>IFERROR(""&amp;VLOOKUP($C78,'LISTE A SAISIR'!$E$4:$L$19,7,0),"")</f>
        <v/>
      </c>
      <c r="AB78" s="55" t="str">
        <f>IFERROR(""&amp;VLOOKUP($C78,'LISTE A SAISIR'!$E$4:$N$19,9,0),"")</f>
        <v/>
      </c>
      <c r="AD78" s="56" t="str">
        <f t="array" ref="AD78">IFERROR(INDEX($A78:$AB78,SMALL(IF(NOT(COUNTIF($AC78:AC78,$Y78:$AB78)),COLUMN($Y78:$AB78)),1)),"")</f>
        <v/>
      </c>
      <c r="AE78" s="56" t="str">
        <f t="array" ref="AE78">IFERROR(INDEX($A78:$AB78,SMALL(IF(NOT(COUNTIF($AC78:AD78,$Y78:$AB78)),COLUMN($Y78:$AB78)),1)),"")</f>
        <v/>
      </c>
      <c r="AF78" s="56" t="str">
        <f t="array" ref="AF78">IFERROR(INDEX($A78:$AB78,SMALL(IF(NOT(COUNTIF($AC78:AE78,$Y78:$AB78)),COLUMN($Y78:$AB78)),1)),"")</f>
        <v/>
      </c>
      <c r="AG78" s="56" t="str">
        <f t="array" ref="AG78">IFERROR(INDEX($A78:$AB78,SMALL(IF(NOT(COUNTIF($AC78:AF78,$Y78:$AB78)),COLUMN($Y78:$AB78)),1)),"")</f>
        <v/>
      </c>
    </row>
    <row r="79" spans="1:33">
      <c r="A79" s="52">
        <v>78</v>
      </c>
      <c r="B79" s="4"/>
      <c r="C79" s="1"/>
      <c r="D79" s="52" t="str">
        <f>IFERROR(VLOOKUP($C79,'LISTE A SAISIR'!$E$4:$N$19,2,0),"")</f>
        <v/>
      </c>
      <c r="E79" s="1"/>
      <c r="F79" s="53" t="str">
        <f>IFERROR(VLOOKUP($C79,'LISTE A SAISIR'!$E$4:$N$19,2+2*MATCH(E79,Y79:AB79,0),0),"")</f>
        <v/>
      </c>
      <c r="G79" s="1"/>
      <c r="H79" s="1"/>
      <c r="I79" s="58">
        <f t="shared" si="2"/>
        <v>0</v>
      </c>
      <c r="L79" s="52" t="str">
        <f t="array" ref="L79">IFERROR(INDEX(B:B,SMALL(IF($B$2:$B$149=$K$1,ROW($B$2:$B$149)),ROWS(L$2:L79))),"")</f>
        <v/>
      </c>
      <c r="M79" s="52" t="str">
        <f t="array" ref="M79">IFERROR(INDEX(#REF!,SMALL(IF($B$2:$B$149=$K$1,ROW($B$2:$B$149)),ROWS(M$2:M79))),"")</f>
        <v/>
      </c>
      <c r="N79" s="52" t="str">
        <f t="array" ref="N79">IFERROR(INDEX(C:C,SMALL(IF($B$2:$B$149=$K$1,ROW($B$2:$B$149)),ROWS(N$2:N79))),"")</f>
        <v/>
      </c>
      <c r="O79" s="52" t="str">
        <f t="array" ref="O79">IFERROR(INDEX(D:D,SMALL(IF($B$2:$B$149=$K$1,ROW($B$2:$B$149)),ROWS(O$2:O79))),"")</f>
        <v/>
      </c>
      <c r="P79" s="52" t="str">
        <f t="array" ref="P79">IFERROR(INDEX(E:E,SMALL(IF($B$2:$B$149=$K$1,ROW($B$2:$B$149)),ROWS(P$2:P79))),"")</f>
        <v/>
      </c>
      <c r="Q79" s="52" t="str">
        <f t="array" ref="Q79">IFERROR(INDEX(F:F,SMALL(IF($B$2:$B$149=$K$1,ROW($B$2:$B$149)),ROWS(Q$2:Q79))),"")</f>
        <v/>
      </c>
      <c r="R79" s="52" t="str">
        <f t="array" ref="R79">IFERROR(INDEX(G:G,SMALL(IF($B$2:$B$149=$K$1,ROW($B$2:$B$149)),ROWS(R$2:R79))),"")</f>
        <v/>
      </c>
      <c r="S79" s="52" t="str">
        <f t="array" ref="S79">IFERROR(INDEX(H:H,SMALL(IF($B$2:$B$149=$K$1,ROW($B$2:$B$149)),ROWS(S$2:S79))),"")</f>
        <v/>
      </c>
      <c r="Y79" s="55" t="str">
        <f>IFERROR(""&amp;VLOOKUP($C79,'LISTE A SAISIR'!$E$4:$L$19,3,0),"")</f>
        <v/>
      </c>
      <c r="Z79" s="55" t="str">
        <f>IFERROR(""&amp;VLOOKUP($C79,'LISTE A SAISIR'!$E$4:$L$19,5,0),"")</f>
        <v/>
      </c>
      <c r="AA79" s="55" t="str">
        <f>IFERROR(""&amp;VLOOKUP($C79,'LISTE A SAISIR'!$E$4:$L$19,7,0),"")</f>
        <v/>
      </c>
      <c r="AB79" s="55" t="str">
        <f>IFERROR(""&amp;VLOOKUP($C79,'LISTE A SAISIR'!$E$4:$N$19,9,0),"")</f>
        <v/>
      </c>
      <c r="AD79" s="56" t="str">
        <f t="array" ref="AD79">IFERROR(INDEX($A79:$AB79,SMALL(IF(NOT(COUNTIF($AC79:AC79,$Y79:$AB79)),COLUMN($Y79:$AB79)),1)),"")</f>
        <v/>
      </c>
      <c r="AE79" s="56" t="str">
        <f t="array" ref="AE79">IFERROR(INDEX($A79:$AB79,SMALL(IF(NOT(COUNTIF($AC79:AD79,$Y79:$AB79)),COLUMN($Y79:$AB79)),1)),"")</f>
        <v/>
      </c>
      <c r="AF79" s="56" t="str">
        <f t="array" ref="AF79">IFERROR(INDEX($A79:$AB79,SMALL(IF(NOT(COUNTIF($AC79:AE79,$Y79:$AB79)),COLUMN($Y79:$AB79)),1)),"")</f>
        <v/>
      </c>
      <c r="AG79" s="56" t="str">
        <f t="array" ref="AG79">IFERROR(INDEX($A79:$AB79,SMALL(IF(NOT(COUNTIF($AC79:AF79,$Y79:$AB79)),COLUMN($Y79:$AB79)),1)),"")</f>
        <v/>
      </c>
    </row>
    <row r="80" spans="1:33">
      <c r="A80" s="52">
        <v>79</v>
      </c>
      <c r="B80" s="6"/>
      <c r="C80" s="7"/>
      <c r="D80" s="53" t="str">
        <f>IFERROR(VLOOKUP($C80,'LISTE A SAISIR'!$E$4:$N$19,2,0),"")</f>
        <v/>
      </c>
      <c r="E80" s="1"/>
      <c r="F80" s="53" t="str">
        <f>IFERROR(VLOOKUP($C80,'LISTE A SAISIR'!$E$4:$N$19,2+2*MATCH(E80,Y80:AB80,0),0),"")</f>
        <v/>
      </c>
      <c r="G80" s="1"/>
      <c r="H80" s="7"/>
      <c r="I80" s="53">
        <f t="shared" si="2"/>
        <v>0</v>
      </c>
      <c r="L80" s="52" t="str">
        <f t="array" ref="L80">IFERROR(INDEX(B:B,SMALL(IF($B$2:$B$149=$K$1,ROW($B$2:$B$149)),ROWS(L$2:L80))),"")</f>
        <v/>
      </c>
      <c r="M80" s="52" t="str">
        <f t="array" ref="M80">IFERROR(INDEX(#REF!,SMALL(IF($B$2:$B$149=$K$1,ROW($B$2:$B$149)),ROWS(M$2:M80))),"")</f>
        <v/>
      </c>
      <c r="N80" s="52" t="str">
        <f t="array" ref="N80">IFERROR(INDEX(C:C,SMALL(IF($B$2:$B$149=$K$1,ROW($B$2:$B$149)),ROWS(N$2:N80))),"")</f>
        <v/>
      </c>
      <c r="O80" s="52" t="str">
        <f t="array" ref="O80">IFERROR(INDEX(D:D,SMALL(IF($B$2:$B$149=$K$1,ROW($B$2:$B$149)),ROWS(O$2:O80))),"")</f>
        <v/>
      </c>
      <c r="P80" s="52" t="str">
        <f t="array" ref="P80">IFERROR(INDEX(E:E,SMALL(IF($B$2:$B$149=$K$1,ROW($B$2:$B$149)),ROWS(P$2:P80))),"")</f>
        <v/>
      </c>
      <c r="Q80" s="52" t="str">
        <f t="array" ref="Q80">IFERROR(INDEX(F:F,SMALL(IF($B$2:$B$149=$K$1,ROW($B$2:$B$149)),ROWS(Q$2:Q80))),"")</f>
        <v/>
      </c>
      <c r="R80" s="52" t="str">
        <f t="array" ref="R80">IFERROR(INDEX(G:G,SMALL(IF($B$2:$B$149=$K$1,ROW($B$2:$B$149)),ROWS(R$2:R80))),"")</f>
        <v/>
      </c>
      <c r="S80" s="52" t="str">
        <f t="array" ref="S80">IFERROR(INDEX(H:H,SMALL(IF($B$2:$B$149=$K$1,ROW($B$2:$B$149)),ROWS(S$2:S80))),"")</f>
        <v/>
      </c>
      <c r="Y80" s="55" t="str">
        <f>IFERROR(""&amp;VLOOKUP($C80,'LISTE A SAISIR'!$E$4:$L$19,3,0),"")</f>
        <v/>
      </c>
      <c r="Z80" s="55" t="str">
        <f>IFERROR(""&amp;VLOOKUP($C80,'LISTE A SAISIR'!$E$4:$L$19,5,0),"")</f>
        <v/>
      </c>
      <c r="AA80" s="55" t="str">
        <f>IFERROR(""&amp;VLOOKUP($C80,'LISTE A SAISIR'!$E$4:$L$19,7,0),"")</f>
        <v/>
      </c>
      <c r="AB80" s="55" t="str">
        <f>IFERROR(""&amp;VLOOKUP($C80,'LISTE A SAISIR'!$E$4:$N$19,9,0),"")</f>
        <v/>
      </c>
      <c r="AD80" s="56" t="str">
        <f t="array" ref="AD80">IFERROR(INDEX($A80:$AB80,SMALL(IF(NOT(COUNTIF($AC80:AC80,$Y80:$AB80)),COLUMN($Y80:$AB80)),1)),"")</f>
        <v/>
      </c>
      <c r="AE80" s="56" t="str">
        <f t="array" ref="AE80">IFERROR(INDEX($A80:$AB80,SMALL(IF(NOT(COUNTIF($AC80:AD80,$Y80:$AB80)),COLUMN($Y80:$AB80)),1)),"")</f>
        <v/>
      </c>
      <c r="AF80" s="56" t="str">
        <f t="array" ref="AF80">IFERROR(INDEX($A80:$AB80,SMALL(IF(NOT(COUNTIF($AC80:AE80,$Y80:$AB80)),COLUMN($Y80:$AB80)),1)),"")</f>
        <v/>
      </c>
      <c r="AG80" s="56" t="str">
        <f t="array" ref="AG80">IFERROR(INDEX($A80:$AB80,SMALL(IF(NOT(COUNTIF($AC80:AF80,$Y80:$AB80)),COLUMN($Y80:$AB80)),1)),"")</f>
        <v/>
      </c>
    </row>
    <row r="81" spans="1:33">
      <c r="A81" s="52">
        <v>80</v>
      </c>
      <c r="B81" s="4"/>
      <c r="C81" s="1"/>
      <c r="D81" s="52" t="str">
        <f>IFERROR(VLOOKUP($C81,'LISTE A SAISIR'!$E$4:$N$19,2,0),"")</f>
        <v/>
      </c>
      <c r="E81" s="1"/>
      <c r="F81" s="53" t="str">
        <f>IFERROR(VLOOKUP($C81,'LISTE A SAISIR'!$E$4:$N$19,2+2*MATCH(E81,Y81:AB81,0),0),"")</f>
        <v/>
      </c>
      <c r="G81" s="1"/>
      <c r="H81" s="1"/>
      <c r="I81" s="58">
        <f t="shared" si="2"/>
        <v>0</v>
      </c>
      <c r="L81" s="52" t="str">
        <f t="array" ref="L81">IFERROR(INDEX(B:B,SMALL(IF($B$2:$B$149=$K$1,ROW($B$2:$B$149)),ROWS(L$2:L81))),"")</f>
        <v/>
      </c>
      <c r="M81" s="52" t="str">
        <f t="array" ref="M81">IFERROR(INDEX(#REF!,SMALL(IF($B$2:$B$149=$K$1,ROW($B$2:$B$149)),ROWS(M$2:M81))),"")</f>
        <v/>
      </c>
      <c r="N81" s="52" t="str">
        <f t="array" ref="N81">IFERROR(INDEX(C:C,SMALL(IF($B$2:$B$149=$K$1,ROW($B$2:$B$149)),ROWS(N$2:N81))),"")</f>
        <v/>
      </c>
      <c r="O81" s="52" t="str">
        <f t="array" ref="O81">IFERROR(INDEX(D:D,SMALL(IF($B$2:$B$149=$K$1,ROW($B$2:$B$149)),ROWS(O$2:O81))),"")</f>
        <v/>
      </c>
      <c r="P81" s="52" t="str">
        <f t="array" ref="P81">IFERROR(INDEX(E:E,SMALL(IF($B$2:$B$149=$K$1,ROW($B$2:$B$149)),ROWS(P$2:P81))),"")</f>
        <v/>
      </c>
      <c r="Q81" s="52" t="str">
        <f t="array" ref="Q81">IFERROR(INDEX(F:F,SMALL(IF($B$2:$B$149=$K$1,ROW($B$2:$B$149)),ROWS(Q$2:Q81))),"")</f>
        <v/>
      </c>
      <c r="R81" s="52" t="str">
        <f t="array" ref="R81">IFERROR(INDEX(G:G,SMALL(IF($B$2:$B$149=$K$1,ROW($B$2:$B$149)),ROWS(R$2:R81))),"")</f>
        <v/>
      </c>
      <c r="S81" s="52" t="str">
        <f t="array" ref="S81">IFERROR(INDEX(H:H,SMALL(IF($B$2:$B$149=$K$1,ROW($B$2:$B$149)),ROWS(S$2:S81))),"")</f>
        <v/>
      </c>
      <c r="Y81" s="55" t="str">
        <f>IFERROR(""&amp;VLOOKUP($C81,'LISTE A SAISIR'!$E$4:$L$19,3,0),"")</f>
        <v/>
      </c>
      <c r="Z81" s="55" t="str">
        <f>IFERROR(""&amp;VLOOKUP($C81,'LISTE A SAISIR'!$E$4:$L$19,5,0),"")</f>
        <v/>
      </c>
      <c r="AA81" s="55" t="str">
        <f>IFERROR(""&amp;VLOOKUP($C81,'LISTE A SAISIR'!$E$4:$L$19,7,0),"")</f>
        <v/>
      </c>
      <c r="AB81" s="55" t="str">
        <f>IFERROR(""&amp;VLOOKUP($C81,'LISTE A SAISIR'!$E$4:$N$19,9,0),"")</f>
        <v/>
      </c>
      <c r="AD81" s="56" t="str">
        <f t="array" ref="AD81">IFERROR(INDEX($A81:$AB81,SMALL(IF(NOT(COUNTIF($AC81:AC81,$Y81:$AB81)),COLUMN($Y81:$AB81)),1)),"")</f>
        <v/>
      </c>
      <c r="AE81" s="56" t="str">
        <f t="array" ref="AE81">IFERROR(INDEX($A81:$AB81,SMALL(IF(NOT(COUNTIF($AC81:AD81,$Y81:$AB81)),COLUMN($Y81:$AB81)),1)),"")</f>
        <v/>
      </c>
      <c r="AF81" s="56" t="str">
        <f t="array" ref="AF81">IFERROR(INDEX($A81:$AB81,SMALL(IF(NOT(COUNTIF($AC81:AE81,$Y81:$AB81)),COLUMN($Y81:$AB81)),1)),"")</f>
        <v/>
      </c>
      <c r="AG81" s="56" t="str">
        <f t="array" ref="AG81">IFERROR(INDEX($A81:$AB81,SMALL(IF(NOT(COUNTIF($AC81:AF81,$Y81:$AB81)),COLUMN($Y81:$AB81)),1)),"")</f>
        <v/>
      </c>
    </row>
    <row r="82" spans="1:33">
      <c r="A82" s="52">
        <v>81</v>
      </c>
      <c r="B82" s="6"/>
      <c r="C82" s="7"/>
      <c r="D82" s="53" t="str">
        <f>IFERROR(VLOOKUP($C82,'LISTE A SAISIR'!$E$4:$N$19,2,0),"")</f>
        <v/>
      </c>
      <c r="E82" s="1"/>
      <c r="F82" s="53" t="str">
        <f>IFERROR(VLOOKUP($C82,'LISTE A SAISIR'!$E$4:$N$19,2+2*MATCH(E82,Y82:AB82,0),0),"")</f>
        <v/>
      </c>
      <c r="G82" s="1"/>
      <c r="H82" s="7"/>
      <c r="I82" s="53">
        <f t="shared" si="2"/>
        <v>0</v>
      </c>
      <c r="L82" s="52" t="str">
        <f t="array" ref="L82">IFERROR(INDEX(B:B,SMALL(IF($B$2:$B$149=$K$1,ROW($B$2:$B$149)),ROWS(L$2:L82))),"")</f>
        <v/>
      </c>
      <c r="M82" s="52" t="str">
        <f t="array" ref="M82">IFERROR(INDEX(#REF!,SMALL(IF($B$2:$B$149=$K$1,ROW($B$2:$B$149)),ROWS(M$2:M82))),"")</f>
        <v/>
      </c>
      <c r="N82" s="52" t="str">
        <f t="array" ref="N82">IFERROR(INDEX(C:C,SMALL(IF($B$2:$B$149=$K$1,ROW($B$2:$B$149)),ROWS(N$2:N82))),"")</f>
        <v/>
      </c>
      <c r="O82" s="52" t="str">
        <f t="array" ref="O82">IFERROR(INDEX(D:D,SMALL(IF($B$2:$B$149=$K$1,ROW($B$2:$B$149)),ROWS(O$2:O82))),"")</f>
        <v/>
      </c>
      <c r="P82" s="52" t="str">
        <f t="array" ref="P82">IFERROR(INDEX(E:E,SMALL(IF($B$2:$B$149=$K$1,ROW($B$2:$B$149)),ROWS(P$2:P82))),"")</f>
        <v/>
      </c>
      <c r="Q82" s="52" t="str">
        <f t="array" ref="Q82">IFERROR(INDEX(F:F,SMALL(IF($B$2:$B$149=$K$1,ROW($B$2:$B$149)),ROWS(Q$2:Q82))),"")</f>
        <v/>
      </c>
      <c r="R82" s="52" t="str">
        <f t="array" ref="R82">IFERROR(INDEX(G:G,SMALL(IF($B$2:$B$149=$K$1,ROW($B$2:$B$149)),ROWS(R$2:R82))),"")</f>
        <v/>
      </c>
      <c r="S82" s="52" t="str">
        <f t="array" ref="S82">IFERROR(INDEX(H:H,SMALL(IF($B$2:$B$149=$K$1,ROW($B$2:$B$149)),ROWS(S$2:S82))),"")</f>
        <v/>
      </c>
      <c r="Y82" s="55" t="str">
        <f>IFERROR(""&amp;VLOOKUP($C82,'LISTE A SAISIR'!$E$4:$L$19,3,0),"")</f>
        <v/>
      </c>
      <c r="Z82" s="55" t="str">
        <f>IFERROR(""&amp;VLOOKUP($C82,'LISTE A SAISIR'!$E$4:$L$19,5,0),"")</f>
        <v/>
      </c>
      <c r="AA82" s="55" t="str">
        <f>IFERROR(""&amp;VLOOKUP($C82,'LISTE A SAISIR'!$E$4:$L$19,7,0),"")</f>
        <v/>
      </c>
      <c r="AB82" s="55" t="str">
        <f>IFERROR(""&amp;VLOOKUP($C82,'LISTE A SAISIR'!$E$4:$N$19,9,0),"")</f>
        <v/>
      </c>
      <c r="AD82" s="56" t="str">
        <f t="array" ref="AD82">IFERROR(INDEX($A82:$AB82,SMALL(IF(NOT(COUNTIF($AC82:AC82,$Y82:$AB82)),COLUMN($Y82:$AB82)),1)),"")</f>
        <v/>
      </c>
      <c r="AE82" s="56" t="str">
        <f t="array" ref="AE82">IFERROR(INDEX($A82:$AB82,SMALL(IF(NOT(COUNTIF($AC82:AD82,$Y82:$AB82)),COLUMN($Y82:$AB82)),1)),"")</f>
        <v/>
      </c>
      <c r="AF82" s="56" t="str">
        <f t="array" ref="AF82">IFERROR(INDEX($A82:$AB82,SMALL(IF(NOT(COUNTIF($AC82:AE82,$Y82:$AB82)),COLUMN($Y82:$AB82)),1)),"")</f>
        <v/>
      </c>
      <c r="AG82" s="56" t="str">
        <f t="array" ref="AG82">IFERROR(INDEX($A82:$AB82,SMALL(IF(NOT(COUNTIF($AC82:AF82,$Y82:$AB82)),COLUMN($Y82:$AB82)),1)),"")</f>
        <v/>
      </c>
    </row>
    <row r="83" spans="1:33">
      <c r="A83" s="52">
        <v>82</v>
      </c>
      <c r="B83" s="4"/>
      <c r="C83" s="1"/>
      <c r="D83" s="52" t="str">
        <f>IFERROR(VLOOKUP($C83,'LISTE A SAISIR'!$E$4:$N$19,2,0),"")</f>
        <v/>
      </c>
      <c r="E83" s="1"/>
      <c r="F83" s="53" t="str">
        <f>IFERROR(VLOOKUP($C83,'LISTE A SAISIR'!$E$4:$N$19,2+2*MATCH(E83,Y83:AB83,0),0),"")</f>
        <v/>
      </c>
      <c r="G83" s="1"/>
      <c r="H83" s="1"/>
      <c r="I83" s="58">
        <f t="shared" si="2"/>
        <v>0</v>
      </c>
      <c r="L83" s="52" t="str">
        <f t="array" ref="L83">IFERROR(INDEX(B:B,SMALL(IF($B$2:$B$149=$K$1,ROW($B$2:$B$149)),ROWS(L$2:L83))),"")</f>
        <v/>
      </c>
      <c r="M83" s="52" t="str">
        <f t="array" ref="M83">IFERROR(INDEX(#REF!,SMALL(IF($B$2:$B$149=$K$1,ROW($B$2:$B$149)),ROWS(M$2:M83))),"")</f>
        <v/>
      </c>
      <c r="N83" s="52" t="str">
        <f t="array" ref="N83">IFERROR(INDEX(C:C,SMALL(IF($B$2:$B$149=$K$1,ROW($B$2:$B$149)),ROWS(N$2:N83))),"")</f>
        <v/>
      </c>
      <c r="O83" s="52" t="str">
        <f t="array" ref="O83">IFERROR(INDEX(D:D,SMALL(IF($B$2:$B$149=$K$1,ROW($B$2:$B$149)),ROWS(O$2:O83))),"")</f>
        <v/>
      </c>
      <c r="P83" s="52" t="str">
        <f t="array" ref="P83">IFERROR(INDEX(E:E,SMALL(IF($B$2:$B$149=$K$1,ROW($B$2:$B$149)),ROWS(P$2:P83))),"")</f>
        <v/>
      </c>
      <c r="Q83" s="52" t="str">
        <f t="array" ref="Q83">IFERROR(INDEX(F:F,SMALL(IF($B$2:$B$149=$K$1,ROW($B$2:$B$149)),ROWS(Q$2:Q83))),"")</f>
        <v/>
      </c>
      <c r="R83" s="52" t="str">
        <f t="array" ref="R83">IFERROR(INDEX(G:G,SMALL(IF($B$2:$B$149=$K$1,ROW($B$2:$B$149)),ROWS(R$2:R83))),"")</f>
        <v/>
      </c>
      <c r="S83" s="52" t="str">
        <f t="array" ref="S83">IFERROR(INDEX(H:H,SMALL(IF($B$2:$B$149=$K$1,ROW($B$2:$B$149)),ROWS(S$2:S83))),"")</f>
        <v/>
      </c>
      <c r="Y83" s="55" t="str">
        <f>IFERROR(""&amp;VLOOKUP($C83,'LISTE A SAISIR'!$E$4:$L$19,3,0),"")</f>
        <v/>
      </c>
      <c r="Z83" s="55" t="str">
        <f>IFERROR(""&amp;VLOOKUP($C83,'LISTE A SAISIR'!$E$4:$L$19,5,0),"")</f>
        <v/>
      </c>
      <c r="AA83" s="55" t="str">
        <f>IFERROR(""&amp;VLOOKUP($C83,'LISTE A SAISIR'!$E$4:$L$19,7,0),"")</f>
        <v/>
      </c>
      <c r="AB83" s="55" t="str">
        <f>IFERROR(""&amp;VLOOKUP($C83,'LISTE A SAISIR'!$E$4:$N$19,9,0),"")</f>
        <v/>
      </c>
      <c r="AD83" s="56" t="str">
        <f t="array" ref="AD83">IFERROR(INDEX($A83:$AB83,SMALL(IF(NOT(COUNTIF($AC83:AC83,$Y83:$AB83)),COLUMN($Y83:$AB83)),1)),"")</f>
        <v/>
      </c>
      <c r="AE83" s="56" t="str">
        <f t="array" ref="AE83">IFERROR(INDEX($A83:$AB83,SMALL(IF(NOT(COUNTIF($AC83:AD83,$Y83:$AB83)),COLUMN($Y83:$AB83)),1)),"")</f>
        <v/>
      </c>
      <c r="AF83" s="56" t="str">
        <f t="array" ref="AF83">IFERROR(INDEX($A83:$AB83,SMALL(IF(NOT(COUNTIF($AC83:AE83,$Y83:$AB83)),COLUMN($Y83:$AB83)),1)),"")</f>
        <v/>
      </c>
      <c r="AG83" s="56" t="str">
        <f t="array" ref="AG83">IFERROR(INDEX($A83:$AB83,SMALL(IF(NOT(COUNTIF($AC83:AF83,$Y83:$AB83)),COLUMN($Y83:$AB83)),1)),"")</f>
        <v/>
      </c>
    </row>
    <row r="84" spans="1:33">
      <c r="A84" s="52">
        <v>83</v>
      </c>
      <c r="B84" s="6"/>
      <c r="C84" s="7"/>
      <c r="D84" s="53" t="str">
        <f>IFERROR(VLOOKUP($C84,'LISTE A SAISIR'!$E$4:$N$19,2,0),"")</f>
        <v/>
      </c>
      <c r="E84" s="1"/>
      <c r="F84" s="53" t="str">
        <f>IFERROR(VLOOKUP($C84,'LISTE A SAISIR'!$E$4:$N$19,2+2*MATCH(E84,Y84:AB84,0),0),"")</f>
        <v/>
      </c>
      <c r="G84" s="1"/>
      <c r="H84" s="7"/>
      <c r="I84" s="53">
        <f t="shared" si="2"/>
        <v>0</v>
      </c>
      <c r="L84" s="52" t="str">
        <f t="array" ref="L84">IFERROR(INDEX(B:B,SMALL(IF($B$2:$B$149=$K$1,ROW($B$2:$B$149)),ROWS(L$2:L84))),"")</f>
        <v/>
      </c>
      <c r="M84" s="52" t="str">
        <f t="array" ref="M84">IFERROR(INDEX(#REF!,SMALL(IF($B$2:$B$149=$K$1,ROW($B$2:$B$149)),ROWS(M$2:M84))),"")</f>
        <v/>
      </c>
      <c r="N84" s="52" t="str">
        <f t="array" ref="N84">IFERROR(INDEX(C:C,SMALL(IF($B$2:$B$149=$K$1,ROW($B$2:$B$149)),ROWS(N$2:N84))),"")</f>
        <v/>
      </c>
      <c r="O84" s="52" t="str">
        <f t="array" ref="O84">IFERROR(INDEX(D:D,SMALL(IF($B$2:$B$149=$K$1,ROW($B$2:$B$149)),ROWS(O$2:O84))),"")</f>
        <v/>
      </c>
      <c r="P84" s="52" t="str">
        <f t="array" ref="P84">IFERROR(INDEX(E:E,SMALL(IF($B$2:$B$149=$K$1,ROW($B$2:$B$149)),ROWS(P$2:P84))),"")</f>
        <v/>
      </c>
      <c r="Q84" s="52" t="str">
        <f t="array" ref="Q84">IFERROR(INDEX(F:F,SMALL(IF($B$2:$B$149=$K$1,ROW($B$2:$B$149)),ROWS(Q$2:Q84))),"")</f>
        <v/>
      </c>
      <c r="R84" s="52" t="str">
        <f t="array" ref="R84">IFERROR(INDEX(G:G,SMALL(IF($B$2:$B$149=$K$1,ROW($B$2:$B$149)),ROWS(R$2:R84))),"")</f>
        <v/>
      </c>
      <c r="S84" s="52" t="str">
        <f t="array" ref="S84">IFERROR(INDEX(H:H,SMALL(IF($B$2:$B$149=$K$1,ROW($B$2:$B$149)),ROWS(S$2:S84))),"")</f>
        <v/>
      </c>
      <c r="Y84" s="55" t="str">
        <f>IFERROR(""&amp;VLOOKUP($C84,'LISTE A SAISIR'!$E$4:$L$19,3,0),"")</f>
        <v/>
      </c>
      <c r="Z84" s="55" t="str">
        <f>IFERROR(""&amp;VLOOKUP($C84,'LISTE A SAISIR'!$E$4:$L$19,5,0),"")</f>
        <v/>
      </c>
      <c r="AA84" s="55" t="str">
        <f>IFERROR(""&amp;VLOOKUP($C84,'LISTE A SAISIR'!$E$4:$L$19,7,0),"")</f>
        <v/>
      </c>
      <c r="AB84" s="55" t="str">
        <f>IFERROR(""&amp;VLOOKUP($C84,'LISTE A SAISIR'!$E$4:$N$19,9,0),"")</f>
        <v/>
      </c>
      <c r="AD84" s="56" t="str">
        <f t="array" ref="AD84">IFERROR(INDEX($A84:$AB84,SMALL(IF(NOT(COUNTIF($AC84:AC84,$Y84:$AB84)),COLUMN($Y84:$AB84)),1)),"")</f>
        <v/>
      </c>
      <c r="AE84" s="56" t="str">
        <f t="array" ref="AE84">IFERROR(INDEX($A84:$AB84,SMALL(IF(NOT(COUNTIF($AC84:AD84,$Y84:$AB84)),COLUMN($Y84:$AB84)),1)),"")</f>
        <v/>
      </c>
      <c r="AF84" s="56" t="str">
        <f t="array" ref="AF84">IFERROR(INDEX($A84:$AB84,SMALL(IF(NOT(COUNTIF($AC84:AE84,$Y84:$AB84)),COLUMN($Y84:$AB84)),1)),"")</f>
        <v/>
      </c>
      <c r="AG84" s="56" t="str">
        <f t="array" ref="AG84">IFERROR(INDEX($A84:$AB84,SMALL(IF(NOT(COUNTIF($AC84:AF84,$Y84:$AB84)),COLUMN($Y84:$AB84)),1)),"")</f>
        <v/>
      </c>
    </row>
    <row r="85" spans="1:33">
      <c r="A85" s="52">
        <v>84</v>
      </c>
      <c r="B85" s="4"/>
      <c r="C85" s="1"/>
      <c r="D85" s="52" t="str">
        <f>IFERROR(VLOOKUP($C85,'LISTE A SAISIR'!$E$4:$N$19,2,0),"")</f>
        <v/>
      </c>
      <c r="E85" s="1"/>
      <c r="F85" s="53" t="str">
        <f>IFERROR(VLOOKUP($C85,'LISTE A SAISIR'!$E$4:$N$19,2+2*MATCH(E85,Y85:AB85,0),0),"")</f>
        <v/>
      </c>
      <c r="G85" s="1"/>
      <c r="H85" s="1"/>
      <c r="I85" s="58">
        <f t="shared" si="2"/>
        <v>0</v>
      </c>
      <c r="L85" s="52" t="str">
        <f t="array" ref="L85">IFERROR(INDEX(B:B,SMALL(IF($B$2:$B$149=$K$1,ROW($B$2:$B$149)),ROWS(L$2:L85))),"")</f>
        <v/>
      </c>
      <c r="M85" s="52" t="str">
        <f t="array" ref="M85">IFERROR(INDEX(#REF!,SMALL(IF($B$2:$B$149=$K$1,ROW($B$2:$B$149)),ROWS(M$2:M85))),"")</f>
        <v/>
      </c>
      <c r="N85" s="52" t="str">
        <f t="array" ref="N85">IFERROR(INDEX(C:C,SMALL(IF($B$2:$B$149=$K$1,ROW($B$2:$B$149)),ROWS(N$2:N85))),"")</f>
        <v/>
      </c>
      <c r="O85" s="52" t="str">
        <f t="array" ref="O85">IFERROR(INDEX(D:D,SMALL(IF($B$2:$B$149=$K$1,ROW($B$2:$B$149)),ROWS(O$2:O85))),"")</f>
        <v/>
      </c>
      <c r="P85" s="52" t="str">
        <f t="array" ref="P85">IFERROR(INDEX(E:E,SMALL(IF($B$2:$B$149=$K$1,ROW($B$2:$B$149)),ROWS(P$2:P85))),"")</f>
        <v/>
      </c>
      <c r="Q85" s="52" t="str">
        <f t="array" ref="Q85">IFERROR(INDEX(F:F,SMALL(IF($B$2:$B$149=$K$1,ROW($B$2:$B$149)),ROWS(Q$2:Q85))),"")</f>
        <v/>
      </c>
      <c r="R85" s="52" t="str">
        <f t="array" ref="R85">IFERROR(INDEX(G:G,SMALL(IF($B$2:$B$149=$K$1,ROW($B$2:$B$149)),ROWS(R$2:R85))),"")</f>
        <v/>
      </c>
      <c r="S85" s="52" t="str">
        <f t="array" ref="S85">IFERROR(INDEX(H:H,SMALL(IF($B$2:$B$149=$K$1,ROW($B$2:$B$149)),ROWS(S$2:S85))),"")</f>
        <v/>
      </c>
      <c r="Y85" s="55" t="str">
        <f>IFERROR(""&amp;VLOOKUP($C85,'LISTE A SAISIR'!$E$4:$L$19,3,0),"")</f>
        <v/>
      </c>
      <c r="Z85" s="55" t="str">
        <f>IFERROR(""&amp;VLOOKUP($C85,'LISTE A SAISIR'!$E$4:$L$19,5,0),"")</f>
        <v/>
      </c>
      <c r="AA85" s="55" t="str">
        <f>IFERROR(""&amp;VLOOKUP($C85,'LISTE A SAISIR'!$E$4:$L$19,7,0),"")</f>
        <v/>
      </c>
      <c r="AB85" s="55" t="str">
        <f>IFERROR(""&amp;VLOOKUP($C85,'LISTE A SAISIR'!$E$4:$N$19,9,0),"")</f>
        <v/>
      </c>
      <c r="AD85" s="56" t="str">
        <f t="array" ref="AD85">IFERROR(INDEX($A85:$AB85,SMALL(IF(NOT(COUNTIF($AC85:AC85,$Y85:$AB85)),COLUMN($Y85:$AB85)),1)),"")</f>
        <v/>
      </c>
      <c r="AE85" s="56" t="str">
        <f t="array" ref="AE85">IFERROR(INDEX($A85:$AB85,SMALL(IF(NOT(COUNTIF($AC85:AD85,$Y85:$AB85)),COLUMN($Y85:$AB85)),1)),"")</f>
        <v/>
      </c>
      <c r="AF85" s="56" t="str">
        <f t="array" ref="AF85">IFERROR(INDEX($A85:$AB85,SMALL(IF(NOT(COUNTIF($AC85:AE85,$Y85:$AB85)),COLUMN($Y85:$AB85)),1)),"")</f>
        <v/>
      </c>
      <c r="AG85" s="56" t="str">
        <f t="array" ref="AG85">IFERROR(INDEX($A85:$AB85,SMALL(IF(NOT(COUNTIF($AC85:AF85,$Y85:$AB85)),COLUMN($Y85:$AB85)),1)),"")</f>
        <v/>
      </c>
    </row>
    <row r="86" spans="1:33">
      <c r="A86" s="52">
        <v>85</v>
      </c>
      <c r="B86" s="6"/>
      <c r="C86" s="7"/>
      <c r="D86" s="53" t="str">
        <f>IFERROR(VLOOKUP($C86,'LISTE A SAISIR'!$E$4:$N$19,2,0),"")</f>
        <v/>
      </c>
      <c r="E86" s="1"/>
      <c r="F86" s="53" t="str">
        <f>IFERROR(VLOOKUP($C86,'LISTE A SAISIR'!$E$4:$N$19,2+2*MATCH(E86,Y86:AB86,0),0),"")</f>
        <v/>
      </c>
      <c r="G86" s="1"/>
      <c r="H86" s="7"/>
      <c r="I86" s="53">
        <f t="shared" si="2"/>
        <v>0</v>
      </c>
      <c r="L86" s="52" t="str">
        <f t="array" ref="L86">IFERROR(INDEX(B:B,SMALL(IF($B$2:$B$149=$K$1,ROW($B$2:$B$149)),ROWS(L$2:L86))),"")</f>
        <v/>
      </c>
      <c r="M86" s="52" t="str">
        <f t="array" ref="M86">IFERROR(INDEX(#REF!,SMALL(IF($B$2:$B$149=$K$1,ROW($B$2:$B$149)),ROWS(M$2:M86))),"")</f>
        <v/>
      </c>
      <c r="N86" s="52" t="str">
        <f t="array" ref="N86">IFERROR(INDEX(C:C,SMALL(IF($B$2:$B$149=$K$1,ROW($B$2:$B$149)),ROWS(N$2:N86))),"")</f>
        <v/>
      </c>
      <c r="O86" s="52" t="str">
        <f t="array" ref="O86">IFERROR(INDEX(D:D,SMALL(IF($B$2:$B$149=$K$1,ROW($B$2:$B$149)),ROWS(O$2:O86))),"")</f>
        <v/>
      </c>
      <c r="P86" s="52" t="str">
        <f t="array" ref="P86">IFERROR(INDEX(E:E,SMALL(IF($B$2:$B$149=$K$1,ROW($B$2:$B$149)),ROWS(P$2:P86))),"")</f>
        <v/>
      </c>
      <c r="Q86" s="52" t="str">
        <f t="array" ref="Q86">IFERROR(INDEX(F:F,SMALL(IF($B$2:$B$149=$K$1,ROW($B$2:$B$149)),ROWS(Q$2:Q86))),"")</f>
        <v/>
      </c>
      <c r="R86" s="52" t="str">
        <f t="array" ref="R86">IFERROR(INDEX(G:G,SMALL(IF($B$2:$B$149=$K$1,ROW($B$2:$B$149)),ROWS(R$2:R86))),"")</f>
        <v/>
      </c>
      <c r="S86" s="52" t="str">
        <f t="array" ref="S86">IFERROR(INDEX(H:H,SMALL(IF($B$2:$B$149=$K$1,ROW($B$2:$B$149)),ROWS(S$2:S86))),"")</f>
        <v/>
      </c>
      <c r="Y86" s="55" t="str">
        <f>IFERROR(""&amp;VLOOKUP($C86,'LISTE A SAISIR'!$E$4:$L$19,3,0),"")</f>
        <v/>
      </c>
      <c r="Z86" s="55" t="str">
        <f>IFERROR(""&amp;VLOOKUP($C86,'LISTE A SAISIR'!$E$4:$L$19,5,0),"")</f>
        <v/>
      </c>
      <c r="AA86" s="55" t="str">
        <f>IFERROR(""&amp;VLOOKUP($C86,'LISTE A SAISIR'!$E$4:$L$19,7,0),"")</f>
        <v/>
      </c>
      <c r="AB86" s="55" t="str">
        <f>IFERROR(""&amp;VLOOKUP($C86,'LISTE A SAISIR'!$E$4:$N$19,9,0),"")</f>
        <v/>
      </c>
      <c r="AD86" s="56" t="str">
        <f t="array" ref="AD86">IFERROR(INDEX($A86:$AB86,SMALL(IF(NOT(COUNTIF($AC86:AC86,$Y86:$AB86)),COLUMN($Y86:$AB86)),1)),"")</f>
        <v/>
      </c>
      <c r="AE86" s="56" t="str">
        <f t="array" ref="AE86">IFERROR(INDEX($A86:$AB86,SMALL(IF(NOT(COUNTIF($AC86:AD86,$Y86:$AB86)),COLUMN($Y86:$AB86)),1)),"")</f>
        <v/>
      </c>
      <c r="AF86" s="56" t="str">
        <f t="array" ref="AF86">IFERROR(INDEX($A86:$AB86,SMALL(IF(NOT(COUNTIF($AC86:AE86,$Y86:$AB86)),COLUMN($Y86:$AB86)),1)),"")</f>
        <v/>
      </c>
      <c r="AG86" s="56" t="str">
        <f t="array" ref="AG86">IFERROR(INDEX($A86:$AB86,SMALL(IF(NOT(COUNTIF($AC86:AF86,$Y86:$AB86)),COLUMN($Y86:$AB86)),1)),"")</f>
        <v/>
      </c>
    </row>
    <row r="87" spans="1:33">
      <c r="A87" s="52">
        <v>86</v>
      </c>
      <c r="B87" s="4"/>
      <c r="C87" s="1"/>
      <c r="D87" s="52" t="str">
        <f>IFERROR(VLOOKUP($C87,'LISTE A SAISIR'!$E$4:$N$19,2,0),"")</f>
        <v/>
      </c>
      <c r="E87" s="1"/>
      <c r="F87" s="53" t="str">
        <f>IFERROR(VLOOKUP($C87,'LISTE A SAISIR'!$E$4:$N$19,2+2*MATCH(E87,Y87:AB87,0),0),"")</f>
        <v/>
      </c>
      <c r="G87" s="1"/>
      <c r="H87" s="1"/>
      <c r="I87" s="58">
        <f t="shared" si="2"/>
        <v>0</v>
      </c>
      <c r="L87" s="52" t="str">
        <f t="array" ref="L87">IFERROR(INDEX(B:B,SMALL(IF($B$2:$B$149=$K$1,ROW($B$2:$B$149)),ROWS(L$2:L87))),"")</f>
        <v/>
      </c>
      <c r="M87" s="52" t="str">
        <f t="array" ref="M87">IFERROR(INDEX(#REF!,SMALL(IF($B$2:$B$149=$K$1,ROW($B$2:$B$149)),ROWS(M$2:M87))),"")</f>
        <v/>
      </c>
      <c r="N87" s="52" t="str">
        <f t="array" ref="N87">IFERROR(INDEX(C:C,SMALL(IF($B$2:$B$149=$K$1,ROW($B$2:$B$149)),ROWS(N$2:N87))),"")</f>
        <v/>
      </c>
      <c r="O87" s="52" t="str">
        <f t="array" ref="O87">IFERROR(INDEX(D:D,SMALL(IF($B$2:$B$149=$K$1,ROW($B$2:$B$149)),ROWS(O$2:O87))),"")</f>
        <v/>
      </c>
      <c r="P87" s="52" t="str">
        <f t="array" ref="P87">IFERROR(INDEX(E:E,SMALL(IF($B$2:$B$149=$K$1,ROW($B$2:$B$149)),ROWS(P$2:P87))),"")</f>
        <v/>
      </c>
      <c r="Q87" s="52" t="str">
        <f t="array" ref="Q87">IFERROR(INDEX(F:F,SMALL(IF($B$2:$B$149=$K$1,ROW($B$2:$B$149)),ROWS(Q$2:Q87))),"")</f>
        <v/>
      </c>
      <c r="R87" s="52" t="str">
        <f t="array" ref="R87">IFERROR(INDEX(G:G,SMALL(IF($B$2:$B$149=$K$1,ROW($B$2:$B$149)),ROWS(R$2:R87))),"")</f>
        <v/>
      </c>
      <c r="S87" s="52" t="str">
        <f t="array" ref="S87">IFERROR(INDEX(H:H,SMALL(IF($B$2:$B$149=$K$1,ROW($B$2:$B$149)),ROWS(S$2:S87))),"")</f>
        <v/>
      </c>
      <c r="Y87" s="55" t="str">
        <f>IFERROR(""&amp;VLOOKUP($C87,'LISTE A SAISIR'!$E$4:$L$19,3,0),"")</f>
        <v/>
      </c>
      <c r="Z87" s="55" t="str">
        <f>IFERROR(""&amp;VLOOKUP($C87,'LISTE A SAISIR'!$E$4:$L$19,5,0),"")</f>
        <v/>
      </c>
      <c r="AA87" s="55" t="str">
        <f>IFERROR(""&amp;VLOOKUP($C87,'LISTE A SAISIR'!$E$4:$L$19,7,0),"")</f>
        <v/>
      </c>
      <c r="AB87" s="55" t="str">
        <f>IFERROR(""&amp;VLOOKUP($C87,'LISTE A SAISIR'!$E$4:$N$19,9,0),"")</f>
        <v/>
      </c>
      <c r="AD87" s="56" t="str">
        <f t="array" ref="AD87">IFERROR(INDEX($A87:$AB87,SMALL(IF(NOT(COUNTIF($AC87:AC87,$Y87:$AB87)),COLUMN($Y87:$AB87)),1)),"")</f>
        <v/>
      </c>
      <c r="AE87" s="56" t="str">
        <f t="array" ref="AE87">IFERROR(INDEX($A87:$AB87,SMALL(IF(NOT(COUNTIF($AC87:AD87,$Y87:$AB87)),COLUMN($Y87:$AB87)),1)),"")</f>
        <v/>
      </c>
      <c r="AF87" s="56" t="str">
        <f t="array" ref="AF87">IFERROR(INDEX($A87:$AB87,SMALL(IF(NOT(COUNTIF($AC87:AE87,$Y87:$AB87)),COLUMN($Y87:$AB87)),1)),"")</f>
        <v/>
      </c>
      <c r="AG87" s="56" t="str">
        <f t="array" ref="AG87">IFERROR(INDEX($A87:$AB87,SMALL(IF(NOT(COUNTIF($AC87:AF87,$Y87:$AB87)),COLUMN($Y87:$AB87)),1)),"")</f>
        <v/>
      </c>
    </row>
    <row r="88" spans="1:33">
      <c r="A88" s="52">
        <v>87</v>
      </c>
      <c r="B88" s="6"/>
      <c r="C88" s="7"/>
      <c r="D88" s="53" t="str">
        <f>IFERROR(VLOOKUP($C88,'LISTE A SAISIR'!$E$4:$N$19,2,0),"")</f>
        <v/>
      </c>
      <c r="E88" s="1"/>
      <c r="F88" s="53" t="str">
        <f>IFERROR(VLOOKUP($C88,'LISTE A SAISIR'!$E$4:$N$19,2+2*MATCH(E88,Y88:AB88,0),0),"")</f>
        <v/>
      </c>
      <c r="G88" s="1"/>
      <c r="H88" s="7"/>
      <c r="I88" s="53">
        <f t="shared" si="2"/>
        <v>0</v>
      </c>
      <c r="L88" s="52" t="str">
        <f t="array" ref="L88">IFERROR(INDEX(B:B,SMALL(IF($B$2:$B$149=$K$1,ROW($B$2:$B$149)),ROWS(L$2:L88))),"")</f>
        <v/>
      </c>
      <c r="M88" s="52" t="str">
        <f t="array" ref="M88">IFERROR(INDEX(#REF!,SMALL(IF($B$2:$B$149=$K$1,ROW($B$2:$B$149)),ROWS(M$2:M88))),"")</f>
        <v/>
      </c>
      <c r="N88" s="52" t="str">
        <f t="array" ref="N88">IFERROR(INDEX(C:C,SMALL(IF($B$2:$B$149=$K$1,ROW($B$2:$B$149)),ROWS(N$2:N88))),"")</f>
        <v/>
      </c>
      <c r="O88" s="52" t="str">
        <f t="array" ref="O88">IFERROR(INDEX(D:D,SMALL(IF($B$2:$B$149=$K$1,ROW($B$2:$B$149)),ROWS(O$2:O88))),"")</f>
        <v/>
      </c>
      <c r="P88" s="52" t="str">
        <f t="array" ref="P88">IFERROR(INDEX(E:E,SMALL(IF($B$2:$B$149=$K$1,ROW($B$2:$B$149)),ROWS(P$2:P88))),"")</f>
        <v/>
      </c>
      <c r="Q88" s="52" t="str">
        <f t="array" ref="Q88">IFERROR(INDEX(F:F,SMALL(IF($B$2:$B$149=$K$1,ROW($B$2:$B$149)),ROWS(Q$2:Q88))),"")</f>
        <v/>
      </c>
      <c r="R88" s="52" t="str">
        <f t="array" ref="R88">IFERROR(INDEX(G:G,SMALL(IF($B$2:$B$149=$K$1,ROW($B$2:$B$149)),ROWS(R$2:R88))),"")</f>
        <v/>
      </c>
      <c r="S88" s="52" t="str">
        <f t="array" ref="S88">IFERROR(INDEX(H:H,SMALL(IF($B$2:$B$149=$K$1,ROW($B$2:$B$149)),ROWS(S$2:S88))),"")</f>
        <v/>
      </c>
      <c r="Y88" s="55" t="str">
        <f>IFERROR(""&amp;VLOOKUP($C88,'LISTE A SAISIR'!$E$4:$L$19,3,0),"")</f>
        <v/>
      </c>
      <c r="Z88" s="55" t="str">
        <f>IFERROR(""&amp;VLOOKUP($C88,'LISTE A SAISIR'!$E$4:$L$19,5,0),"")</f>
        <v/>
      </c>
      <c r="AA88" s="55" t="str">
        <f>IFERROR(""&amp;VLOOKUP($C88,'LISTE A SAISIR'!$E$4:$L$19,7,0),"")</f>
        <v/>
      </c>
      <c r="AB88" s="55" t="str">
        <f>IFERROR(""&amp;VLOOKUP($C88,'LISTE A SAISIR'!$E$4:$N$19,9,0),"")</f>
        <v/>
      </c>
      <c r="AD88" s="56" t="str">
        <f t="array" ref="AD88">IFERROR(INDEX($A88:$AB88,SMALL(IF(NOT(COUNTIF($AC88:AC88,$Y88:$AB88)),COLUMN($Y88:$AB88)),1)),"")</f>
        <v/>
      </c>
      <c r="AE88" s="56" t="str">
        <f t="array" ref="AE88">IFERROR(INDEX($A88:$AB88,SMALL(IF(NOT(COUNTIF($AC88:AD88,$Y88:$AB88)),COLUMN($Y88:$AB88)),1)),"")</f>
        <v/>
      </c>
      <c r="AF88" s="56" t="str">
        <f t="array" ref="AF88">IFERROR(INDEX($A88:$AB88,SMALL(IF(NOT(COUNTIF($AC88:AE88,$Y88:$AB88)),COLUMN($Y88:$AB88)),1)),"")</f>
        <v/>
      </c>
      <c r="AG88" s="56" t="str">
        <f t="array" ref="AG88">IFERROR(INDEX($A88:$AB88,SMALL(IF(NOT(COUNTIF($AC88:AF88,$Y88:$AB88)),COLUMN($Y88:$AB88)),1)),"")</f>
        <v/>
      </c>
    </row>
    <row r="89" spans="1:33">
      <c r="A89" s="52">
        <v>88</v>
      </c>
      <c r="B89" s="4"/>
      <c r="C89" s="1"/>
      <c r="D89" s="52" t="str">
        <f>IFERROR(VLOOKUP($C89,'LISTE A SAISIR'!$E$4:$N$19,2,0),"")</f>
        <v/>
      </c>
      <c r="E89" s="1"/>
      <c r="F89" s="53" t="str">
        <f>IFERROR(VLOOKUP($C89,'LISTE A SAISIR'!$E$4:$N$19,2+2*MATCH(E89,Y89:AB89,0),0),"")</f>
        <v/>
      </c>
      <c r="G89" s="1"/>
      <c r="H89" s="1"/>
      <c r="I89" s="58">
        <f t="shared" si="2"/>
        <v>0</v>
      </c>
      <c r="L89" s="52" t="str">
        <f t="array" ref="L89">IFERROR(INDEX(B:B,SMALL(IF($B$2:$B$149=$K$1,ROW($B$2:$B$149)),ROWS(L$2:L89))),"")</f>
        <v/>
      </c>
      <c r="M89" s="52" t="str">
        <f t="array" ref="M89">IFERROR(INDEX(#REF!,SMALL(IF($B$2:$B$149=$K$1,ROW($B$2:$B$149)),ROWS(M$2:M89))),"")</f>
        <v/>
      </c>
      <c r="N89" s="52" t="str">
        <f t="array" ref="N89">IFERROR(INDEX(C:C,SMALL(IF($B$2:$B$149=$K$1,ROW($B$2:$B$149)),ROWS(N$2:N89))),"")</f>
        <v/>
      </c>
      <c r="O89" s="52" t="str">
        <f t="array" ref="O89">IFERROR(INDEX(D:D,SMALL(IF($B$2:$B$149=$K$1,ROW($B$2:$B$149)),ROWS(O$2:O89))),"")</f>
        <v/>
      </c>
      <c r="P89" s="52" t="str">
        <f t="array" ref="P89">IFERROR(INDEX(E:E,SMALL(IF($B$2:$B$149=$K$1,ROW($B$2:$B$149)),ROWS(P$2:P89))),"")</f>
        <v/>
      </c>
      <c r="Q89" s="52" t="str">
        <f t="array" ref="Q89">IFERROR(INDEX(F:F,SMALL(IF($B$2:$B$149=$K$1,ROW($B$2:$B$149)),ROWS(Q$2:Q89))),"")</f>
        <v/>
      </c>
      <c r="R89" s="52" t="str">
        <f t="array" ref="R89">IFERROR(INDEX(G:G,SMALL(IF($B$2:$B$149=$K$1,ROW($B$2:$B$149)),ROWS(R$2:R89))),"")</f>
        <v/>
      </c>
      <c r="S89" s="52" t="str">
        <f t="array" ref="S89">IFERROR(INDEX(H:H,SMALL(IF($B$2:$B$149=$K$1,ROW($B$2:$B$149)),ROWS(S$2:S89))),"")</f>
        <v/>
      </c>
      <c r="Y89" s="55" t="str">
        <f>IFERROR(""&amp;VLOOKUP($C89,'LISTE A SAISIR'!$E$4:$L$19,3,0),"")</f>
        <v/>
      </c>
      <c r="Z89" s="55" t="str">
        <f>IFERROR(""&amp;VLOOKUP($C89,'LISTE A SAISIR'!$E$4:$L$19,5,0),"")</f>
        <v/>
      </c>
      <c r="AA89" s="55" t="str">
        <f>IFERROR(""&amp;VLOOKUP($C89,'LISTE A SAISIR'!$E$4:$L$19,7,0),"")</f>
        <v/>
      </c>
      <c r="AB89" s="55" t="str">
        <f>IFERROR(""&amp;VLOOKUP($C89,'LISTE A SAISIR'!$E$4:$N$19,9,0),"")</f>
        <v/>
      </c>
      <c r="AD89" s="56" t="str">
        <f t="array" ref="AD89">IFERROR(INDEX($A89:$AB89,SMALL(IF(NOT(COUNTIF($AC89:AC89,$Y89:$AB89)),COLUMN($Y89:$AB89)),1)),"")</f>
        <v/>
      </c>
      <c r="AE89" s="56" t="str">
        <f t="array" ref="AE89">IFERROR(INDEX($A89:$AB89,SMALL(IF(NOT(COUNTIF($AC89:AD89,$Y89:$AB89)),COLUMN($Y89:$AB89)),1)),"")</f>
        <v/>
      </c>
      <c r="AF89" s="56" t="str">
        <f t="array" ref="AF89">IFERROR(INDEX($A89:$AB89,SMALL(IF(NOT(COUNTIF($AC89:AE89,$Y89:$AB89)),COLUMN($Y89:$AB89)),1)),"")</f>
        <v/>
      </c>
      <c r="AG89" s="56" t="str">
        <f t="array" ref="AG89">IFERROR(INDEX($A89:$AB89,SMALL(IF(NOT(COUNTIF($AC89:AF89,$Y89:$AB89)),COLUMN($Y89:$AB89)),1)),"")</f>
        <v/>
      </c>
    </row>
    <row r="90" spans="1:33">
      <c r="A90" s="52">
        <v>89</v>
      </c>
      <c r="B90" s="6"/>
      <c r="C90" s="7"/>
      <c r="D90" s="53" t="str">
        <f>IFERROR(VLOOKUP($C90,'LISTE A SAISIR'!$E$4:$N$19,2,0),"")</f>
        <v/>
      </c>
      <c r="E90" s="1"/>
      <c r="F90" s="53" t="str">
        <f>IFERROR(VLOOKUP($C90,'LISTE A SAISIR'!$E$4:$N$19,2+2*MATCH(E90,Y90:AB90,0),0),"")</f>
        <v/>
      </c>
      <c r="G90" s="1"/>
      <c r="H90" s="7"/>
      <c r="I90" s="53">
        <f t="shared" si="2"/>
        <v>0</v>
      </c>
      <c r="L90" s="52" t="str">
        <f t="array" ref="L90">IFERROR(INDEX(B:B,SMALL(IF($B$2:$B$149=$K$1,ROW($B$2:$B$149)),ROWS(L$2:L90))),"")</f>
        <v/>
      </c>
      <c r="M90" s="52" t="str">
        <f t="array" ref="M90">IFERROR(INDEX(#REF!,SMALL(IF($B$2:$B$149=$K$1,ROW($B$2:$B$149)),ROWS(M$2:M90))),"")</f>
        <v/>
      </c>
      <c r="N90" s="52" t="str">
        <f t="array" ref="N90">IFERROR(INDEX(C:C,SMALL(IF($B$2:$B$149=$K$1,ROW($B$2:$B$149)),ROWS(N$2:N90))),"")</f>
        <v/>
      </c>
      <c r="O90" s="52" t="str">
        <f t="array" ref="O90">IFERROR(INDEX(D:D,SMALL(IF($B$2:$B$149=$K$1,ROW($B$2:$B$149)),ROWS(O$2:O90))),"")</f>
        <v/>
      </c>
      <c r="P90" s="52" t="str">
        <f t="array" ref="P90">IFERROR(INDEX(E:E,SMALL(IF($B$2:$B$149=$K$1,ROW($B$2:$B$149)),ROWS(P$2:P90))),"")</f>
        <v/>
      </c>
      <c r="Q90" s="52" t="str">
        <f t="array" ref="Q90">IFERROR(INDEX(F:F,SMALL(IF($B$2:$B$149=$K$1,ROW($B$2:$B$149)),ROWS(Q$2:Q90))),"")</f>
        <v/>
      </c>
      <c r="R90" s="52" t="str">
        <f t="array" ref="R90">IFERROR(INDEX(G:G,SMALL(IF($B$2:$B$149=$K$1,ROW($B$2:$B$149)),ROWS(R$2:R90))),"")</f>
        <v/>
      </c>
      <c r="S90" s="52" t="str">
        <f t="array" ref="S90">IFERROR(INDEX(H:H,SMALL(IF($B$2:$B$149=$K$1,ROW($B$2:$B$149)),ROWS(S$2:S90))),"")</f>
        <v/>
      </c>
      <c r="Y90" s="55" t="str">
        <f>IFERROR(""&amp;VLOOKUP($C90,'LISTE A SAISIR'!$E$4:$L$19,3,0),"")</f>
        <v/>
      </c>
      <c r="Z90" s="55" t="str">
        <f>IFERROR(""&amp;VLOOKUP($C90,'LISTE A SAISIR'!$E$4:$L$19,5,0),"")</f>
        <v/>
      </c>
      <c r="AA90" s="55" t="str">
        <f>IFERROR(""&amp;VLOOKUP($C90,'LISTE A SAISIR'!$E$4:$L$19,7,0),"")</f>
        <v/>
      </c>
      <c r="AB90" s="55" t="str">
        <f>IFERROR(""&amp;VLOOKUP($C90,'LISTE A SAISIR'!$E$4:$N$19,9,0),"")</f>
        <v/>
      </c>
      <c r="AD90" s="56" t="str">
        <f t="array" ref="AD90">IFERROR(INDEX($A90:$AB90,SMALL(IF(NOT(COUNTIF($AC90:AC90,$Y90:$AB90)),COLUMN($Y90:$AB90)),1)),"")</f>
        <v/>
      </c>
      <c r="AE90" s="56" t="str">
        <f t="array" ref="AE90">IFERROR(INDEX($A90:$AB90,SMALL(IF(NOT(COUNTIF($AC90:AD90,$Y90:$AB90)),COLUMN($Y90:$AB90)),1)),"")</f>
        <v/>
      </c>
      <c r="AF90" s="56" t="str">
        <f t="array" ref="AF90">IFERROR(INDEX($A90:$AB90,SMALL(IF(NOT(COUNTIF($AC90:AE90,$Y90:$AB90)),COLUMN($Y90:$AB90)),1)),"")</f>
        <v/>
      </c>
      <c r="AG90" s="56" t="str">
        <f t="array" ref="AG90">IFERROR(INDEX($A90:$AB90,SMALL(IF(NOT(COUNTIF($AC90:AF90,$Y90:$AB90)),COLUMN($Y90:$AB90)),1)),"")</f>
        <v/>
      </c>
    </row>
    <row r="91" spans="1:33">
      <c r="A91" s="52">
        <v>90</v>
      </c>
      <c r="B91" s="4"/>
      <c r="C91" s="1"/>
      <c r="D91" s="52" t="str">
        <f>IFERROR(VLOOKUP($C91,'LISTE A SAISIR'!$E$4:$N$19,2,0),"")</f>
        <v/>
      </c>
      <c r="E91" s="1"/>
      <c r="F91" s="53" t="str">
        <f>IFERROR(VLOOKUP($C91,'LISTE A SAISIR'!$E$4:$N$19,2+2*MATCH(E91,Y91:AB91,0),0),"")</f>
        <v/>
      </c>
      <c r="G91" s="1"/>
      <c r="H91" s="1"/>
      <c r="I91" s="58">
        <f t="shared" si="2"/>
        <v>0</v>
      </c>
      <c r="L91" s="52" t="str">
        <f t="array" ref="L91">IFERROR(INDEX(B:B,SMALL(IF($B$2:$B$149=$K$1,ROW($B$2:$B$149)),ROWS(L$2:L91))),"")</f>
        <v/>
      </c>
      <c r="M91" s="52" t="str">
        <f t="array" ref="M91">IFERROR(INDEX(#REF!,SMALL(IF($B$2:$B$149=$K$1,ROW($B$2:$B$149)),ROWS(M$2:M91))),"")</f>
        <v/>
      </c>
      <c r="N91" s="52" t="str">
        <f t="array" ref="N91">IFERROR(INDEX(C:C,SMALL(IF($B$2:$B$149=$K$1,ROW($B$2:$B$149)),ROWS(N$2:N91))),"")</f>
        <v/>
      </c>
      <c r="O91" s="52" t="str">
        <f t="array" ref="O91">IFERROR(INDEX(D:D,SMALL(IF($B$2:$B$149=$K$1,ROW($B$2:$B$149)),ROWS(O$2:O91))),"")</f>
        <v/>
      </c>
      <c r="P91" s="52" t="str">
        <f t="array" ref="P91">IFERROR(INDEX(E:E,SMALL(IF($B$2:$B$149=$K$1,ROW($B$2:$B$149)),ROWS(P$2:P91))),"")</f>
        <v/>
      </c>
      <c r="Q91" s="52" t="str">
        <f t="array" ref="Q91">IFERROR(INDEX(F:F,SMALL(IF($B$2:$B$149=$K$1,ROW($B$2:$B$149)),ROWS(Q$2:Q91))),"")</f>
        <v/>
      </c>
      <c r="R91" s="52" t="str">
        <f t="array" ref="R91">IFERROR(INDEX(G:G,SMALL(IF($B$2:$B$149=$K$1,ROW($B$2:$B$149)),ROWS(R$2:R91))),"")</f>
        <v/>
      </c>
      <c r="S91" s="52" t="str">
        <f t="array" ref="S91">IFERROR(INDEX(H:H,SMALL(IF($B$2:$B$149=$K$1,ROW($B$2:$B$149)),ROWS(S$2:S91))),"")</f>
        <v/>
      </c>
      <c r="Y91" s="55" t="str">
        <f>IFERROR(""&amp;VLOOKUP($C91,'LISTE A SAISIR'!$E$4:$L$19,3,0),"")</f>
        <v/>
      </c>
      <c r="Z91" s="55" t="str">
        <f>IFERROR(""&amp;VLOOKUP($C91,'LISTE A SAISIR'!$E$4:$L$19,5,0),"")</f>
        <v/>
      </c>
      <c r="AA91" s="55" t="str">
        <f>IFERROR(""&amp;VLOOKUP($C91,'LISTE A SAISIR'!$E$4:$L$19,7,0),"")</f>
        <v/>
      </c>
      <c r="AB91" s="55" t="str">
        <f>IFERROR(""&amp;VLOOKUP($C91,'LISTE A SAISIR'!$E$4:$N$19,9,0),"")</f>
        <v/>
      </c>
      <c r="AD91" s="56" t="str">
        <f t="array" ref="AD91">IFERROR(INDEX($A91:$AB91,SMALL(IF(NOT(COUNTIF($AC91:AC91,$Y91:$AB91)),COLUMN($Y91:$AB91)),1)),"")</f>
        <v/>
      </c>
      <c r="AE91" s="56" t="str">
        <f t="array" ref="AE91">IFERROR(INDEX($A91:$AB91,SMALL(IF(NOT(COUNTIF($AC91:AD91,$Y91:$AB91)),COLUMN($Y91:$AB91)),1)),"")</f>
        <v/>
      </c>
      <c r="AF91" s="56" t="str">
        <f t="array" ref="AF91">IFERROR(INDEX($A91:$AB91,SMALL(IF(NOT(COUNTIF($AC91:AE91,$Y91:$AB91)),COLUMN($Y91:$AB91)),1)),"")</f>
        <v/>
      </c>
      <c r="AG91" s="56" t="str">
        <f t="array" ref="AG91">IFERROR(INDEX($A91:$AB91,SMALL(IF(NOT(COUNTIF($AC91:AF91,$Y91:$AB91)),COLUMN($Y91:$AB91)),1)),"")</f>
        <v/>
      </c>
    </row>
    <row r="92" spans="1:33">
      <c r="A92" s="52">
        <v>91</v>
      </c>
      <c r="B92" s="6"/>
      <c r="C92" s="7"/>
      <c r="D92" s="53" t="str">
        <f>IFERROR(VLOOKUP($C92,'LISTE A SAISIR'!$E$4:$N$19,2,0),"")</f>
        <v/>
      </c>
      <c r="E92" s="1"/>
      <c r="F92" s="53" t="str">
        <f>IFERROR(VLOOKUP($C92,'LISTE A SAISIR'!$E$4:$N$19,2+2*MATCH(E92,Y92:AB92,0),0),"")</f>
        <v/>
      </c>
      <c r="G92" s="1"/>
      <c r="H92" s="7"/>
      <c r="I92" s="53">
        <f t="shared" si="2"/>
        <v>0</v>
      </c>
      <c r="L92" s="52" t="str">
        <f t="array" ref="L92">IFERROR(INDEX(B:B,SMALL(IF($B$2:$B$149=$K$1,ROW($B$2:$B$149)),ROWS(L$2:L92))),"")</f>
        <v/>
      </c>
      <c r="M92" s="52" t="str">
        <f t="array" ref="M92">IFERROR(INDEX(#REF!,SMALL(IF($B$2:$B$149=$K$1,ROW($B$2:$B$149)),ROWS(M$2:M92))),"")</f>
        <v/>
      </c>
      <c r="N92" s="52" t="str">
        <f t="array" ref="N92">IFERROR(INDEX(C:C,SMALL(IF($B$2:$B$149=$K$1,ROW($B$2:$B$149)),ROWS(N$2:N92))),"")</f>
        <v/>
      </c>
      <c r="O92" s="52" t="str">
        <f t="array" ref="O92">IFERROR(INDEX(D:D,SMALL(IF($B$2:$B$149=$K$1,ROW($B$2:$B$149)),ROWS(O$2:O92))),"")</f>
        <v/>
      </c>
      <c r="P92" s="52" t="str">
        <f t="array" ref="P92">IFERROR(INDEX(E:E,SMALL(IF($B$2:$B$149=$K$1,ROW($B$2:$B$149)),ROWS(P$2:P92))),"")</f>
        <v/>
      </c>
      <c r="Q92" s="52" t="str">
        <f t="array" ref="Q92">IFERROR(INDEX(F:F,SMALL(IF($B$2:$B$149=$K$1,ROW($B$2:$B$149)),ROWS(Q$2:Q92))),"")</f>
        <v/>
      </c>
      <c r="R92" s="52" t="str">
        <f t="array" ref="R92">IFERROR(INDEX(G:G,SMALL(IF($B$2:$B$149=$K$1,ROW($B$2:$B$149)),ROWS(R$2:R92))),"")</f>
        <v/>
      </c>
      <c r="S92" s="52" t="str">
        <f t="array" ref="S92">IFERROR(INDEX(H:H,SMALL(IF($B$2:$B$149=$K$1,ROW($B$2:$B$149)),ROWS(S$2:S92))),"")</f>
        <v/>
      </c>
      <c r="Y92" s="55" t="str">
        <f>IFERROR(""&amp;VLOOKUP($C92,'LISTE A SAISIR'!$E$4:$L$19,3,0),"")</f>
        <v/>
      </c>
      <c r="Z92" s="55" t="str">
        <f>IFERROR(""&amp;VLOOKUP($C92,'LISTE A SAISIR'!$E$4:$L$19,5,0),"")</f>
        <v/>
      </c>
      <c r="AA92" s="55" t="str">
        <f>IFERROR(""&amp;VLOOKUP($C92,'LISTE A SAISIR'!$E$4:$L$19,7,0),"")</f>
        <v/>
      </c>
      <c r="AB92" s="55" t="str">
        <f>IFERROR(""&amp;VLOOKUP($C92,'LISTE A SAISIR'!$E$4:$N$19,9,0),"")</f>
        <v/>
      </c>
      <c r="AD92" s="56" t="str">
        <f t="array" ref="AD92">IFERROR(INDEX($A92:$AB92,SMALL(IF(NOT(COUNTIF($AC92:AC92,$Y92:$AB92)),COLUMN($Y92:$AB92)),1)),"")</f>
        <v/>
      </c>
      <c r="AE92" s="56" t="str">
        <f t="array" ref="AE92">IFERROR(INDEX($A92:$AB92,SMALL(IF(NOT(COUNTIF($AC92:AD92,$Y92:$AB92)),COLUMN($Y92:$AB92)),1)),"")</f>
        <v/>
      </c>
      <c r="AF92" s="56" t="str">
        <f t="array" ref="AF92">IFERROR(INDEX($A92:$AB92,SMALL(IF(NOT(COUNTIF($AC92:AE92,$Y92:$AB92)),COLUMN($Y92:$AB92)),1)),"")</f>
        <v/>
      </c>
      <c r="AG92" s="56" t="str">
        <f t="array" ref="AG92">IFERROR(INDEX($A92:$AB92,SMALL(IF(NOT(COUNTIF($AC92:AF92,$Y92:$AB92)),COLUMN($Y92:$AB92)),1)),"")</f>
        <v/>
      </c>
    </row>
    <row r="93" spans="1:33">
      <c r="A93" s="52">
        <v>92</v>
      </c>
      <c r="B93" s="4"/>
      <c r="C93" s="1"/>
      <c r="D93" s="52" t="str">
        <f>IFERROR(VLOOKUP($C93,'LISTE A SAISIR'!$E$4:$N$19,2,0),"")</f>
        <v/>
      </c>
      <c r="E93" s="1"/>
      <c r="F93" s="53" t="str">
        <f>IFERROR(VLOOKUP($C93,'LISTE A SAISIR'!$E$4:$N$19,2+2*MATCH(E93,Y93:AB93,0),0),"")</f>
        <v/>
      </c>
      <c r="G93" s="1"/>
      <c r="H93" s="1"/>
      <c r="I93" s="58">
        <f t="shared" si="2"/>
        <v>0</v>
      </c>
      <c r="L93" s="52" t="str">
        <f t="array" ref="L93">IFERROR(INDEX(B:B,SMALL(IF($B$2:$B$149=$K$1,ROW($B$2:$B$149)),ROWS(L$2:L93))),"")</f>
        <v/>
      </c>
      <c r="M93" s="52" t="str">
        <f t="array" ref="M93">IFERROR(INDEX(#REF!,SMALL(IF($B$2:$B$149=$K$1,ROW($B$2:$B$149)),ROWS(M$2:M93))),"")</f>
        <v/>
      </c>
      <c r="N93" s="52" t="str">
        <f t="array" ref="N93">IFERROR(INDEX(C:C,SMALL(IF($B$2:$B$149=$K$1,ROW($B$2:$B$149)),ROWS(N$2:N93))),"")</f>
        <v/>
      </c>
      <c r="O93" s="52" t="str">
        <f t="array" ref="O93">IFERROR(INDEX(D:D,SMALL(IF($B$2:$B$149=$K$1,ROW($B$2:$B$149)),ROWS(O$2:O93))),"")</f>
        <v/>
      </c>
      <c r="P93" s="52" t="str">
        <f t="array" ref="P93">IFERROR(INDEX(E:E,SMALL(IF($B$2:$B$149=$K$1,ROW($B$2:$B$149)),ROWS(P$2:P93))),"")</f>
        <v/>
      </c>
      <c r="Q93" s="52" t="str">
        <f t="array" ref="Q93">IFERROR(INDEX(F:F,SMALL(IF($B$2:$B$149=$K$1,ROW($B$2:$B$149)),ROWS(Q$2:Q93))),"")</f>
        <v/>
      </c>
      <c r="R93" s="52" t="str">
        <f t="array" ref="R93">IFERROR(INDEX(G:G,SMALL(IF($B$2:$B$149=$K$1,ROW($B$2:$B$149)),ROWS(R$2:R93))),"")</f>
        <v/>
      </c>
      <c r="S93" s="52" t="str">
        <f t="array" ref="S93">IFERROR(INDEX(H:H,SMALL(IF($B$2:$B$149=$K$1,ROW($B$2:$B$149)),ROWS(S$2:S93))),"")</f>
        <v/>
      </c>
      <c r="Y93" s="55" t="str">
        <f>IFERROR(""&amp;VLOOKUP($C93,'LISTE A SAISIR'!$E$4:$L$19,3,0),"")</f>
        <v/>
      </c>
      <c r="Z93" s="55" t="str">
        <f>IFERROR(""&amp;VLOOKUP($C93,'LISTE A SAISIR'!$E$4:$L$19,5,0),"")</f>
        <v/>
      </c>
      <c r="AA93" s="55" t="str">
        <f>IFERROR(""&amp;VLOOKUP($C93,'LISTE A SAISIR'!$E$4:$L$19,7,0),"")</f>
        <v/>
      </c>
      <c r="AB93" s="55" t="str">
        <f>IFERROR(""&amp;VLOOKUP($C93,'LISTE A SAISIR'!$E$4:$N$19,9,0),"")</f>
        <v/>
      </c>
      <c r="AD93" s="56" t="str">
        <f t="array" ref="AD93">IFERROR(INDEX($A93:$AB93,SMALL(IF(NOT(COUNTIF($AC93:AC93,$Y93:$AB93)),COLUMN($Y93:$AB93)),1)),"")</f>
        <v/>
      </c>
      <c r="AE93" s="56" t="str">
        <f t="array" ref="AE93">IFERROR(INDEX($A93:$AB93,SMALL(IF(NOT(COUNTIF($AC93:AD93,$Y93:$AB93)),COLUMN($Y93:$AB93)),1)),"")</f>
        <v/>
      </c>
      <c r="AF93" s="56" t="str">
        <f t="array" ref="AF93">IFERROR(INDEX($A93:$AB93,SMALL(IF(NOT(COUNTIF($AC93:AE93,$Y93:$AB93)),COLUMN($Y93:$AB93)),1)),"")</f>
        <v/>
      </c>
      <c r="AG93" s="56" t="str">
        <f t="array" ref="AG93">IFERROR(INDEX($A93:$AB93,SMALL(IF(NOT(COUNTIF($AC93:AF93,$Y93:$AB93)),COLUMN($Y93:$AB93)),1)),"")</f>
        <v/>
      </c>
    </row>
    <row r="94" spans="1:33">
      <c r="A94" s="52">
        <v>93</v>
      </c>
      <c r="B94" s="6"/>
      <c r="C94" s="7"/>
      <c r="D94" s="53" t="str">
        <f>IFERROR(VLOOKUP($C94,'LISTE A SAISIR'!$E$4:$N$19,2,0),"")</f>
        <v/>
      </c>
      <c r="E94" s="1"/>
      <c r="F94" s="53" t="str">
        <f>IFERROR(VLOOKUP($C94,'LISTE A SAISIR'!$E$4:$N$19,2+2*MATCH(E94,Y94:AB94,0),0),"")</f>
        <v/>
      </c>
      <c r="G94" s="1"/>
      <c r="H94" s="7"/>
      <c r="I94" s="53">
        <f t="shared" si="2"/>
        <v>0</v>
      </c>
      <c r="L94" s="52" t="str">
        <f t="array" ref="L94">IFERROR(INDEX(B:B,SMALL(IF($B$2:$B$149=$K$1,ROW($B$2:$B$149)),ROWS(L$2:L94))),"")</f>
        <v/>
      </c>
      <c r="M94" s="52" t="str">
        <f t="array" ref="M94">IFERROR(INDEX(#REF!,SMALL(IF($B$2:$B$149=$K$1,ROW($B$2:$B$149)),ROWS(M$2:M94))),"")</f>
        <v/>
      </c>
      <c r="N94" s="52" t="str">
        <f t="array" ref="N94">IFERROR(INDEX(C:C,SMALL(IF($B$2:$B$149=$K$1,ROW($B$2:$B$149)),ROWS(N$2:N94))),"")</f>
        <v/>
      </c>
      <c r="O94" s="52" t="str">
        <f t="array" ref="O94">IFERROR(INDEX(D:D,SMALL(IF($B$2:$B$149=$K$1,ROW($B$2:$B$149)),ROWS(O$2:O94))),"")</f>
        <v/>
      </c>
      <c r="P94" s="52" t="str">
        <f t="array" ref="P94">IFERROR(INDEX(E:E,SMALL(IF($B$2:$B$149=$K$1,ROW($B$2:$B$149)),ROWS(P$2:P94))),"")</f>
        <v/>
      </c>
      <c r="Q94" s="52" t="str">
        <f t="array" ref="Q94">IFERROR(INDEX(F:F,SMALL(IF($B$2:$B$149=$K$1,ROW($B$2:$B$149)),ROWS(Q$2:Q94))),"")</f>
        <v/>
      </c>
      <c r="R94" s="52" t="str">
        <f t="array" ref="R94">IFERROR(INDEX(G:G,SMALL(IF($B$2:$B$149=$K$1,ROW($B$2:$B$149)),ROWS(R$2:R94))),"")</f>
        <v/>
      </c>
      <c r="S94" s="52" t="str">
        <f t="array" ref="S94">IFERROR(INDEX(H:H,SMALL(IF($B$2:$B$149=$K$1,ROW($B$2:$B$149)),ROWS(S$2:S94))),"")</f>
        <v/>
      </c>
      <c r="Y94" s="55" t="str">
        <f>IFERROR(""&amp;VLOOKUP($C94,'LISTE A SAISIR'!$E$4:$L$19,3,0),"")</f>
        <v/>
      </c>
      <c r="Z94" s="55" t="str">
        <f>IFERROR(""&amp;VLOOKUP($C94,'LISTE A SAISIR'!$E$4:$L$19,5,0),"")</f>
        <v/>
      </c>
      <c r="AA94" s="55" t="str">
        <f>IFERROR(""&amp;VLOOKUP($C94,'LISTE A SAISIR'!$E$4:$L$19,7,0),"")</f>
        <v/>
      </c>
      <c r="AB94" s="55" t="str">
        <f>IFERROR(""&amp;VLOOKUP($C94,'LISTE A SAISIR'!$E$4:$N$19,9,0),"")</f>
        <v/>
      </c>
      <c r="AD94" s="56" t="str">
        <f t="array" ref="AD94">IFERROR(INDEX($A94:$AB94,SMALL(IF(NOT(COUNTIF($AC94:AC94,$Y94:$AB94)),COLUMN($Y94:$AB94)),1)),"")</f>
        <v/>
      </c>
      <c r="AE94" s="56" t="str">
        <f t="array" ref="AE94">IFERROR(INDEX($A94:$AB94,SMALL(IF(NOT(COUNTIF($AC94:AD94,$Y94:$AB94)),COLUMN($Y94:$AB94)),1)),"")</f>
        <v/>
      </c>
      <c r="AF94" s="56" t="str">
        <f t="array" ref="AF94">IFERROR(INDEX($A94:$AB94,SMALL(IF(NOT(COUNTIF($AC94:AE94,$Y94:$AB94)),COLUMN($Y94:$AB94)),1)),"")</f>
        <v/>
      </c>
      <c r="AG94" s="56" t="str">
        <f t="array" ref="AG94">IFERROR(INDEX($A94:$AB94,SMALL(IF(NOT(COUNTIF($AC94:AF94,$Y94:$AB94)),COLUMN($Y94:$AB94)),1)),"")</f>
        <v/>
      </c>
    </row>
    <row r="95" spans="1:33">
      <c r="A95" s="52">
        <v>94</v>
      </c>
      <c r="B95" s="4"/>
      <c r="C95" s="1"/>
      <c r="D95" s="52" t="str">
        <f>IFERROR(VLOOKUP($C95,'LISTE A SAISIR'!$E$4:$N$19,2,0),"")</f>
        <v/>
      </c>
      <c r="E95" s="1"/>
      <c r="F95" s="53" t="str">
        <f>IFERROR(VLOOKUP($C95,'LISTE A SAISIR'!$E$4:$N$19,2+2*MATCH(E95,Y95:AB95,0),0),"")</f>
        <v/>
      </c>
      <c r="G95" s="1"/>
      <c r="H95" s="1"/>
      <c r="I95" s="58">
        <f t="shared" si="2"/>
        <v>0</v>
      </c>
      <c r="L95" s="52" t="str">
        <f t="array" ref="L95">IFERROR(INDEX(B:B,SMALL(IF($B$2:$B$149=$K$1,ROW($B$2:$B$149)),ROWS(L$2:L95))),"")</f>
        <v/>
      </c>
      <c r="M95" s="52" t="str">
        <f t="array" ref="M95">IFERROR(INDEX(#REF!,SMALL(IF($B$2:$B$149=$K$1,ROW($B$2:$B$149)),ROWS(M$2:M95))),"")</f>
        <v/>
      </c>
      <c r="N95" s="52" t="str">
        <f t="array" ref="N95">IFERROR(INDEX(C:C,SMALL(IF($B$2:$B$149=$K$1,ROW($B$2:$B$149)),ROWS(N$2:N95))),"")</f>
        <v/>
      </c>
      <c r="O95" s="52" t="str">
        <f t="array" ref="O95">IFERROR(INDEX(D:D,SMALL(IF($B$2:$B$149=$K$1,ROW($B$2:$B$149)),ROWS(O$2:O95))),"")</f>
        <v/>
      </c>
      <c r="P95" s="52" t="str">
        <f t="array" ref="P95">IFERROR(INDEX(E:E,SMALL(IF($B$2:$B$149=$K$1,ROW($B$2:$B$149)),ROWS(P$2:P95))),"")</f>
        <v/>
      </c>
      <c r="Q95" s="52" t="str">
        <f t="array" ref="Q95">IFERROR(INDEX(F:F,SMALL(IF($B$2:$B$149=$K$1,ROW($B$2:$B$149)),ROWS(Q$2:Q95))),"")</f>
        <v/>
      </c>
      <c r="R95" s="52" t="str">
        <f t="array" ref="R95">IFERROR(INDEX(G:G,SMALL(IF($B$2:$B$149=$K$1,ROW($B$2:$B$149)),ROWS(R$2:R95))),"")</f>
        <v/>
      </c>
      <c r="S95" s="52" t="str">
        <f t="array" ref="S95">IFERROR(INDEX(H:H,SMALL(IF($B$2:$B$149=$K$1,ROW($B$2:$B$149)),ROWS(S$2:S95))),"")</f>
        <v/>
      </c>
      <c r="Y95" s="55" t="str">
        <f>IFERROR(""&amp;VLOOKUP($C95,'LISTE A SAISIR'!$E$4:$L$19,3,0),"")</f>
        <v/>
      </c>
      <c r="Z95" s="55" t="str">
        <f>IFERROR(""&amp;VLOOKUP($C95,'LISTE A SAISIR'!$E$4:$L$19,5,0),"")</f>
        <v/>
      </c>
      <c r="AA95" s="55" t="str">
        <f>IFERROR(""&amp;VLOOKUP($C95,'LISTE A SAISIR'!$E$4:$L$19,7,0),"")</f>
        <v/>
      </c>
      <c r="AB95" s="55" t="str">
        <f>IFERROR(""&amp;VLOOKUP($C95,'LISTE A SAISIR'!$E$4:$N$19,9,0),"")</f>
        <v/>
      </c>
      <c r="AD95" s="56" t="str">
        <f t="array" ref="AD95">IFERROR(INDEX($A95:$AB95,SMALL(IF(NOT(COUNTIF($AC95:AC95,$Y95:$AB95)),COLUMN($Y95:$AB95)),1)),"")</f>
        <v/>
      </c>
      <c r="AE95" s="56" t="str">
        <f t="array" ref="AE95">IFERROR(INDEX($A95:$AB95,SMALL(IF(NOT(COUNTIF($AC95:AD95,$Y95:$AB95)),COLUMN($Y95:$AB95)),1)),"")</f>
        <v/>
      </c>
      <c r="AF95" s="56" t="str">
        <f t="array" ref="AF95">IFERROR(INDEX($A95:$AB95,SMALL(IF(NOT(COUNTIF($AC95:AE95,$Y95:$AB95)),COLUMN($Y95:$AB95)),1)),"")</f>
        <v/>
      </c>
      <c r="AG95" s="56" t="str">
        <f t="array" ref="AG95">IFERROR(INDEX($A95:$AB95,SMALL(IF(NOT(COUNTIF($AC95:AF95,$Y95:$AB95)),COLUMN($Y95:$AB95)),1)),"")</f>
        <v/>
      </c>
    </row>
    <row r="96" spans="1:33">
      <c r="A96" s="52">
        <v>95</v>
      </c>
      <c r="B96" s="6"/>
      <c r="C96" s="7"/>
      <c r="D96" s="53" t="str">
        <f>IFERROR(VLOOKUP($C96,'LISTE A SAISIR'!$E$4:$N$19,2,0),"")</f>
        <v/>
      </c>
      <c r="E96" s="1"/>
      <c r="F96" s="53" t="str">
        <f>IFERROR(VLOOKUP($C96,'LISTE A SAISIR'!$E$4:$N$19,2+2*MATCH(E96,Y96:AB96,0),0),"")</f>
        <v/>
      </c>
      <c r="G96" s="1"/>
      <c r="H96" s="7"/>
      <c r="I96" s="53">
        <f t="shared" si="2"/>
        <v>0</v>
      </c>
      <c r="L96" s="52" t="str">
        <f t="array" ref="L96">IFERROR(INDEX(B:B,SMALL(IF($B$2:$B$149=$K$1,ROW($B$2:$B$149)),ROWS(L$2:L96))),"")</f>
        <v/>
      </c>
      <c r="M96" s="52" t="str">
        <f t="array" ref="M96">IFERROR(INDEX(#REF!,SMALL(IF($B$2:$B$149=$K$1,ROW($B$2:$B$149)),ROWS(M$2:M96))),"")</f>
        <v/>
      </c>
      <c r="N96" s="52" t="str">
        <f t="array" ref="N96">IFERROR(INDEX(C:C,SMALL(IF($B$2:$B$149=$K$1,ROW($B$2:$B$149)),ROWS(N$2:N96))),"")</f>
        <v/>
      </c>
      <c r="O96" s="52" t="str">
        <f t="array" ref="O96">IFERROR(INDEX(D:D,SMALL(IF($B$2:$B$149=$K$1,ROW($B$2:$B$149)),ROWS(O$2:O96))),"")</f>
        <v/>
      </c>
      <c r="P96" s="52" t="str">
        <f t="array" ref="P96">IFERROR(INDEX(E:E,SMALL(IF($B$2:$B$149=$K$1,ROW($B$2:$B$149)),ROWS(P$2:P96))),"")</f>
        <v/>
      </c>
      <c r="Q96" s="52" t="str">
        <f t="array" ref="Q96">IFERROR(INDEX(F:F,SMALL(IF($B$2:$B$149=$K$1,ROW($B$2:$B$149)),ROWS(Q$2:Q96))),"")</f>
        <v/>
      </c>
      <c r="R96" s="52" t="str">
        <f t="array" ref="R96">IFERROR(INDEX(G:G,SMALL(IF($B$2:$B$149=$K$1,ROW($B$2:$B$149)),ROWS(R$2:R96))),"")</f>
        <v/>
      </c>
      <c r="S96" s="52" t="str">
        <f t="array" ref="S96">IFERROR(INDEX(H:H,SMALL(IF($B$2:$B$149=$K$1,ROW($B$2:$B$149)),ROWS(S$2:S96))),"")</f>
        <v/>
      </c>
      <c r="Y96" s="55" t="str">
        <f>IFERROR(""&amp;VLOOKUP($C96,'LISTE A SAISIR'!$E$4:$L$19,3,0),"")</f>
        <v/>
      </c>
      <c r="Z96" s="55" t="str">
        <f>IFERROR(""&amp;VLOOKUP($C96,'LISTE A SAISIR'!$E$4:$L$19,5,0),"")</f>
        <v/>
      </c>
      <c r="AA96" s="55" t="str">
        <f>IFERROR(""&amp;VLOOKUP($C96,'LISTE A SAISIR'!$E$4:$L$19,7,0),"")</f>
        <v/>
      </c>
      <c r="AB96" s="55" t="str">
        <f>IFERROR(""&amp;VLOOKUP($C96,'LISTE A SAISIR'!$E$4:$N$19,9,0),"")</f>
        <v/>
      </c>
      <c r="AD96" s="56" t="str">
        <f t="array" ref="AD96">IFERROR(INDEX($A96:$AB96,SMALL(IF(NOT(COUNTIF($AC96:AC96,$Y96:$AB96)),COLUMN($Y96:$AB96)),1)),"")</f>
        <v/>
      </c>
      <c r="AE96" s="56" t="str">
        <f t="array" ref="AE96">IFERROR(INDEX($A96:$AB96,SMALL(IF(NOT(COUNTIF($AC96:AD96,$Y96:$AB96)),COLUMN($Y96:$AB96)),1)),"")</f>
        <v/>
      </c>
      <c r="AF96" s="56" t="str">
        <f t="array" ref="AF96">IFERROR(INDEX($A96:$AB96,SMALL(IF(NOT(COUNTIF($AC96:AE96,$Y96:$AB96)),COLUMN($Y96:$AB96)),1)),"")</f>
        <v/>
      </c>
      <c r="AG96" s="56" t="str">
        <f t="array" ref="AG96">IFERROR(INDEX($A96:$AB96,SMALL(IF(NOT(COUNTIF($AC96:AF96,$Y96:$AB96)),COLUMN($Y96:$AB96)),1)),"")</f>
        <v/>
      </c>
    </row>
    <row r="97" spans="1:33">
      <c r="A97" s="52">
        <v>96</v>
      </c>
      <c r="B97" s="4"/>
      <c r="C97" s="1"/>
      <c r="D97" s="52" t="str">
        <f>IFERROR(VLOOKUP($C97,'LISTE A SAISIR'!$E$4:$N$19,2,0),"")</f>
        <v/>
      </c>
      <c r="E97" s="1"/>
      <c r="F97" s="53" t="str">
        <f>IFERROR(VLOOKUP($C97,'LISTE A SAISIR'!$E$4:$N$19,2+2*MATCH(E97,Y97:AB97,0),0),"")</f>
        <v/>
      </c>
      <c r="G97" s="1"/>
      <c r="H97" s="1"/>
      <c r="I97" s="58">
        <f t="shared" si="2"/>
        <v>0</v>
      </c>
      <c r="L97" s="52" t="str">
        <f t="array" ref="L97">IFERROR(INDEX(B:B,SMALL(IF($B$2:$B$149=$K$1,ROW($B$2:$B$149)),ROWS(L$2:L97))),"")</f>
        <v/>
      </c>
      <c r="M97" s="52" t="str">
        <f t="array" ref="M97">IFERROR(INDEX(#REF!,SMALL(IF($B$2:$B$149=$K$1,ROW($B$2:$B$149)),ROWS(M$2:M97))),"")</f>
        <v/>
      </c>
      <c r="N97" s="52" t="str">
        <f t="array" ref="N97">IFERROR(INDEX(C:C,SMALL(IF($B$2:$B$149=$K$1,ROW($B$2:$B$149)),ROWS(N$2:N97))),"")</f>
        <v/>
      </c>
      <c r="O97" s="52" t="str">
        <f t="array" ref="O97">IFERROR(INDEX(D:D,SMALL(IF($B$2:$B$149=$K$1,ROW($B$2:$B$149)),ROWS(O$2:O97))),"")</f>
        <v/>
      </c>
      <c r="P97" s="52" t="str">
        <f t="array" ref="P97">IFERROR(INDEX(E:E,SMALL(IF($B$2:$B$149=$K$1,ROW($B$2:$B$149)),ROWS(P$2:P97))),"")</f>
        <v/>
      </c>
      <c r="Q97" s="52" t="str">
        <f t="array" ref="Q97">IFERROR(INDEX(F:F,SMALL(IF($B$2:$B$149=$K$1,ROW($B$2:$B$149)),ROWS(Q$2:Q97))),"")</f>
        <v/>
      </c>
      <c r="R97" s="52" t="str">
        <f t="array" ref="R97">IFERROR(INDEX(G:G,SMALL(IF($B$2:$B$149=$K$1,ROW($B$2:$B$149)),ROWS(R$2:R97))),"")</f>
        <v/>
      </c>
      <c r="S97" s="52" t="str">
        <f t="array" ref="S97">IFERROR(INDEX(H:H,SMALL(IF($B$2:$B$149=$K$1,ROW($B$2:$B$149)),ROWS(S$2:S97))),"")</f>
        <v/>
      </c>
      <c r="Y97" s="55" t="str">
        <f>IFERROR(""&amp;VLOOKUP($C97,'LISTE A SAISIR'!$E$4:$L$19,3,0),"")</f>
        <v/>
      </c>
      <c r="Z97" s="55" t="str">
        <f>IFERROR(""&amp;VLOOKUP($C97,'LISTE A SAISIR'!$E$4:$L$19,5,0),"")</f>
        <v/>
      </c>
      <c r="AA97" s="55" t="str">
        <f>IFERROR(""&amp;VLOOKUP($C97,'LISTE A SAISIR'!$E$4:$L$19,7,0),"")</f>
        <v/>
      </c>
      <c r="AB97" s="55" t="str">
        <f>IFERROR(""&amp;VLOOKUP($C97,'LISTE A SAISIR'!$E$4:$N$19,9,0),"")</f>
        <v/>
      </c>
      <c r="AD97" s="56" t="str">
        <f t="array" ref="AD97">IFERROR(INDEX($A97:$AB97,SMALL(IF(NOT(COUNTIF($AC97:AC97,$Y97:$AB97)),COLUMN($Y97:$AB97)),1)),"")</f>
        <v/>
      </c>
      <c r="AE97" s="56" t="str">
        <f t="array" ref="AE97">IFERROR(INDEX($A97:$AB97,SMALL(IF(NOT(COUNTIF($AC97:AD97,$Y97:$AB97)),COLUMN($Y97:$AB97)),1)),"")</f>
        <v/>
      </c>
      <c r="AF97" s="56" t="str">
        <f t="array" ref="AF97">IFERROR(INDEX($A97:$AB97,SMALL(IF(NOT(COUNTIF($AC97:AE97,$Y97:$AB97)),COLUMN($Y97:$AB97)),1)),"")</f>
        <v/>
      </c>
      <c r="AG97" s="56" t="str">
        <f t="array" ref="AG97">IFERROR(INDEX($A97:$AB97,SMALL(IF(NOT(COUNTIF($AC97:AF97,$Y97:$AB97)),COLUMN($Y97:$AB97)),1)),"")</f>
        <v/>
      </c>
    </row>
    <row r="98" spans="1:33">
      <c r="A98" s="52">
        <v>97</v>
      </c>
      <c r="B98" s="6"/>
      <c r="C98" s="7"/>
      <c r="D98" s="53" t="str">
        <f>IFERROR(VLOOKUP($C98,'LISTE A SAISIR'!$E$4:$N$19,2,0),"")</f>
        <v/>
      </c>
      <c r="E98" s="1"/>
      <c r="F98" s="53" t="str">
        <f>IFERROR(VLOOKUP($C98,'LISTE A SAISIR'!$E$4:$N$19,2+2*MATCH(E98,Y98:AB98,0),0),"")</f>
        <v/>
      </c>
      <c r="G98" s="1"/>
      <c r="H98" s="7"/>
      <c r="I98" s="53">
        <f t="shared" ref="I98:I129" si="3">COUNTIF($B$2:$B$149,B98)</f>
        <v>0</v>
      </c>
      <c r="L98" s="52" t="str">
        <f t="array" ref="L98">IFERROR(INDEX(B:B,SMALL(IF($B$2:$B$149=$K$1,ROW($B$2:$B$149)),ROWS(L$2:L98))),"")</f>
        <v/>
      </c>
      <c r="M98" s="52" t="str">
        <f t="array" ref="M98">IFERROR(INDEX(#REF!,SMALL(IF($B$2:$B$149=$K$1,ROW($B$2:$B$149)),ROWS(M$2:M98))),"")</f>
        <v/>
      </c>
      <c r="N98" s="52" t="str">
        <f t="array" ref="N98">IFERROR(INDEX(C:C,SMALL(IF($B$2:$B$149=$K$1,ROW($B$2:$B$149)),ROWS(N$2:N98))),"")</f>
        <v/>
      </c>
      <c r="O98" s="52" t="str">
        <f t="array" ref="O98">IFERROR(INDEX(D:D,SMALL(IF($B$2:$B$149=$K$1,ROW($B$2:$B$149)),ROWS(O$2:O98))),"")</f>
        <v/>
      </c>
      <c r="P98" s="52" t="str">
        <f t="array" ref="P98">IFERROR(INDEX(E:E,SMALL(IF($B$2:$B$149=$K$1,ROW($B$2:$B$149)),ROWS(P$2:P98))),"")</f>
        <v/>
      </c>
      <c r="Q98" s="52" t="str">
        <f t="array" ref="Q98">IFERROR(INDEX(F:F,SMALL(IF($B$2:$B$149=$K$1,ROW($B$2:$B$149)),ROWS(Q$2:Q98))),"")</f>
        <v/>
      </c>
      <c r="R98" s="52" t="str">
        <f t="array" ref="R98">IFERROR(INDEX(G:G,SMALL(IF($B$2:$B$149=$K$1,ROW($B$2:$B$149)),ROWS(R$2:R98))),"")</f>
        <v/>
      </c>
      <c r="S98" s="52" t="str">
        <f t="array" ref="S98">IFERROR(INDEX(H:H,SMALL(IF($B$2:$B$149=$K$1,ROW($B$2:$B$149)),ROWS(S$2:S98))),"")</f>
        <v/>
      </c>
      <c r="Y98" s="55" t="str">
        <f>IFERROR(""&amp;VLOOKUP($C98,'LISTE A SAISIR'!$E$4:$L$19,3,0),"")</f>
        <v/>
      </c>
      <c r="Z98" s="55" t="str">
        <f>IFERROR(""&amp;VLOOKUP($C98,'LISTE A SAISIR'!$E$4:$L$19,5,0),"")</f>
        <v/>
      </c>
      <c r="AA98" s="55" t="str">
        <f>IFERROR(""&amp;VLOOKUP($C98,'LISTE A SAISIR'!$E$4:$L$19,7,0),"")</f>
        <v/>
      </c>
      <c r="AB98" s="55" t="str">
        <f>IFERROR(""&amp;VLOOKUP($C98,'LISTE A SAISIR'!$E$4:$N$19,9,0),"")</f>
        <v/>
      </c>
      <c r="AD98" s="56" t="str">
        <f t="array" ref="AD98">IFERROR(INDEX($A98:$AB98,SMALL(IF(NOT(COUNTIF($AC98:AC98,$Y98:$AB98)),COLUMN($Y98:$AB98)),1)),"")</f>
        <v/>
      </c>
      <c r="AE98" s="56" t="str">
        <f t="array" ref="AE98">IFERROR(INDEX($A98:$AB98,SMALL(IF(NOT(COUNTIF($AC98:AD98,$Y98:$AB98)),COLUMN($Y98:$AB98)),1)),"")</f>
        <v/>
      </c>
      <c r="AF98" s="56" t="str">
        <f t="array" ref="AF98">IFERROR(INDEX($A98:$AB98,SMALL(IF(NOT(COUNTIF($AC98:AE98,$Y98:$AB98)),COLUMN($Y98:$AB98)),1)),"")</f>
        <v/>
      </c>
      <c r="AG98" s="56" t="str">
        <f t="array" ref="AG98">IFERROR(INDEX($A98:$AB98,SMALL(IF(NOT(COUNTIF($AC98:AF98,$Y98:$AB98)),COLUMN($Y98:$AB98)),1)),"")</f>
        <v/>
      </c>
    </row>
    <row r="99" spans="1:33">
      <c r="A99" s="52">
        <v>98</v>
      </c>
      <c r="B99" s="4"/>
      <c r="C99" s="1"/>
      <c r="D99" s="52" t="str">
        <f>IFERROR(VLOOKUP($C99,'LISTE A SAISIR'!$E$4:$N$19,2,0),"")</f>
        <v/>
      </c>
      <c r="E99" s="1"/>
      <c r="F99" s="53" t="str">
        <f>IFERROR(VLOOKUP($C99,'LISTE A SAISIR'!$E$4:$N$19,2+2*MATCH(E99,Y99:AB99,0),0),"")</f>
        <v/>
      </c>
      <c r="G99" s="1"/>
      <c r="H99" s="1"/>
      <c r="I99" s="58">
        <f t="shared" si="3"/>
        <v>0</v>
      </c>
      <c r="L99" s="52" t="str">
        <f t="array" ref="L99">IFERROR(INDEX(B:B,SMALL(IF($B$2:$B$149=$K$1,ROW($B$2:$B$149)),ROWS(L$2:L99))),"")</f>
        <v/>
      </c>
      <c r="M99" s="52" t="str">
        <f t="array" ref="M99">IFERROR(INDEX(#REF!,SMALL(IF($B$2:$B$149=$K$1,ROW($B$2:$B$149)),ROWS(M$2:M99))),"")</f>
        <v/>
      </c>
      <c r="N99" s="52" t="str">
        <f t="array" ref="N99">IFERROR(INDEX(C:C,SMALL(IF($B$2:$B$149=$K$1,ROW($B$2:$B$149)),ROWS(N$2:N99))),"")</f>
        <v/>
      </c>
      <c r="O99" s="52" t="str">
        <f t="array" ref="O99">IFERROR(INDEX(D:D,SMALL(IF($B$2:$B$149=$K$1,ROW($B$2:$B$149)),ROWS(O$2:O99))),"")</f>
        <v/>
      </c>
      <c r="P99" s="52" t="str">
        <f t="array" ref="P99">IFERROR(INDEX(E:E,SMALL(IF($B$2:$B$149=$K$1,ROW($B$2:$B$149)),ROWS(P$2:P99))),"")</f>
        <v/>
      </c>
      <c r="Q99" s="52" t="str">
        <f t="array" ref="Q99">IFERROR(INDEX(F:F,SMALL(IF($B$2:$B$149=$K$1,ROW($B$2:$B$149)),ROWS(Q$2:Q99))),"")</f>
        <v/>
      </c>
      <c r="R99" s="52" t="str">
        <f t="array" ref="R99">IFERROR(INDEX(G:G,SMALL(IF($B$2:$B$149=$K$1,ROW($B$2:$B$149)),ROWS(R$2:R99))),"")</f>
        <v/>
      </c>
      <c r="S99" s="52" t="str">
        <f t="array" ref="S99">IFERROR(INDEX(H:H,SMALL(IF($B$2:$B$149=$K$1,ROW($B$2:$B$149)),ROWS(S$2:S99))),"")</f>
        <v/>
      </c>
      <c r="Y99" s="55" t="str">
        <f>IFERROR(""&amp;VLOOKUP($C99,'LISTE A SAISIR'!$E$4:$L$19,3,0),"")</f>
        <v/>
      </c>
      <c r="Z99" s="55" t="str">
        <f>IFERROR(""&amp;VLOOKUP($C99,'LISTE A SAISIR'!$E$4:$L$19,5,0),"")</f>
        <v/>
      </c>
      <c r="AA99" s="55" t="str">
        <f>IFERROR(""&amp;VLOOKUP($C99,'LISTE A SAISIR'!$E$4:$L$19,7,0),"")</f>
        <v/>
      </c>
      <c r="AB99" s="55" t="str">
        <f>IFERROR(""&amp;VLOOKUP($C99,'LISTE A SAISIR'!$E$4:$N$19,9,0),"")</f>
        <v/>
      </c>
      <c r="AD99" s="56" t="str">
        <f t="array" ref="AD99">IFERROR(INDEX($A99:$AB99,SMALL(IF(NOT(COUNTIF($AC99:AC99,$Y99:$AB99)),COLUMN($Y99:$AB99)),1)),"")</f>
        <v/>
      </c>
      <c r="AE99" s="56" t="str">
        <f t="array" ref="AE99">IFERROR(INDEX($A99:$AB99,SMALL(IF(NOT(COUNTIF($AC99:AD99,$Y99:$AB99)),COLUMN($Y99:$AB99)),1)),"")</f>
        <v/>
      </c>
      <c r="AF99" s="56" t="str">
        <f t="array" ref="AF99">IFERROR(INDEX($A99:$AB99,SMALL(IF(NOT(COUNTIF($AC99:AE99,$Y99:$AB99)),COLUMN($Y99:$AB99)),1)),"")</f>
        <v/>
      </c>
      <c r="AG99" s="56" t="str">
        <f t="array" ref="AG99">IFERROR(INDEX($A99:$AB99,SMALL(IF(NOT(COUNTIF($AC99:AF99,$Y99:$AB99)),COLUMN($Y99:$AB99)),1)),"")</f>
        <v/>
      </c>
    </row>
    <row r="100" spans="1:33">
      <c r="A100" s="52">
        <v>99</v>
      </c>
      <c r="B100" s="6"/>
      <c r="C100" s="7"/>
      <c r="D100" s="53" t="str">
        <f>IFERROR(VLOOKUP($C100,'LISTE A SAISIR'!$E$4:$N$19,2,0),"")</f>
        <v/>
      </c>
      <c r="E100" s="1"/>
      <c r="F100" s="53" t="str">
        <f>IFERROR(VLOOKUP($C100,'LISTE A SAISIR'!$E$4:$N$19,2+2*MATCH(E100,Y100:AB100,0),0),"")</f>
        <v/>
      </c>
      <c r="G100" s="1"/>
      <c r="H100" s="7"/>
      <c r="I100" s="53">
        <f t="shared" si="3"/>
        <v>0</v>
      </c>
      <c r="L100" s="52" t="str">
        <f t="array" ref="L100">IFERROR(INDEX(B:B,SMALL(IF($B$2:$B$149=$K$1,ROW($B$2:$B$149)),ROWS(L$2:L100))),"")</f>
        <v/>
      </c>
      <c r="M100" s="52" t="str">
        <f t="array" ref="M100">IFERROR(INDEX(#REF!,SMALL(IF($B$2:$B$149=$K$1,ROW($B$2:$B$149)),ROWS(M$2:M100))),"")</f>
        <v/>
      </c>
      <c r="N100" s="52" t="str">
        <f t="array" ref="N100">IFERROR(INDEX(C:C,SMALL(IF($B$2:$B$149=$K$1,ROW($B$2:$B$149)),ROWS(N$2:N100))),"")</f>
        <v/>
      </c>
      <c r="O100" s="52" t="str">
        <f t="array" ref="O100">IFERROR(INDEX(D:D,SMALL(IF($B$2:$B$149=$K$1,ROW($B$2:$B$149)),ROWS(O$2:O100))),"")</f>
        <v/>
      </c>
      <c r="P100" s="52" t="str">
        <f t="array" ref="P100">IFERROR(INDEX(E:E,SMALL(IF($B$2:$B$149=$K$1,ROW($B$2:$B$149)),ROWS(P$2:P100))),"")</f>
        <v/>
      </c>
      <c r="Q100" s="52" t="str">
        <f t="array" ref="Q100">IFERROR(INDEX(F:F,SMALL(IF($B$2:$B$149=$K$1,ROW($B$2:$B$149)),ROWS(Q$2:Q100))),"")</f>
        <v/>
      </c>
      <c r="R100" s="52" t="str">
        <f t="array" ref="R100">IFERROR(INDEX(G:G,SMALL(IF($B$2:$B$149=$K$1,ROW($B$2:$B$149)),ROWS(R$2:R100))),"")</f>
        <v/>
      </c>
      <c r="S100" s="52" t="str">
        <f t="array" ref="S100">IFERROR(INDEX(H:H,SMALL(IF($B$2:$B$149=$K$1,ROW($B$2:$B$149)),ROWS(S$2:S100))),"")</f>
        <v/>
      </c>
      <c r="Y100" s="55" t="str">
        <f>IFERROR(""&amp;VLOOKUP($C100,'LISTE A SAISIR'!$E$4:$L$19,3,0),"")</f>
        <v/>
      </c>
      <c r="Z100" s="55" t="str">
        <f>IFERROR(""&amp;VLOOKUP($C100,'LISTE A SAISIR'!$E$4:$L$19,5,0),"")</f>
        <v/>
      </c>
      <c r="AA100" s="55" t="str">
        <f>IFERROR(""&amp;VLOOKUP($C100,'LISTE A SAISIR'!$E$4:$L$19,7,0),"")</f>
        <v/>
      </c>
      <c r="AB100" s="55" t="str">
        <f>IFERROR(""&amp;VLOOKUP($C100,'LISTE A SAISIR'!$E$4:$N$19,9,0),"")</f>
        <v/>
      </c>
      <c r="AD100" s="56" t="str">
        <f t="array" ref="AD100">IFERROR(INDEX($A100:$AB100,SMALL(IF(NOT(COUNTIF($AC100:AC100,$Y100:$AB100)),COLUMN($Y100:$AB100)),1)),"")</f>
        <v/>
      </c>
      <c r="AE100" s="56" t="str">
        <f t="array" ref="AE100">IFERROR(INDEX($A100:$AB100,SMALL(IF(NOT(COUNTIF($AC100:AD100,$Y100:$AB100)),COLUMN($Y100:$AB100)),1)),"")</f>
        <v/>
      </c>
      <c r="AF100" s="56" t="str">
        <f t="array" ref="AF100">IFERROR(INDEX($A100:$AB100,SMALL(IF(NOT(COUNTIF($AC100:AE100,$Y100:$AB100)),COLUMN($Y100:$AB100)),1)),"")</f>
        <v/>
      </c>
      <c r="AG100" s="56" t="str">
        <f t="array" ref="AG100">IFERROR(INDEX($A100:$AB100,SMALL(IF(NOT(COUNTIF($AC100:AF100,$Y100:$AB100)),COLUMN($Y100:$AB100)),1)),"")</f>
        <v/>
      </c>
    </row>
    <row r="101" spans="1:33">
      <c r="A101" s="52">
        <v>100</v>
      </c>
      <c r="B101" s="4"/>
      <c r="C101" s="1"/>
      <c r="D101" s="52" t="str">
        <f>IFERROR(VLOOKUP($C101,'LISTE A SAISIR'!$E$4:$N$19,2,0),"")</f>
        <v/>
      </c>
      <c r="E101" s="1"/>
      <c r="F101" s="53" t="str">
        <f>IFERROR(VLOOKUP($C101,'LISTE A SAISIR'!$E$4:$N$19,2+2*MATCH(E101,Y101:AB101,0),0),"")</f>
        <v/>
      </c>
      <c r="G101" s="1"/>
      <c r="H101" s="1"/>
      <c r="I101" s="52">
        <f t="shared" si="3"/>
        <v>0</v>
      </c>
      <c r="L101" s="52" t="str">
        <f t="array" ref="L101">IFERROR(INDEX(B:B,SMALL(IF($B$2:$B$149=$K$1,ROW($B$2:$B$149)),ROWS(L$2:L101))),"")</f>
        <v/>
      </c>
      <c r="M101" s="52" t="str">
        <f t="array" ref="M101">IFERROR(INDEX(#REF!,SMALL(IF($B$2:$B$149=$K$1,ROW($B$2:$B$149)),ROWS(M$2:M101))),"")</f>
        <v/>
      </c>
      <c r="N101" s="52" t="str">
        <f t="array" ref="N101">IFERROR(INDEX(C:C,SMALL(IF($B$2:$B$149=$K$1,ROW($B$2:$B$149)),ROWS(N$2:N101))),"")</f>
        <v/>
      </c>
      <c r="O101" s="52" t="str">
        <f t="array" ref="O101">IFERROR(INDEX(D:D,SMALL(IF($B$2:$B$149=$K$1,ROW($B$2:$B$149)),ROWS(O$2:O101))),"")</f>
        <v/>
      </c>
      <c r="P101" s="52" t="str">
        <f t="array" ref="P101">IFERROR(INDEX(E:E,SMALL(IF($B$2:$B$149=$K$1,ROW($B$2:$B$149)),ROWS(P$2:P101))),"")</f>
        <v/>
      </c>
      <c r="Q101" s="52" t="str">
        <f t="array" ref="Q101">IFERROR(INDEX(F:F,SMALL(IF($B$2:$B$149=$K$1,ROW($B$2:$B$149)),ROWS(Q$2:Q101))),"")</f>
        <v/>
      </c>
      <c r="R101" s="52" t="str">
        <f t="array" ref="R101">IFERROR(INDEX(G:G,SMALL(IF($B$2:$B$149=$K$1,ROW($B$2:$B$149)),ROWS(R$2:R101))),"")</f>
        <v/>
      </c>
      <c r="S101" s="52" t="str">
        <f t="array" ref="S101">IFERROR(INDEX(H:H,SMALL(IF($B$2:$B$149=$K$1,ROW($B$2:$B$149)),ROWS(S$2:S101))),"")</f>
        <v/>
      </c>
      <c r="Y101" s="55" t="str">
        <f>IFERROR(""&amp;VLOOKUP($C101,'LISTE A SAISIR'!$E$4:$L$19,3,0),"")</f>
        <v/>
      </c>
      <c r="Z101" s="55" t="str">
        <f>IFERROR(""&amp;VLOOKUP($C101,'LISTE A SAISIR'!$E$4:$L$19,5,0),"")</f>
        <v/>
      </c>
      <c r="AA101" s="55" t="str">
        <f>IFERROR(""&amp;VLOOKUP($C101,'LISTE A SAISIR'!$E$4:$L$19,7,0),"")</f>
        <v/>
      </c>
      <c r="AB101" s="55" t="str">
        <f>IFERROR(""&amp;VLOOKUP($C101,'LISTE A SAISIR'!$E$4:$N$19,9,0),"")</f>
        <v/>
      </c>
      <c r="AD101" s="56" t="str">
        <f t="array" ref="AD101">IFERROR(INDEX($A101:$AB101,SMALL(IF(NOT(COUNTIF($AC101:AC101,$Y101:$AB101)),COLUMN($Y101:$AB101)),1)),"")</f>
        <v/>
      </c>
      <c r="AE101" s="56" t="str">
        <f t="array" ref="AE101">IFERROR(INDEX($A101:$AB101,SMALL(IF(NOT(COUNTIF($AC101:AD101,$Y101:$AB101)),COLUMN($Y101:$AB101)),1)),"")</f>
        <v/>
      </c>
      <c r="AF101" s="56" t="str">
        <f t="array" ref="AF101">IFERROR(INDEX($A101:$AB101,SMALL(IF(NOT(COUNTIF($AC101:AE101,$Y101:$AB101)),COLUMN($Y101:$AB101)),1)),"")</f>
        <v/>
      </c>
      <c r="AG101" s="56" t="str">
        <f t="array" ref="AG101">IFERROR(INDEX($A101:$AB101,SMALL(IF(NOT(COUNTIF($AC101:AF101,$Y101:$AB101)),COLUMN($Y101:$AB101)),1)),"")</f>
        <v/>
      </c>
    </row>
    <row r="102" spans="1:33">
      <c r="A102" s="52">
        <v>101</v>
      </c>
      <c r="B102" s="6"/>
      <c r="C102" s="7"/>
      <c r="D102" s="53" t="str">
        <f>IFERROR(VLOOKUP($C102,'LISTE A SAISIR'!$E$4:$N$19,2,0),"")</f>
        <v/>
      </c>
      <c r="E102" s="1"/>
      <c r="F102" s="53" t="str">
        <f>IFERROR(VLOOKUP($C102,'LISTE A SAISIR'!$E$4:$N$19,2+2*MATCH(E102,Y102:AB102,0),0),"")</f>
        <v/>
      </c>
      <c r="G102" s="1"/>
      <c r="H102" s="7"/>
      <c r="I102" s="53">
        <f t="shared" si="3"/>
        <v>0</v>
      </c>
      <c r="L102" s="52" t="str">
        <f t="array" ref="L102">IFERROR(INDEX(B:B,SMALL(IF($B$2:$B$149=$K$1,ROW($B$2:$B$149)),ROWS(L$2:L102))),"")</f>
        <v/>
      </c>
      <c r="M102" s="52" t="str">
        <f t="array" ref="M102">IFERROR(INDEX(#REF!,SMALL(IF($B$2:$B$149=$K$1,ROW($B$2:$B$149)),ROWS(M$2:M102))),"")</f>
        <v/>
      </c>
      <c r="N102" s="52" t="str">
        <f t="array" ref="N102">IFERROR(INDEX(C:C,SMALL(IF($B$2:$B$149=$K$1,ROW($B$2:$B$149)),ROWS(N$2:N102))),"")</f>
        <v/>
      </c>
      <c r="O102" s="52" t="str">
        <f t="array" ref="O102">IFERROR(INDEX(D:D,SMALL(IF($B$2:$B$149=$K$1,ROW($B$2:$B$149)),ROWS(O$2:O102))),"")</f>
        <v/>
      </c>
      <c r="P102" s="52" t="str">
        <f t="array" ref="P102">IFERROR(INDEX(E:E,SMALL(IF($B$2:$B$149=$K$1,ROW($B$2:$B$149)),ROWS(P$2:P102))),"")</f>
        <v/>
      </c>
      <c r="Q102" s="52" t="str">
        <f t="array" ref="Q102">IFERROR(INDEX(F:F,SMALL(IF($B$2:$B$149=$K$1,ROW($B$2:$B$149)),ROWS(Q$2:Q102))),"")</f>
        <v/>
      </c>
      <c r="R102" s="52" t="str">
        <f t="array" ref="R102">IFERROR(INDEX(G:G,SMALL(IF($B$2:$B$149=$K$1,ROW($B$2:$B$149)),ROWS(R$2:R102))),"")</f>
        <v/>
      </c>
      <c r="S102" s="52" t="str">
        <f t="array" ref="S102">IFERROR(INDEX(H:H,SMALL(IF($B$2:$B$149=$K$1,ROW($B$2:$B$149)),ROWS(S$2:S102))),"")</f>
        <v/>
      </c>
      <c r="Y102" s="55" t="str">
        <f>IFERROR(""&amp;VLOOKUP($C102,'LISTE A SAISIR'!$E$4:$L$19,3,0),"")</f>
        <v/>
      </c>
      <c r="Z102" s="55" t="str">
        <f>IFERROR(""&amp;VLOOKUP($C102,'LISTE A SAISIR'!$E$4:$L$19,5,0),"")</f>
        <v/>
      </c>
      <c r="AA102" s="55" t="str">
        <f>IFERROR(""&amp;VLOOKUP($C102,'LISTE A SAISIR'!$E$4:$L$19,7,0),"")</f>
        <v/>
      </c>
      <c r="AB102" s="55" t="str">
        <f>IFERROR(""&amp;VLOOKUP($C102,'LISTE A SAISIR'!$E$4:$N$19,9,0),"")</f>
        <v/>
      </c>
      <c r="AD102" s="56" t="str">
        <f t="array" ref="AD102">IFERROR(INDEX($A102:$AB102,SMALL(IF(NOT(COUNTIF($AC102:AC102,$Y102:$AB102)),COLUMN($Y102:$AB102)),1)),"")</f>
        <v/>
      </c>
      <c r="AE102" s="56" t="str">
        <f t="array" ref="AE102">IFERROR(INDEX($A102:$AB102,SMALL(IF(NOT(COUNTIF($AC102:AD102,$Y102:$AB102)),COLUMN($Y102:$AB102)),1)),"")</f>
        <v/>
      </c>
      <c r="AF102" s="56" t="str">
        <f t="array" ref="AF102">IFERROR(INDEX($A102:$AB102,SMALL(IF(NOT(COUNTIF($AC102:AE102,$Y102:$AB102)),COLUMN($Y102:$AB102)),1)),"")</f>
        <v/>
      </c>
      <c r="AG102" s="56" t="str">
        <f t="array" ref="AG102">IFERROR(INDEX($A102:$AB102,SMALL(IF(NOT(COUNTIF($AC102:AF102,$Y102:$AB102)),COLUMN($Y102:$AB102)),1)),"")</f>
        <v/>
      </c>
    </row>
    <row r="103" spans="1:33">
      <c r="A103" s="52">
        <v>102</v>
      </c>
      <c r="B103" s="4"/>
      <c r="C103" s="1"/>
      <c r="D103" s="52" t="str">
        <f>IFERROR(VLOOKUP($C103,'LISTE A SAISIR'!$E$4:$N$19,2,0),"")</f>
        <v/>
      </c>
      <c r="E103" s="1"/>
      <c r="F103" s="53" t="str">
        <f>IFERROR(VLOOKUP($C103,'LISTE A SAISIR'!$E$4:$N$19,2+2*MATCH(E103,Y103:AB103,0),0),"")</f>
        <v/>
      </c>
      <c r="G103" s="1"/>
      <c r="H103" s="1"/>
      <c r="I103" s="58">
        <f t="shared" si="3"/>
        <v>0</v>
      </c>
      <c r="L103" s="52" t="str">
        <f t="array" ref="L103">IFERROR(INDEX(B:B,SMALL(IF($B$2:$B$149=$K$1,ROW($B$2:$B$149)),ROWS(L$2:L103))),"")</f>
        <v/>
      </c>
      <c r="M103" s="52" t="str">
        <f t="array" ref="M103">IFERROR(INDEX(#REF!,SMALL(IF($B$2:$B$149=$K$1,ROW($B$2:$B$149)),ROWS(M$2:M103))),"")</f>
        <v/>
      </c>
      <c r="N103" s="52" t="str">
        <f t="array" ref="N103">IFERROR(INDEX(C:C,SMALL(IF($B$2:$B$149=$K$1,ROW($B$2:$B$149)),ROWS(N$2:N103))),"")</f>
        <v/>
      </c>
      <c r="O103" s="52" t="str">
        <f t="array" ref="O103">IFERROR(INDEX(D:D,SMALL(IF($B$2:$B$149=$K$1,ROW($B$2:$B$149)),ROWS(O$2:O103))),"")</f>
        <v/>
      </c>
      <c r="P103" s="52" t="str">
        <f t="array" ref="P103">IFERROR(INDEX(E:E,SMALL(IF($B$2:$B$149=$K$1,ROW($B$2:$B$149)),ROWS(P$2:P103))),"")</f>
        <v/>
      </c>
      <c r="Q103" s="52" t="str">
        <f t="array" ref="Q103">IFERROR(INDEX(F:F,SMALL(IF($B$2:$B$149=$K$1,ROW($B$2:$B$149)),ROWS(Q$2:Q103))),"")</f>
        <v/>
      </c>
      <c r="R103" s="52" t="str">
        <f t="array" ref="R103">IFERROR(INDEX(G:G,SMALL(IF($B$2:$B$149=$K$1,ROW($B$2:$B$149)),ROWS(R$2:R103))),"")</f>
        <v/>
      </c>
      <c r="S103" s="52" t="str">
        <f t="array" ref="S103">IFERROR(INDEX(H:H,SMALL(IF($B$2:$B$149=$K$1,ROW($B$2:$B$149)),ROWS(S$2:S103))),"")</f>
        <v/>
      </c>
      <c r="Y103" s="55" t="str">
        <f>IFERROR(""&amp;VLOOKUP($C103,'LISTE A SAISIR'!$E$4:$L$19,3,0),"")</f>
        <v/>
      </c>
      <c r="Z103" s="55" t="str">
        <f>IFERROR(""&amp;VLOOKUP($C103,'LISTE A SAISIR'!$E$4:$L$19,5,0),"")</f>
        <v/>
      </c>
      <c r="AA103" s="55" t="str">
        <f>IFERROR(""&amp;VLOOKUP($C103,'LISTE A SAISIR'!$E$4:$L$19,7,0),"")</f>
        <v/>
      </c>
      <c r="AB103" s="55" t="str">
        <f>IFERROR(""&amp;VLOOKUP($C103,'LISTE A SAISIR'!$E$4:$N$19,9,0),"")</f>
        <v/>
      </c>
      <c r="AD103" s="56" t="str">
        <f t="array" ref="AD103">IFERROR(INDEX($A103:$AB103,SMALL(IF(NOT(COUNTIF($AC103:AC103,$Y103:$AB103)),COLUMN($Y103:$AB103)),1)),"")</f>
        <v/>
      </c>
      <c r="AE103" s="56" t="str">
        <f t="array" ref="AE103">IFERROR(INDEX($A103:$AB103,SMALL(IF(NOT(COUNTIF($AC103:AD103,$Y103:$AB103)),COLUMN($Y103:$AB103)),1)),"")</f>
        <v/>
      </c>
      <c r="AF103" s="56" t="str">
        <f t="array" ref="AF103">IFERROR(INDEX($A103:$AB103,SMALL(IF(NOT(COUNTIF($AC103:AE103,$Y103:$AB103)),COLUMN($Y103:$AB103)),1)),"")</f>
        <v/>
      </c>
      <c r="AG103" s="56" t="str">
        <f t="array" ref="AG103">IFERROR(INDEX($A103:$AB103,SMALL(IF(NOT(COUNTIF($AC103:AF103,$Y103:$AB103)),COLUMN($Y103:$AB103)),1)),"")</f>
        <v/>
      </c>
    </row>
    <row r="104" spans="1:33">
      <c r="A104" s="52">
        <v>103</v>
      </c>
      <c r="B104" s="6"/>
      <c r="C104" s="7"/>
      <c r="D104" s="53" t="str">
        <f>IFERROR(VLOOKUP($C104,'LISTE A SAISIR'!$E$4:$N$19,2,0),"")</f>
        <v/>
      </c>
      <c r="E104" s="1"/>
      <c r="F104" s="53" t="str">
        <f>IFERROR(VLOOKUP($C104,'LISTE A SAISIR'!$E$4:$N$19,2+2*MATCH(E104,Y104:AB104,0),0),"")</f>
        <v/>
      </c>
      <c r="G104" s="1"/>
      <c r="H104" s="7"/>
      <c r="I104" s="53">
        <f t="shared" si="3"/>
        <v>0</v>
      </c>
      <c r="L104" s="52" t="str">
        <f t="array" ref="L104">IFERROR(INDEX(B:B,SMALL(IF($B$2:$B$149=$K$1,ROW($B$2:$B$149)),ROWS(L$2:L104))),"")</f>
        <v/>
      </c>
      <c r="M104" s="52" t="str">
        <f t="array" ref="M104">IFERROR(INDEX(#REF!,SMALL(IF($B$2:$B$149=$K$1,ROW($B$2:$B$149)),ROWS(M$2:M104))),"")</f>
        <v/>
      </c>
      <c r="N104" s="52" t="str">
        <f t="array" ref="N104">IFERROR(INDEX(C:C,SMALL(IF($B$2:$B$149=$K$1,ROW($B$2:$B$149)),ROWS(N$2:N104))),"")</f>
        <v/>
      </c>
      <c r="O104" s="52" t="str">
        <f t="array" ref="O104">IFERROR(INDEX(D:D,SMALL(IF($B$2:$B$149=$K$1,ROW($B$2:$B$149)),ROWS(O$2:O104))),"")</f>
        <v/>
      </c>
      <c r="P104" s="52" t="str">
        <f t="array" ref="P104">IFERROR(INDEX(E:E,SMALL(IF($B$2:$B$149=$K$1,ROW($B$2:$B$149)),ROWS(P$2:P104))),"")</f>
        <v/>
      </c>
      <c r="Q104" s="52" t="str">
        <f t="array" ref="Q104">IFERROR(INDEX(F:F,SMALL(IF($B$2:$B$149=$K$1,ROW($B$2:$B$149)),ROWS(Q$2:Q104))),"")</f>
        <v/>
      </c>
      <c r="R104" s="52" t="str">
        <f t="array" ref="R104">IFERROR(INDEX(G:G,SMALL(IF($B$2:$B$149=$K$1,ROW($B$2:$B$149)),ROWS(R$2:R104))),"")</f>
        <v/>
      </c>
      <c r="S104" s="52" t="str">
        <f t="array" ref="S104">IFERROR(INDEX(H:H,SMALL(IF($B$2:$B$149=$K$1,ROW($B$2:$B$149)),ROWS(S$2:S104))),"")</f>
        <v/>
      </c>
      <c r="Y104" s="55" t="str">
        <f>IFERROR(""&amp;VLOOKUP($C104,'LISTE A SAISIR'!$E$4:$L$19,3,0),"")</f>
        <v/>
      </c>
      <c r="Z104" s="55" t="str">
        <f>IFERROR(""&amp;VLOOKUP($C104,'LISTE A SAISIR'!$E$4:$L$19,5,0),"")</f>
        <v/>
      </c>
      <c r="AA104" s="55" t="str">
        <f>IFERROR(""&amp;VLOOKUP($C104,'LISTE A SAISIR'!$E$4:$L$19,7,0),"")</f>
        <v/>
      </c>
      <c r="AB104" s="55" t="str">
        <f>IFERROR(""&amp;VLOOKUP($C104,'LISTE A SAISIR'!$E$4:$N$19,9,0),"")</f>
        <v/>
      </c>
      <c r="AD104" s="56" t="str">
        <f t="array" ref="AD104">IFERROR(INDEX($A104:$AB104,SMALL(IF(NOT(COUNTIF($AC104:AC104,$Y104:$AB104)),COLUMN($Y104:$AB104)),1)),"")</f>
        <v/>
      </c>
      <c r="AE104" s="56" t="str">
        <f t="array" ref="AE104">IFERROR(INDEX($A104:$AB104,SMALL(IF(NOT(COUNTIF($AC104:AD104,$Y104:$AB104)),COLUMN($Y104:$AB104)),1)),"")</f>
        <v/>
      </c>
      <c r="AF104" s="56" t="str">
        <f t="array" ref="AF104">IFERROR(INDEX($A104:$AB104,SMALL(IF(NOT(COUNTIF($AC104:AE104,$Y104:$AB104)),COLUMN($Y104:$AB104)),1)),"")</f>
        <v/>
      </c>
      <c r="AG104" s="56" t="str">
        <f t="array" ref="AG104">IFERROR(INDEX($A104:$AB104,SMALL(IF(NOT(COUNTIF($AC104:AF104,$Y104:$AB104)),COLUMN($Y104:$AB104)),1)),"")</f>
        <v/>
      </c>
    </row>
    <row r="105" spans="1:33">
      <c r="A105" s="52">
        <v>104</v>
      </c>
      <c r="B105" s="4"/>
      <c r="C105" s="1"/>
      <c r="D105" s="52" t="str">
        <f>IFERROR(VLOOKUP($C105,'LISTE A SAISIR'!$E$4:$N$19,2,0),"")</f>
        <v/>
      </c>
      <c r="E105" s="1"/>
      <c r="F105" s="53" t="str">
        <f>IFERROR(VLOOKUP($C105,'LISTE A SAISIR'!$E$4:$N$19,2+2*MATCH(E105,Y105:AB105,0),0),"")</f>
        <v/>
      </c>
      <c r="G105" s="1"/>
      <c r="H105" s="1"/>
      <c r="I105" s="58">
        <f t="shared" si="3"/>
        <v>0</v>
      </c>
      <c r="L105" s="52" t="str">
        <f t="array" ref="L105">IFERROR(INDEX(B:B,SMALL(IF($B$2:$B$149=$K$1,ROW($B$2:$B$149)),ROWS(L$2:L105))),"")</f>
        <v/>
      </c>
      <c r="M105" s="52" t="str">
        <f t="array" ref="M105">IFERROR(INDEX(#REF!,SMALL(IF($B$2:$B$149=$K$1,ROW($B$2:$B$149)),ROWS(M$2:M105))),"")</f>
        <v/>
      </c>
      <c r="N105" s="52" t="str">
        <f t="array" ref="N105">IFERROR(INDEX(C:C,SMALL(IF($B$2:$B$149=$K$1,ROW($B$2:$B$149)),ROWS(N$2:N105))),"")</f>
        <v/>
      </c>
      <c r="O105" s="52" t="str">
        <f t="array" ref="O105">IFERROR(INDEX(D:D,SMALL(IF($B$2:$B$149=$K$1,ROW($B$2:$B$149)),ROWS(O$2:O105))),"")</f>
        <v/>
      </c>
      <c r="P105" s="52" t="str">
        <f t="array" ref="P105">IFERROR(INDEX(E:E,SMALL(IF($B$2:$B$149=$K$1,ROW($B$2:$B$149)),ROWS(P$2:P105))),"")</f>
        <v/>
      </c>
      <c r="Q105" s="52" t="str">
        <f t="array" ref="Q105">IFERROR(INDEX(F:F,SMALL(IF($B$2:$B$149=$K$1,ROW($B$2:$B$149)),ROWS(Q$2:Q105))),"")</f>
        <v/>
      </c>
      <c r="R105" s="52" t="str">
        <f t="array" ref="R105">IFERROR(INDEX(G:G,SMALL(IF($B$2:$B$149=$K$1,ROW($B$2:$B$149)),ROWS(R$2:R105))),"")</f>
        <v/>
      </c>
      <c r="S105" s="52" t="str">
        <f t="array" ref="S105">IFERROR(INDEX(H:H,SMALL(IF($B$2:$B$149=$K$1,ROW($B$2:$B$149)),ROWS(S$2:S105))),"")</f>
        <v/>
      </c>
      <c r="Y105" s="55" t="str">
        <f>IFERROR(""&amp;VLOOKUP($C105,'LISTE A SAISIR'!$E$4:$L$19,3,0),"")</f>
        <v/>
      </c>
      <c r="Z105" s="55" t="str">
        <f>IFERROR(""&amp;VLOOKUP($C105,'LISTE A SAISIR'!$E$4:$L$19,5,0),"")</f>
        <v/>
      </c>
      <c r="AA105" s="55" t="str">
        <f>IFERROR(""&amp;VLOOKUP($C105,'LISTE A SAISIR'!$E$4:$L$19,7,0),"")</f>
        <v/>
      </c>
      <c r="AB105" s="55" t="str">
        <f>IFERROR(""&amp;VLOOKUP($C105,'LISTE A SAISIR'!$E$4:$N$19,9,0),"")</f>
        <v/>
      </c>
      <c r="AD105" s="56" t="str">
        <f t="array" ref="AD105">IFERROR(INDEX($A105:$AB105,SMALL(IF(NOT(COUNTIF($AC105:AC105,$Y105:$AB105)),COLUMN($Y105:$AB105)),1)),"")</f>
        <v/>
      </c>
      <c r="AE105" s="56" t="str">
        <f t="array" ref="AE105">IFERROR(INDEX($A105:$AB105,SMALL(IF(NOT(COUNTIF($AC105:AD105,$Y105:$AB105)),COLUMN($Y105:$AB105)),1)),"")</f>
        <v/>
      </c>
      <c r="AF105" s="56" t="str">
        <f t="array" ref="AF105">IFERROR(INDEX($A105:$AB105,SMALL(IF(NOT(COUNTIF($AC105:AE105,$Y105:$AB105)),COLUMN($Y105:$AB105)),1)),"")</f>
        <v/>
      </c>
      <c r="AG105" s="56" t="str">
        <f t="array" ref="AG105">IFERROR(INDEX($A105:$AB105,SMALL(IF(NOT(COUNTIF($AC105:AF105,$Y105:$AB105)),COLUMN($Y105:$AB105)),1)),"")</f>
        <v/>
      </c>
    </row>
    <row r="106" spans="1:33">
      <c r="A106" s="52">
        <v>105</v>
      </c>
      <c r="B106" s="6"/>
      <c r="C106" s="7"/>
      <c r="D106" s="53" t="str">
        <f>IFERROR(VLOOKUP($C106,'LISTE A SAISIR'!$E$4:$N$19,2,0),"")</f>
        <v/>
      </c>
      <c r="E106" s="1"/>
      <c r="F106" s="53" t="str">
        <f>IFERROR(VLOOKUP($C106,'LISTE A SAISIR'!$E$4:$N$19,2+2*MATCH(E106,Y106:AB106,0),0),"")</f>
        <v/>
      </c>
      <c r="G106" s="1"/>
      <c r="H106" s="7"/>
      <c r="I106" s="53">
        <f t="shared" si="3"/>
        <v>0</v>
      </c>
      <c r="L106" s="52" t="str">
        <f t="array" ref="L106">IFERROR(INDEX(B:B,SMALL(IF($B$2:$B$149=$K$1,ROW($B$2:$B$149)),ROWS(L$2:L106))),"")</f>
        <v/>
      </c>
      <c r="M106" s="52" t="str">
        <f t="array" ref="M106">IFERROR(INDEX(#REF!,SMALL(IF($B$2:$B$149=$K$1,ROW($B$2:$B$149)),ROWS(M$2:M106))),"")</f>
        <v/>
      </c>
      <c r="N106" s="52" t="str">
        <f t="array" ref="N106">IFERROR(INDEX(C:C,SMALL(IF($B$2:$B$149=$K$1,ROW($B$2:$B$149)),ROWS(N$2:N106))),"")</f>
        <v/>
      </c>
      <c r="O106" s="52" t="str">
        <f t="array" ref="O106">IFERROR(INDEX(D:D,SMALL(IF($B$2:$B$149=$K$1,ROW($B$2:$B$149)),ROWS(O$2:O106))),"")</f>
        <v/>
      </c>
      <c r="P106" s="52" t="str">
        <f t="array" ref="P106">IFERROR(INDEX(E:E,SMALL(IF($B$2:$B$149=$K$1,ROW($B$2:$B$149)),ROWS(P$2:P106))),"")</f>
        <v/>
      </c>
      <c r="Q106" s="52" t="str">
        <f t="array" ref="Q106">IFERROR(INDEX(F:F,SMALL(IF($B$2:$B$149=$K$1,ROW($B$2:$B$149)),ROWS(Q$2:Q106))),"")</f>
        <v/>
      </c>
      <c r="R106" s="52" t="str">
        <f t="array" ref="R106">IFERROR(INDEX(G:G,SMALL(IF($B$2:$B$149=$K$1,ROW($B$2:$B$149)),ROWS(R$2:R106))),"")</f>
        <v/>
      </c>
      <c r="S106" s="52" t="str">
        <f t="array" ref="S106">IFERROR(INDEX(H:H,SMALL(IF($B$2:$B$149=$K$1,ROW($B$2:$B$149)),ROWS(S$2:S106))),"")</f>
        <v/>
      </c>
      <c r="Y106" s="55" t="str">
        <f>IFERROR(""&amp;VLOOKUP($C106,'LISTE A SAISIR'!$E$4:$L$19,3,0),"")</f>
        <v/>
      </c>
      <c r="Z106" s="55" t="str">
        <f>IFERROR(""&amp;VLOOKUP($C106,'LISTE A SAISIR'!$E$4:$L$19,5,0),"")</f>
        <v/>
      </c>
      <c r="AA106" s="55" t="str">
        <f>IFERROR(""&amp;VLOOKUP($C106,'LISTE A SAISIR'!$E$4:$L$19,7,0),"")</f>
        <v/>
      </c>
      <c r="AB106" s="55" t="str">
        <f>IFERROR(""&amp;VLOOKUP($C106,'LISTE A SAISIR'!$E$4:$N$19,9,0),"")</f>
        <v/>
      </c>
      <c r="AD106" s="56" t="str">
        <f t="array" ref="AD106">IFERROR(INDEX($A106:$AB106,SMALL(IF(NOT(COUNTIF($AC106:AC106,$Y106:$AB106)),COLUMN($Y106:$AB106)),1)),"")</f>
        <v/>
      </c>
      <c r="AE106" s="56" t="str">
        <f t="array" ref="AE106">IFERROR(INDEX($A106:$AB106,SMALL(IF(NOT(COUNTIF($AC106:AD106,$Y106:$AB106)),COLUMN($Y106:$AB106)),1)),"")</f>
        <v/>
      </c>
      <c r="AF106" s="56" t="str">
        <f t="array" ref="AF106">IFERROR(INDEX($A106:$AB106,SMALL(IF(NOT(COUNTIF($AC106:AE106,$Y106:$AB106)),COLUMN($Y106:$AB106)),1)),"")</f>
        <v/>
      </c>
      <c r="AG106" s="56" t="str">
        <f t="array" ref="AG106">IFERROR(INDEX($A106:$AB106,SMALL(IF(NOT(COUNTIF($AC106:AF106,$Y106:$AB106)),COLUMN($Y106:$AB106)),1)),"")</f>
        <v/>
      </c>
    </row>
    <row r="107" spans="1:33">
      <c r="A107" s="52">
        <v>106</v>
      </c>
      <c r="B107" s="4"/>
      <c r="C107" s="1"/>
      <c r="D107" s="52" t="str">
        <f>IFERROR(VLOOKUP($C107,'LISTE A SAISIR'!$E$4:$N$19,2,0),"")</f>
        <v/>
      </c>
      <c r="E107" s="1"/>
      <c r="F107" s="53" t="str">
        <f>IFERROR(VLOOKUP($C107,'LISTE A SAISIR'!$E$4:$N$19,2+2*MATCH(E107,Y107:AB107,0),0),"")</f>
        <v/>
      </c>
      <c r="G107" s="1"/>
      <c r="H107" s="1"/>
      <c r="I107" s="58">
        <f t="shared" si="3"/>
        <v>0</v>
      </c>
      <c r="L107" s="52" t="str">
        <f t="array" ref="L107">IFERROR(INDEX(B:B,SMALL(IF($B$2:$B$149=$K$1,ROW($B$2:$B$149)),ROWS(L$2:L107))),"")</f>
        <v/>
      </c>
      <c r="M107" s="52" t="str">
        <f t="array" ref="M107">IFERROR(INDEX(#REF!,SMALL(IF($B$2:$B$149=$K$1,ROW($B$2:$B$149)),ROWS(M$2:M107))),"")</f>
        <v/>
      </c>
      <c r="N107" s="52" t="str">
        <f t="array" ref="N107">IFERROR(INDEX(C:C,SMALL(IF($B$2:$B$149=$K$1,ROW($B$2:$B$149)),ROWS(N$2:N107))),"")</f>
        <v/>
      </c>
      <c r="O107" s="52" t="str">
        <f t="array" ref="O107">IFERROR(INDEX(D:D,SMALL(IF($B$2:$B$149=$K$1,ROW($B$2:$B$149)),ROWS(O$2:O107))),"")</f>
        <v/>
      </c>
      <c r="P107" s="52" t="str">
        <f t="array" ref="P107">IFERROR(INDEX(E:E,SMALL(IF($B$2:$B$149=$K$1,ROW($B$2:$B$149)),ROWS(P$2:P107))),"")</f>
        <v/>
      </c>
      <c r="Q107" s="52" t="str">
        <f t="array" ref="Q107">IFERROR(INDEX(F:F,SMALL(IF($B$2:$B$149=$K$1,ROW($B$2:$B$149)),ROWS(Q$2:Q107))),"")</f>
        <v/>
      </c>
      <c r="R107" s="52" t="str">
        <f t="array" ref="R107">IFERROR(INDEX(G:G,SMALL(IF($B$2:$B$149=$K$1,ROW($B$2:$B$149)),ROWS(R$2:R107))),"")</f>
        <v/>
      </c>
      <c r="S107" s="52" t="str">
        <f t="array" ref="S107">IFERROR(INDEX(H:H,SMALL(IF($B$2:$B$149=$K$1,ROW($B$2:$B$149)),ROWS(S$2:S107))),"")</f>
        <v/>
      </c>
      <c r="Y107" s="55" t="str">
        <f>IFERROR(""&amp;VLOOKUP($C107,'LISTE A SAISIR'!$E$4:$L$19,3,0),"")</f>
        <v/>
      </c>
      <c r="Z107" s="55" t="str">
        <f>IFERROR(""&amp;VLOOKUP($C107,'LISTE A SAISIR'!$E$4:$L$19,5,0),"")</f>
        <v/>
      </c>
      <c r="AA107" s="55" t="str">
        <f>IFERROR(""&amp;VLOOKUP($C107,'LISTE A SAISIR'!$E$4:$L$19,7,0),"")</f>
        <v/>
      </c>
      <c r="AB107" s="55" t="str">
        <f>IFERROR(""&amp;VLOOKUP($C107,'LISTE A SAISIR'!$E$4:$N$19,9,0),"")</f>
        <v/>
      </c>
      <c r="AD107" s="56" t="str">
        <f t="array" ref="AD107">IFERROR(INDEX($A107:$AB107,SMALL(IF(NOT(COUNTIF($AC107:AC107,$Y107:$AB107)),COLUMN($Y107:$AB107)),1)),"")</f>
        <v/>
      </c>
      <c r="AE107" s="56" t="str">
        <f t="array" ref="AE107">IFERROR(INDEX($A107:$AB107,SMALL(IF(NOT(COUNTIF($AC107:AD107,$Y107:$AB107)),COLUMN($Y107:$AB107)),1)),"")</f>
        <v/>
      </c>
      <c r="AF107" s="56" t="str">
        <f t="array" ref="AF107">IFERROR(INDEX($A107:$AB107,SMALL(IF(NOT(COUNTIF($AC107:AE107,$Y107:$AB107)),COLUMN($Y107:$AB107)),1)),"")</f>
        <v/>
      </c>
      <c r="AG107" s="56" t="str">
        <f t="array" ref="AG107">IFERROR(INDEX($A107:$AB107,SMALL(IF(NOT(COUNTIF($AC107:AF107,$Y107:$AB107)),COLUMN($Y107:$AB107)),1)),"")</f>
        <v/>
      </c>
    </row>
    <row r="108" spans="1:33">
      <c r="A108" s="52">
        <v>107</v>
      </c>
      <c r="B108" s="6"/>
      <c r="C108" s="7"/>
      <c r="D108" s="53" t="str">
        <f>IFERROR(VLOOKUP($C108,'LISTE A SAISIR'!$E$4:$N$19,2,0),"")</f>
        <v/>
      </c>
      <c r="E108" s="1"/>
      <c r="F108" s="53" t="str">
        <f>IFERROR(VLOOKUP($C108,'LISTE A SAISIR'!$E$4:$N$19,2+2*MATCH(E108,Y108:AB108,0),0),"")</f>
        <v/>
      </c>
      <c r="G108" s="1"/>
      <c r="H108" s="7"/>
      <c r="I108" s="53">
        <f t="shared" si="3"/>
        <v>0</v>
      </c>
      <c r="L108" s="52" t="str">
        <f t="array" ref="L108">IFERROR(INDEX(B:B,SMALL(IF($B$2:$B$149=$K$1,ROW($B$2:$B$149)),ROWS(L$2:L108))),"")</f>
        <v/>
      </c>
      <c r="M108" s="52" t="str">
        <f t="array" ref="M108">IFERROR(INDEX(#REF!,SMALL(IF($B$2:$B$149=$K$1,ROW($B$2:$B$149)),ROWS(M$2:M108))),"")</f>
        <v/>
      </c>
      <c r="N108" s="52" t="str">
        <f t="array" ref="N108">IFERROR(INDEX(C:C,SMALL(IF($B$2:$B$149=$K$1,ROW($B$2:$B$149)),ROWS(N$2:N108))),"")</f>
        <v/>
      </c>
      <c r="O108" s="52" t="str">
        <f t="array" ref="O108">IFERROR(INDEX(D:D,SMALL(IF($B$2:$B$149=$K$1,ROW($B$2:$B$149)),ROWS(O$2:O108))),"")</f>
        <v/>
      </c>
      <c r="P108" s="52" t="str">
        <f t="array" ref="P108">IFERROR(INDEX(E:E,SMALL(IF($B$2:$B$149=$K$1,ROW($B$2:$B$149)),ROWS(P$2:P108))),"")</f>
        <v/>
      </c>
      <c r="Q108" s="52" t="str">
        <f t="array" ref="Q108">IFERROR(INDEX(F:F,SMALL(IF($B$2:$B$149=$K$1,ROW($B$2:$B$149)),ROWS(Q$2:Q108))),"")</f>
        <v/>
      </c>
      <c r="R108" s="52" t="str">
        <f t="array" ref="R108">IFERROR(INDEX(G:G,SMALL(IF($B$2:$B$149=$K$1,ROW($B$2:$B$149)),ROWS(R$2:R108))),"")</f>
        <v/>
      </c>
      <c r="S108" s="52" t="str">
        <f t="array" ref="S108">IFERROR(INDEX(H:H,SMALL(IF($B$2:$B$149=$K$1,ROW($B$2:$B$149)),ROWS(S$2:S108))),"")</f>
        <v/>
      </c>
      <c r="Y108" s="55" t="str">
        <f>IFERROR(""&amp;VLOOKUP($C108,'LISTE A SAISIR'!$E$4:$L$19,3,0),"")</f>
        <v/>
      </c>
      <c r="Z108" s="55" t="str">
        <f>IFERROR(""&amp;VLOOKUP($C108,'LISTE A SAISIR'!$E$4:$L$19,5,0),"")</f>
        <v/>
      </c>
      <c r="AA108" s="55" t="str">
        <f>IFERROR(""&amp;VLOOKUP($C108,'LISTE A SAISIR'!$E$4:$L$19,7,0),"")</f>
        <v/>
      </c>
      <c r="AB108" s="55" t="str">
        <f>IFERROR(""&amp;VLOOKUP($C108,'LISTE A SAISIR'!$E$4:$N$19,9,0),"")</f>
        <v/>
      </c>
      <c r="AD108" s="56" t="str">
        <f t="array" ref="AD108">IFERROR(INDEX($A108:$AB108,SMALL(IF(NOT(COUNTIF($AC108:AC108,$Y108:$AB108)),COLUMN($Y108:$AB108)),1)),"")</f>
        <v/>
      </c>
      <c r="AE108" s="56" t="str">
        <f t="array" ref="AE108">IFERROR(INDEX($A108:$AB108,SMALL(IF(NOT(COUNTIF($AC108:AD108,$Y108:$AB108)),COLUMN($Y108:$AB108)),1)),"")</f>
        <v/>
      </c>
      <c r="AF108" s="56" t="str">
        <f t="array" ref="AF108">IFERROR(INDEX($A108:$AB108,SMALL(IF(NOT(COUNTIF($AC108:AE108,$Y108:$AB108)),COLUMN($Y108:$AB108)),1)),"")</f>
        <v/>
      </c>
      <c r="AG108" s="56" t="str">
        <f t="array" ref="AG108">IFERROR(INDEX($A108:$AB108,SMALL(IF(NOT(COUNTIF($AC108:AF108,$Y108:$AB108)),COLUMN($Y108:$AB108)),1)),"")</f>
        <v/>
      </c>
    </row>
    <row r="109" spans="1:33">
      <c r="A109" s="52">
        <v>108</v>
      </c>
      <c r="B109" s="4"/>
      <c r="C109" s="1"/>
      <c r="D109" s="52" t="str">
        <f>IFERROR(VLOOKUP($C109,'LISTE A SAISIR'!$E$4:$N$19,2,0),"")</f>
        <v/>
      </c>
      <c r="E109" s="1"/>
      <c r="F109" s="53" t="str">
        <f>IFERROR(VLOOKUP($C109,'LISTE A SAISIR'!$E$4:$N$19,2+2*MATCH(E109,Y109:AB109,0),0),"")</f>
        <v/>
      </c>
      <c r="G109" s="1"/>
      <c r="H109" s="1"/>
      <c r="I109" s="58">
        <f t="shared" si="3"/>
        <v>0</v>
      </c>
      <c r="L109" s="52" t="str">
        <f t="array" ref="L109">IFERROR(INDEX(B:B,SMALL(IF($B$2:$B$149=$K$1,ROW($B$2:$B$149)),ROWS(L$2:L109))),"")</f>
        <v/>
      </c>
      <c r="M109" s="52" t="str">
        <f t="array" ref="M109">IFERROR(INDEX(#REF!,SMALL(IF($B$2:$B$149=$K$1,ROW($B$2:$B$149)),ROWS(M$2:M109))),"")</f>
        <v/>
      </c>
      <c r="N109" s="52" t="str">
        <f t="array" ref="N109">IFERROR(INDEX(C:C,SMALL(IF($B$2:$B$149=$K$1,ROW($B$2:$B$149)),ROWS(N$2:N109))),"")</f>
        <v/>
      </c>
      <c r="O109" s="52" t="str">
        <f t="array" ref="O109">IFERROR(INDEX(D:D,SMALL(IF($B$2:$B$149=$K$1,ROW($B$2:$B$149)),ROWS(O$2:O109))),"")</f>
        <v/>
      </c>
      <c r="P109" s="52" t="str">
        <f t="array" ref="P109">IFERROR(INDEX(E:E,SMALL(IF($B$2:$B$149=$K$1,ROW($B$2:$B$149)),ROWS(P$2:P109))),"")</f>
        <v/>
      </c>
      <c r="Q109" s="52" t="str">
        <f t="array" ref="Q109">IFERROR(INDEX(F:F,SMALL(IF($B$2:$B$149=$K$1,ROW($B$2:$B$149)),ROWS(Q$2:Q109))),"")</f>
        <v/>
      </c>
      <c r="R109" s="52" t="str">
        <f t="array" ref="R109">IFERROR(INDEX(G:G,SMALL(IF($B$2:$B$149=$K$1,ROW($B$2:$B$149)),ROWS(R$2:R109))),"")</f>
        <v/>
      </c>
      <c r="S109" s="52" t="str">
        <f t="array" ref="S109">IFERROR(INDEX(H:H,SMALL(IF($B$2:$B$149=$K$1,ROW($B$2:$B$149)),ROWS(S$2:S109))),"")</f>
        <v/>
      </c>
      <c r="Y109" s="55" t="str">
        <f>IFERROR(""&amp;VLOOKUP($C109,'LISTE A SAISIR'!$E$4:$L$19,3,0),"")</f>
        <v/>
      </c>
      <c r="Z109" s="55" t="str">
        <f>IFERROR(""&amp;VLOOKUP($C109,'LISTE A SAISIR'!$E$4:$L$19,5,0),"")</f>
        <v/>
      </c>
      <c r="AA109" s="55" t="str">
        <f>IFERROR(""&amp;VLOOKUP($C109,'LISTE A SAISIR'!$E$4:$L$19,7,0),"")</f>
        <v/>
      </c>
      <c r="AB109" s="55" t="str">
        <f>IFERROR(""&amp;VLOOKUP($C109,'LISTE A SAISIR'!$E$4:$N$19,9,0),"")</f>
        <v/>
      </c>
      <c r="AD109" s="56" t="str">
        <f t="array" ref="AD109">IFERROR(INDEX($A109:$AB109,SMALL(IF(NOT(COUNTIF($AC109:AC109,$Y109:$AB109)),COLUMN($Y109:$AB109)),1)),"")</f>
        <v/>
      </c>
      <c r="AE109" s="56" t="str">
        <f t="array" ref="AE109">IFERROR(INDEX($A109:$AB109,SMALL(IF(NOT(COUNTIF($AC109:AD109,$Y109:$AB109)),COLUMN($Y109:$AB109)),1)),"")</f>
        <v/>
      </c>
      <c r="AF109" s="56" t="str">
        <f t="array" ref="AF109">IFERROR(INDEX($A109:$AB109,SMALL(IF(NOT(COUNTIF($AC109:AE109,$Y109:$AB109)),COLUMN($Y109:$AB109)),1)),"")</f>
        <v/>
      </c>
      <c r="AG109" s="56" t="str">
        <f t="array" ref="AG109">IFERROR(INDEX($A109:$AB109,SMALL(IF(NOT(COUNTIF($AC109:AF109,$Y109:$AB109)),COLUMN($Y109:$AB109)),1)),"")</f>
        <v/>
      </c>
    </row>
    <row r="110" spans="1:33">
      <c r="A110" s="52">
        <v>109</v>
      </c>
      <c r="B110" s="6"/>
      <c r="C110" s="7"/>
      <c r="D110" s="53" t="str">
        <f>IFERROR(VLOOKUP($C110,'LISTE A SAISIR'!$E$4:$N$19,2,0),"")</f>
        <v/>
      </c>
      <c r="E110" s="1"/>
      <c r="F110" s="53" t="str">
        <f>IFERROR(VLOOKUP($C110,'LISTE A SAISIR'!$E$4:$N$19,2+2*MATCH(E110,Y110:AB110,0),0),"")</f>
        <v/>
      </c>
      <c r="G110" s="1"/>
      <c r="H110" s="7"/>
      <c r="I110" s="53">
        <f t="shared" si="3"/>
        <v>0</v>
      </c>
      <c r="L110" s="52" t="str">
        <f t="array" ref="L110">IFERROR(INDEX(B:B,SMALL(IF($B$2:$B$149=$K$1,ROW($B$2:$B$149)),ROWS(L$2:L110))),"")</f>
        <v/>
      </c>
      <c r="M110" s="52" t="str">
        <f t="array" ref="M110">IFERROR(INDEX(#REF!,SMALL(IF($B$2:$B$149=$K$1,ROW($B$2:$B$149)),ROWS(M$2:M110))),"")</f>
        <v/>
      </c>
      <c r="N110" s="52" t="str">
        <f t="array" ref="N110">IFERROR(INDEX(C:C,SMALL(IF($B$2:$B$149=$K$1,ROW($B$2:$B$149)),ROWS(N$2:N110))),"")</f>
        <v/>
      </c>
      <c r="O110" s="52" t="str">
        <f t="array" ref="O110">IFERROR(INDEX(D:D,SMALL(IF($B$2:$B$149=$K$1,ROW($B$2:$B$149)),ROWS(O$2:O110))),"")</f>
        <v/>
      </c>
      <c r="P110" s="52" t="str">
        <f t="array" ref="P110">IFERROR(INDEX(E:E,SMALL(IF($B$2:$B$149=$K$1,ROW($B$2:$B$149)),ROWS(P$2:P110))),"")</f>
        <v/>
      </c>
      <c r="Q110" s="52" t="str">
        <f t="array" ref="Q110">IFERROR(INDEX(F:F,SMALL(IF($B$2:$B$149=$K$1,ROW($B$2:$B$149)),ROWS(Q$2:Q110))),"")</f>
        <v/>
      </c>
      <c r="R110" s="52" t="str">
        <f t="array" ref="R110">IFERROR(INDEX(G:G,SMALL(IF($B$2:$B$149=$K$1,ROW($B$2:$B$149)),ROWS(R$2:R110))),"")</f>
        <v/>
      </c>
      <c r="S110" s="52" t="str">
        <f t="array" ref="S110">IFERROR(INDEX(H:H,SMALL(IF($B$2:$B$149=$K$1,ROW($B$2:$B$149)),ROWS(S$2:S110))),"")</f>
        <v/>
      </c>
      <c r="Y110" s="55" t="str">
        <f>IFERROR(""&amp;VLOOKUP($C110,'LISTE A SAISIR'!$E$4:$L$19,3,0),"")</f>
        <v/>
      </c>
      <c r="Z110" s="55" t="str">
        <f>IFERROR(""&amp;VLOOKUP($C110,'LISTE A SAISIR'!$E$4:$L$19,5,0),"")</f>
        <v/>
      </c>
      <c r="AA110" s="55" t="str">
        <f>IFERROR(""&amp;VLOOKUP($C110,'LISTE A SAISIR'!$E$4:$L$19,7,0),"")</f>
        <v/>
      </c>
      <c r="AB110" s="55" t="str">
        <f>IFERROR(""&amp;VLOOKUP($C110,'LISTE A SAISIR'!$E$4:$N$19,9,0),"")</f>
        <v/>
      </c>
      <c r="AD110" s="56" t="str">
        <f t="array" ref="AD110">IFERROR(INDEX($A110:$AB110,SMALL(IF(NOT(COUNTIF($AC110:AC110,$Y110:$AB110)),COLUMN($Y110:$AB110)),1)),"")</f>
        <v/>
      </c>
      <c r="AE110" s="56" t="str">
        <f t="array" ref="AE110">IFERROR(INDEX($A110:$AB110,SMALL(IF(NOT(COUNTIF($AC110:AD110,$Y110:$AB110)),COLUMN($Y110:$AB110)),1)),"")</f>
        <v/>
      </c>
      <c r="AF110" s="56" t="str">
        <f t="array" ref="AF110">IFERROR(INDEX($A110:$AB110,SMALL(IF(NOT(COUNTIF($AC110:AE110,$Y110:$AB110)),COLUMN($Y110:$AB110)),1)),"")</f>
        <v/>
      </c>
      <c r="AG110" s="56" t="str">
        <f t="array" ref="AG110">IFERROR(INDEX($A110:$AB110,SMALL(IF(NOT(COUNTIF($AC110:AF110,$Y110:$AB110)),COLUMN($Y110:$AB110)),1)),"")</f>
        <v/>
      </c>
    </row>
    <row r="111" spans="1:33">
      <c r="A111" s="52">
        <v>110</v>
      </c>
      <c r="B111" s="4"/>
      <c r="C111" s="1"/>
      <c r="D111" s="52" t="str">
        <f>IFERROR(VLOOKUP($C111,'LISTE A SAISIR'!$E$4:$N$19,2,0),"")</f>
        <v/>
      </c>
      <c r="E111" s="1"/>
      <c r="F111" s="53" t="str">
        <f>IFERROR(VLOOKUP($C111,'LISTE A SAISIR'!$E$4:$N$19,2+2*MATCH(E111,Y111:AB111,0),0),"")</f>
        <v/>
      </c>
      <c r="G111" s="1"/>
      <c r="H111" s="1"/>
      <c r="I111" s="58">
        <f t="shared" si="3"/>
        <v>0</v>
      </c>
      <c r="L111" s="52" t="str">
        <f t="array" ref="L111">IFERROR(INDEX(B:B,SMALL(IF($B$2:$B$149=$K$1,ROW($B$2:$B$149)),ROWS(L$2:L111))),"")</f>
        <v/>
      </c>
      <c r="M111" s="52" t="str">
        <f t="array" ref="M111">IFERROR(INDEX(#REF!,SMALL(IF($B$2:$B$149=$K$1,ROW($B$2:$B$149)),ROWS(M$2:M111))),"")</f>
        <v/>
      </c>
      <c r="N111" s="52" t="str">
        <f t="array" ref="N111">IFERROR(INDEX(C:C,SMALL(IF($B$2:$B$149=$K$1,ROW($B$2:$B$149)),ROWS(N$2:N111))),"")</f>
        <v/>
      </c>
      <c r="O111" s="52" t="str">
        <f t="array" ref="O111">IFERROR(INDEX(D:D,SMALL(IF($B$2:$B$149=$K$1,ROW($B$2:$B$149)),ROWS(O$2:O111))),"")</f>
        <v/>
      </c>
      <c r="P111" s="52" t="str">
        <f t="array" ref="P111">IFERROR(INDEX(E:E,SMALL(IF($B$2:$B$149=$K$1,ROW($B$2:$B$149)),ROWS(P$2:P111))),"")</f>
        <v/>
      </c>
      <c r="Q111" s="52" t="str">
        <f t="array" ref="Q111">IFERROR(INDEX(F:F,SMALL(IF($B$2:$B$149=$K$1,ROW($B$2:$B$149)),ROWS(Q$2:Q111))),"")</f>
        <v/>
      </c>
      <c r="R111" s="52" t="str">
        <f t="array" ref="R111">IFERROR(INDEX(G:G,SMALL(IF($B$2:$B$149=$K$1,ROW($B$2:$B$149)),ROWS(R$2:R111))),"")</f>
        <v/>
      </c>
      <c r="S111" s="52" t="str">
        <f t="array" ref="S111">IFERROR(INDEX(H:H,SMALL(IF($B$2:$B$149=$K$1,ROW($B$2:$B$149)),ROWS(S$2:S111))),"")</f>
        <v/>
      </c>
      <c r="Y111" s="55" t="str">
        <f>IFERROR(""&amp;VLOOKUP($C111,'LISTE A SAISIR'!$E$4:$L$19,3,0),"")</f>
        <v/>
      </c>
      <c r="Z111" s="55" t="str">
        <f>IFERROR(""&amp;VLOOKUP($C111,'LISTE A SAISIR'!$E$4:$L$19,5,0),"")</f>
        <v/>
      </c>
      <c r="AA111" s="55" t="str">
        <f>IFERROR(""&amp;VLOOKUP($C111,'LISTE A SAISIR'!$E$4:$L$19,7,0),"")</f>
        <v/>
      </c>
      <c r="AB111" s="55" t="str">
        <f>IFERROR(""&amp;VLOOKUP($C111,'LISTE A SAISIR'!$E$4:$N$19,9,0),"")</f>
        <v/>
      </c>
      <c r="AD111" s="56" t="str">
        <f t="array" ref="AD111">IFERROR(INDEX($A111:$AB111,SMALL(IF(NOT(COUNTIF($AC111:AC111,$Y111:$AB111)),COLUMN($Y111:$AB111)),1)),"")</f>
        <v/>
      </c>
      <c r="AE111" s="56" t="str">
        <f t="array" ref="AE111">IFERROR(INDEX($A111:$AB111,SMALL(IF(NOT(COUNTIF($AC111:AD111,$Y111:$AB111)),COLUMN($Y111:$AB111)),1)),"")</f>
        <v/>
      </c>
      <c r="AF111" s="56" t="str">
        <f t="array" ref="AF111">IFERROR(INDEX($A111:$AB111,SMALL(IF(NOT(COUNTIF($AC111:AE111,$Y111:$AB111)),COLUMN($Y111:$AB111)),1)),"")</f>
        <v/>
      </c>
      <c r="AG111" s="56" t="str">
        <f t="array" ref="AG111">IFERROR(INDEX($A111:$AB111,SMALL(IF(NOT(COUNTIF($AC111:AF111,$Y111:$AB111)),COLUMN($Y111:$AB111)),1)),"")</f>
        <v/>
      </c>
    </row>
    <row r="112" spans="1:33">
      <c r="A112" s="52">
        <v>111</v>
      </c>
      <c r="B112" s="6"/>
      <c r="C112" s="7"/>
      <c r="D112" s="53" t="str">
        <f>IFERROR(VLOOKUP($C112,'LISTE A SAISIR'!$E$4:$N$19,2,0),"")</f>
        <v/>
      </c>
      <c r="E112" s="1"/>
      <c r="F112" s="53" t="str">
        <f>IFERROR(VLOOKUP($C112,'LISTE A SAISIR'!$E$4:$N$19,2+2*MATCH(E112,Y112:AB112,0),0),"")</f>
        <v/>
      </c>
      <c r="G112" s="1"/>
      <c r="H112" s="7"/>
      <c r="I112" s="53">
        <f t="shared" si="3"/>
        <v>0</v>
      </c>
      <c r="L112" s="52" t="str">
        <f t="array" ref="L112">IFERROR(INDEX(B:B,SMALL(IF($B$2:$B$149=$K$1,ROW($B$2:$B$149)),ROWS(L$2:L112))),"")</f>
        <v/>
      </c>
      <c r="M112" s="52" t="str">
        <f t="array" ref="M112">IFERROR(INDEX(#REF!,SMALL(IF($B$2:$B$149=$K$1,ROW($B$2:$B$149)),ROWS(M$2:M112))),"")</f>
        <v/>
      </c>
      <c r="N112" s="52" t="str">
        <f t="array" ref="N112">IFERROR(INDEX(C:C,SMALL(IF($B$2:$B$149=$K$1,ROW($B$2:$B$149)),ROWS(N$2:N112))),"")</f>
        <v/>
      </c>
      <c r="O112" s="52" t="str">
        <f t="array" ref="O112">IFERROR(INDEX(D:D,SMALL(IF($B$2:$B$149=$K$1,ROW($B$2:$B$149)),ROWS(O$2:O112))),"")</f>
        <v/>
      </c>
      <c r="P112" s="52" t="str">
        <f t="array" ref="P112">IFERROR(INDEX(E:E,SMALL(IF($B$2:$B$149=$K$1,ROW($B$2:$B$149)),ROWS(P$2:P112))),"")</f>
        <v/>
      </c>
      <c r="Q112" s="52" t="str">
        <f t="array" ref="Q112">IFERROR(INDEX(F:F,SMALL(IF($B$2:$B$149=$K$1,ROW($B$2:$B$149)),ROWS(Q$2:Q112))),"")</f>
        <v/>
      </c>
      <c r="R112" s="52" t="str">
        <f t="array" ref="R112">IFERROR(INDEX(G:G,SMALL(IF($B$2:$B$149=$K$1,ROW($B$2:$B$149)),ROWS(R$2:R112))),"")</f>
        <v/>
      </c>
      <c r="S112" s="52" t="str">
        <f t="array" ref="S112">IFERROR(INDEX(H:H,SMALL(IF($B$2:$B$149=$K$1,ROW($B$2:$B$149)),ROWS(S$2:S112))),"")</f>
        <v/>
      </c>
      <c r="Y112" s="55" t="str">
        <f>IFERROR(""&amp;VLOOKUP($C112,'LISTE A SAISIR'!$E$4:$L$19,3,0),"")</f>
        <v/>
      </c>
      <c r="Z112" s="55" t="str">
        <f>IFERROR(""&amp;VLOOKUP($C112,'LISTE A SAISIR'!$E$4:$L$19,5,0),"")</f>
        <v/>
      </c>
      <c r="AA112" s="55" t="str">
        <f>IFERROR(""&amp;VLOOKUP($C112,'LISTE A SAISIR'!$E$4:$L$19,7,0),"")</f>
        <v/>
      </c>
      <c r="AB112" s="55" t="str">
        <f>IFERROR(""&amp;VLOOKUP($C112,'LISTE A SAISIR'!$E$4:$N$19,9,0),"")</f>
        <v/>
      </c>
      <c r="AD112" s="56" t="str">
        <f t="array" ref="AD112">IFERROR(INDEX($A112:$AB112,SMALL(IF(NOT(COUNTIF($AC112:AC112,$Y112:$AB112)),COLUMN($Y112:$AB112)),1)),"")</f>
        <v/>
      </c>
      <c r="AE112" s="56" t="str">
        <f t="array" ref="AE112">IFERROR(INDEX($A112:$AB112,SMALL(IF(NOT(COUNTIF($AC112:AD112,$Y112:$AB112)),COLUMN($Y112:$AB112)),1)),"")</f>
        <v/>
      </c>
      <c r="AF112" s="56" t="str">
        <f t="array" ref="AF112">IFERROR(INDEX($A112:$AB112,SMALL(IF(NOT(COUNTIF($AC112:AE112,$Y112:$AB112)),COLUMN($Y112:$AB112)),1)),"")</f>
        <v/>
      </c>
      <c r="AG112" s="56" t="str">
        <f t="array" ref="AG112">IFERROR(INDEX($A112:$AB112,SMALL(IF(NOT(COUNTIF($AC112:AF112,$Y112:$AB112)),COLUMN($Y112:$AB112)),1)),"")</f>
        <v/>
      </c>
    </row>
    <row r="113" spans="1:33">
      <c r="A113" s="52">
        <v>112</v>
      </c>
      <c r="B113" s="4"/>
      <c r="C113" s="1"/>
      <c r="D113" s="52" t="str">
        <f>IFERROR(VLOOKUP($C113,'LISTE A SAISIR'!$E$4:$N$19,2,0),"")</f>
        <v/>
      </c>
      <c r="E113" s="1"/>
      <c r="F113" s="53" t="str">
        <f>IFERROR(VLOOKUP($C113,'LISTE A SAISIR'!$E$4:$N$19,2+2*MATCH(E113,Y113:AB113,0),0),"")</f>
        <v/>
      </c>
      <c r="G113" s="1"/>
      <c r="H113" s="1"/>
      <c r="I113" s="58">
        <f t="shared" si="3"/>
        <v>0</v>
      </c>
      <c r="L113" s="52" t="str">
        <f t="array" ref="L113">IFERROR(INDEX(B:B,SMALL(IF($B$2:$B$149=$K$1,ROW($B$2:$B$149)),ROWS(L$2:L113))),"")</f>
        <v/>
      </c>
      <c r="M113" s="52" t="str">
        <f t="array" ref="M113">IFERROR(INDEX(#REF!,SMALL(IF($B$2:$B$149=$K$1,ROW($B$2:$B$149)),ROWS(M$2:M113))),"")</f>
        <v/>
      </c>
      <c r="N113" s="52" t="str">
        <f t="array" ref="N113">IFERROR(INDEX(C:C,SMALL(IF($B$2:$B$149=$K$1,ROW($B$2:$B$149)),ROWS(N$2:N113))),"")</f>
        <v/>
      </c>
      <c r="O113" s="52" t="str">
        <f t="array" ref="O113">IFERROR(INDEX(D:D,SMALL(IF($B$2:$B$149=$K$1,ROW($B$2:$B$149)),ROWS(O$2:O113))),"")</f>
        <v/>
      </c>
      <c r="P113" s="52" t="str">
        <f t="array" ref="P113">IFERROR(INDEX(E:E,SMALL(IF($B$2:$B$149=$K$1,ROW($B$2:$B$149)),ROWS(P$2:P113))),"")</f>
        <v/>
      </c>
      <c r="Q113" s="52" t="str">
        <f t="array" ref="Q113">IFERROR(INDEX(F:F,SMALL(IF($B$2:$B$149=$K$1,ROW($B$2:$B$149)),ROWS(Q$2:Q113))),"")</f>
        <v/>
      </c>
      <c r="R113" s="52" t="str">
        <f t="array" ref="R113">IFERROR(INDEX(G:G,SMALL(IF($B$2:$B$149=$K$1,ROW($B$2:$B$149)),ROWS(R$2:R113))),"")</f>
        <v/>
      </c>
      <c r="S113" s="52" t="str">
        <f t="array" ref="S113">IFERROR(INDEX(H:H,SMALL(IF($B$2:$B$149=$K$1,ROW($B$2:$B$149)),ROWS(S$2:S113))),"")</f>
        <v/>
      </c>
      <c r="Y113" s="55" t="str">
        <f>IFERROR(""&amp;VLOOKUP($C113,'LISTE A SAISIR'!$E$4:$L$19,3,0),"")</f>
        <v/>
      </c>
      <c r="Z113" s="55" t="str">
        <f>IFERROR(""&amp;VLOOKUP($C113,'LISTE A SAISIR'!$E$4:$L$19,5,0),"")</f>
        <v/>
      </c>
      <c r="AA113" s="55" t="str">
        <f>IFERROR(""&amp;VLOOKUP($C113,'LISTE A SAISIR'!$E$4:$L$19,7,0),"")</f>
        <v/>
      </c>
      <c r="AB113" s="55" t="str">
        <f>IFERROR(""&amp;VLOOKUP($C113,'LISTE A SAISIR'!$E$4:$N$19,9,0),"")</f>
        <v/>
      </c>
      <c r="AD113" s="56" t="str">
        <f t="array" ref="AD113">IFERROR(INDEX($A113:$AB113,SMALL(IF(NOT(COUNTIF($AC113:AC113,$Y113:$AB113)),COLUMN($Y113:$AB113)),1)),"")</f>
        <v/>
      </c>
      <c r="AE113" s="56" t="str">
        <f t="array" ref="AE113">IFERROR(INDEX($A113:$AB113,SMALL(IF(NOT(COUNTIF($AC113:AD113,$Y113:$AB113)),COLUMN($Y113:$AB113)),1)),"")</f>
        <v/>
      </c>
      <c r="AF113" s="56" t="str">
        <f t="array" ref="AF113">IFERROR(INDEX($A113:$AB113,SMALL(IF(NOT(COUNTIF($AC113:AE113,$Y113:$AB113)),COLUMN($Y113:$AB113)),1)),"")</f>
        <v/>
      </c>
      <c r="AG113" s="56" t="str">
        <f t="array" ref="AG113">IFERROR(INDEX($A113:$AB113,SMALL(IF(NOT(COUNTIF($AC113:AF113,$Y113:$AB113)),COLUMN($Y113:$AB113)),1)),"")</f>
        <v/>
      </c>
    </row>
    <row r="114" spans="1:33">
      <c r="A114" s="52">
        <v>113</v>
      </c>
      <c r="B114" s="6"/>
      <c r="C114" s="7"/>
      <c r="D114" s="53" t="str">
        <f>IFERROR(VLOOKUP($C114,'LISTE A SAISIR'!$E$4:$N$19,2,0),"")</f>
        <v/>
      </c>
      <c r="E114" s="1"/>
      <c r="F114" s="53" t="str">
        <f>IFERROR(VLOOKUP($C114,'LISTE A SAISIR'!$E$4:$N$19,2+2*MATCH(E114,Y114:AB114,0),0),"")</f>
        <v/>
      </c>
      <c r="G114" s="1"/>
      <c r="H114" s="7"/>
      <c r="I114" s="53">
        <f t="shared" si="3"/>
        <v>0</v>
      </c>
      <c r="L114" s="52" t="str">
        <f t="array" ref="L114">IFERROR(INDEX(B:B,SMALL(IF($B$2:$B$149=$K$1,ROW($B$2:$B$149)),ROWS(L$2:L114))),"")</f>
        <v/>
      </c>
      <c r="M114" s="52" t="str">
        <f t="array" ref="M114">IFERROR(INDEX(#REF!,SMALL(IF($B$2:$B$149=$K$1,ROW($B$2:$B$149)),ROWS(M$2:M114))),"")</f>
        <v/>
      </c>
      <c r="N114" s="52" t="str">
        <f t="array" ref="N114">IFERROR(INDEX(C:C,SMALL(IF($B$2:$B$149=$K$1,ROW($B$2:$B$149)),ROWS(N$2:N114))),"")</f>
        <v/>
      </c>
      <c r="O114" s="52" t="str">
        <f t="array" ref="O114">IFERROR(INDEX(D:D,SMALL(IF($B$2:$B$149=$K$1,ROW($B$2:$B$149)),ROWS(O$2:O114))),"")</f>
        <v/>
      </c>
      <c r="P114" s="52" t="str">
        <f t="array" ref="P114">IFERROR(INDEX(E:E,SMALL(IF($B$2:$B$149=$K$1,ROW($B$2:$B$149)),ROWS(P$2:P114))),"")</f>
        <v/>
      </c>
      <c r="Q114" s="52" t="str">
        <f t="array" ref="Q114">IFERROR(INDEX(F:F,SMALL(IF($B$2:$B$149=$K$1,ROW($B$2:$B$149)),ROWS(Q$2:Q114))),"")</f>
        <v/>
      </c>
      <c r="R114" s="52" t="str">
        <f t="array" ref="R114">IFERROR(INDEX(G:G,SMALL(IF($B$2:$B$149=$K$1,ROW($B$2:$B$149)),ROWS(R$2:R114))),"")</f>
        <v/>
      </c>
      <c r="S114" s="52" t="str">
        <f t="array" ref="S114">IFERROR(INDEX(H:H,SMALL(IF($B$2:$B$149=$K$1,ROW($B$2:$B$149)),ROWS(S$2:S114))),"")</f>
        <v/>
      </c>
      <c r="Y114" s="55" t="str">
        <f>IFERROR(""&amp;VLOOKUP($C114,'LISTE A SAISIR'!$E$4:$L$19,3,0),"")</f>
        <v/>
      </c>
      <c r="Z114" s="55" t="str">
        <f>IFERROR(""&amp;VLOOKUP($C114,'LISTE A SAISIR'!$E$4:$L$19,5,0),"")</f>
        <v/>
      </c>
      <c r="AA114" s="55" t="str">
        <f>IFERROR(""&amp;VLOOKUP($C114,'LISTE A SAISIR'!$E$4:$L$19,7,0),"")</f>
        <v/>
      </c>
      <c r="AB114" s="55" t="str">
        <f>IFERROR(""&amp;VLOOKUP($C114,'LISTE A SAISIR'!$E$4:$N$19,9,0),"")</f>
        <v/>
      </c>
      <c r="AD114" s="56" t="str">
        <f t="array" ref="AD114">IFERROR(INDEX($A114:$AB114,SMALL(IF(NOT(COUNTIF($AC114:AC114,$Y114:$AB114)),COLUMN($Y114:$AB114)),1)),"")</f>
        <v/>
      </c>
      <c r="AE114" s="56" t="str">
        <f t="array" ref="AE114">IFERROR(INDEX($A114:$AB114,SMALL(IF(NOT(COUNTIF($AC114:AD114,$Y114:$AB114)),COLUMN($Y114:$AB114)),1)),"")</f>
        <v/>
      </c>
      <c r="AF114" s="56" t="str">
        <f t="array" ref="AF114">IFERROR(INDEX($A114:$AB114,SMALL(IF(NOT(COUNTIF($AC114:AE114,$Y114:$AB114)),COLUMN($Y114:$AB114)),1)),"")</f>
        <v/>
      </c>
      <c r="AG114" s="56" t="str">
        <f t="array" ref="AG114">IFERROR(INDEX($A114:$AB114,SMALL(IF(NOT(COUNTIF($AC114:AF114,$Y114:$AB114)),COLUMN($Y114:$AB114)),1)),"")</f>
        <v/>
      </c>
    </row>
    <row r="115" spans="1:33">
      <c r="A115" s="52">
        <v>114</v>
      </c>
      <c r="B115" s="4"/>
      <c r="C115" s="1"/>
      <c r="D115" s="52" t="str">
        <f>IFERROR(VLOOKUP($C115,'LISTE A SAISIR'!$E$4:$N$19,2,0),"")</f>
        <v/>
      </c>
      <c r="E115" s="1"/>
      <c r="F115" s="53" t="str">
        <f>IFERROR(VLOOKUP($C115,'LISTE A SAISIR'!$E$4:$N$19,2+2*MATCH(E115,Y115:AB115,0),0),"")</f>
        <v/>
      </c>
      <c r="G115" s="1"/>
      <c r="H115" s="1"/>
      <c r="I115" s="58">
        <f t="shared" si="3"/>
        <v>0</v>
      </c>
      <c r="L115" s="52" t="str">
        <f t="array" ref="L115">IFERROR(INDEX(B:B,SMALL(IF($B$2:$B$149=$K$1,ROW($B$2:$B$149)),ROWS(L$2:L115))),"")</f>
        <v/>
      </c>
      <c r="M115" s="52" t="str">
        <f t="array" ref="M115">IFERROR(INDEX(#REF!,SMALL(IF($B$2:$B$149=$K$1,ROW($B$2:$B$149)),ROWS(M$2:M115))),"")</f>
        <v/>
      </c>
      <c r="N115" s="52" t="str">
        <f t="array" ref="N115">IFERROR(INDEX(C:C,SMALL(IF($B$2:$B$149=$K$1,ROW($B$2:$B$149)),ROWS(N$2:N115))),"")</f>
        <v/>
      </c>
      <c r="O115" s="52" t="str">
        <f t="array" ref="O115">IFERROR(INDEX(D:D,SMALL(IF($B$2:$B$149=$K$1,ROW($B$2:$B$149)),ROWS(O$2:O115))),"")</f>
        <v/>
      </c>
      <c r="P115" s="52" t="str">
        <f t="array" ref="P115">IFERROR(INDEX(E:E,SMALL(IF($B$2:$B$149=$K$1,ROW($B$2:$B$149)),ROWS(P$2:P115))),"")</f>
        <v/>
      </c>
      <c r="Q115" s="52" t="str">
        <f t="array" ref="Q115">IFERROR(INDEX(F:F,SMALL(IF($B$2:$B$149=$K$1,ROW($B$2:$B$149)),ROWS(Q$2:Q115))),"")</f>
        <v/>
      </c>
      <c r="R115" s="52" t="str">
        <f t="array" ref="R115">IFERROR(INDEX(G:G,SMALL(IF($B$2:$B$149=$K$1,ROW($B$2:$B$149)),ROWS(R$2:R115))),"")</f>
        <v/>
      </c>
      <c r="S115" s="52" t="str">
        <f t="array" ref="S115">IFERROR(INDEX(H:H,SMALL(IF($B$2:$B$149=$K$1,ROW($B$2:$B$149)),ROWS(S$2:S115))),"")</f>
        <v/>
      </c>
      <c r="Y115" s="55" t="str">
        <f>IFERROR(""&amp;VLOOKUP($C115,'LISTE A SAISIR'!$E$4:$L$19,3,0),"")</f>
        <v/>
      </c>
      <c r="Z115" s="55" t="str">
        <f>IFERROR(""&amp;VLOOKUP($C115,'LISTE A SAISIR'!$E$4:$L$19,5,0),"")</f>
        <v/>
      </c>
      <c r="AA115" s="55" t="str">
        <f>IFERROR(""&amp;VLOOKUP($C115,'LISTE A SAISIR'!$E$4:$L$19,7,0),"")</f>
        <v/>
      </c>
      <c r="AB115" s="55" t="str">
        <f>IFERROR(""&amp;VLOOKUP($C115,'LISTE A SAISIR'!$E$4:$N$19,9,0),"")</f>
        <v/>
      </c>
      <c r="AD115" s="56" t="str">
        <f t="array" ref="AD115">IFERROR(INDEX($A115:$AB115,SMALL(IF(NOT(COUNTIF($AC115:AC115,$Y115:$AB115)),COLUMN($Y115:$AB115)),1)),"")</f>
        <v/>
      </c>
      <c r="AE115" s="56" t="str">
        <f t="array" ref="AE115">IFERROR(INDEX($A115:$AB115,SMALL(IF(NOT(COUNTIF($AC115:AD115,$Y115:$AB115)),COLUMN($Y115:$AB115)),1)),"")</f>
        <v/>
      </c>
      <c r="AF115" s="56" t="str">
        <f t="array" ref="AF115">IFERROR(INDEX($A115:$AB115,SMALL(IF(NOT(COUNTIF($AC115:AE115,$Y115:$AB115)),COLUMN($Y115:$AB115)),1)),"")</f>
        <v/>
      </c>
      <c r="AG115" s="56" t="str">
        <f t="array" ref="AG115">IFERROR(INDEX($A115:$AB115,SMALL(IF(NOT(COUNTIF($AC115:AF115,$Y115:$AB115)),COLUMN($Y115:$AB115)),1)),"")</f>
        <v/>
      </c>
    </row>
    <row r="116" spans="1:33">
      <c r="A116" s="52">
        <v>115</v>
      </c>
      <c r="B116" s="6"/>
      <c r="C116" s="7"/>
      <c r="D116" s="53" t="str">
        <f>IFERROR(VLOOKUP($C116,'LISTE A SAISIR'!$E$4:$N$19,2,0),"")</f>
        <v/>
      </c>
      <c r="E116" s="1"/>
      <c r="F116" s="53" t="str">
        <f>IFERROR(VLOOKUP($C116,'LISTE A SAISIR'!$E$4:$N$19,2+2*MATCH(E116,Y116:AB116,0),0),"")</f>
        <v/>
      </c>
      <c r="G116" s="1"/>
      <c r="H116" s="7"/>
      <c r="I116" s="53">
        <f t="shared" si="3"/>
        <v>0</v>
      </c>
      <c r="L116" s="52" t="str">
        <f t="array" ref="L116">IFERROR(INDEX(B:B,SMALL(IF($B$2:$B$149=$K$1,ROW($B$2:$B$149)),ROWS(L$2:L116))),"")</f>
        <v/>
      </c>
      <c r="M116" s="52" t="str">
        <f t="array" ref="M116">IFERROR(INDEX(#REF!,SMALL(IF($B$2:$B$149=$K$1,ROW($B$2:$B$149)),ROWS(M$2:M116))),"")</f>
        <v/>
      </c>
      <c r="N116" s="52" t="str">
        <f t="array" ref="N116">IFERROR(INDEX(C:C,SMALL(IF($B$2:$B$149=$K$1,ROW($B$2:$B$149)),ROWS(N$2:N116))),"")</f>
        <v/>
      </c>
      <c r="O116" s="52" t="str">
        <f t="array" ref="O116">IFERROR(INDEX(D:D,SMALL(IF($B$2:$B$149=$K$1,ROW($B$2:$B$149)),ROWS(O$2:O116))),"")</f>
        <v/>
      </c>
      <c r="P116" s="52" t="str">
        <f t="array" ref="P116">IFERROR(INDEX(E:E,SMALL(IF($B$2:$B$149=$K$1,ROW($B$2:$B$149)),ROWS(P$2:P116))),"")</f>
        <v/>
      </c>
      <c r="Q116" s="52" t="str">
        <f t="array" ref="Q116">IFERROR(INDEX(F:F,SMALL(IF($B$2:$B$149=$K$1,ROW($B$2:$B$149)),ROWS(Q$2:Q116))),"")</f>
        <v/>
      </c>
      <c r="R116" s="52" t="str">
        <f t="array" ref="R116">IFERROR(INDEX(G:G,SMALL(IF($B$2:$B$149=$K$1,ROW($B$2:$B$149)),ROWS(R$2:R116))),"")</f>
        <v/>
      </c>
      <c r="S116" s="52" t="str">
        <f t="array" ref="S116">IFERROR(INDEX(H:H,SMALL(IF($B$2:$B$149=$K$1,ROW($B$2:$B$149)),ROWS(S$2:S116))),"")</f>
        <v/>
      </c>
      <c r="Y116" s="55" t="str">
        <f>IFERROR(""&amp;VLOOKUP($C116,'LISTE A SAISIR'!$E$4:$L$19,3,0),"")</f>
        <v/>
      </c>
      <c r="Z116" s="55" t="str">
        <f>IFERROR(""&amp;VLOOKUP($C116,'LISTE A SAISIR'!$E$4:$L$19,5,0),"")</f>
        <v/>
      </c>
      <c r="AA116" s="55" t="str">
        <f>IFERROR(""&amp;VLOOKUP($C116,'LISTE A SAISIR'!$E$4:$L$19,7,0),"")</f>
        <v/>
      </c>
      <c r="AB116" s="55" t="str">
        <f>IFERROR(""&amp;VLOOKUP($C116,'LISTE A SAISIR'!$E$4:$N$19,9,0),"")</f>
        <v/>
      </c>
      <c r="AD116" s="56" t="str">
        <f t="array" ref="AD116">IFERROR(INDEX($A116:$AB116,SMALL(IF(NOT(COUNTIF($AC116:AC116,$Y116:$AB116)),COLUMN($Y116:$AB116)),1)),"")</f>
        <v/>
      </c>
      <c r="AE116" s="56" t="str">
        <f t="array" ref="AE116">IFERROR(INDEX($A116:$AB116,SMALL(IF(NOT(COUNTIF($AC116:AD116,$Y116:$AB116)),COLUMN($Y116:$AB116)),1)),"")</f>
        <v/>
      </c>
      <c r="AF116" s="56" t="str">
        <f t="array" ref="AF116">IFERROR(INDEX($A116:$AB116,SMALL(IF(NOT(COUNTIF($AC116:AE116,$Y116:$AB116)),COLUMN($Y116:$AB116)),1)),"")</f>
        <v/>
      </c>
      <c r="AG116" s="56" t="str">
        <f t="array" ref="AG116">IFERROR(INDEX($A116:$AB116,SMALL(IF(NOT(COUNTIF($AC116:AF116,$Y116:$AB116)),COLUMN($Y116:$AB116)),1)),"")</f>
        <v/>
      </c>
    </row>
    <row r="117" spans="1:33">
      <c r="A117" s="52">
        <v>116</v>
      </c>
      <c r="B117" s="4"/>
      <c r="C117" s="1"/>
      <c r="D117" s="52" t="str">
        <f>IFERROR(VLOOKUP($C117,'LISTE A SAISIR'!$E$4:$N$19,2,0),"")</f>
        <v/>
      </c>
      <c r="E117" s="1"/>
      <c r="F117" s="53" t="str">
        <f>IFERROR(VLOOKUP($C117,'LISTE A SAISIR'!$E$4:$N$19,2+2*MATCH(E117,Y117:AB117,0),0),"")</f>
        <v/>
      </c>
      <c r="G117" s="1"/>
      <c r="H117" s="1"/>
      <c r="I117" s="58">
        <f t="shared" si="3"/>
        <v>0</v>
      </c>
      <c r="L117" s="52" t="str">
        <f t="array" ref="L117">IFERROR(INDEX(B:B,SMALL(IF($B$2:$B$149=$K$1,ROW($B$2:$B$149)),ROWS(L$2:L117))),"")</f>
        <v/>
      </c>
      <c r="M117" s="52" t="str">
        <f t="array" ref="M117">IFERROR(INDEX(#REF!,SMALL(IF($B$2:$B$149=$K$1,ROW($B$2:$B$149)),ROWS(M$2:M117))),"")</f>
        <v/>
      </c>
      <c r="N117" s="52" t="str">
        <f t="array" ref="N117">IFERROR(INDEX(C:C,SMALL(IF($B$2:$B$149=$K$1,ROW($B$2:$B$149)),ROWS(N$2:N117))),"")</f>
        <v/>
      </c>
      <c r="O117" s="52" t="str">
        <f t="array" ref="O117">IFERROR(INDEX(D:D,SMALL(IF($B$2:$B$149=$K$1,ROW($B$2:$B$149)),ROWS(O$2:O117))),"")</f>
        <v/>
      </c>
      <c r="P117" s="52" t="str">
        <f t="array" ref="P117">IFERROR(INDEX(E:E,SMALL(IF($B$2:$B$149=$K$1,ROW($B$2:$B$149)),ROWS(P$2:P117))),"")</f>
        <v/>
      </c>
      <c r="Q117" s="52" t="str">
        <f t="array" ref="Q117">IFERROR(INDEX(F:F,SMALL(IF($B$2:$B$149=$K$1,ROW($B$2:$B$149)),ROWS(Q$2:Q117))),"")</f>
        <v/>
      </c>
      <c r="R117" s="52" t="str">
        <f t="array" ref="R117">IFERROR(INDEX(G:G,SMALL(IF($B$2:$B$149=$K$1,ROW($B$2:$B$149)),ROWS(R$2:R117))),"")</f>
        <v/>
      </c>
      <c r="S117" s="52" t="str">
        <f t="array" ref="S117">IFERROR(INDEX(H:H,SMALL(IF($B$2:$B$149=$K$1,ROW($B$2:$B$149)),ROWS(S$2:S117))),"")</f>
        <v/>
      </c>
      <c r="Y117" s="55" t="str">
        <f>IFERROR(""&amp;VLOOKUP($C117,'LISTE A SAISIR'!$E$4:$L$19,3,0),"")</f>
        <v/>
      </c>
      <c r="Z117" s="55" t="str">
        <f>IFERROR(""&amp;VLOOKUP($C117,'LISTE A SAISIR'!$E$4:$L$19,5,0),"")</f>
        <v/>
      </c>
      <c r="AA117" s="55" t="str">
        <f>IFERROR(""&amp;VLOOKUP($C117,'LISTE A SAISIR'!$E$4:$L$19,7,0),"")</f>
        <v/>
      </c>
      <c r="AB117" s="55" t="str">
        <f>IFERROR(""&amp;VLOOKUP($C117,'LISTE A SAISIR'!$E$4:$N$19,9,0),"")</f>
        <v/>
      </c>
      <c r="AD117" s="56" t="str">
        <f t="array" ref="AD117">IFERROR(INDEX($A117:$AB117,SMALL(IF(NOT(COUNTIF($AC117:AC117,$Y117:$AB117)),COLUMN($Y117:$AB117)),1)),"")</f>
        <v/>
      </c>
      <c r="AE117" s="56" t="str">
        <f t="array" ref="AE117">IFERROR(INDEX($A117:$AB117,SMALL(IF(NOT(COUNTIF($AC117:AD117,$Y117:$AB117)),COLUMN($Y117:$AB117)),1)),"")</f>
        <v/>
      </c>
      <c r="AF117" s="56" t="str">
        <f t="array" ref="AF117">IFERROR(INDEX($A117:$AB117,SMALL(IF(NOT(COUNTIF($AC117:AE117,$Y117:$AB117)),COLUMN($Y117:$AB117)),1)),"")</f>
        <v/>
      </c>
      <c r="AG117" s="56" t="str">
        <f t="array" ref="AG117">IFERROR(INDEX($A117:$AB117,SMALL(IF(NOT(COUNTIF($AC117:AF117,$Y117:$AB117)),COLUMN($Y117:$AB117)),1)),"")</f>
        <v/>
      </c>
    </row>
    <row r="118" spans="1:33">
      <c r="A118" s="52">
        <v>117</v>
      </c>
      <c r="B118" s="6"/>
      <c r="C118" s="7"/>
      <c r="D118" s="53" t="str">
        <f>IFERROR(VLOOKUP($C118,'LISTE A SAISIR'!$E$4:$N$19,2,0),"")</f>
        <v/>
      </c>
      <c r="E118" s="1"/>
      <c r="F118" s="53" t="str">
        <f>IFERROR(VLOOKUP($C118,'LISTE A SAISIR'!$E$4:$N$19,2+2*MATCH(E118,Y118:AB118,0),0),"")</f>
        <v/>
      </c>
      <c r="G118" s="1"/>
      <c r="H118" s="7"/>
      <c r="I118" s="53">
        <f t="shared" si="3"/>
        <v>0</v>
      </c>
      <c r="L118" s="52" t="str">
        <f t="array" ref="L118">IFERROR(INDEX(B:B,SMALL(IF($B$2:$B$149=$K$1,ROW($B$2:$B$149)),ROWS(L$2:L118))),"")</f>
        <v/>
      </c>
      <c r="M118" s="52" t="str">
        <f t="array" ref="M118">IFERROR(INDEX(#REF!,SMALL(IF($B$2:$B$149=$K$1,ROW($B$2:$B$149)),ROWS(M$2:M118))),"")</f>
        <v/>
      </c>
      <c r="N118" s="52" t="str">
        <f t="array" ref="N118">IFERROR(INDEX(C:C,SMALL(IF($B$2:$B$149=$K$1,ROW($B$2:$B$149)),ROWS(N$2:N118))),"")</f>
        <v/>
      </c>
      <c r="O118" s="52" t="str">
        <f t="array" ref="O118">IFERROR(INDEX(D:D,SMALL(IF($B$2:$B$149=$K$1,ROW($B$2:$B$149)),ROWS(O$2:O118))),"")</f>
        <v/>
      </c>
      <c r="P118" s="52" t="str">
        <f t="array" ref="P118">IFERROR(INDEX(E:E,SMALL(IF($B$2:$B$149=$K$1,ROW($B$2:$B$149)),ROWS(P$2:P118))),"")</f>
        <v/>
      </c>
      <c r="Q118" s="52" t="str">
        <f t="array" ref="Q118">IFERROR(INDEX(F:F,SMALL(IF($B$2:$B$149=$K$1,ROW($B$2:$B$149)),ROWS(Q$2:Q118))),"")</f>
        <v/>
      </c>
      <c r="R118" s="52" t="str">
        <f t="array" ref="R118">IFERROR(INDEX(G:G,SMALL(IF($B$2:$B$149=$K$1,ROW($B$2:$B$149)),ROWS(R$2:R118))),"")</f>
        <v/>
      </c>
      <c r="S118" s="52" t="str">
        <f t="array" ref="S118">IFERROR(INDEX(H:H,SMALL(IF($B$2:$B$149=$K$1,ROW($B$2:$B$149)),ROWS(S$2:S118))),"")</f>
        <v/>
      </c>
      <c r="Y118" s="55" t="str">
        <f>IFERROR(""&amp;VLOOKUP($C118,'LISTE A SAISIR'!$E$4:$L$19,3,0),"")</f>
        <v/>
      </c>
      <c r="Z118" s="55" t="str">
        <f>IFERROR(""&amp;VLOOKUP($C118,'LISTE A SAISIR'!$E$4:$L$19,5,0),"")</f>
        <v/>
      </c>
      <c r="AA118" s="55" t="str">
        <f>IFERROR(""&amp;VLOOKUP($C118,'LISTE A SAISIR'!$E$4:$L$19,7,0),"")</f>
        <v/>
      </c>
      <c r="AB118" s="55" t="str">
        <f>IFERROR(""&amp;VLOOKUP($C118,'LISTE A SAISIR'!$E$4:$N$19,9,0),"")</f>
        <v/>
      </c>
      <c r="AD118" s="56" t="str">
        <f t="array" ref="AD118">IFERROR(INDEX($A118:$AB118,SMALL(IF(NOT(COUNTIF($AC118:AC118,$Y118:$AB118)),COLUMN($Y118:$AB118)),1)),"")</f>
        <v/>
      </c>
      <c r="AE118" s="56" t="str">
        <f t="array" ref="AE118">IFERROR(INDEX($A118:$AB118,SMALL(IF(NOT(COUNTIF($AC118:AD118,$Y118:$AB118)),COLUMN($Y118:$AB118)),1)),"")</f>
        <v/>
      </c>
      <c r="AF118" s="56" t="str">
        <f t="array" ref="AF118">IFERROR(INDEX($A118:$AB118,SMALL(IF(NOT(COUNTIF($AC118:AE118,$Y118:$AB118)),COLUMN($Y118:$AB118)),1)),"")</f>
        <v/>
      </c>
      <c r="AG118" s="56" t="str">
        <f t="array" ref="AG118">IFERROR(INDEX($A118:$AB118,SMALL(IF(NOT(COUNTIF($AC118:AF118,$Y118:$AB118)),COLUMN($Y118:$AB118)),1)),"")</f>
        <v/>
      </c>
    </row>
    <row r="119" spans="1:33">
      <c r="A119" s="52">
        <v>118</v>
      </c>
      <c r="B119" s="4"/>
      <c r="C119" s="1"/>
      <c r="D119" s="52" t="str">
        <f>IFERROR(VLOOKUP($C119,'LISTE A SAISIR'!$E$4:$N$19,2,0),"")</f>
        <v/>
      </c>
      <c r="E119" s="1"/>
      <c r="F119" s="53" t="str">
        <f>IFERROR(VLOOKUP($C119,'LISTE A SAISIR'!$E$4:$N$19,2+2*MATCH(E119,Y119:AB119,0),0),"")</f>
        <v/>
      </c>
      <c r="G119" s="1"/>
      <c r="H119" s="1"/>
      <c r="I119" s="58">
        <f t="shared" si="3"/>
        <v>0</v>
      </c>
      <c r="L119" s="52" t="str">
        <f t="array" ref="L119">IFERROR(INDEX(B:B,SMALL(IF($B$2:$B$149=$K$1,ROW($B$2:$B$149)),ROWS(L$2:L119))),"")</f>
        <v/>
      </c>
      <c r="M119" s="52" t="str">
        <f t="array" ref="M119">IFERROR(INDEX(#REF!,SMALL(IF($B$2:$B$149=$K$1,ROW($B$2:$B$149)),ROWS(M$2:M119))),"")</f>
        <v/>
      </c>
      <c r="N119" s="52" t="str">
        <f t="array" ref="N119">IFERROR(INDEX(C:C,SMALL(IF($B$2:$B$149=$K$1,ROW($B$2:$B$149)),ROWS(N$2:N119))),"")</f>
        <v/>
      </c>
      <c r="O119" s="52" t="str">
        <f t="array" ref="O119">IFERROR(INDEX(D:D,SMALL(IF($B$2:$B$149=$K$1,ROW($B$2:$B$149)),ROWS(O$2:O119))),"")</f>
        <v/>
      </c>
      <c r="P119" s="52" t="str">
        <f t="array" ref="P119">IFERROR(INDEX(E:E,SMALL(IF($B$2:$B$149=$K$1,ROW($B$2:$B$149)),ROWS(P$2:P119))),"")</f>
        <v/>
      </c>
      <c r="Q119" s="52" t="str">
        <f t="array" ref="Q119">IFERROR(INDEX(F:F,SMALL(IF($B$2:$B$149=$K$1,ROW($B$2:$B$149)),ROWS(Q$2:Q119))),"")</f>
        <v/>
      </c>
      <c r="R119" s="52" t="str">
        <f t="array" ref="R119">IFERROR(INDEX(G:G,SMALL(IF($B$2:$B$149=$K$1,ROW($B$2:$B$149)),ROWS(R$2:R119))),"")</f>
        <v/>
      </c>
      <c r="S119" s="52" t="str">
        <f t="array" ref="S119">IFERROR(INDEX(H:H,SMALL(IF($B$2:$B$149=$K$1,ROW($B$2:$B$149)),ROWS(S$2:S119))),"")</f>
        <v/>
      </c>
      <c r="Y119" s="55" t="str">
        <f>IFERROR(""&amp;VLOOKUP($C119,'LISTE A SAISIR'!$E$4:$L$19,3,0),"")</f>
        <v/>
      </c>
      <c r="Z119" s="55" t="str">
        <f>IFERROR(""&amp;VLOOKUP($C119,'LISTE A SAISIR'!$E$4:$L$19,5,0),"")</f>
        <v/>
      </c>
      <c r="AA119" s="55" t="str">
        <f>IFERROR(""&amp;VLOOKUP($C119,'LISTE A SAISIR'!$E$4:$L$19,7,0),"")</f>
        <v/>
      </c>
      <c r="AB119" s="55" t="str">
        <f>IFERROR(""&amp;VLOOKUP($C119,'LISTE A SAISIR'!$E$4:$N$19,9,0),"")</f>
        <v/>
      </c>
      <c r="AD119" s="56" t="str">
        <f t="array" ref="AD119">IFERROR(INDEX($A119:$AB119,SMALL(IF(NOT(COUNTIF($AC119:AC119,$Y119:$AB119)),COLUMN($Y119:$AB119)),1)),"")</f>
        <v/>
      </c>
      <c r="AE119" s="56" t="str">
        <f t="array" ref="AE119">IFERROR(INDEX($A119:$AB119,SMALL(IF(NOT(COUNTIF($AC119:AD119,$Y119:$AB119)),COLUMN($Y119:$AB119)),1)),"")</f>
        <v/>
      </c>
      <c r="AF119" s="56" t="str">
        <f t="array" ref="AF119">IFERROR(INDEX($A119:$AB119,SMALL(IF(NOT(COUNTIF($AC119:AE119,$Y119:$AB119)),COLUMN($Y119:$AB119)),1)),"")</f>
        <v/>
      </c>
      <c r="AG119" s="56" t="str">
        <f t="array" ref="AG119">IFERROR(INDEX($A119:$AB119,SMALL(IF(NOT(COUNTIF($AC119:AF119,$Y119:$AB119)),COLUMN($Y119:$AB119)),1)),"")</f>
        <v/>
      </c>
    </row>
    <row r="120" spans="1:33">
      <c r="A120" s="52">
        <v>119</v>
      </c>
      <c r="B120" s="6"/>
      <c r="C120" s="7"/>
      <c r="D120" s="53" t="str">
        <f>IFERROR(VLOOKUP($C120,'LISTE A SAISIR'!$E$4:$N$19,2,0),"")</f>
        <v/>
      </c>
      <c r="E120" s="1"/>
      <c r="F120" s="53" t="str">
        <f>IFERROR(VLOOKUP($C120,'LISTE A SAISIR'!$E$4:$N$19,2+2*MATCH(E120,Y120:AB120,0),0),"")</f>
        <v/>
      </c>
      <c r="G120" s="1"/>
      <c r="H120" s="7"/>
      <c r="I120" s="53">
        <f t="shared" si="3"/>
        <v>0</v>
      </c>
      <c r="L120" s="52" t="str">
        <f t="array" ref="L120">IFERROR(INDEX(B:B,SMALL(IF($B$2:$B$149=$K$1,ROW($B$2:$B$149)),ROWS(L$2:L120))),"")</f>
        <v/>
      </c>
      <c r="M120" s="52" t="str">
        <f t="array" ref="M120">IFERROR(INDEX(#REF!,SMALL(IF($B$2:$B$149=$K$1,ROW($B$2:$B$149)),ROWS(M$2:M120))),"")</f>
        <v/>
      </c>
      <c r="N120" s="52" t="str">
        <f t="array" ref="N120">IFERROR(INDEX(C:C,SMALL(IF($B$2:$B$149=$K$1,ROW($B$2:$B$149)),ROWS(N$2:N120))),"")</f>
        <v/>
      </c>
      <c r="O120" s="52" t="str">
        <f t="array" ref="O120">IFERROR(INDEX(D:D,SMALL(IF($B$2:$B$149=$K$1,ROW($B$2:$B$149)),ROWS(O$2:O120))),"")</f>
        <v/>
      </c>
      <c r="P120" s="52" t="str">
        <f t="array" ref="P120">IFERROR(INDEX(E:E,SMALL(IF($B$2:$B$149=$K$1,ROW($B$2:$B$149)),ROWS(P$2:P120))),"")</f>
        <v/>
      </c>
      <c r="Q120" s="52" t="str">
        <f t="array" ref="Q120">IFERROR(INDEX(F:F,SMALL(IF($B$2:$B$149=$K$1,ROW($B$2:$B$149)),ROWS(Q$2:Q120))),"")</f>
        <v/>
      </c>
      <c r="R120" s="52" t="str">
        <f t="array" ref="R120">IFERROR(INDEX(G:G,SMALL(IF($B$2:$B$149=$K$1,ROW($B$2:$B$149)),ROWS(R$2:R120))),"")</f>
        <v/>
      </c>
      <c r="S120" s="52" t="str">
        <f t="array" ref="S120">IFERROR(INDEX(H:H,SMALL(IF($B$2:$B$149=$K$1,ROW($B$2:$B$149)),ROWS(S$2:S120))),"")</f>
        <v/>
      </c>
      <c r="Y120" s="55" t="str">
        <f>IFERROR(""&amp;VLOOKUP($C120,'LISTE A SAISIR'!$E$4:$L$19,3,0),"")</f>
        <v/>
      </c>
      <c r="Z120" s="55" t="str">
        <f>IFERROR(""&amp;VLOOKUP($C120,'LISTE A SAISIR'!$E$4:$L$19,5,0),"")</f>
        <v/>
      </c>
      <c r="AA120" s="55" t="str">
        <f>IFERROR(""&amp;VLOOKUP($C120,'LISTE A SAISIR'!$E$4:$L$19,7,0),"")</f>
        <v/>
      </c>
      <c r="AB120" s="55" t="str">
        <f>IFERROR(""&amp;VLOOKUP($C120,'LISTE A SAISIR'!$E$4:$N$19,9,0),"")</f>
        <v/>
      </c>
      <c r="AD120" s="56" t="str">
        <f t="array" ref="AD120">IFERROR(INDEX($A120:$AB120,SMALL(IF(NOT(COUNTIF($AC120:AC120,$Y120:$AB120)),COLUMN($Y120:$AB120)),1)),"")</f>
        <v/>
      </c>
      <c r="AE120" s="56" t="str">
        <f t="array" ref="AE120">IFERROR(INDEX($A120:$AB120,SMALL(IF(NOT(COUNTIF($AC120:AD120,$Y120:$AB120)),COLUMN($Y120:$AB120)),1)),"")</f>
        <v/>
      </c>
      <c r="AF120" s="56" t="str">
        <f t="array" ref="AF120">IFERROR(INDEX($A120:$AB120,SMALL(IF(NOT(COUNTIF($AC120:AE120,$Y120:$AB120)),COLUMN($Y120:$AB120)),1)),"")</f>
        <v/>
      </c>
      <c r="AG120" s="56" t="str">
        <f t="array" ref="AG120">IFERROR(INDEX($A120:$AB120,SMALL(IF(NOT(COUNTIF($AC120:AF120,$Y120:$AB120)),COLUMN($Y120:$AB120)),1)),"")</f>
        <v/>
      </c>
    </row>
    <row r="121" spans="1:33">
      <c r="A121" s="52">
        <v>120</v>
      </c>
      <c r="B121" s="4"/>
      <c r="C121" s="1"/>
      <c r="D121" s="52" t="str">
        <f>IFERROR(VLOOKUP($C121,'LISTE A SAISIR'!$E$4:$N$19,2,0),"")</f>
        <v/>
      </c>
      <c r="E121" s="1"/>
      <c r="F121" s="53" t="str">
        <f>IFERROR(VLOOKUP($C121,'LISTE A SAISIR'!$E$4:$N$19,2+2*MATCH(E121,Y121:AB121,0),0),"")</f>
        <v/>
      </c>
      <c r="G121" s="1"/>
      <c r="H121" s="1"/>
      <c r="I121" s="58">
        <f t="shared" si="3"/>
        <v>0</v>
      </c>
      <c r="L121" s="52" t="str">
        <f t="array" ref="L121">IFERROR(INDEX(B:B,SMALL(IF($B$2:$B$149=$K$1,ROW($B$2:$B$149)),ROWS(L$2:L121))),"")</f>
        <v/>
      </c>
      <c r="M121" s="52" t="str">
        <f t="array" ref="M121">IFERROR(INDEX(#REF!,SMALL(IF($B$2:$B$149=$K$1,ROW($B$2:$B$149)),ROWS(M$2:M121))),"")</f>
        <v/>
      </c>
      <c r="N121" s="52" t="str">
        <f t="array" ref="N121">IFERROR(INDEX(C:C,SMALL(IF($B$2:$B$149=$K$1,ROW($B$2:$B$149)),ROWS(N$2:N121))),"")</f>
        <v/>
      </c>
      <c r="O121" s="52" t="str">
        <f t="array" ref="O121">IFERROR(INDEX(D:D,SMALL(IF($B$2:$B$149=$K$1,ROW($B$2:$B$149)),ROWS(O$2:O121))),"")</f>
        <v/>
      </c>
      <c r="P121" s="52" t="str">
        <f t="array" ref="P121">IFERROR(INDEX(E:E,SMALL(IF($B$2:$B$149=$K$1,ROW($B$2:$B$149)),ROWS(P$2:P121))),"")</f>
        <v/>
      </c>
      <c r="Q121" s="52" t="str">
        <f t="array" ref="Q121">IFERROR(INDEX(F:F,SMALL(IF($B$2:$B$149=$K$1,ROW($B$2:$B$149)),ROWS(Q$2:Q121))),"")</f>
        <v/>
      </c>
      <c r="R121" s="52" t="str">
        <f t="array" ref="R121">IFERROR(INDEX(G:G,SMALL(IF($B$2:$B$149=$K$1,ROW($B$2:$B$149)),ROWS(R$2:R121))),"")</f>
        <v/>
      </c>
      <c r="S121" s="52" t="str">
        <f t="array" ref="S121">IFERROR(INDEX(H:H,SMALL(IF($B$2:$B$149=$K$1,ROW($B$2:$B$149)),ROWS(S$2:S121))),"")</f>
        <v/>
      </c>
      <c r="Y121" s="55" t="str">
        <f>IFERROR(""&amp;VLOOKUP($C121,'LISTE A SAISIR'!$E$4:$L$19,3,0),"")</f>
        <v/>
      </c>
      <c r="Z121" s="55" t="str">
        <f>IFERROR(""&amp;VLOOKUP($C121,'LISTE A SAISIR'!$E$4:$L$19,5,0),"")</f>
        <v/>
      </c>
      <c r="AA121" s="55" t="str">
        <f>IFERROR(""&amp;VLOOKUP($C121,'LISTE A SAISIR'!$E$4:$L$19,7,0),"")</f>
        <v/>
      </c>
      <c r="AB121" s="55" t="str">
        <f>IFERROR(""&amp;VLOOKUP($C121,'LISTE A SAISIR'!$E$4:$N$19,9,0),"")</f>
        <v/>
      </c>
      <c r="AD121" s="56" t="str">
        <f t="array" ref="AD121">IFERROR(INDEX($A121:$AB121,SMALL(IF(NOT(COUNTIF($AC121:AC121,$Y121:$AB121)),COLUMN($Y121:$AB121)),1)),"")</f>
        <v/>
      </c>
      <c r="AE121" s="56" t="str">
        <f t="array" ref="AE121">IFERROR(INDEX($A121:$AB121,SMALL(IF(NOT(COUNTIF($AC121:AD121,$Y121:$AB121)),COLUMN($Y121:$AB121)),1)),"")</f>
        <v/>
      </c>
      <c r="AF121" s="56" t="str">
        <f t="array" ref="AF121">IFERROR(INDEX($A121:$AB121,SMALL(IF(NOT(COUNTIF($AC121:AE121,$Y121:$AB121)),COLUMN($Y121:$AB121)),1)),"")</f>
        <v/>
      </c>
      <c r="AG121" s="56" t="str">
        <f t="array" ref="AG121">IFERROR(INDEX($A121:$AB121,SMALL(IF(NOT(COUNTIF($AC121:AF121,$Y121:$AB121)),COLUMN($Y121:$AB121)),1)),"")</f>
        <v/>
      </c>
    </row>
    <row r="122" spans="1:33">
      <c r="A122" s="52">
        <v>121</v>
      </c>
      <c r="B122" s="6"/>
      <c r="C122" s="7"/>
      <c r="D122" s="53" t="str">
        <f>IFERROR(VLOOKUP($C122,'LISTE A SAISIR'!$E$4:$N$19,2,0),"")</f>
        <v/>
      </c>
      <c r="E122" s="1"/>
      <c r="F122" s="53" t="str">
        <f>IFERROR(VLOOKUP($C122,'LISTE A SAISIR'!$E$4:$N$19,2+2*MATCH(E122,Y122:AB122,0),0),"")</f>
        <v/>
      </c>
      <c r="G122" s="1"/>
      <c r="H122" s="7"/>
      <c r="I122" s="53">
        <f t="shared" si="3"/>
        <v>0</v>
      </c>
      <c r="L122" s="52" t="str">
        <f t="array" ref="L122">IFERROR(INDEX(B:B,SMALL(IF($B$2:$B$149=$K$1,ROW($B$2:$B$149)),ROWS(L$2:L122))),"")</f>
        <v/>
      </c>
      <c r="M122" s="52" t="str">
        <f t="array" ref="M122">IFERROR(INDEX(#REF!,SMALL(IF($B$2:$B$149=$K$1,ROW($B$2:$B$149)),ROWS(M$2:M122))),"")</f>
        <v/>
      </c>
      <c r="N122" s="52" t="str">
        <f t="array" ref="N122">IFERROR(INDEX(C:C,SMALL(IF($B$2:$B$149=$K$1,ROW($B$2:$B$149)),ROWS(N$2:N122))),"")</f>
        <v/>
      </c>
      <c r="O122" s="52" t="str">
        <f t="array" ref="O122">IFERROR(INDEX(D:D,SMALL(IF($B$2:$B$149=$K$1,ROW($B$2:$B$149)),ROWS(O$2:O122))),"")</f>
        <v/>
      </c>
      <c r="P122" s="52" t="str">
        <f t="array" ref="P122">IFERROR(INDEX(E:E,SMALL(IF($B$2:$B$149=$K$1,ROW($B$2:$B$149)),ROWS(P$2:P122))),"")</f>
        <v/>
      </c>
      <c r="Q122" s="52" t="str">
        <f t="array" ref="Q122">IFERROR(INDEX(F:F,SMALL(IF($B$2:$B$149=$K$1,ROW($B$2:$B$149)),ROWS(Q$2:Q122))),"")</f>
        <v/>
      </c>
      <c r="R122" s="52" t="str">
        <f t="array" ref="R122">IFERROR(INDEX(G:G,SMALL(IF($B$2:$B$149=$K$1,ROW($B$2:$B$149)),ROWS(R$2:R122))),"")</f>
        <v/>
      </c>
      <c r="S122" s="52" t="str">
        <f t="array" ref="S122">IFERROR(INDEX(H:H,SMALL(IF($B$2:$B$149=$K$1,ROW($B$2:$B$149)),ROWS(S$2:S122))),"")</f>
        <v/>
      </c>
      <c r="Y122" s="55" t="str">
        <f>IFERROR(""&amp;VLOOKUP($C122,'LISTE A SAISIR'!$E$4:$L$19,3,0),"")</f>
        <v/>
      </c>
      <c r="Z122" s="55" t="str">
        <f>IFERROR(""&amp;VLOOKUP($C122,'LISTE A SAISIR'!$E$4:$L$19,5,0),"")</f>
        <v/>
      </c>
      <c r="AA122" s="55" t="str">
        <f>IFERROR(""&amp;VLOOKUP($C122,'LISTE A SAISIR'!$E$4:$L$19,7,0),"")</f>
        <v/>
      </c>
      <c r="AB122" s="55" t="str">
        <f>IFERROR(""&amp;VLOOKUP($C122,'LISTE A SAISIR'!$E$4:$N$19,9,0),"")</f>
        <v/>
      </c>
      <c r="AD122" s="56" t="str">
        <f t="array" ref="AD122">IFERROR(INDEX($A122:$AB122,SMALL(IF(NOT(COUNTIF($AC122:AC122,$Y122:$AB122)),COLUMN($Y122:$AB122)),1)),"")</f>
        <v/>
      </c>
      <c r="AE122" s="56" t="str">
        <f t="array" ref="AE122">IFERROR(INDEX($A122:$AB122,SMALL(IF(NOT(COUNTIF($AC122:AD122,$Y122:$AB122)),COLUMN($Y122:$AB122)),1)),"")</f>
        <v/>
      </c>
      <c r="AF122" s="56" t="str">
        <f t="array" ref="AF122">IFERROR(INDEX($A122:$AB122,SMALL(IF(NOT(COUNTIF($AC122:AE122,$Y122:$AB122)),COLUMN($Y122:$AB122)),1)),"")</f>
        <v/>
      </c>
      <c r="AG122" s="56" t="str">
        <f t="array" ref="AG122">IFERROR(INDEX($A122:$AB122,SMALL(IF(NOT(COUNTIF($AC122:AF122,$Y122:$AB122)),COLUMN($Y122:$AB122)),1)),"")</f>
        <v/>
      </c>
    </row>
    <row r="123" spans="1:33">
      <c r="A123" s="52">
        <v>122</v>
      </c>
      <c r="B123" s="4"/>
      <c r="C123" s="1"/>
      <c r="D123" s="52" t="str">
        <f>IFERROR(VLOOKUP($C123,'LISTE A SAISIR'!$E$4:$N$19,2,0),"")</f>
        <v/>
      </c>
      <c r="E123" s="1"/>
      <c r="F123" s="53" t="str">
        <f>IFERROR(VLOOKUP($C123,'LISTE A SAISIR'!$E$4:$N$19,2+2*MATCH(E123,Y123:AB123,0),0),"")</f>
        <v/>
      </c>
      <c r="G123" s="1"/>
      <c r="H123" s="1"/>
      <c r="I123" s="58">
        <f t="shared" si="3"/>
        <v>0</v>
      </c>
      <c r="L123" s="52" t="str">
        <f t="array" ref="L123">IFERROR(INDEX(B:B,SMALL(IF($B$2:$B$149=$K$1,ROW($B$2:$B$149)),ROWS(L$2:L123))),"")</f>
        <v/>
      </c>
      <c r="M123" s="52" t="str">
        <f t="array" ref="M123">IFERROR(INDEX(#REF!,SMALL(IF($B$2:$B$149=$K$1,ROW($B$2:$B$149)),ROWS(M$2:M123))),"")</f>
        <v/>
      </c>
      <c r="N123" s="52" t="str">
        <f t="array" ref="N123">IFERROR(INDEX(C:C,SMALL(IF($B$2:$B$149=$K$1,ROW($B$2:$B$149)),ROWS(N$2:N123))),"")</f>
        <v/>
      </c>
      <c r="O123" s="52" t="str">
        <f t="array" ref="O123">IFERROR(INDEX(D:D,SMALL(IF($B$2:$B$149=$K$1,ROW($B$2:$B$149)),ROWS(O$2:O123))),"")</f>
        <v/>
      </c>
      <c r="P123" s="52" t="str">
        <f t="array" ref="P123">IFERROR(INDEX(E:E,SMALL(IF($B$2:$B$149=$K$1,ROW($B$2:$B$149)),ROWS(P$2:P123))),"")</f>
        <v/>
      </c>
      <c r="Q123" s="52" t="str">
        <f t="array" ref="Q123">IFERROR(INDEX(F:F,SMALL(IF($B$2:$B$149=$K$1,ROW($B$2:$B$149)),ROWS(Q$2:Q123))),"")</f>
        <v/>
      </c>
      <c r="R123" s="52" t="str">
        <f t="array" ref="R123">IFERROR(INDEX(G:G,SMALL(IF($B$2:$B$149=$K$1,ROW($B$2:$B$149)),ROWS(R$2:R123))),"")</f>
        <v/>
      </c>
      <c r="S123" s="52" t="str">
        <f t="array" ref="S123">IFERROR(INDEX(H:H,SMALL(IF($B$2:$B$149=$K$1,ROW($B$2:$B$149)),ROWS(S$2:S123))),"")</f>
        <v/>
      </c>
      <c r="Y123" s="55" t="str">
        <f>IFERROR(""&amp;VLOOKUP($C123,'LISTE A SAISIR'!$E$4:$L$19,3,0),"")</f>
        <v/>
      </c>
      <c r="Z123" s="55" t="str">
        <f>IFERROR(""&amp;VLOOKUP($C123,'LISTE A SAISIR'!$E$4:$L$19,5,0),"")</f>
        <v/>
      </c>
      <c r="AA123" s="55" t="str">
        <f>IFERROR(""&amp;VLOOKUP($C123,'LISTE A SAISIR'!$E$4:$L$19,7,0),"")</f>
        <v/>
      </c>
      <c r="AB123" s="55" t="str">
        <f>IFERROR(""&amp;VLOOKUP($C123,'LISTE A SAISIR'!$E$4:$N$19,9,0),"")</f>
        <v/>
      </c>
      <c r="AD123" s="56" t="str">
        <f t="array" ref="AD123">IFERROR(INDEX($A123:$AB123,SMALL(IF(NOT(COUNTIF($AC123:AC123,$Y123:$AB123)),COLUMN($Y123:$AB123)),1)),"")</f>
        <v/>
      </c>
      <c r="AE123" s="56" t="str">
        <f t="array" ref="AE123">IFERROR(INDEX($A123:$AB123,SMALL(IF(NOT(COUNTIF($AC123:AD123,$Y123:$AB123)),COLUMN($Y123:$AB123)),1)),"")</f>
        <v/>
      </c>
      <c r="AF123" s="56" t="str">
        <f t="array" ref="AF123">IFERROR(INDEX($A123:$AB123,SMALL(IF(NOT(COUNTIF($AC123:AE123,$Y123:$AB123)),COLUMN($Y123:$AB123)),1)),"")</f>
        <v/>
      </c>
      <c r="AG123" s="56" t="str">
        <f t="array" ref="AG123">IFERROR(INDEX($A123:$AB123,SMALL(IF(NOT(COUNTIF($AC123:AF123,$Y123:$AB123)),COLUMN($Y123:$AB123)),1)),"")</f>
        <v/>
      </c>
    </row>
    <row r="124" spans="1:33">
      <c r="A124" s="52">
        <v>123</v>
      </c>
      <c r="B124" s="6"/>
      <c r="C124" s="7"/>
      <c r="D124" s="53" t="str">
        <f>IFERROR(VLOOKUP($C124,'LISTE A SAISIR'!$E$4:$N$19,2,0),"")</f>
        <v/>
      </c>
      <c r="E124" s="1"/>
      <c r="F124" s="53" t="str">
        <f>IFERROR(VLOOKUP($C124,'LISTE A SAISIR'!$E$4:$N$19,2+2*MATCH(E124,Y124:AB124,0),0),"")</f>
        <v/>
      </c>
      <c r="G124" s="1"/>
      <c r="H124" s="7"/>
      <c r="I124" s="53">
        <f t="shared" si="3"/>
        <v>0</v>
      </c>
      <c r="L124" s="52" t="str">
        <f t="array" ref="L124">IFERROR(INDEX(B:B,SMALL(IF($B$2:$B$149=$K$1,ROW($B$2:$B$149)),ROWS(L$2:L124))),"")</f>
        <v/>
      </c>
      <c r="M124" s="52" t="str">
        <f t="array" ref="M124">IFERROR(INDEX(#REF!,SMALL(IF($B$2:$B$149=$K$1,ROW($B$2:$B$149)),ROWS(M$2:M124))),"")</f>
        <v/>
      </c>
      <c r="N124" s="52" t="str">
        <f t="array" ref="N124">IFERROR(INDEX(C:C,SMALL(IF($B$2:$B$149=$K$1,ROW($B$2:$B$149)),ROWS(N$2:N124))),"")</f>
        <v/>
      </c>
      <c r="O124" s="52" t="str">
        <f t="array" ref="O124">IFERROR(INDEX(D:D,SMALL(IF($B$2:$B$149=$K$1,ROW($B$2:$B$149)),ROWS(O$2:O124))),"")</f>
        <v/>
      </c>
      <c r="P124" s="52" t="str">
        <f t="array" ref="P124">IFERROR(INDEX(E:E,SMALL(IF($B$2:$B$149=$K$1,ROW($B$2:$B$149)),ROWS(P$2:P124))),"")</f>
        <v/>
      </c>
      <c r="Q124" s="52" t="str">
        <f t="array" ref="Q124">IFERROR(INDEX(F:F,SMALL(IF($B$2:$B$149=$K$1,ROW($B$2:$B$149)),ROWS(Q$2:Q124))),"")</f>
        <v/>
      </c>
      <c r="R124" s="52" t="str">
        <f t="array" ref="R124">IFERROR(INDEX(G:G,SMALL(IF($B$2:$B$149=$K$1,ROW($B$2:$B$149)),ROWS(R$2:R124))),"")</f>
        <v/>
      </c>
      <c r="S124" s="52" t="str">
        <f t="array" ref="S124">IFERROR(INDEX(H:H,SMALL(IF($B$2:$B$149=$K$1,ROW($B$2:$B$149)),ROWS(S$2:S124))),"")</f>
        <v/>
      </c>
      <c r="Y124" s="55" t="str">
        <f>IFERROR(""&amp;VLOOKUP($C124,'LISTE A SAISIR'!$E$4:$L$19,3,0),"")</f>
        <v/>
      </c>
      <c r="Z124" s="55" t="str">
        <f>IFERROR(""&amp;VLOOKUP($C124,'LISTE A SAISIR'!$E$4:$L$19,5,0),"")</f>
        <v/>
      </c>
      <c r="AA124" s="55" t="str">
        <f>IFERROR(""&amp;VLOOKUP($C124,'LISTE A SAISIR'!$E$4:$L$19,7,0),"")</f>
        <v/>
      </c>
      <c r="AB124" s="55" t="str">
        <f>IFERROR(""&amp;VLOOKUP($C124,'LISTE A SAISIR'!$E$4:$N$19,9,0),"")</f>
        <v/>
      </c>
      <c r="AD124" s="56" t="str">
        <f t="array" ref="AD124">IFERROR(INDEX($A124:$AB124,SMALL(IF(NOT(COUNTIF($AC124:AC124,$Y124:$AB124)),COLUMN($Y124:$AB124)),1)),"")</f>
        <v/>
      </c>
      <c r="AE124" s="56" t="str">
        <f t="array" ref="AE124">IFERROR(INDEX($A124:$AB124,SMALL(IF(NOT(COUNTIF($AC124:AD124,$Y124:$AB124)),COLUMN($Y124:$AB124)),1)),"")</f>
        <v/>
      </c>
      <c r="AF124" s="56" t="str">
        <f t="array" ref="AF124">IFERROR(INDEX($A124:$AB124,SMALL(IF(NOT(COUNTIF($AC124:AE124,$Y124:$AB124)),COLUMN($Y124:$AB124)),1)),"")</f>
        <v/>
      </c>
      <c r="AG124" s="56" t="str">
        <f t="array" ref="AG124">IFERROR(INDEX($A124:$AB124,SMALL(IF(NOT(COUNTIF($AC124:AF124,$Y124:$AB124)),COLUMN($Y124:$AB124)),1)),"")</f>
        <v/>
      </c>
    </row>
    <row r="125" spans="1:33">
      <c r="A125" s="52">
        <v>124</v>
      </c>
      <c r="B125" s="4"/>
      <c r="C125" s="1"/>
      <c r="D125" s="52" t="str">
        <f>IFERROR(VLOOKUP($C125,'LISTE A SAISIR'!$E$4:$N$19,2,0),"")</f>
        <v/>
      </c>
      <c r="E125" s="1"/>
      <c r="F125" s="53" t="str">
        <f>IFERROR(VLOOKUP($C125,'LISTE A SAISIR'!$E$4:$N$19,2+2*MATCH(E125,Y125:AB125,0),0),"")</f>
        <v/>
      </c>
      <c r="G125" s="1"/>
      <c r="H125" s="1"/>
      <c r="I125" s="58">
        <f t="shared" si="3"/>
        <v>0</v>
      </c>
      <c r="L125" s="52" t="str">
        <f t="array" ref="L125">IFERROR(INDEX(B:B,SMALL(IF($B$2:$B$149=$K$1,ROW($B$2:$B$149)),ROWS(L$2:L125))),"")</f>
        <v/>
      </c>
      <c r="M125" s="52" t="str">
        <f t="array" ref="M125">IFERROR(INDEX(#REF!,SMALL(IF($B$2:$B$149=$K$1,ROW($B$2:$B$149)),ROWS(M$2:M125))),"")</f>
        <v/>
      </c>
      <c r="N125" s="52" t="str">
        <f t="array" ref="N125">IFERROR(INDEX(C:C,SMALL(IF($B$2:$B$149=$K$1,ROW($B$2:$B$149)),ROWS(N$2:N125))),"")</f>
        <v/>
      </c>
      <c r="O125" s="52" t="str">
        <f t="array" ref="O125">IFERROR(INDEX(D:D,SMALL(IF($B$2:$B$149=$K$1,ROW($B$2:$B$149)),ROWS(O$2:O125))),"")</f>
        <v/>
      </c>
      <c r="P125" s="52" t="str">
        <f t="array" ref="P125">IFERROR(INDEX(E:E,SMALL(IF($B$2:$B$149=$K$1,ROW($B$2:$B$149)),ROWS(P$2:P125))),"")</f>
        <v/>
      </c>
      <c r="Q125" s="52" t="str">
        <f t="array" ref="Q125">IFERROR(INDEX(F:F,SMALL(IF($B$2:$B$149=$K$1,ROW($B$2:$B$149)),ROWS(Q$2:Q125))),"")</f>
        <v/>
      </c>
      <c r="R125" s="52" t="str">
        <f t="array" ref="R125">IFERROR(INDEX(G:G,SMALL(IF($B$2:$B$149=$K$1,ROW($B$2:$B$149)),ROWS(R$2:R125))),"")</f>
        <v/>
      </c>
      <c r="S125" s="52" t="str">
        <f t="array" ref="S125">IFERROR(INDEX(H:H,SMALL(IF($B$2:$B$149=$K$1,ROW($B$2:$B$149)),ROWS(S$2:S125))),"")</f>
        <v/>
      </c>
      <c r="Y125" s="55" t="str">
        <f>IFERROR(""&amp;VLOOKUP($C125,'LISTE A SAISIR'!$E$4:$L$19,3,0),"")</f>
        <v/>
      </c>
      <c r="Z125" s="55" t="str">
        <f>IFERROR(""&amp;VLOOKUP($C125,'LISTE A SAISIR'!$E$4:$L$19,5,0),"")</f>
        <v/>
      </c>
      <c r="AA125" s="55" t="str">
        <f>IFERROR(""&amp;VLOOKUP($C125,'LISTE A SAISIR'!$E$4:$L$19,7,0),"")</f>
        <v/>
      </c>
      <c r="AB125" s="55" t="str">
        <f>IFERROR(""&amp;VLOOKUP($C125,'LISTE A SAISIR'!$E$4:$N$19,9,0),"")</f>
        <v/>
      </c>
      <c r="AD125" s="56" t="str">
        <f t="array" ref="AD125">IFERROR(INDEX($A125:$AB125,SMALL(IF(NOT(COUNTIF($AC125:AC125,$Y125:$AB125)),COLUMN($Y125:$AB125)),1)),"")</f>
        <v/>
      </c>
      <c r="AE125" s="56" t="str">
        <f t="array" ref="AE125">IFERROR(INDEX($A125:$AB125,SMALL(IF(NOT(COUNTIF($AC125:AD125,$Y125:$AB125)),COLUMN($Y125:$AB125)),1)),"")</f>
        <v/>
      </c>
      <c r="AF125" s="56" t="str">
        <f t="array" ref="AF125">IFERROR(INDEX($A125:$AB125,SMALL(IF(NOT(COUNTIF($AC125:AE125,$Y125:$AB125)),COLUMN($Y125:$AB125)),1)),"")</f>
        <v/>
      </c>
      <c r="AG125" s="56" t="str">
        <f t="array" ref="AG125">IFERROR(INDEX($A125:$AB125,SMALL(IF(NOT(COUNTIF($AC125:AF125,$Y125:$AB125)),COLUMN($Y125:$AB125)),1)),"")</f>
        <v/>
      </c>
    </row>
    <row r="126" spans="1:33">
      <c r="A126" s="52">
        <v>125</v>
      </c>
      <c r="B126" s="6"/>
      <c r="C126" s="7"/>
      <c r="D126" s="53" t="str">
        <f>IFERROR(VLOOKUP($C126,'LISTE A SAISIR'!$E$4:$N$19,2,0),"")</f>
        <v/>
      </c>
      <c r="E126" s="1"/>
      <c r="F126" s="53" t="str">
        <f>IFERROR(VLOOKUP($C126,'LISTE A SAISIR'!$E$4:$N$19,2+2*MATCH(E126,Y126:AB126,0),0),"")</f>
        <v/>
      </c>
      <c r="G126" s="1"/>
      <c r="H126" s="7"/>
      <c r="I126" s="53">
        <f t="shared" si="3"/>
        <v>0</v>
      </c>
      <c r="L126" s="52" t="str">
        <f t="array" ref="L126">IFERROR(INDEX(B:B,SMALL(IF($B$2:$B$149=$K$1,ROW($B$2:$B$149)),ROWS(L$2:L126))),"")</f>
        <v/>
      </c>
      <c r="M126" s="52" t="str">
        <f t="array" ref="M126">IFERROR(INDEX(#REF!,SMALL(IF($B$2:$B$149=$K$1,ROW($B$2:$B$149)),ROWS(M$2:M126))),"")</f>
        <v/>
      </c>
      <c r="N126" s="52" t="str">
        <f t="array" ref="N126">IFERROR(INDEX(C:C,SMALL(IF($B$2:$B$149=$K$1,ROW($B$2:$B$149)),ROWS(N$2:N126))),"")</f>
        <v/>
      </c>
      <c r="O126" s="52" t="str">
        <f t="array" ref="O126">IFERROR(INDEX(D:D,SMALL(IF($B$2:$B$149=$K$1,ROW($B$2:$B$149)),ROWS(O$2:O126))),"")</f>
        <v/>
      </c>
      <c r="P126" s="52" t="str">
        <f t="array" ref="P126">IFERROR(INDEX(E:E,SMALL(IF($B$2:$B$149=$K$1,ROW($B$2:$B$149)),ROWS(P$2:P126))),"")</f>
        <v/>
      </c>
      <c r="Q126" s="52" t="str">
        <f t="array" ref="Q126">IFERROR(INDEX(F:F,SMALL(IF($B$2:$B$149=$K$1,ROW($B$2:$B$149)),ROWS(Q$2:Q126))),"")</f>
        <v/>
      </c>
      <c r="R126" s="52" t="str">
        <f t="array" ref="R126">IFERROR(INDEX(G:G,SMALL(IF($B$2:$B$149=$K$1,ROW($B$2:$B$149)),ROWS(R$2:R126))),"")</f>
        <v/>
      </c>
      <c r="S126" s="52" t="str">
        <f t="array" ref="S126">IFERROR(INDEX(H:H,SMALL(IF($B$2:$B$149=$K$1,ROW($B$2:$B$149)),ROWS(S$2:S126))),"")</f>
        <v/>
      </c>
      <c r="Y126" s="55" t="str">
        <f>IFERROR(""&amp;VLOOKUP($C126,'LISTE A SAISIR'!$E$4:$L$19,3,0),"")</f>
        <v/>
      </c>
      <c r="Z126" s="55" t="str">
        <f>IFERROR(""&amp;VLOOKUP($C126,'LISTE A SAISIR'!$E$4:$L$19,5,0),"")</f>
        <v/>
      </c>
      <c r="AA126" s="55" t="str">
        <f>IFERROR(""&amp;VLOOKUP($C126,'LISTE A SAISIR'!$E$4:$L$19,7,0),"")</f>
        <v/>
      </c>
      <c r="AB126" s="55" t="str">
        <f>IFERROR(""&amp;VLOOKUP($C126,'LISTE A SAISIR'!$E$4:$N$19,9,0),"")</f>
        <v/>
      </c>
      <c r="AD126" s="56" t="str">
        <f t="array" ref="AD126">IFERROR(INDEX($A126:$AB126,SMALL(IF(NOT(COUNTIF($AC126:AC126,$Y126:$AB126)),COLUMN($Y126:$AB126)),1)),"")</f>
        <v/>
      </c>
      <c r="AE126" s="56" t="str">
        <f t="array" ref="AE126">IFERROR(INDEX($A126:$AB126,SMALL(IF(NOT(COUNTIF($AC126:AD126,$Y126:$AB126)),COLUMN($Y126:$AB126)),1)),"")</f>
        <v/>
      </c>
      <c r="AF126" s="56" t="str">
        <f t="array" ref="AF126">IFERROR(INDEX($A126:$AB126,SMALL(IF(NOT(COUNTIF($AC126:AE126,$Y126:$AB126)),COLUMN($Y126:$AB126)),1)),"")</f>
        <v/>
      </c>
      <c r="AG126" s="56" t="str">
        <f t="array" ref="AG126">IFERROR(INDEX($A126:$AB126,SMALL(IF(NOT(COUNTIF($AC126:AF126,$Y126:$AB126)),COLUMN($Y126:$AB126)),1)),"")</f>
        <v/>
      </c>
    </row>
    <row r="127" spans="1:33">
      <c r="A127" s="52">
        <v>126</v>
      </c>
      <c r="B127" s="4"/>
      <c r="C127" s="1"/>
      <c r="D127" s="52" t="str">
        <f>IFERROR(VLOOKUP($C127,'LISTE A SAISIR'!$E$4:$N$19,2,0),"")</f>
        <v/>
      </c>
      <c r="E127" s="1"/>
      <c r="F127" s="53" t="str">
        <f>IFERROR(VLOOKUP($C127,'LISTE A SAISIR'!$E$4:$N$19,2+2*MATCH(E127,Y127:AB127,0),0),"")</f>
        <v/>
      </c>
      <c r="G127" s="1"/>
      <c r="H127" s="1"/>
      <c r="I127" s="58">
        <f t="shared" si="3"/>
        <v>0</v>
      </c>
      <c r="L127" s="52" t="str">
        <f t="array" ref="L127">IFERROR(INDEX(B:B,SMALL(IF($B$2:$B$149=$K$1,ROW($B$2:$B$149)),ROWS(L$2:L127))),"")</f>
        <v/>
      </c>
      <c r="M127" s="52" t="str">
        <f t="array" ref="M127">IFERROR(INDEX(#REF!,SMALL(IF($B$2:$B$149=$K$1,ROW($B$2:$B$149)),ROWS(M$2:M127))),"")</f>
        <v/>
      </c>
      <c r="N127" s="52" t="str">
        <f t="array" ref="N127">IFERROR(INDEX(C:C,SMALL(IF($B$2:$B$149=$K$1,ROW($B$2:$B$149)),ROWS(N$2:N127))),"")</f>
        <v/>
      </c>
      <c r="O127" s="52" t="str">
        <f t="array" ref="O127">IFERROR(INDEX(D:D,SMALL(IF($B$2:$B$149=$K$1,ROW($B$2:$B$149)),ROWS(O$2:O127))),"")</f>
        <v/>
      </c>
      <c r="P127" s="52" t="str">
        <f t="array" ref="P127">IFERROR(INDEX(E:E,SMALL(IF($B$2:$B$149=$K$1,ROW($B$2:$B$149)),ROWS(P$2:P127))),"")</f>
        <v/>
      </c>
      <c r="Q127" s="52" t="str">
        <f t="array" ref="Q127">IFERROR(INDEX(F:F,SMALL(IF($B$2:$B$149=$K$1,ROW($B$2:$B$149)),ROWS(Q$2:Q127))),"")</f>
        <v/>
      </c>
      <c r="R127" s="52" t="str">
        <f t="array" ref="R127">IFERROR(INDEX(G:G,SMALL(IF($B$2:$B$149=$K$1,ROW($B$2:$B$149)),ROWS(R$2:R127))),"")</f>
        <v/>
      </c>
      <c r="S127" s="52" t="str">
        <f t="array" ref="S127">IFERROR(INDEX(H:H,SMALL(IF($B$2:$B$149=$K$1,ROW($B$2:$B$149)),ROWS(S$2:S127))),"")</f>
        <v/>
      </c>
      <c r="Y127" s="55" t="str">
        <f>IFERROR(""&amp;VLOOKUP($C127,'LISTE A SAISIR'!$E$4:$L$19,3,0),"")</f>
        <v/>
      </c>
      <c r="Z127" s="55" t="str">
        <f>IFERROR(""&amp;VLOOKUP($C127,'LISTE A SAISIR'!$E$4:$L$19,5,0),"")</f>
        <v/>
      </c>
      <c r="AA127" s="55" t="str">
        <f>IFERROR(""&amp;VLOOKUP($C127,'LISTE A SAISIR'!$E$4:$L$19,7,0),"")</f>
        <v/>
      </c>
      <c r="AB127" s="55" t="str">
        <f>IFERROR(""&amp;VLOOKUP($C127,'LISTE A SAISIR'!$E$4:$N$19,9,0),"")</f>
        <v/>
      </c>
      <c r="AD127" s="56" t="str">
        <f t="array" ref="AD127">IFERROR(INDEX($A127:$AB127,SMALL(IF(NOT(COUNTIF($AC127:AC127,$Y127:$AB127)),COLUMN($Y127:$AB127)),1)),"")</f>
        <v/>
      </c>
      <c r="AE127" s="56" t="str">
        <f t="array" ref="AE127">IFERROR(INDEX($A127:$AB127,SMALL(IF(NOT(COUNTIF($AC127:AD127,$Y127:$AB127)),COLUMN($Y127:$AB127)),1)),"")</f>
        <v/>
      </c>
      <c r="AF127" s="56" t="str">
        <f t="array" ref="AF127">IFERROR(INDEX($A127:$AB127,SMALL(IF(NOT(COUNTIF($AC127:AE127,$Y127:$AB127)),COLUMN($Y127:$AB127)),1)),"")</f>
        <v/>
      </c>
      <c r="AG127" s="56" t="str">
        <f t="array" ref="AG127">IFERROR(INDEX($A127:$AB127,SMALL(IF(NOT(COUNTIF($AC127:AF127,$Y127:$AB127)),COLUMN($Y127:$AB127)),1)),"")</f>
        <v/>
      </c>
    </row>
    <row r="128" spans="1:33">
      <c r="A128" s="52">
        <v>127</v>
      </c>
      <c r="B128" s="6"/>
      <c r="C128" s="7"/>
      <c r="D128" s="53" t="str">
        <f>IFERROR(VLOOKUP($C128,'LISTE A SAISIR'!$E$4:$N$19,2,0),"")</f>
        <v/>
      </c>
      <c r="E128" s="1"/>
      <c r="F128" s="53" t="str">
        <f>IFERROR(VLOOKUP($C128,'LISTE A SAISIR'!$E$4:$N$19,2+2*MATCH(E128,Y128:AB128,0),0),"")</f>
        <v/>
      </c>
      <c r="G128" s="1"/>
      <c r="H128" s="7"/>
      <c r="I128" s="53">
        <f t="shared" si="3"/>
        <v>0</v>
      </c>
      <c r="L128" s="52" t="str">
        <f t="array" ref="L128">IFERROR(INDEX(B:B,SMALL(IF($B$2:$B$149=$K$1,ROW($B$2:$B$149)),ROWS(L$2:L128))),"")</f>
        <v/>
      </c>
      <c r="M128" s="52" t="str">
        <f t="array" ref="M128">IFERROR(INDEX(#REF!,SMALL(IF($B$2:$B$149=$K$1,ROW($B$2:$B$149)),ROWS(M$2:M128))),"")</f>
        <v/>
      </c>
      <c r="N128" s="52" t="str">
        <f t="array" ref="N128">IFERROR(INDEX(C:C,SMALL(IF($B$2:$B$149=$K$1,ROW($B$2:$B$149)),ROWS(N$2:N128))),"")</f>
        <v/>
      </c>
      <c r="O128" s="52" t="str">
        <f t="array" ref="O128">IFERROR(INDEX(D:D,SMALL(IF($B$2:$B$149=$K$1,ROW($B$2:$B$149)),ROWS(O$2:O128))),"")</f>
        <v/>
      </c>
      <c r="P128" s="52" t="str">
        <f t="array" ref="P128">IFERROR(INDEX(E:E,SMALL(IF($B$2:$B$149=$K$1,ROW($B$2:$B$149)),ROWS(P$2:P128))),"")</f>
        <v/>
      </c>
      <c r="Q128" s="52" t="str">
        <f t="array" ref="Q128">IFERROR(INDEX(F:F,SMALL(IF($B$2:$B$149=$K$1,ROW($B$2:$B$149)),ROWS(Q$2:Q128))),"")</f>
        <v/>
      </c>
      <c r="R128" s="52" t="str">
        <f t="array" ref="R128">IFERROR(INDEX(G:G,SMALL(IF($B$2:$B$149=$K$1,ROW($B$2:$B$149)),ROWS(R$2:R128))),"")</f>
        <v/>
      </c>
      <c r="S128" s="52" t="str">
        <f t="array" ref="S128">IFERROR(INDEX(H:H,SMALL(IF($B$2:$B$149=$K$1,ROW($B$2:$B$149)),ROWS(S$2:S128))),"")</f>
        <v/>
      </c>
      <c r="Y128" s="55" t="str">
        <f>IFERROR(""&amp;VLOOKUP($C128,'LISTE A SAISIR'!$E$4:$L$19,3,0),"")</f>
        <v/>
      </c>
      <c r="Z128" s="55" t="str">
        <f>IFERROR(""&amp;VLOOKUP($C128,'LISTE A SAISIR'!$E$4:$L$19,5,0),"")</f>
        <v/>
      </c>
      <c r="AA128" s="55" t="str">
        <f>IFERROR(""&amp;VLOOKUP($C128,'LISTE A SAISIR'!$E$4:$L$19,7,0),"")</f>
        <v/>
      </c>
      <c r="AB128" s="55" t="str">
        <f>IFERROR(""&amp;VLOOKUP($C128,'LISTE A SAISIR'!$E$4:$N$19,9,0),"")</f>
        <v/>
      </c>
      <c r="AD128" s="56" t="str">
        <f t="array" ref="AD128">IFERROR(INDEX($A128:$AB128,SMALL(IF(NOT(COUNTIF($AC128:AC128,$Y128:$AB128)),COLUMN($Y128:$AB128)),1)),"")</f>
        <v/>
      </c>
      <c r="AE128" s="56" t="str">
        <f t="array" ref="AE128">IFERROR(INDEX($A128:$AB128,SMALL(IF(NOT(COUNTIF($AC128:AD128,$Y128:$AB128)),COLUMN($Y128:$AB128)),1)),"")</f>
        <v/>
      </c>
      <c r="AF128" s="56" t="str">
        <f t="array" ref="AF128">IFERROR(INDEX($A128:$AB128,SMALL(IF(NOT(COUNTIF($AC128:AE128,$Y128:$AB128)),COLUMN($Y128:$AB128)),1)),"")</f>
        <v/>
      </c>
      <c r="AG128" s="56" t="str">
        <f t="array" ref="AG128">IFERROR(INDEX($A128:$AB128,SMALL(IF(NOT(COUNTIF($AC128:AF128,$Y128:$AB128)),COLUMN($Y128:$AB128)),1)),"")</f>
        <v/>
      </c>
    </row>
    <row r="129" spans="1:33">
      <c r="A129" s="52">
        <v>128</v>
      </c>
      <c r="B129" s="4"/>
      <c r="C129" s="1"/>
      <c r="D129" s="52" t="str">
        <f>IFERROR(VLOOKUP($C129,'LISTE A SAISIR'!$E$4:$N$19,2,0),"")</f>
        <v/>
      </c>
      <c r="E129" s="1"/>
      <c r="F129" s="53" t="str">
        <f>IFERROR(VLOOKUP($C129,'LISTE A SAISIR'!$E$4:$N$19,2+2*MATCH(E129,Y129:AB129,0),0),"")</f>
        <v/>
      </c>
      <c r="G129" s="1"/>
      <c r="H129" s="1"/>
      <c r="I129" s="58">
        <f t="shared" si="3"/>
        <v>0</v>
      </c>
      <c r="L129" s="52" t="str">
        <f t="array" ref="L129">IFERROR(INDEX(B:B,SMALL(IF($B$2:$B$149=$K$1,ROW($B$2:$B$149)),ROWS(L$2:L129))),"")</f>
        <v/>
      </c>
      <c r="M129" s="52" t="str">
        <f t="array" ref="M129">IFERROR(INDEX(#REF!,SMALL(IF($B$2:$B$149=$K$1,ROW($B$2:$B$149)),ROWS(M$2:M129))),"")</f>
        <v/>
      </c>
      <c r="N129" s="52" t="str">
        <f t="array" ref="N129">IFERROR(INDEX(C:C,SMALL(IF($B$2:$B$149=$K$1,ROW($B$2:$B$149)),ROWS(N$2:N129))),"")</f>
        <v/>
      </c>
      <c r="O129" s="52" t="str">
        <f t="array" ref="O129">IFERROR(INDEX(D:D,SMALL(IF($B$2:$B$149=$K$1,ROW($B$2:$B$149)),ROWS(O$2:O129))),"")</f>
        <v/>
      </c>
      <c r="P129" s="52" t="str">
        <f t="array" ref="P129">IFERROR(INDEX(E:E,SMALL(IF($B$2:$B$149=$K$1,ROW($B$2:$B$149)),ROWS(P$2:P129))),"")</f>
        <v/>
      </c>
      <c r="Q129" s="52" t="str">
        <f t="array" ref="Q129">IFERROR(INDEX(F:F,SMALL(IF($B$2:$B$149=$K$1,ROW($B$2:$B$149)),ROWS(Q$2:Q129))),"")</f>
        <v/>
      </c>
      <c r="R129" s="52" t="str">
        <f t="array" ref="R129">IFERROR(INDEX(G:G,SMALL(IF($B$2:$B$149=$K$1,ROW($B$2:$B$149)),ROWS(R$2:R129))),"")</f>
        <v/>
      </c>
      <c r="S129" s="52" t="str">
        <f t="array" ref="S129">IFERROR(INDEX(H:H,SMALL(IF($B$2:$B$149=$K$1,ROW($B$2:$B$149)),ROWS(S$2:S129))),"")</f>
        <v/>
      </c>
      <c r="Y129" s="55" t="str">
        <f>IFERROR(""&amp;VLOOKUP($C129,'LISTE A SAISIR'!$E$4:$L$19,3,0),"")</f>
        <v/>
      </c>
      <c r="Z129" s="55" t="str">
        <f>IFERROR(""&amp;VLOOKUP($C129,'LISTE A SAISIR'!$E$4:$L$19,5,0),"")</f>
        <v/>
      </c>
      <c r="AA129" s="55" t="str">
        <f>IFERROR(""&amp;VLOOKUP($C129,'LISTE A SAISIR'!$E$4:$L$19,7,0),"")</f>
        <v/>
      </c>
      <c r="AB129" s="55" t="str">
        <f>IFERROR(""&amp;VLOOKUP($C129,'LISTE A SAISIR'!$E$4:$N$19,9,0),"")</f>
        <v/>
      </c>
      <c r="AD129" s="56" t="str">
        <f t="array" ref="AD129">IFERROR(INDEX($A129:$AB129,SMALL(IF(NOT(COUNTIF($AC129:AC129,$Y129:$AB129)),COLUMN($Y129:$AB129)),1)),"")</f>
        <v/>
      </c>
      <c r="AE129" s="56" t="str">
        <f t="array" ref="AE129">IFERROR(INDEX($A129:$AB129,SMALL(IF(NOT(COUNTIF($AC129:AD129,$Y129:$AB129)),COLUMN($Y129:$AB129)),1)),"")</f>
        <v/>
      </c>
      <c r="AF129" s="56" t="str">
        <f t="array" ref="AF129">IFERROR(INDEX($A129:$AB129,SMALL(IF(NOT(COUNTIF($AC129:AE129,$Y129:$AB129)),COLUMN($Y129:$AB129)),1)),"")</f>
        <v/>
      </c>
      <c r="AG129" s="56" t="str">
        <f t="array" ref="AG129">IFERROR(INDEX($A129:$AB129,SMALL(IF(NOT(COUNTIF($AC129:AF129,$Y129:$AB129)),COLUMN($Y129:$AB129)),1)),"")</f>
        <v/>
      </c>
    </row>
    <row r="130" spans="1:33">
      <c r="A130" s="52">
        <v>129</v>
      </c>
      <c r="B130" s="6"/>
      <c r="C130" s="7"/>
      <c r="D130" s="53" t="str">
        <f>IFERROR(VLOOKUP($C130,'LISTE A SAISIR'!$E$4:$N$19,2,0),"")</f>
        <v/>
      </c>
      <c r="E130" s="7"/>
      <c r="F130" s="53" t="str">
        <f>IFERROR(VLOOKUP($C130,'LISTE A SAISIR'!$E$4:$N$19,2+2*MATCH(E130,Y130:AB130,0),0),"")</f>
        <v/>
      </c>
      <c r="G130" s="1"/>
      <c r="H130" s="7"/>
      <c r="I130" s="53">
        <f t="shared" ref="I130:I149" si="4">COUNTIF($B$2:$B$149,B130)</f>
        <v>0</v>
      </c>
      <c r="L130" s="52" t="str">
        <f t="array" ref="L130">IFERROR(INDEX(B:B,SMALL(IF($B$2:$B$149=$K$1,ROW($B$2:$B$149)),ROWS(L$2:L130))),"")</f>
        <v/>
      </c>
      <c r="M130" s="52" t="str">
        <f t="array" ref="M130">IFERROR(INDEX(#REF!,SMALL(IF($B$2:$B$149=$K$1,ROW($B$2:$B$149)),ROWS(M$2:M130))),"")</f>
        <v/>
      </c>
      <c r="N130" s="52" t="str">
        <f t="array" ref="N130">IFERROR(INDEX(C:C,SMALL(IF($B$2:$B$149=$K$1,ROW($B$2:$B$149)),ROWS(N$2:N130))),"")</f>
        <v/>
      </c>
      <c r="O130" s="52" t="str">
        <f t="array" ref="O130">IFERROR(INDEX(D:D,SMALL(IF($B$2:$B$149=$K$1,ROW($B$2:$B$149)),ROWS(O$2:O130))),"")</f>
        <v/>
      </c>
      <c r="P130" s="52" t="str">
        <f t="array" ref="P130">IFERROR(INDEX(E:E,SMALL(IF($B$2:$B$149=$K$1,ROW($B$2:$B$149)),ROWS(P$2:P130))),"")</f>
        <v/>
      </c>
      <c r="Q130" s="52" t="str">
        <f t="array" ref="Q130">IFERROR(INDEX(F:F,SMALL(IF($B$2:$B$149=$K$1,ROW($B$2:$B$149)),ROWS(Q$2:Q130))),"")</f>
        <v/>
      </c>
      <c r="R130" s="52" t="str">
        <f t="array" ref="R130">IFERROR(INDEX(G:G,SMALL(IF($B$2:$B$149=$K$1,ROW($B$2:$B$149)),ROWS(R$2:R130))),"")</f>
        <v/>
      </c>
      <c r="S130" s="52" t="str">
        <f t="array" ref="S130">IFERROR(INDEX(H:H,SMALL(IF($B$2:$B$149=$K$1,ROW($B$2:$B$149)),ROWS(S$2:S130))),"")</f>
        <v/>
      </c>
      <c r="Y130" s="55" t="str">
        <f>IFERROR(""&amp;VLOOKUP($C130,'LISTE A SAISIR'!$E$4:$L$19,3,0),"")</f>
        <v/>
      </c>
      <c r="Z130" s="55" t="str">
        <f>IFERROR(""&amp;VLOOKUP($C130,'LISTE A SAISIR'!$E$4:$L$19,5,0),"")</f>
        <v/>
      </c>
      <c r="AA130" s="55" t="str">
        <f>IFERROR(""&amp;VLOOKUP($C130,'LISTE A SAISIR'!$E$4:$L$19,7,0),"")</f>
        <v/>
      </c>
      <c r="AB130" s="55" t="str">
        <f>IFERROR(""&amp;VLOOKUP($C130,'LISTE A SAISIR'!$E$4:$N$19,9,0),"")</f>
        <v/>
      </c>
      <c r="AD130" s="56" t="str">
        <f t="array" ref="AD130">IFERROR(INDEX($A130:$AB130,SMALL(IF(NOT(COUNTIF($AC130:AC130,$Y130:$AB130)),COLUMN($Y130:$AB130)),1)),"")</f>
        <v/>
      </c>
      <c r="AE130" s="56" t="str">
        <f t="array" ref="AE130">IFERROR(INDEX($A130:$AB130,SMALL(IF(NOT(COUNTIF($AC130:AD130,$Y130:$AB130)),COLUMN($Y130:$AB130)),1)),"")</f>
        <v/>
      </c>
      <c r="AF130" s="56" t="str">
        <f t="array" ref="AF130">IFERROR(INDEX($A130:$AB130,SMALL(IF(NOT(COUNTIF($AC130:AE130,$Y130:$AB130)),COLUMN($Y130:$AB130)),1)),"")</f>
        <v/>
      </c>
      <c r="AG130" s="56" t="str">
        <f t="array" ref="AG130">IFERROR(INDEX($A130:$AB130,SMALL(IF(NOT(COUNTIF($AC130:AF130,$Y130:$AB130)),COLUMN($Y130:$AB130)),1)),"")</f>
        <v/>
      </c>
    </row>
    <row r="131" spans="1:33">
      <c r="A131" s="52">
        <v>130</v>
      </c>
      <c r="B131" s="4"/>
      <c r="C131" s="1"/>
      <c r="D131" s="52" t="str">
        <f>IFERROR(VLOOKUP($C131,'LISTE A SAISIR'!$E$4:$N$19,2,0),"")</f>
        <v/>
      </c>
      <c r="E131" s="1"/>
      <c r="F131" s="53" t="str">
        <f>IFERROR(VLOOKUP($C131,'LISTE A SAISIR'!$E$4:$N$19,2+2*MATCH(E131,Y131:AB131,0),0),"")</f>
        <v/>
      </c>
      <c r="G131" s="1"/>
      <c r="H131" s="1"/>
      <c r="I131" s="58">
        <f t="shared" si="4"/>
        <v>0</v>
      </c>
      <c r="L131" s="52" t="str">
        <f t="array" ref="L131">IFERROR(INDEX(B:B,SMALL(IF($B$2:$B$149=$K$1,ROW($B$2:$B$149)),ROWS(L$2:L131))),"")</f>
        <v/>
      </c>
      <c r="M131" s="52" t="str">
        <f t="array" ref="M131">IFERROR(INDEX(#REF!,SMALL(IF($B$2:$B$149=$K$1,ROW($B$2:$B$149)),ROWS(M$2:M131))),"")</f>
        <v/>
      </c>
      <c r="N131" s="52" t="str">
        <f t="array" ref="N131">IFERROR(INDEX(C:C,SMALL(IF($B$2:$B$149=$K$1,ROW($B$2:$B$149)),ROWS(N$2:N131))),"")</f>
        <v/>
      </c>
      <c r="O131" s="52" t="str">
        <f t="array" ref="O131">IFERROR(INDEX(D:D,SMALL(IF($B$2:$B$149=$K$1,ROW($B$2:$B$149)),ROWS(O$2:O131))),"")</f>
        <v/>
      </c>
      <c r="P131" s="52" t="str">
        <f t="array" ref="P131">IFERROR(INDEX(E:E,SMALL(IF($B$2:$B$149=$K$1,ROW($B$2:$B$149)),ROWS(P$2:P131))),"")</f>
        <v/>
      </c>
      <c r="Q131" s="52" t="str">
        <f t="array" ref="Q131">IFERROR(INDEX(F:F,SMALL(IF($B$2:$B$149=$K$1,ROW($B$2:$B$149)),ROWS(Q$2:Q131))),"")</f>
        <v/>
      </c>
      <c r="R131" s="52" t="str">
        <f t="array" ref="R131">IFERROR(INDEX(G:G,SMALL(IF($B$2:$B$149=$K$1,ROW($B$2:$B$149)),ROWS(R$2:R131))),"")</f>
        <v/>
      </c>
      <c r="S131" s="52" t="str">
        <f t="array" ref="S131">IFERROR(INDEX(H:H,SMALL(IF($B$2:$B$149=$K$1,ROW($B$2:$B$149)),ROWS(S$2:S131))),"")</f>
        <v/>
      </c>
      <c r="Y131" s="55" t="str">
        <f>IFERROR(""&amp;VLOOKUP($C131,'LISTE A SAISIR'!$E$4:$L$19,3,0),"")</f>
        <v/>
      </c>
      <c r="Z131" s="55" t="str">
        <f>IFERROR(""&amp;VLOOKUP($C131,'LISTE A SAISIR'!$E$4:$L$19,5,0),"")</f>
        <v/>
      </c>
      <c r="AA131" s="55" t="str">
        <f>IFERROR(""&amp;VLOOKUP($C131,'LISTE A SAISIR'!$E$4:$L$19,7,0),"")</f>
        <v/>
      </c>
      <c r="AB131" s="55" t="str">
        <f>IFERROR(""&amp;VLOOKUP($C131,'LISTE A SAISIR'!$E$4:$N$19,9,0),"")</f>
        <v/>
      </c>
      <c r="AD131" s="56" t="str">
        <f t="array" ref="AD131">IFERROR(INDEX($A131:$AB131,SMALL(IF(NOT(COUNTIF($AC131:AC131,$Y131:$AB131)),COLUMN($Y131:$AB131)),1)),"")</f>
        <v/>
      </c>
      <c r="AE131" s="56" t="str">
        <f t="array" ref="AE131">IFERROR(INDEX($A131:$AB131,SMALL(IF(NOT(COUNTIF($AC131:AD131,$Y131:$AB131)),COLUMN($Y131:$AB131)),1)),"")</f>
        <v/>
      </c>
      <c r="AF131" s="56" t="str">
        <f t="array" ref="AF131">IFERROR(INDEX($A131:$AB131,SMALL(IF(NOT(COUNTIF($AC131:AE131,$Y131:$AB131)),COLUMN($Y131:$AB131)),1)),"")</f>
        <v/>
      </c>
      <c r="AG131" s="56" t="str">
        <f t="array" ref="AG131">IFERROR(INDEX($A131:$AB131,SMALL(IF(NOT(COUNTIF($AC131:AF131,$Y131:$AB131)),COLUMN($Y131:$AB131)),1)),"")</f>
        <v/>
      </c>
    </row>
    <row r="132" spans="1:33">
      <c r="A132" s="52">
        <v>131</v>
      </c>
      <c r="B132" s="6"/>
      <c r="C132" s="7"/>
      <c r="D132" s="53" t="str">
        <f>IFERROR(VLOOKUP($C132,'LISTE A SAISIR'!$E$4:$N$19,2,0),"")</f>
        <v/>
      </c>
      <c r="E132" s="7"/>
      <c r="F132" s="53" t="str">
        <f>IFERROR(VLOOKUP($C132,'LISTE A SAISIR'!$E$4:$N$19,2+2*MATCH(E132,Y132:AB132,0),0),"")</f>
        <v/>
      </c>
      <c r="G132" s="1"/>
      <c r="H132" s="7"/>
      <c r="I132" s="53">
        <f t="shared" si="4"/>
        <v>0</v>
      </c>
      <c r="L132" s="52" t="str">
        <f t="array" ref="L132">IFERROR(INDEX(B:B,SMALL(IF($B$2:$B$149=$K$1,ROW($B$2:$B$149)),ROWS(L$2:L132))),"")</f>
        <v/>
      </c>
      <c r="M132" s="52" t="str">
        <f t="array" ref="M132">IFERROR(INDEX(#REF!,SMALL(IF($B$2:$B$149=$K$1,ROW($B$2:$B$149)),ROWS(M$2:M132))),"")</f>
        <v/>
      </c>
      <c r="N132" s="52" t="str">
        <f t="array" ref="N132">IFERROR(INDEX(C:C,SMALL(IF($B$2:$B$149=$K$1,ROW($B$2:$B$149)),ROWS(N$2:N132))),"")</f>
        <v/>
      </c>
      <c r="O132" s="52" t="str">
        <f t="array" ref="O132">IFERROR(INDEX(D:D,SMALL(IF($B$2:$B$149=$K$1,ROW($B$2:$B$149)),ROWS(O$2:O132))),"")</f>
        <v/>
      </c>
      <c r="P132" s="52" t="str">
        <f t="array" ref="P132">IFERROR(INDEX(E:E,SMALL(IF($B$2:$B$149=$K$1,ROW($B$2:$B$149)),ROWS(P$2:P132))),"")</f>
        <v/>
      </c>
      <c r="Q132" s="52" t="str">
        <f t="array" ref="Q132">IFERROR(INDEX(F:F,SMALL(IF($B$2:$B$149=$K$1,ROW($B$2:$B$149)),ROWS(Q$2:Q132))),"")</f>
        <v/>
      </c>
      <c r="R132" s="52" t="str">
        <f t="array" ref="R132">IFERROR(INDEX(G:G,SMALL(IF($B$2:$B$149=$K$1,ROW($B$2:$B$149)),ROWS(R$2:R132))),"")</f>
        <v/>
      </c>
      <c r="S132" s="52" t="str">
        <f t="array" ref="S132">IFERROR(INDEX(H:H,SMALL(IF($B$2:$B$149=$K$1,ROW($B$2:$B$149)),ROWS(S$2:S132))),"")</f>
        <v/>
      </c>
      <c r="Y132" s="55" t="str">
        <f>IFERROR(""&amp;VLOOKUP($C132,'LISTE A SAISIR'!$E$4:$L$19,3,0),"")</f>
        <v/>
      </c>
      <c r="Z132" s="55" t="str">
        <f>IFERROR(""&amp;VLOOKUP($C132,'LISTE A SAISIR'!$E$4:$L$19,5,0),"")</f>
        <v/>
      </c>
      <c r="AA132" s="55" t="str">
        <f>IFERROR(""&amp;VLOOKUP($C132,'LISTE A SAISIR'!$E$4:$L$19,7,0),"")</f>
        <v/>
      </c>
      <c r="AB132" s="55" t="str">
        <f>IFERROR(""&amp;VLOOKUP($C132,'LISTE A SAISIR'!$E$4:$N$19,9,0),"")</f>
        <v/>
      </c>
      <c r="AD132" s="56" t="str">
        <f t="array" ref="AD132">IFERROR(INDEX($A132:$AB132,SMALL(IF(NOT(COUNTIF($AC132:AC132,$Y132:$AB132)),COLUMN($Y132:$AB132)),1)),"")</f>
        <v/>
      </c>
      <c r="AE132" s="56" t="str">
        <f t="array" ref="AE132">IFERROR(INDEX($A132:$AB132,SMALL(IF(NOT(COUNTIF($AC132:AD132,$Y132:$AB132)),COLUMN($Y132:$AB132)),1)),"")</f>
        <v/>
      </c>
      <c r="AF132" s="56" t="str">
        <f t="array" ref="AF132">IFERROR(INDEX($A132:$AB132,SMALL(IF(NOT(COUNTIF($AC132:AE132,$Y132:$AB132)),COLUMN($Y132:$AB132)),1)),"")</f>
        <v/>
      </c>
      <c r="AG132" s="56" t="str">
        <f t="array" ref="AG132">IFERROR(INDEX($A132:$AB132,SMALL(IF(NOT(COUNTIF($AC132:AF132,$Y132:$AB132)),COLUMN($Y132:$AB132)),1)),"")</f>
        <v/>
      </c>
    </row>
    <row r="133" spans="1:33">
      <c r="A133" s="52">
        <v>132</v>
      </c>
      <c r="B133" s="4"/>
      <c r="C133" s="1"/>
      <c r="D133" s="52" t="str">
        <f>IFERROR(VLOOKUP($C133,'LISTE A SAISIR'!$E$4:$N$19,2,0),"")</f>
        <v/>
      </c>
      <c r="E133" s="1"/>
      <c r="F133" s="53" t="str">
        <f>IFERROR(VLOOKUP($C133,'LISTE A SAISIR'!$E$4:$N$19,2+2*MATCH(E133,Y133:AB133,0),0),"")</f>
        <v/>
      </c>
      <c r="G133" s="1"/>
      <c r="H133" s="1"/>
      <c r="I133" s="58">
        <f t="shared" si="4"/>
        <v>0</v>
      </c>
      <c r="L133" s="52" t="str">
        <f t="array" ref="L133">IFERROR(INDEX(B:B,SMALL(IF($B$2:$B$149=$K$1,ROW($B$2:$B$149)),ROWS(L$2:L133))),"")</f>
        <v/>
      </c>
      <c r="M133" s="52" t="str">
        <f t="array" ref="M133">IFERROR(INDEX(#REF!,SMALL(IF($B$2:$B$149=$K$1,ROW($B$2:$B$149)),ROWS(M$2:M133))),"")</f>
        <v/>
      </c>
      <c r="N133" s="52" t="str">
        <f t="array" ref="N133">IFERROR(INDEX(C:C,SMALL(IF($B$2:$B$149=$K$1,ROW($B$2:$B$149)),ROWS(N$2:N133))),"")</f>
        <v/>
      </c>
      <c r="O133" s="52" t="str">
        <f t="array" ref="O133">IFERROR(INDEX(D:D,SMALL(IF($B$2:$B$149=$K$1,ROW($B$2:$B$149)),ROWS(O$2:O133))),"")</f>
        <v/>
      </c>
      <c r="P133" s="52" t="str">
        <f t="array" ref="P133">IFERROR(INDEX(E:E,SMALL(IF($B$2:$B$149=$K$1,ROW($B$2:$B$149)),ROWS(P$2:P133))),"")</f>
        <v/>
      </c>
      <c r="Q133" s="52" t="str">
        <f t="array" ref="Q133">IFERROR(INDEX(F:F,SMALL(IF($B$2:$B$149=$K$1,ROW($B$2:$B$149)),ROWS(Q$2:Q133))),"")</f>
        <v/>
      </c>
      <c r="R133" s="52" t="str">
        <f t="array" ref="R133">IFERROR(INDEX(G:G,SMALL(IF($B$2:$B$149=$K$1,ROW($B$2:$B$149)),ROWS(R$2:R133))),"")</f>
        <v/>
      </c>
      <c r="S133" s="52" t="str">
        <f t="array" ref="S133">IFERROR(INDEX(H:H,SMALL(IF($B$2:$B$149=$K$1,ROW($B$2:$B$149)),ROWS(S$2:S133))),"")</f>
        <v/>
      </c>
      <c r="Y133" s="55" t="str">
        <f>IFERROR(""&amp;VLOOKUP($C133,'LISTE A SAISIR'!$E$4:$L$19,3,0),"")</f>
        <v/>
      </c>
      <c r="Z133" s="55" t="str">
        <f>IFERROR(""&amp;VLOOKUP($C133,'LISTE A SAISIR'!$E$4:$L$19,5,0),"")</f>
        <v/>
      </c>
      <c r="AA133" s="55" t="str">
        <f>IFERROR(""&amp;VLOOKUP($C133,'LISTE A SAISIR'!$E$4:$L$19,7,0),"")</f>
        <v/>
      </c>
      <c r="AB133" s="55" t="str">
        <f>IFERROR(""&amp;VLOOKUP($C133,'LISTE A SAISIR'!$E$4:$N$19,9,0),"")</f>
        <v/>
      </c>
      <c r="AD133" s="56" t="str">
        <f t="array" ref="AD133">IFERROR(INDEX($A133:$AB133,SMALL(IF(NOT(COUNTIF($AC133:AC133,$Y133:$AB133)),COLUMN($Y133:$AB133)),1)),"")</f>
        <v/>
      </c>
      <c r="AE133" s="56" t="str">
        <f t="array" ref="AE133">IFERROR(INDEX($A133:$AB133,SMALL(IF(NOT(COUNTIF($AC133:AD133,$Y133:$AB133)),COLUMN($Y133:$AB133)),1)),"")</f>
        <v/>
      </c>
      <c r="AF133" s="56" t="str">
        <f t="array" ref="AF133">IFERROR(INDEX($A133:$AB133,SMALL(IF(NOT(COUNTIF($AC133:AE133,$Y133:$AB133)),COLUMN($Y133:$AB133)),1)),"")</f>
        <v/>
      </c>
      <c r="AG133" s="56" t="str">
        <f t="array" ref="AG133">IFERROR(INDEX($A133:$AB133,SMALL(IF(NOT(COUNTIF($AC133:AF133,$Y133:$AB133)),COLUMN($Y133:$AB133)),1)),"")</f>
        <v/>
      </c>
    </row>
    <row r="134" spans="1:33">
      <c r="A134" s="52">
        <v>133</v>
      </c>
      <c r="B134" s="6"/>
      <c r="C134" s="7"/>
      <c r="D134" s="53" t="str">
        <f>IFERROR(VLOOKUP($C134,'LISTE A SAISIR'!$E$4:$N$19,2,0),"")</f>
        <v/>
      </c>
      <c r="E134" s="7"/>
      <c r="F134" s="53" t="str">
        <f>IFERROR(VLOOKUP($C134,'LISTE A SAISIR'!$E$4:$N$19,2+2*MATCH(E134,Y134:AB134,0),0),"")</f>
        <v/>
      </c>
      <c r="G134" s="7"/>
      <c r="H134" s="7"/>
      <c r="I134" s="53">
        <f t="shared" si="4"/>
        <v>0</v>
      </c>
      <c r="L134" s="52" t="str">
        <f t="array" ref="L134">IFERROR(INDEX(B:B,SMALL(IF($B$2:$B$149=$K$1,ROW($B$2:$B$149)),ROWS(L$2:L134))),"")</f>
        <v/>
      </c>
      <c r="M134" s="52" t="str">
        <f t="array" ref="M134">IFERROR(INDEX(#REF!,SMALL(IF($B$2:$B$149=$K$1,ROW($B$2:$B$149)),ROWS(M$2:M134))),"")</f>
        <v/>
      </c>
      <c r="N134" s="52" t="str">
        <f t="array" ref="N134">IFERROR(INDEX(C:C,SMALL(IF($B$2:$B$149=$K$1,ROW($B$2:$B$149)),ROWS(N$2:N134))),"")</f>
        <v/>
      </c>
      <c r="O134" s="52" t="str">
        <f t="array" ref="O134">IFERROR(INDEX(D:D,SMALL(IF($B$2:$B$149=$K$1,ROW($B$2:$B$149)),ROWS(O$2:O134))),"")</f>
        <v/>
      </c>
      <c r="P134" s="52" t="str">
        <f t="array" ref="P134">IFERROR(INDEX(E:E,SMALL(IF($B$2:$B$149=$K$1,ROW($B$2:$B$149)),ROWS(P$2:P134))),"")</f>
        <v/>
      </c>
      <c r="Q134" s="52" t="str">
        <f t="array" ref="Q134">IFERROR(INDEX(F:F,SMALL(IF($B$2:$B$149=$K$1,ROW($B$2:$B$149)),ROWS(Q$2:Q134))),"")</f>
        <v/>
      </c>
      <c r="R134" s="52" t="str">
        <f t="array" ref="R134">IFERROR(INDEX(G:G,SMALL(IF($B$2:$B$149=$K$1,ROW($B$2:$B$149)),ROWS(R$2:R134))),"")</f>
        <v/>
      </c>
      <c r="S134" s="52" t="str">
        <f t="array" ref="S134">IFERROR(INDEX(H:H,SMALL(IF($B$2:$B$149=$K$1,ROW($B$2:$B$149)),ROWS(S$2:S134))),"")</f>
        <v/>
      </c>
      <c r="Y134" s="55" t="str">
        <f>IFERROR(""&amp;VLOOKUP($C134,'LISTE A SAISIR'!$E$4:$L$19,3,0),"")</f>
        <v/>
      </c>
      <c r="Z134" s="55" t="str">
        <f>IFERROR(""&amp;VLOOKUP($C134,'LISTE A SAISIR'!$E$4:$L$19,5,0),"")</f>
        <v/>
      </c>
      <c r="AA134" s="55" t="str">
        <f>IFERROR(""&amp;VLOOKUP($C134,'LISTE A SAISIR'!$E$4:$L$19,7,0),"")</f>
        <v/>
      </c>
      <c r="AB134" s="55" t="str">
        <f>IFERROR(""&amp;VLOOKUP($C134,'LISTE A SAISIR'!$E$4:$N$19,9,0),"")</f>
        <v/>
      </c>
      <c r="AD134" s="56" t="str">
        <f t="array" ref="AD134">IFERROR(INDEX($A134:$AB134,SMALL(IF(NOT(COUNTIF($AC134:AC134,$Y134:$AB134)),COLUMN($Y134:$AB134)),1)),"")</f>
        <v/>
      </c>
      <c r="AE134" s="56" t="str">
        <f t="array" ref="AE134">IFERROR(INDEX($A134:$AB134,SMALL(IF(NOT(COUNTIF($AC134:AD134,$Y134:$AB134)),COLUMN($Y134:$AB134)),1)),"")</f>
        <v/>
      </c>
      <c r="AF134" s="56" t="str">
        <f t="array" ref="AF134">IFERROR(INDEX($A134:$AB134,SMALL(IF(NOT(COUNTIF($AC134:AE134,$Y134:$AB134)),COLUMN($Y134:$AB134)),1)),"")</f>
        <v/>
      </c>
      <c r="AG134" s="56" t="str">
        <f t="array" ref="AG134">IFERROR(INDEX($A134:$AB134,SMALL(IF(NOT(COUNTIF($AC134:AF134,$Y134:$AB134)),COLUMN($Y134:$AB134)),1)),"")</f>
        <v/>
      </c>
    </row>
    <row r="135" spans="1:33">
      <c r="A135" s="52">
        <v>134</v>
      </c>
      <c r="B135" s="4"/>
      <c r="C135" s="1"/>
      <c r="D135" s="52" t="str">
        <f>IFERROR(VLOOKUP($C135,'LISTE A SAISIR'!$E$4:$N$19,2,0),"")</f>
        <v/>
      </c>
      <c r="E135" s="1"/>
      <c r="F135" s="53" t="str">
        <f>IFERROR(VLOOKUP($C135,'LISTE A SAISIR'!$E$4:$N$19,2+2*MATCH(E135,Y135:AB135,0),0),"")</f>
        <v/>
      </c>
      <c r="G135" s="1"/>
      <c r="H135" s="1"/>
      <c r="I135" s="58">
        <f t="shared" si="4"/>
        <v>0</v>
      </c>
      <c r="L135" s="52" t="str">
        <f t="array" ref="L135">IFERROR(INDEX(B:B,SMALL(IF($B$2:$B$149=$K$1,ROW($B$2:$B$149)),ROWS(L$2:L135))),"")</f>
        <v/>
      </c>
      <c r="M135" s="52" t="str">
        <f t="array" ref="M135">IFERROR(INDEX(#REF!,SMALL(IF($B$2:$B$149=$K$1,ROW($B$2:$B$149)),ROWS(M$2:M135))),"")</f>
        <v/>
      </c>
      <c r="N135" s="52" t="str">
        <f t="array" ref="N135">IFERROR(INDEX(C:C,SMALL(IF($B$2:$B$149=$K$1,ROW($B$2:$B$149)),ROWS(N$2:N135))),"")</f>
        <v/>
      </c>
      <c r="O135" s="52" t="str">
        <f t="array" ref="O135">IFERROR(INDEX(D:D,SMALL(IF($B$2:$B$149=$K$1,ROW($B$2:$B$149)),ROWS(O$2:O135))),"")</f>
        <v/>
      </c>
      <c r="P135" s="52" t="str">
        <f t="array" ref="P135">IFERROR(INDEX(E:E,SMALL(IF($B$2:$B$149=$K$1,ROW($B$2:$B$149)),ROWS(P$2:P135))),"")</f>
        <v/>
      </c>
      <c r="Q135" s="52" t="str">
        <f t="array" ref="Q135">IFERROR(INDEX(F:F,SMALL(IF($B$2:$B$149=$K$1,ROW($B$2:$B$149)),ROWS(Q$2:Q135))),"")</f>
        <v/>
      </c>
      <c r="R135" s="52" t="str">
        <f t="array" ref="R135">IFERROR(INDEX(G:G,SMALL(IF($B$2:$B$149=$K$1,ROW($B$2:$B$149)),ROWS(R$2:R135))),"")</f>
        <v/>
      </c>
      <c r="S135" s="52" t="str">
        <f t="array" ref="S135">IFERROR(INDEX(H:H,SMALL(IF($B$2:$B$149=$K$1,ROW($B$2:$B$149)),ROWS(S$2:S135))),"")</f>
        <v/>
      </c>
      <c r="Y135" s="55" t="str">
        <f>IFERROR(""&amp;VLOOKUP($C135,'LISTE A SAISIR'!$E$4:$L$19,3,0),"")</f>
        <v/>
      </c>
      <c r="Z135" s="55" t="str">
        <f>IFERROR(""&amp;VLOOKUP($C135,'LISTE A SAISIR'!$E$4:$L$19,5,0),"")</f>
        <v/>
      </c>
      <c r="AA135" s="55" t="str">
        <f>IFERROR(""&amp;VLOOKUP($C135,'LISTE A SAISIR'!$E$4:$L$19,7,0),"")</f>
        <v/>
      </c>
      <c r="AB135" s="55" t="str">
        <f>IFERROR(""&amp;VLOOKUP($C135,'LISTE A SAISIR'!$E$4:$N$19,9,0),"")</f>
        <v/>
      </c>
      <c r="AD135" s="56" t="str">
        <f t="array" ref="AD135">IFERROR(INDEX($A135:$AB135,SMALL(IF(NOT(COUNTIF($AC135:AC135,$Y135:$AB135)),COLUMN($Y135:$AB135)),1)),"")</f>
        <v/>
      </c>
      <c r="AE135" s="56" t="str">
        <f t="array" ref="AE135">IFERROR(INDEX($A135:$AB135,SMALL(IF(NOT(COUNTIF($AC135:AD135,$Y135:$AB135)),COLUMN($Y135:$AB135)),1)),"")</f>
        <v/>
      </c>
      <c r="AF135" s="56" t="str">
        <f t="array" ref="AF135">IFERROR(INDEX($A135:$AB135,SMALL(IF(NOT(COUNTIF($AC135:AE135,$Y135:$AB135)),COLUMN($Y135:$AB135)),1)),"")</f>
        <v/>
      </c>
      <c r="AG135" s="56" t="str">
        <f t="array" ref="AG135">IFERROR(INDEX($A135:$AB135,SMALL(IF(NOT(COUNTIF($AC135:AF135,$Y135:$AB135)),COLUMN($Y135:$AB135)),1)),"")</f>
        <v/>
      </c>
    </row>
    <row r="136" spans="1:33">
      <c r="A136" s="52">
        <v>135</v>
      </c>
      <c r="B136" s="6"/>
      <c r="C136" s="7"/>
      <c r="D136" s="53" t="str">
        <f>IFERROR(VLOOKUP($C136,'LISTE A SAISIR'!$E$4:$N$19,2,0),"")</f>
        <v/>
      </c>
      <c r="E136" s="7"/>
      <c r="F136" s="53" t="str">
        <f>IFERROR(VLOOKUP($C136,'LISTE A SAISIR'!$E$4:$N$19,2+2*MATCH(E136,Y136:AB136,0),0),"")</f>
        <v/>
      </c>
      <c r="G136" s="7"/>
      <c r="H136" s="7"/>
      <c r="I136" s="53">
        <f t="shared" si="4"/>
        <v>0</v>
      </c>
      <c r="L136" s="52" t="str">
        <f t="array" ref="L136">IFERROR(INDEX(B:B,SMALL(IF($B$2:$B$149=$K$1,ROW($B$2:$B$149)),ROWS(L$2:L136))),"")</f>
        <v/>
      </c>
      <c r="M136" s="52" t="str">
        <f t="array" ref="M136">IFERROR(INDEX(#REF!,SMALL(IF($B$2:$B$149=$K$1,ROW($B$2:$B$149)),ROWS(M$2:M136))),"")</f>
        <v/>
      </c>
      <c r="N136" s="52" t="str">
        <f t="array" ref="N136">IFERROR(INDEX(C:C,SMALL(IF($B$2:$B$149=$K$1,ROW($B$2:$B$149)),ROWS(N$2:N136))),"")</f>
        <v/>
      </c>
      <c r="O136" s="52" t="str">
        <f t="array" ref="O136">IFERROR(INDEX(D:D,SMALL(IF($B$2:$B$149=$K$1,ROW($B$2:$B$149)),ROWS(O$2:O136))),"")</f>
        <v/>
      </c>
      <c r="P136" s="52" t="str">
        <f t="array" ref="P136">IFERROR(INDEX(E:E,SMALL(IF($B$2:$B$149=$K$1,ROW($B$2:$B$149)),ROWS(P$2:P136))),"")</f>
        <v/>
      </c>
      <c r="Q136" s="52" t="str">
        <f t="array" ref="Q136">IFERROR(INDEX(F:F,SMALL(IF($B$2:$B$149=$K$1,ROW($B$2:$B$149)),ROWS(Q$2:Q136))),"")</f>
        <v/>
      </c>
      <c r="R136" s="52" t="str">
        <f t="array" ref="R136">IFERROR(INDEX(G:G,SMALL(IF($B$2:$B$149=$K$1,ROW($B$2:$B$149)),ROWS(R$2:R136))),"")</f>
        <v/>
      </c>
      <c r="S136" s="52" t="str">
        <f t="array" ref="S136">IFERROR(INDEX(H:H,SMALL(IF($B$2:$B$149=$K$1,ROW($B$2:$B$149)),ROWS(S$2:S136))),"")</f>
        <v/>
      </c>
      <c r="Y136" s="55" t="str">
        <f>IFERROR(""&amp;VLOOKUP($C136,'LISTE A SAISIR'!$E$4:$L$19,3,0),"")</f>
        <v/>
      </c>
      <c r="Z136" s="55" t="str">
        <f>IFERROR(""&amp;VLOOKUP($C136,'LISTE A SAISIR'!$E$4:$L$19,5,0),"")</f>
        <v/>
      </c>
      <c r="AA136" s="55" t="str">
        <f>IFERROR(""&amp;VLOOKUP($C136,'LISTE A SAISIR'!$E$4:$L$19,7,0),"")</f>
        <v/>
      </c>
      <c r="AB136" s="55" t="str">
        <f>IFERROR(""&amp;VLOOKUP($C136,'LISTE A SAISIR'!$E$4:$N$19,9,0),"")</f>
        <v/>
      </c>
      <c r="AD136" s="56" t="str">
        <f t="array" ref="AD136">IFERROR(INDEX($A136:$AB136,SMALL(IF(NOT(COUNTIF($AC136:AC136,$Y136:$AB136)),COLUMN($Y136:$AB136)),1)),"")</f>
        <v/>
      </c>
      <c r="AE136" s="56" t="str">
        <f t="array" ref="AE136">IFERROR(INDEX($A136:$AB136,SMALL(IF(NOT(COUNTIF($AC136:AD136,$Y136:$AB136)),COLUMN($Y136:$AB136)),1)),"")</f>
        <v/>
      </c>
      <c r="AF136" s="56" t="str">
        <f t="array" ref="AF136">IFERROR(INDEX($A136:$AB136,SMALL(IF(NOT(COUNTIF($AC136:AE136,$Y136:$AB136)),COLUMN($Y136:$AB136)),1)),"")</f>
        <v/>
      </c>
      <c r="AG136" s="56" t="str">
        <f t="array" ref="AG136">IFERROR(INDEX($A136:$AB136,SMALL(IF(NOT(COUNTIF($AC136:AF136,$Y136:$AB136)),COLUMN($Y136:$AB136)),1)),"")</f>
        <v/>
      </c>
    </row>
    <row r="137" spans="1:33">
      <c r="A137" s="52">
        <v>136</v>
      </c>
      <c r="B137" s="4"/>
      <c r="C137" s="1"/>
      <c r="D137" s="52" t="str">
        <f>IFERROR(VLOOKUP($C137,'LISTE A SAISIR'!$E$4:$N$19,2,0),"")</f>
        <v/>
      </c>
      <c r="E137" s="1"/>
      <c r="F137" s="53" t="str">
        <f>IFERROR(VLOOKUP($C137,'LISTE A SAISIR'!$E$4:$N$19,2+2*MATCH(E137,Y137:AB137,0),0),"")</f>
        <v/>
      </c>
      <c r="G137" s="1"/>
      <c r="H137" s="1"/>
      <c r="I137" s="58">
        <f t="shared" si="4"/>
        <v>0</v>
      </c>
      <c r="L137" s="52" t="str">
        <f t="array" ref="L137">IFERROR(INDEX(B:B,SMALL(IF($B$2:$B$149=$K$1,ROW($B$2:$B$149)),ROWS(L$2:L137))),"")</f>
        <v/>
      </c>
      <c r="M137" s="52" t="str">
        <f t="array" ref="M137">IFERROR(INDEX(#REF!,SMALL(IF($B$2:$B$149=$K$1,ROW($B$2:$B$149)),ROWS(M$2:M137))),"")</f>
        <v/>
      </c>
      <c r="N137" s="52" t="str">
        <f t="array" ref="N137">IFERROR(INDEX(C:C,SMALL(IF($B$2:$B$149=$K$1,ROW($B$2:$B$149)),ROWS(N$2:N137))),"")</f>
        <v/>
      </c>
      <c r="O137" s="52" t="str">
        <f t="array" ref="O137">IFERROR(INDEX(D:D,SMALL(IF($B$2:$B$149=$K$1,ROW($B$2:$B$149)),ROWS(O$2:O137))),"")</f>
        <v/>
      </c>
      <c r="P137" s="52" t="str">
        <f t="array" ref="P137">IFERROR(INDEX(E:E,SMALL(IF($B$2:$B$149=$K$1,ROW($B$2:$B$149)),ROWS(P$2:P137))),"")</f>
        <v/>
      </c>
      <c r="Q137" s="52" t="str">
        <f t="array" ref="Q137">IFERROR(INDEX(F:F,SMALL(IF($B$2:$B$149=$K$1,ROW($B$2:$B$149)),ROWS(Q$2:Q137))),"")</f>
        <v/>
      </c>
      <c r="R137" s="52" t="str">
        <f t="array" ref="R137">IFERROR(INDEX(G:G,SMALL(IF($B$2:$B$149=$K$1,ROW($B$2:$B$149)),ROWS(R$2:R137))),"")</f>
        <v/>
      </c>
      <c r="S137" s="52" t="str">
        <f t="array" ref="S137">IFERROR(INDEX(H:H,SMALL(IF($B$2:$B$149=$K$1,ROW($B$2:$B$149)),ROWS(S$2:S137))),"")</f>
        <v/>
      </c>
      <c r="Y137" s="55" t="str">
        <f>IFERROR(""&amp;VLOOKUP($C137,'LISTE A SAISIR'!$E$4:$L$19,3,0),"")</f>
        <v/>
      </c>
      <c r="Z137" s="55" t="str">
        <f>IFERROR(""&amp;VLOOKUP($C137,'LISTE A SAISIR'!$E$4:$L$19,5,0),"")</f>
        <v/>
      </c>
      <c r="AA137" s="55" t="str">
        <f>IFERROR(""&amp;VLOOKUP($C137,'LISTE A SAISIR'!$E$4:$L$19,7,0),"")</f>
        <v/>
      </c>
      <c r="AB137" s="55" t="str">
        <f>IFERROR(""&amp;VLOOKUP($C137,'LISTE A SAISIR'!$E$4:$N$19,9,0),"")</f>
        <v/>
      </c>
      <c r="AD137" s="56" t="str">
        <f t="array" ref="AD137">IFERROR(INDEX($A137:$AB137,SMALL(IF(NOT(COUNTIF($AC137:AC137,$Y137:$AB137)),COLUMN($Y137:$AB137)),1)),"")</f>
        <v/>
      </c>
      <c r="AE137" s="56" t="str">
        <f t="array" ref="AE137">IFERROR(INDEX($A137:$AB137,SMALL(IF(NOT(COUNTIF($AC137:AD137,$Y137:$AB137)),COLUMN($Y137:$AB137)),1)),"")</f>
        <v/>
      </c>
      <c r="AF137" s="56" t="str">
        <f t="array" ref="AF137">IFERROR(INDEX($A137:$AB137,SMALL(IF(NOT(COUNTIF($AC137:AE137,$Y137:$AB137)),COLUMN($Y137:$AB137)),1)),"")</f>
        <v/>
      </c>
      <c r="AG137" s="56" t="str">
        <f t="array" ref="AG137">IFERROR(INDEX($A137:$AB137,SMALL(IF(NOT(COUNTIF($AC137:AF137,$Y137:$AB137)),COLUMN($Y137:$AB137)),1)),"")</f>
        <v/>
      </c>
    </row>
    <row r="138" spans="1:33">
      <c r="A138" s="52">
        <v>137</v>
      </c>
      <c r="B138" s="6"/>
      <c r="C138" s="7"/>
      <c r="D138" s="53" t="str">
        <f>IFERROR(VLOOKUP($C138,'LISTE A SAISIR'!$E$4:$N$19,2,0),"")</f>
        <v/>
      </c>
      <c r="E138" s="7"/>
      <c r="F138" s="53" t="str">
        <f>IFERROR(VLOOKUP($C138,'LISTE A SAISIR'!$E$4:$N$19,2+2*MATCH(E138,Y138:AB138,0),0),"")</f>
        <v/>
      </c>
      <c r="G138" s="7"/>
      <c r="H138" s="7"/>
      <c r="I138" s="53">
        <f t="shared" si="4"/>
        <v>0</v>
      </c>
      <c r="L138" s="52" t="str">
        <f t="array" ref="L138">IFERROR(INDEX(B:B,SMALL(IF($B$2:$B$149=$K$1,ROW($B$2:$B$149)),ROWS(L$2:L138))),"")</f>
        <v/>
      </c>
      <c r="M138" s="52" t="str">
        <f t="array" ref="M138">IFERROR(INDEX(#REF!,SMALL(IF($B$2:$B$149=$K$1,ROW($B$2:$B$149)),ROWS(M$2:M138))),"")</f>
        <v/>
      </c>
      <c r="N138" s="52" t="str">
        <f t="array" ref="N138">IFERROR(INDEX(C:C,SMALL(IF($B$2:$B$149=$K$1,ROW($B$2:$B$149)),ROWS(N$2:N138))),"")</f>
        <v/>
      </c>
      <c r="O138" s="52" t="str">
        <f t="array" ref="O138">IFERROR(INDEX(D:D,SMALL(IF($B$2:$B$149=$K$1,ROW($B$2:$B$149)),ROWS(O$2:O138))),"")</f>
        <v/>
      </c>
      <c r="P138" s="52" t="str">
        <f t="array" ref="P138">IFERROR(INDEX(E:E,SMALL(IF($B$2:$B$149=$K$1,ROW($B$2:$B$149)),ROWS(P$2:P138))),"")</f>
        <v/>
      </c>
      <c r="Q138" s="52" t="str">
        <f t="array" ref="Q138">IFERROR(INDEX(F:F,SMALL(IF($B$2:$B$149=$K$1,ROW($B$2:$B$149)),ROWS(Q$2:Q138))),"")</f>
        <v/>
      </c>
      <c r="R138" s="52" t="str">
        <f t="array" ref="R138">IFERROR(INDEX(G:G,SMALL(IF($B$2:$B$149=$K$1,ROW($B$2:$B$149)),ROWS(R$2:R138))),"")</f>
        <v/>
      </c>
      <c r="S138" s="52" t="str">
        <f t="array" ref="S138">IFERROR(INDEX(H:H,SMALL(IF($B$2:$B$149=$K$1,ROW($B$2:$B$149)),ROWS(S$2:S138))),"")</f>
        <v/>
      </c>
      <c r="Y138" s="55" t="str">
        <f>IFERROR(""&amp;VLOOKUP($C138,'LISTE A SAISIR'!$E$4:$L$19,3,0),"")</f>
        <v/>
      </c>
      <c r="Z138" s="55" t="str">
        <f>IFERROR(""&amp;VLOOKUP($C138,'LISTE A SAISIR'!$E$4:$L$19,5,0),"")</f>
        <v/>
      </c>
      <c r="AA138" s="55" t="str">
        <f>IFERROR(""&amp;VLOOKUP($C138,'LISTE A SAISIR'!$E$4:$L$19,7,0),"")</f>
        <v/>
      </c>
      <c r="AB138" s="55" t="str">
        <f>IFERROR(""&amp;VLOOKUP($C138,'LISTE A SAISIR'!$E$4:$N$19,9,0),"")</f>
        <v/>
      </c>
      <c r="AD138" s="56" t="str">
        <f t="array" ref="AD138">IFERROR(INDEX($A138:$AB138,SMALL(IF(NOT(COUNTIF($AC138:AC138,$Y138:$AB138)),COLUMN($Y138:$AB138)),1)),"")</f>
        <v/>
      </c>
      <c r="AE138" s="56" t="str">
        <f t="array" ref="AE138">IFERROR(INDEX($A138:$AB138,SMALL(IF(NOT(COUNTIF($AC138:AD138,$Y138:$AB138)),COLUMN($Y138:$AB138)),1)),"")</f>
        <v/>
      </c>
      <c r="AF138" s="56" t="str">
        <f t="array" ref="AF138">IFERROR(INDEX($A138:$AB138,SMALL(IF(NOT(COUNTIF($AC138:AE138,$Y138:$AB138)),COLUMN($Y138:$AB138)),1)),"")</f>
        <v/>
      </c>
      <c r="AG138" s="56" t="str">
        <f t="array" ref="AG138">IFERROR(INDEX($A138:$AB138,SMALL(IF(NOT(COUNTIF($AC138:AF138,$Y138:$AB138)),COLUMN($Y138:$AB138)),1)),"")</f>
        <v/>
      </c>
    </row>
    <row r="139" spans="1:33">
      <c r="A139" s="52">
        <v>138</v>
      </c>
      <c r="B139" s="4"/>
      <c r="C139" s="1"/>
      <c r="D139" s="52" t="str">
        <f>IFERROR(VLOOKUP($C139,'LISTE A SAISIR'!$E$4:$N$19,2,0),"")</f>
        <v/>
      </c>
      <c r="E139" s="1"/>
      <c r="F139" s="53" t="str">
        <f>IFERROR(VLOOKUP($C139,'LISTE A SAISIR'!$E$4:$N$19,2+2*MATCH(E139,Y139:AB139,0),0),"")</f>
        <v/>
      </c>
      <c r="G139" s="1"/>
      <c r="H139" s="1"/>
      <c r="I139" s="58">
        <f t="shared" si="4"/>
        <v>0</v>
      </c>
      <c r="L139" s="52" t="str">
        <f t="array" ref="L139">IFERROR(INDEX(B:B,SMALL(IF($B$2:$B$149=$K$1,ROW($B$2:$B$149)),ROWS(L$2:L139))),"")</f>
        <v/>
      </c>
      <c r="M139" s="52" t="str">
        <f t="array" ref="M139">IFERROR(INDEX(#REF!,SMALL(IF($B$2:$B$149=$K$1,ROW($B$2:$B$149)),ROWS(M$2:M139))),"")</f>
        <v/>
      </c>
      <c r="N139" s="52" t="str">
        <f t="array" ref="N139">IFERROR(INDEX(C:C,SMALL(IF($B$2:$B$149=$K$1,ROW($B$2:$B$149)),ROWS(N$2:N139))),"")</f>
        <v/>
      </c>
      <c r="O139" s="52" t="str">
        <f t="array" ref="O139">IFERROR(INDEX(D:D,SMALL(IF($B$2:$B$149=$K$1,ROW($B$2:$B$149)),ROWS(O$2:O139))),"")</f>
        <v/>
      </c>
      <c r="P139" s="52" t="str">
        <f t="array" ref="P139">IFERROR(INDEX(E:E,SMALL(IF($B$2:$B$149=$K$1,ROW($B$2:$B$149)),ROWS(P$2:P139))),"")</f>
        <v/>
      </c>
      <c r="Q139" s="52" t="str">
        <f t="array" ref="Q139">IFERROR(INDEX(F:F,SMALL(IF($B$2:$B$149=$K$1,ROW($B$2:$B$149)),ROWS(Q$2:Q139))),"")</f>
        <v/>
      </c>
      <c r="R139" s="52" t="str">
        <f t="array" ref="R139">IFERROR(INDEX(G:G,SMALL(IF($B$2:$B$149=$K$1,ROW($B$2:$B$149)),ROWS(R$2:R139))),"")</f>
        <v/>
      </c>
      <c r="S139" s="52" t="str">
        <f t="array" ref="S139">IFERROR(INDEX(H:H,SMALL(IF($B$2:$B$149=$K$1,ROW($B$2:$B$149)),ROWS(S$2:S139))),"")</f>
        <v/>
      </c>
      <c r="Y139" s="55" t="str">
        <f>IFERROR(""&amp;VLOOKUP($C139,'LISTE A SAISIR'!$E$4:$L$19,3,0),"")</f>
        <v/>
      </c>
      <c r="Z139" s="55" t="str">
        <f>IFERROR(""&amp;VLOOKUP($C139,'LISTE A SAISIR'!$E$4:$L$19,5,0),"")</f>
        <v/>
      </c>
      <c r="AA139" s="55" t="str">
        <f>IFERROR(""&amp;VLOOKUP($C139,'LISTE A SAISIR'!$E$4:$L$19,7,0),"")</f>
        <v/>
      </c>
      <c r="AB139" s="55" t="str">
        <f>IFERROR(""&amp;VLOOKUP($C139,'LISTE A SAISIR'!$E$4:$N$19,9,0),"")</f>
        <v/>
      </c>
      <c r="AD139" s="56" t="str">
        <f t="array" ref="AD139">IFERROR(INDEX($A139:$AB139,SMALL(IF(NOT(COUNTIF($AC139:AC139,$Y139:$AB139)),COLUMN($Y139:$AB139)),1)),"")</f>
        <v/>
      </c>
      <c r="AE139" s="56" t="str">
        <f t="array" ref="AE139">IFERROR(INDEX($A139:$AB139,SMALL(IF(NOT(COUNTIF($AC139:AD139,$Y139:$AB139)),COLUMN($Y139:$AB139)),1)),"")</f>
        <v/>
      </c>
      <c r="AF139" s="56" t="str">
        <f t="array" ref="AF139">IFERROR(INDEX($A139:$AB139,SMALL(IF(NOT(COUNTIF($AC139:AE139,$Y139:$AB139)),COLUMN($Y139:$AB139)),1)),"")</f>
        <v/>
      </c>
      <c r="AG139" s="56" t="str">
        <f t="array" ref="AG139">IFERROR(INDEX($A139:$AB139,SMALL(IF(NOT(COUNTIF($AC139:AF139,$Y139:$AB139)),COLUMN($Y139:$AB139)),1)),"")</f>
        <v/>
      </c>
    </row>
    <row r="140" spans="1:33">
      <c r="A140" s="52">
        <v>139</v>
      </c>
      <c r="B140" s="6"/>
      <c r="C140" s="7"/>
      <c r="D140" s="53" t="str">
        <f>IFERROR(VLOOKUP($C140,'LISTE A SAISIR'!$E$4:$N$19,2,0),"")</f>
        <v/>
      </c>
      <c r="E140" s="7"/>
      <c r="F140" s="53" t="str">
        <f>IFERROR(VLOOKUP($C140,'LISTE A SAISIR'!$E$4:$N$19,2+2*MATCH(E140,Y140:AB140,0),0),"")</f>
        <v/>
      </c>
      <c r="G140" s="7"/>
      <c r="H140" s="7"/>
      <c r="I140" s="53">
        <f t="shared" si="4"/>
        <v>0</v>
      </c>
      <c r="L140" s="52" t="str">
        <f t="array" ref="L140">IFERROR(INDEX(B:B,SMALL(IF($B$2:$B$149=$K$1,ROW($B$2:$B$149)),ROWS(L$2:L140))),"")</f>
        <v/>
      </c>
      <c r="M140" s="52" t="str">
        <f t="array" ref="M140">IFERROR(INDEX(#REF!,SMALL(IF($B$2:$B$149=$K$1,ROW($B$2:$B$149)),ROWS(M$2:M140))),"")</f>
        <v/>
      </c>
      <c r="N140" s="52" t="str">
        <f t="array" ref="N140">IFERROR(INDEX(C:C,SMALL(IF($B$2:$B$149=$K$1,ROW($B$2:$B$149)),ROWS(N$2:N140))),"")</f>
        <v/>
      </c>
      <c r="O140" s="52" t="str">
        <f t="array" ref="O140">IFERROR(INDEX(D:D,SMALL(IF($B$2:$B$149=$K$1,ROW($B$2:$B$149)),ROWS(O$2:O140))),"")</f>
        <v/>
      </c>
      <c r="P140" s="52" t="str">
        <f t="array" ref="P140">IFERROR(INDEX(E:E,SMALL(IF($B$2:$B$149=$K$1,ROW($B$2:$B$149)),ROWS(P$2:P140))),"")</f>
        <v/>
      </c>
      <c r="Q140" s="52" t="str">
        <f t="array" ref="Q140">IFERROR(INDEX(F:F,SMALL(IF($B$2:$B$149=$K$1,ROW($B$2:$B$149)),ROWS(Q$2:Q140))),"")</f>
        <v/>
      </c>
      <c r="R140" s="52" t="str">
        <f t="array" ref="R140">IFERROR(INDEX(G:G,SMALL(IF($B$2:$B$149=$K$1,ROW($B$2:$B$149)),ROWS(R$2:R140))),"")</f>
        <v/>
      </c>
      <c r="S140" s="52" t="str">
        <f t="array" ref="S140">IFERROR(INDEX(H:H,SMALL(IF($B$2:$B$149=$K$1,ROW($B$2:$B$149)),ROWS(S$2:S140))),"")</f>
        <v/>
      </c>
      <c r="Y140" s="55" t="str">
        <f>IFERROR(""&amp;VLOOKUP($C140,'LISTE A SAISIR'!$E$4:$L$19,3,0),"")</f>
        <v/>
      </c>
      <c r="Z140" s="55" t="str">
        <f>IFERROR(""&amp;VLOOKUP($C140,'LISTE A SAISIR'!$E$4:$L$19,5,0),"")</f>
        <v/>
      </c>
      <c r="AA140" s="55" t="str">
        <f>IFERROR(""&amp;VLOOKUP($C140,'LISTE A SAISIR'!$E$4:$L$19,7,0),"")</f>
        <v/>
      </c>
      <c r="AB140" s="55" t="str">
        <f>IFERROR(""&amp;VLOOKUP($C140,'LISTE A SAISIR'!$E$4:$N$19,9,0),"")</f>
        <v/>
      </c>
      <c r="AD140" s="56" t="str">
        <f t="array" ref="AD140">IFERROR(INDEX($A140:$AB140,SMALL(IF(NOT(COUNTIF($AC140:AC140,$Y140:$AB140)),COLUMN($Y140:$AB140)),1)),"")</f>
        <v/>
      </c>
      <c r="AE140" s="56" t="str">
        <f t="array" ref="AE140">IFERROR(INDEX($A140:$AB140,SMALL(IF(NOT(COUNTIF($AC140:AD140,$Y140:$AB140)),COLUMN($Y140:$AB140)),1)),"")</f>
        <v/>
      </c>
      <c r="AF140" s="56" t="str">
        <f t="array" ref="AF140">IFERROR(INDEX($A140:$AB140,SMALL(IF(NOT(COUNTIF($AC140:AE140,$Y140:$AB140)),COLUMN($Y140:$AB140)),1)),"")</f>
        <v/>
      </c>
      <c r="AG140" s="56" t="str">
        <f t="array" ref="AG140">IFERROR(INDEX($A140:$AB140,SMALL(IF(NOT(COUNTIF($AC140:AF140,$Y140:$AB140)),COLUMN($Y140:$AB140)),1)),"")</f>
        <v/>
      </c>
    </row>
    <row r="141" spans="1:33">
      <c r="A141" s="52">
        <v>140</v>
      </c>
      <c r="B141" s="4"/>
      <c r="C141" s="1"/>
      <c r="D141" s="52" t="str">
        <f>IFERROR(VLOOKUP($C141,'LISTE A SAISIR'!$E$4:$N$19,2,0),"")</f>
        <v/>
      </c>
      <c r="E141" s="1"/>
      <c r="F141" s="53" t="str">
        <f>IFERROR(VLOOKUP($C141,'LISTE A SAISIR'!$E$4:$N$19,2+2*MATCH(E141,Y141:AB141,0),0),"")</f>
        <v/>
      </c>
      <c r="G141" s="1"/>
      <c r="H141" s="1"/>
      <c r="I141" s="58">
        <f t="shared" si="4"/>
        <v>0</v>
      </c>
      <c r="L141" s="52" t="str">
        <f t="array" ref="L141">IFERROR(INDEX(B:B,SMALL(IF($B$2:$B$149=$K$1,ROW($B$2:$B$149)),ROWS(L$2:L141))),"")</f>
        <v/>
      </c>
      <c r="M141" s="52" t="str">
        <f t="array" ref="M141">IFERROR(INDEX(#REF!,SMALL(IF($B$2:$B$149=$K$1,ROW($B$2:$B$149)),ROWS(M$2:M141))),"")</f>
        <v/>
      </c>
      <c r="N141" s="52" t="str">
        <f t="array" ref="N141">IFERROR(INDEX(C:C,SMALL(IF($B$2:$B$149=$K$1,ROW($B$2:$B$149)),ROWS(N$2:N141))),"")</f>
        <v/>
      </c>
      <c r="O141" s="52" t="str">
        <f t="array" ref="O141">IFERROR(INDEX(D:D,SMALL(IF($B$2:$B$149=$K$1,ROW($B$2:$B$149)),ROWS(O$2:O141))),"")</f>
        <v/>
      </c>
      <c r="P141" s="52" t="str">
        <f t="array" ref="P141">IFERROR(INDEX(E:E,SMALL(IF($B$2:$B$149=$K$1,ROW($B$2:$B$149)),ROWS(P$2:P141))),"")</f>
        <v/>
      </c>
      <c r="Q141" s="52" t="str">
        <f t="array" ref="Q141">IFERROR(INDEX(F:F,SMALL(IF($B$2:$B$149=$K$1,ROW($B$2:$B$149)),ROWS(Q$2:Q141))),"")</f>
        <v/>
      </c>
      <c r="R141" s="52" t="str">
        <f t="array" ref="R141">IFERROR(INDEX(G:G,SMALL(IF($B$2:$B$149=$K$1,ROW($B$2:$B$149)),ROWS(R$2:R141))),"")</f>
        <v/>
      </c>
      <c r="S141" s="52" t="str">
        <f t="array" ref="S141">IFERROR(INDEX(H:H,SMALL(IF($B$2:$B$149=$K$1,ROW($B$2:$B$149)),ROWS(S$2:S141))),"")</f>
        <v/>
      </c>
      <c r="Y141" s="55" t="str">
        <f>IFERROR(""&amp;VLOOKUP($C141,'LISTE A SAISIR'!$E$4:$L$19,3,0),"")</f>
        <v/>
      </c>
      <c r="Z141" s="55" t="str">
        <f>IFERROR(""&amp;VLOOKUP($C141,'LISTE A SAISIR'!$E$4:$L$19,5,0),"")</f>
        <v/>
      </c>
      <c r="AA141" s="55" t="str">
        <f>IFERROR(""&amp;VLOOKUP($C141,'LISTE A SAISIR'!$E$4:$L$19,7,0),"")</f>
        <v/>
      </c>
      <c r="AB141" s="55" t="str">
        <f>IFERROR(""&amp;VLOOKUP($C141,'LISTE A SAISIR'!$E$4:$N$19,9,0),"")</f>
        <v/>
      </c>
      <c r="AD141" s="56" t="str">
        <f t="array" ref="AD141">IFERROR(INDEX($A141:$AB141,SMALL(IF(NOT(COUNTIF($AC141:AC141,$Y141:$AB141)),COLUMN($Y141:$AB141)),1)),"")</f>
        <v/>
      </c>
      <c r="AE141" s="56" t="str">
        <f t="array" ref="AE141">IFERROR(INDEX($A141:$AB141,SMALL(IF(NOT(COUNTIF($AC141:AD141,$Y141:$AB141)),COLUMN($Y141:$AB141)),1)),"")</f>
        <v/>
      </c>
      <c r="AF141" s="56" t="str">
        <f t="array" ref="AF141">IFERROR(INDEX($A141:$AB141,SMALL(IF(NOT(COUNTIF($AC141:AE141,$Y141:$AB141)),COLUMN($Y141:$AB141)),1)),"")</f>
        <v/>
      </c>
      <c r="AG141" s="56" t="str">
        <f t="array" ref="AG141">IFERROR(INDEX($A141:$AB141,SMALL(IF(NOT(COUNTIF($AC141:AF141,$Y141:$AB141)),COLUMN($Y141:$AB141)),1)),"")</f>
        <v/>
      </c>
    </row>
    <row r="142" spans="1:33">
      <c r="A142" s="52">
        <v>141</v>
      </c>
      <c r="B142" s="6"/>
      <c r="C142" s="7"/>
      <c r="D142" s="53" t="str">
        <f>IFERROR(VLOOKUP($C142,'LISTE A SAISIR'!$E$4:$N$19,2,0),"")</f>
        <v/>
      </c>
      <c r="E142" s="7"/>
      <c r="F142" s="53" t="str">
        <f>IFERROR(VLOOKUP($C142,'LISTE A SAISIR'!$E$4:$N$19,2+2*MATCH(E142,Y142:AB142,0),0),"")</f>
        <v/>
      </c>
      <c r="G142" s="7"/>
      <c r="H142" s="7"/>
      <c r="I142" s="53">
        <f t="shared" si="4"/>
        <v>0</v>
      </c>
      <c r="L142" s="52" t="str">
        <f t="array" ref="L142">IFERROR(INDEX(B:B,SMALL(IF($B$2:$B$149=$K$1,ROW($B$2:$B$149)),ROWS(L$2:L142))),"")</f>
        <v/>
      </c>
      <c r="M142" s="52" t="str">
        <f t="array" ref="M142">IFERROR(INDEX(#REF!,SMALL(IF($B$2:$B$149=$K$1,ROW($B$2:$B$149)),ROWS(M$2:M142))),"")</f>
        <v/>
      </c>
      <c r="N142" s="52" t="str">
        <f t="array" ref="N142">IFERROR(INDEX(C:C,SMALL(IF($B$2:$B$149=$K$1,ROW($B$2:$B$149)),ROWS(N$2:N142))),"")</f>
        <v/>
      </c>
      <c r="O142" s="52" t="str">
        <f t="array" ref="O142">IFERROR(INDEX(D:D,SMALL(IF($B$2:$B$149=$K$1,ROW($B$2:$B$149)),ROWS(O$2:O142))),"")</f>
        <v/>
      </c>
      <c r="P142" s="52" t="str">
        <f t="array" ref="P142">IFERROR(INDEX(E:E,SMALL(IF($B$2:$B$149=$K$1,ROW($B$2:$B$149)),ROWS(P$2:P142))),"")</f>
        <v/>
      </c>
      <c r="Q142" s="52" t="str">
        <f t="array" ref="Q142">IFERROR(INDEX(F:F,SMALL(IF($B$2:$B$149=$K$1,ROW($B$2:$B$149)),ROWS(Q$2:Q142))),"")</f>
        <v/>
      </c>
      <c r="R142" s="52" t="str">
        <f t="array" ref="R142">IFERROR(INDEX(G:G,SMALL(IF($B$2:$B$149=$K$1,ROW($B$2:$B$149)),ROWS(R$2:R142))),"")</f>
        <v/>
      </c>
      <c r="S142" s="52" t="str">
        <f t="array" ref="S142">IFERROR(INDEX(H:H,SMALL(IF($B$2:$B$149=$K$1,ROW($B$2:$B$149)),ROWS(S$2:S142))),"")</f>
        <v/>
      </c>
      <c r="Y142" s="55" t="str">
        <f>IFERROR(""&amp;VLOOKUP($C142,'LISTE A SAISIR'!$E$4:$L$19,3,0),"")</f>
        <v/>
      </c>
      <c r="Z142" s="55" t="str">
        <f>IFERROR(""&amp;VLOOKUP($C142,'LISTE A SAISIR'!$E$4:$L$19,5,0),"")</f>
        <v/>
      </c>
      <c r="AA142" s="55" t="str">
        <f>IFERROR(""&amp;VLOOKUP($C142,'LISTE A SAISIR'!$E$4:$L$19,7,0),"")</f>
        <v/>
      </c>
      <c r="AB142" s="55" t="str">
        <f>IFERROR(""&amp;VLOOKUP($C142,'LISTE A SAISIR'!$E$4:$N$19,9,0),"")</f>
        <v/>
      </c>
      <c r="AD142" s="56" t="str">
        <f t="array" ref="AD142">IFERROR(INDEX($A142:$AB142,SMALL(IF(NOT(COUNTIF($AC142:AC142,$Y142:$AB142)),COLUMN($Y142:$AB142)),1)),"")</f>
        <v/>
      </c>
      <c r="AE142" s="56" t="str">
        <f t="array" ref="AE142">IFERROR(INDEX($A142:$AB142,SMALL(IF(NOT(COUNTIF($AC142:AD142,$Y142:$AB142)),COLUMN($Y142:$AB142)),1)),"")</f>
        <v/>
      </c>
      <c r="AF142" s="56" t="str">
        <f t="array" ref="AF142">IFERROR(INDEX($A142:$AB142,SMALL(IF(NOT(COUNTIF($AC142:AE142,$Y142:$AB142)),COLUMN($Y142:$AB142)),1)),"")</f>
        <v/>
      </c>
      <c r="AG142" s="56" t="str">
        <f t="array" ref="AG142">IFERROR(INDEX($A142:$AB142,SMALL(IF(NOT(COUNTIF($AC142:AF142,$Y142:$AB142)),COLUMN($Y142:$AB142)),1)),"")</f>
        <v/>
      </c>
    </row>
    <row r="143" spans="1:33">
      <c r="A143" s="52">
        <v>142</v>
      </c>
      <c r="B143" s="4"/>
      <c r="C143" s="1"/>
      <c r="D143" s="52" t="str">
        <f>IFERROR(VLOOKUP($C143,'LISTE A SAISIR'!$E$4:$N$19,2,0),"")</f>
        <v/>
      </c>
      <c r="E143" s="1"/>
      <c r="F143" s="53" t="str">
        <f>IFERROR(VLOOKUP($C143,'LISTE A SAISIR'!$E$4:$N$19,2+2*MATCH(E143,Y143:AB143,0),0),"")</f>
        <v/>
      </c>
      <c r="G143" s="1"/>
      <c r="H143" s="1"/>
      <c r="I143" s="58">
        <f t="shared" si="4"/>
        <v>0</v>
      </c>
      <c r="L143" s="52" t="str">
        <f t="array" ref="L143">IFERROR(INDEX(B:B,SMALL(IF($B$2:$B$149=$K$1,ROW($B$2:$B$149)),ROWS(L$2:L143))),"")</f>
        <v/>
      </c>
      <c r="M143" s="52" t="str">
        <f t="array" ref="M143">IFERROR(INDEX(#REF!,SMALL(IF($B$2:$B$149=$K$1,ROW($B$2:$B$149)),ROWS(M$2:M143))),"")</f>
        <v/>
      </c>
      <c r="N143" s="52" t="str">
        <f t="array" ref="N143">IFERROR(INDEX(C:C,SMALL(IF($B$2:$B$149=$K$1,ROW($B$2:$B$149)),ROWS(N$2:N143))),"")</f>
        <v/>
      </c>
      <c r="O143" s="52" t="str">
        <f t="array" ref="O143">IFERROR(INDEX(D:D,SMALL(IF($B$2:$B$149=$K$1,ROW($B$2:$B$149)),ROWS(O$2:O143))),"")</f>
        <v/>
      </c>
      <c r="P143" s="52" t="str">
        <f t="array" ref="P143">IFERROR(INDEX(E:E,SMALL(IF($B$2:$B$149=$K$1,ROW($B$2:$B$149)),ROWS(P$2:P143))),"")</f>
        <v/>
      </c>
      <c r="Q143" s="52" t="str">
        <f t="array" ref="Q143">IFERROR(INDEX(F:F,SMALL(IF($B$2:$B$149=$K$1,ROW($B$2:$B$149)),ROWS(Q$2:Q143))),"")</f>
        <v/>
      </c>
      <c r="R143" s="52" t="str">
        <f t="array" ref="R143">IFERROR(INDEX(G:G,SMALL(IF($B$2:$B$149=$K$1,ROW($B$2:$B$149)),ROWS(R$2:R143))),"")</f>
        <v/>
      </c>
      <c r="S143" s="52" t="str">
        <f t="array" ref="S143">IFERROR(INDEX(H:H,SMALL(IF($B$2:$B$149=$K$1,ROW($B$2:$B$149)),ROWS(S$2:S143))),"")</f>
        <v/>
      </c>
      <c r="Y143" s="55" t="str">
        <f>IFERROR(""&amp;VLOOKUP($C143,'LISTE A SAISIR'!$E$4:$L$19,3,0),"")</f>
        <v/>
      </c>
      <c r="Z143" s="55" t="str">
        <f>IFERROR(""&amp;VLOOKUP($C143,'LISTE A SAISIR'!$E$4:$L$19,5,0),"")</f>
        <v/>
      </c>
      <c r="AA143" s="55" t="str">
        <f>IFERROR(""&amp;VLOOKUP($C143,'LISTE A SAISIR'!$E$4:$L$19,7,0),"")</f>
        <v/>
      </c>
      <c r="AB143" s="55" t="str">
        <f>IFERROR(""&amp;VLOOKUP($C143,'LISTE A SAISIR'!$E$4:$N$19,9,0),"")</f>
        <v/>
      </c>
      <c r="AD143" s="56" t="str">
        <f t="array" ref="AD143">IFERROR(INDEX($A143:$AB143,SMALL(IF(NOT(COUNTIF($AC143:AC143,$Y143:$AB143)),COLUMN($Y143:$AB143)),1)),"")</f>
        <v/>
      </c>
      <c r="AE143" s="56" t="str">
        <f t="array" ref="AE143">IFERROR(INDEX($A143:$AB143,SMALL(IF(NOT(COUNTIF($AC143:AD143,$Y143:$AB143)),COLUMN($Y143:$AB143)),1)),"")</f>
        <v/>
      </c>
      <c r="AF143" s="56" t="str">
        <f t="array" ref="AF143">IFERROR(INDEX($A143:$AB143,SMALL(IF(NOT(COUNTIF($AC143:AE143,$Y143:$AB143)),COLUMN($Y143:$AB143)),1)),"")</f>
        <v/>
      </c>
      <c r="AG143" s="56" t="str">
        <f t="array" ref="AG143">IFERROR(INDEX($A143:$AB143,SMALL(IF(NOT(COUNTIF($AC143:AF143,$Y143:$AB143)),COLUMN($Y143:$AB143)),1)),"")</f>
        <v/>
      </c>
    </row>
    <row r="144" spans="1:33">
      <c r="A144" s="52">
        <v>143</v>
      </c>
      <c r="B144" s="6"/>
      <c r="C144" s="7"/>
      <c r="D144" s="53" t="str">
        <f>IFERROR(VLOOKUP($C144,'LISTE A SAISIR'!$E$4:$N$19,2,0),"")</f>
        <v/>
      </c>
      <c r="E144" s="7"/>
      <c r="F144" s="53" t="str">
        <f>IFERROR(VLOOKUP($C144,'LISTE A SAISIR'!$E$4:$N$19,2+2*MATCH(E144,Y144:AB144,0),0),"")</f>
        <v/>
      </c>
      <c r="G144" s="7"/>
      <c r="H144" s="7"/>
      <c r="I144" s="53">
        <f t="shared" si="4"/>
        <v>0</v>
      </c>
      <c r="L144" s="52" t="str">
        <f t="array" ref="L144">IFERROR(INDEX(B:B,SMALL(IF($B$2:$B$149=$K$1,ROW($B$2:$B$149)),ROWS(L$2:L144))),"")</f>
        <v/>
      </c>
      <c r="M144" s="52" t="str">
        <f t="array" ref="M144">IFERROR(INDEX(#REF!,SMALL(IF($B$2:$B$149=$K$1,ROW($B$2:$B$149)),ROWS(M$2:M144))),"")</f>
        <v/>
      </c>
      <c r="N144" s="52" t="str">
        <f t="array" ref="N144">IFERROR(INDEX(C:C,SMALL(IF($B$2:$B$149=$K$1,ROW($B$2:$B$149)),ROWS(N$2:N144))),"")</f>
        <v/>
      </c>
      <c r="O144" s="52" t="str">
        <f t="array" ref="O144">IFERROR(INDEX(D:D,SMALL(IF($B$2:$B$149=$K$1,ROW($B$2:$B$149)),ROWS(O$2:O144))),"")</f>
        <v/>
      </c>
      <c r="P144" s="52" t="str">
        <f t="array" ref="P144">IFERROR(INDEX(E:E,SMALL(IF($B$2:$B$149=$K$1,ROW($B$2:$B$149)),ROWS(P$2:P144))),"")</f>
        <v/>
      </c>
      <c r="Q144" s="52" t="str">
        <f t="array" ref="Q144">IFERROR(INDEX(F:F,SMALL(IF($B$2:$B$149=$K$1,ROW($B$2:$B$149)),ROWS(Q$2:Q144))),"")</f>
        <v/>
      </c>
      <c r="R144" s="52" t="str">
        <f t="array" ref="R144">IFERROR(INDEX(G:G,SMALL(IF($B$2:$B$149=$K$1,ROW($B$2:$B$149)),ROWS(R$2:R144))),"")</f>
        <v/>
      </c>
      <c r="S144" s="52" t="str">
        <f t="array" ref="S144">IFERROR(INDEX(H:H,SMALL(IF($B$2:$B$149=$K$1,ROW($B$2:$B$149)),ROWS(S$2:S144))),"")</f>
        <v/>
      </c>
      <c r="Y144" s="55" t="str">
        <f>IFERROR(""&amp;VLOOKUP($C144,'LISTE A SAISIR'!$E$4:$L$19,3,0),"")</f>
        <v/>
      </c>
      <c r="Z144" s="55" t="str">
        <f>IFERROR(""&amp;VLOOKUP($C144,'LISTE A SAISIR'!$E$4:$L$19,5,0),"")</f>
        <v/>
      </c>
      <c r="AA144" s="55" t="str">
        <f>IFERROR(""&amp;VLOOKUP($C144,'LISTE A SAISIR'!$E$4:$L$19,7,0),"")</f>
        <v/>
      </c>
      <c r="AB144" s="55" t="str">
        <f>IFERROR(""&amp;VLOOKUP($C144,'LISTE A SAISIR'!$E$4:$N$19,9,0),"")</f>
        <v/>
      </c>
      <c r="AD144" s="56" t="str">
        <f t="array" ref="AD144">IFERROR(INDEX($A144:$AB144,SMALL(IF(NOT(COUNTIF($AC144:AC144,$Y144:$AB144)),COLUMN($Y144:$AB144)),1)),"")</f>
        <v/>
      </c>
      <c r="AE144" s="56" t="str">
        <f t="array" ref="AE144">IFERROR(INDEX($A144:$AB144,SMALL(IF(NOT(COUNTIF($AC144:AD144,$Y144:$AB144)),COLUMN($Y144:$AB144)),1)),"")</f>
        <v/>
      </c>
      <c r="AF144" s="56" t="str">
        <f t="array" ref="AF144">IFERROR(INDEX($A144:$AB144,SMALL(IF(NOT(COUNTIF($AC144:AE144,$Y144:$AB144)),COLUMN($Y144:$AB144)),1)),"")</f>
        <v/>
      </c>
      <c r="AG144" s="56" t="str">
        <f t="array" ref="AG144">IFERROR(INDEX($A144:$AB144,SMALL(IF(NOT(COUNTIF($AC144:AF144,$Y144:$AB144)),COLUMN($Y144:$AB144)),1)),"")</f>
        <v/>
      </c>
    </row>
    <row r="145" spans="1:33">
      <c r="A145" s="52">
        <v>144</v>
      </c>
      <c r="B145" s="4"/>
      <c r="C145" s="1"/>
      <c r="D145" s="52" t="str">
        <f>IFERROR(VLOOKUP($C145,'LISTE A SAISIR'!$E$4:$N$19,2,0),"")</f>
        <v/>
      </c>
      <c r="E145" s="1"/>
      <c r="F145" s="53" t="str">
        <f>IFERROR(VLOOKUP($C145,'LISTE A SAISIR'!$E$4:$N$19,2+2*MATCH(E145,Y145:AB145,0),0),"")</f>
        <v/>
      </c>
      <c r="G145" s="1"/>
      <c r="H145" s="1"/>
      <c r="I145" s="58">
        <f t="shared" si="4"/>
        <v>0</v>
      </c>
      <c r="L145" s="52" t="str">
        <f t="array" ref="L145">IFERROR(INDEX(B:B,SMALL(IF($B$2:$B$149=$K$1,ROW($B$2:$B$149)),ROWS(L$2:L145))),"")</f>
        <v/>
      </c>
      <c r="M145" s="52" t="str">
        <f t="array" ref="M145">IFERROR(INDEX(#REF!,SMALL(IF($B$2:$B$149=$K$1,ROW($B$2:$B$149)),ROWS(M$2:M145))),"")</f>
        <v/>
      </c>
      <c r="N145" s="52" t="str">
        <f t="array" ref="N145">IFERROR(INDEX(C:C,SMALL(IF($B$2:$B$149=$K$1,ROW($B$2:$B$149)),ROWS(N$2:N145))),"")</f>
        <v/>
      </c>
      <c r="O145" s="52" t="str">
        <f t="array" ref="O145">IFERROR(INDEX(D:D,SMALL(IF($B$2:$B$149=$K$1,ROW($B$2:$B$149)),ROWS(O$2:O145))),"")</f>
        <v/>
      </c>
      <c r="P145" s="52" t="str">
        <f t="array" ref="P145">IFERROR(INDEX(E:E,SMALL(IF($B$2:$B$149=$K$1,ROW($B$2:$B$149)),ROWS(P$2:P145))),"")</f>
        <v/>
      </c>
      <c r="Q145" s="52" t="str">
        <f t="array" ref="Q145">IFERROR(INDEX(F:F,SMALL(IF($B$2:$B$149=$K$1,ROW($B$2:$B$149)),ROWS(Q$2:Q145))),"")</f>
        <v/>
      </c>
      <c r="R145" s="52" t="str">
        <f t="array" ref="R145">IFERROR(INDEX(G:G,SMALL(IF($B$2:$B$149=$K$1,ROW($B$2:$B$149)),ROWS(R$2:R145))),"")</f>
        <v/>
      </c>
      <c r="S145" s="52" t="str">
        <f t="array" ref="S145">IFERROR(INDEX(H:H,SMALL(IF($B$2:$B$149=$K$1,ROW($B$2:$B$149)),ROWS(S$2:S145))),"")</f>
        <v/>
      </c>
      <c r="Y145" s="55" t="str">
        <f>IFERROR(""&amp;VLOOKUP($C145,'LISTE A SAISIR'!$E$4:$L$19,3,0),"")</f>
        <v/>
      </c>
      <c r="Z145" s="55" t="str">
        <f>IFERROR(""&amp;VLOOKUP($C145,'LISTE A SAISIR'!$E$4:$L$19,5,0),"")</f>
        <v/>
      </c>
      <c r="AA145" s="55" t="str">
        <f>IFERROR(""&amp;VLOOKUP($C145,'LISTE A SAISIR'!$E$4:$L$19,7,0),"")</f>
        <v/>
      </c>
      <c r="AB145" s="55" t="str">
        <f>IFERROR(""&amp;VLOOKUP($C145,'LISTE A SAISIR'!$E$4:$N$19,9,0),"")</f>
        <v/>
      </c>
      <c r="AD145" s="56" t="str">
        <f t="array" ref="AD145">IFERROR(INDEX($A145:$AB145,SMALL(IF(NOT(COUNTIF($AC145:AC145,$Y145:$AB145)),COLUMN($Y145:$AB145)),1)),"")</f>
        <v/>
      </c>
      <c r="AE145" s="56" t="str">
        <f t="array" ref="AE145">IFERROR(INDEX($A145:$AB145,SMALL(IF(NOT(COUNTIF($AC145:AD145,$Y145:$AB145)),COLUMN($Y145:$AB145)),1)),"")</f>
        <v/>
      </c>
      <c r="AF145" s="56" t="str">
        <f t="array" ref="AF145">IFERROR(INDEX($A145:$AB145,SMALL(IF(NOT(COUNTIF($AC145:AE145,$Y145:$AB145)),COLUMN($Y145:$AB145)),1)),"")</f>
        <v/>
      </c>
      <c r="AG145" s="56" t="str">
        <f t="array" ref="AG145">IFERROR(INDEX($A145:$AB145,SMALL(IF(NOT(COUNTIF($AC145:AF145,$Y145:$AB145)),COLUMN($Y145:$AB145)),1)),"")</f>
        <v/>
      </c>
    </row>
    <row r="146" spans="1:33">
      <c r="A146" s="52">
        <v>145</v>
      </c>
      <c r="B146" s="6"/>
      <c r="C146" s="7"/>
      <c r="D146" s="53" t="str">
        <f>IFERROR(VLOOKUP($C146,'LISTE A SAISIR'!$E$4:$N$19,2,0),"")</f>
        <v/>
      </c>
      <c r="E146" s="7"/>
      <c r="F146" s="53" t="str">
        <f>IFERROR(VLOOKUP($C146,'LISTE A SAISIR'!$E$4:$N$19,2+2*MATCH(E146,Y146:AB146,0),0),"")</f>
        <v/>
      </c>
      <c r="G146" s="7"/>
      <c r="H146" s="7"/>
      <c r="I146" s="53">
        <f t="shared" si="4"/>
        <v>0</v>
      </c>
      <c r="L146" s="52" t="str">
        <f t="array" ref="L146">IFERROR(INDEX(B:B,SMALL(IF($B$2:$B$149=$K$1,ROW($B$2:$B$149)),ROWS(L$2:L146))),"")</f>
        <v/>
      </c>
      <c r="M146" s="52" t="str">
        <f t="array" ref="M146">IFERROR(INDEX(#REF!,SMALL(IF($B$2:$B$149=$K$1,ROW($B$2:$B$149)),ROWS(M$2:M146))),"")</f>
        <v/>
      </c>
      <c r="N146" s="52" t="str">
        <f t="array" ref="N146">IFERROR(INDEX(C:C,SMALL(IF($B$2:$B$149=$K$1,ROW($B$2:$B$149)),ROWS(N$2:N146))),"")</f>
        <v/>
      </c>
      <c r="O146" s="52" t="str">
        <f t="array" ref="O146">IFERROR(INDEX(D:D,SMALL(IF($B$2:$B$149=$K$1,ROW($B$2:$B$149)),ROWS(O$2:O146))),"")</f>
        <v/>
      </c>
      <c r="P146" s="52" t="str">
        <f t="array" ref="P146">IFERROR(INDEX(E:E,SMALL(IF($B$2:$B$149=$K$1,ROW($B$2:$B$149)),ROWS(P$2:P146))),"")</f>
        <v/>
      </c>
      <c r="Q146" s="52" t="str">
        <f t="array" ref="Q146">IFERROR(INDEX(F:F,SMALL(IF($B$2:$B$149=$K$1,ROW($B$2:$B$149)),ROWS(Q$2:Q146))),"")</f>
        <v/>
      </c>
      <c r="R146" s="52" t="str">
        <f t="array" ref="R146">IFERROR(INDEX(G:G,SMALL(IF($B$2:$B$149=$K$1,ROW($B$2:$B$149)),ROWS(R$2:R146))),"")</f>
        <v/>
      </c>
      <c r="S146" s="52" t="str">
        <f t="array" ref="S146">IFERROR(INDEX(H:H,SMALL(IF($B$2:$B$149=$K$1,ROW($B$2:$B$149)),ROWS(S$2:S146))),"")</f>
        <v/>
      </c>
      <c r="Y146" s="55" t="str">
        <f>IFERROR(""&amp;VLOOKUP($C146,'LISTE A SAISIR'!$E$4:$L$19,3,0),"")</f>
        <v/>
      </c>
      <c r="Z146" s="55" t="str">
        <f>IFERROR(""&amp;VLOOKUP($C146,'LISTE A SAISIR'!$E$4:$L$19,5,0),"")</f>
        <v/>
      </c>
      <c r="AA146" s="55" t="str">
        <f>IFERROR(""&amp;VLOOKUP($C146,'LISTE A SAISIR'!$E$4:$L$19,7,0),"")</f>
        <v/>
      </c>
      <c r="AB146" s="55" t="str">
        <f>IFERROR(""&amp;VLOOKUP($C146,'LISTE A SAISIR'!$E$4:$N$19,9,0),"")</f>
        <v/>
      </c>
      <c r="AD146" s="56" t="str">
        <f t="array" ref="AD146">IFERROR(INDEX($A146:$AB146,SMALL(IF(NOT(COUNTIF($AC146:AC146,$Y146:$AB146)),COLUMN($Y146:$AB146)),1)),"")</f>
        <v/>
      </c>
      <c r="AE146" s="56" t="str">
        <f t="array" ref="AE146">IFERROR(INDEX($A146:$AB146,SMALL(IF(NOT(COUNTIF($AC146:AD146,$Y146:$AB146)),COLUMN($Y146:$AB146)),1)),"")</f>
        <v/>
      </c>
      <c r="AF146" s="56" t="str">
        <f t="array" ref="AF146">IFERROR(INDEX($A146:$AB146,SMALL(IF(NOT(COUNTIF($AC146:AE146,$Y146:$AB146)),COLUMN($Y146:$AB146)),1)),"")</f>
        <v/>
      </c>
      <c r="AG146" s="56" t="str">
        <f t="array" ref="AG146">IFERROR(INDEX($A146:$AB146,SMALL(IF(NOT(COUNTIF($AC146:AF146,$Y146:$AB146)),COLUMN($Y146:$AB146)),1)),"")</f>
        <v/>
      </c>
    </row>
    <row r="147" spans="1:33">
      <c r="A147" s="52">
        <v>146</v>
      </c>
      <c r="B147" s="4"/>
      <c r="C147" s="1"/>
      <c r="D147" s="52" t="str">
        <f>IFERROR(VLOOKUP($C147,'LISTE A SAISIR'!$E$4:$N$19,2,0),"")</f>
        <v/>
      </c>
      <c r="E147" s="1"/>
      <c r="F147" s="53" t="str">
        <f>IFERROR(VLOOKUP($C147,'LISTE A SAISIR'!$E$4:$N$19,2+2*MATCH(E147,Y147:AB147,0),0),"")</f>
        <v/>
      </c>
      <c r="G147" s="1"/>
      <c r="H147" s="1"/>
      <c r="I147" s="58">
        <f t="shared" si="4"/>
        <v>0</v>
      </c>
      <c r="L147" s="52" t="str">
        <f t="array" ref="L147">IFERROR(INDEX(B:B,SMALL(IF($B$2:$B$149=$K$1,ROW($B$2:$B$149)),ROWS(L$2:L147))),"")</f>
        <v/>
      </c>
      <c r="M147" s="52" t="str">
        <f t="array" ref="M147">IFERROR(INDEX(#REF!,SMALL(IF($B$2:$B$149=$K$1,ROW($B$2:$B$149)),ROWS(M$2:M147))),"")</f>
        <v/>
      </c>
      <c r="N147" s="52" t="str">
        <f t="array" ref="N147">IFERROR(INDEX(C:C,SMALL(IF($B$2:$B$149=$K$1,ROW($B$2:$B$149)),ROWS(N$2:N147))),"")</f>
        <v/>
      </c>
      <c r="O147" s="52" t="str">
        <f t="array" ref="O147">IFERROR(INDEX(D:D,SMALL(IF($B$2:$B$149=$K$1,ROW($B$2:$B$149)),ROWS(O$2:O147))),"")</f>
        <v/>
      </c>
      <c r="P147" s="52" t="str">
        <f t="array" ref="P147">IFERROR(INDEX(E:E,SMALL(IF($B$2:$B$149=$K$1,ROW($B$2:$B$149)),ROWS(P$2:P147))),"")</f>
        <v/>
      </c>
      <c r="Q147" s="52" t="str">
        <f t="array" ref="Q147">IFERROR(INDEX(F:F,SMALL(IF($B$2:$B$149=$K$1,ROW($B$2:$B$149)),ROWS(Q$2:Q147))),"")</f>
        <v/>
      </c>
      <c r="R147" s="52" t="str">
        <f t="array" ref="R147">IFERROR(INDEX(G:G,SMALL(IF($B$2:$B$149=$K$1,ROW($B$2:$B$149)),ROWS(R$2:R147))),"")</f>
        <v/>
      </c>
      <c r="S147" s="52" t="str">
        <f t="array" ref="S147">IFERROR(INDEX(H:H,SMALL(IF($B$2:$B$149=$K$1,ROW($B$2:$B$149)),ROWS(S$2:S147))),"")</f>
        <v/>
      </c>
      <c r="Y147" s="55" t="str">
        <f>IFERROR(""&amp;VLOOKUP($C147,'LISTE A SAISIR'!$E$4:$L$19,3,0),"")</f>
        <v/>
      </c>
      <c r="Z147" s="55" t="str">
        <f>IFERROR(""&amp;VLOOKUP($C147,'LISTE A SAISIR'!$E$4:$L$19,5,0),"")</f>
        <v/>
      </c>
      <c r="AA147" s="55" t="str">
        <f>IFERROR(""&amp;VLOOKUP($C147,'LISTE A SAISIR'!$E$4:$L$19,7,0),"")</f>
        <v/>
      </c>
      <c r="AB147" s="55" t="str">
        <f>IFERROR(""&amp;VLOOKUP($C147,'LISTE A SAISIR'!$E$4:$N$19,9,0),"")</f>
        <v/>
      </c>
      <c r="AD147" s="56" t="str">
        <f t="array" ref="AD147">IFERROR(INDEX($A147:$AB147,SMALL(IF(NOT(COUNTIF($AC147:AC147,$Y147:$AB147)),COLUMN($Y147:$AB147)),1)),"")</f>
        <v/>
      </c>
      <c r="AE147" s="56" t="str">
        <f t="array" ref="AE147">IFERROR(INDEX($A147:$AB147,SMALL(IF(NOT(COUNTIF($AC147:AD147,$Y147:$AB147)),COLUMN($Y147:$AB147)),1)),"")</f>
        <v/>
      </c>
      <c r="AF147" s="56" t="str">
        <f t="array" ref="AF147">IFERROR(INDEX($A147:$AB147,SMALL(IF(NOT(COUNTIF($AC147:AE147,$Y147:$AB147)),COLUMN($Y147:$AB147)),1)),"")</f>
        <v/>
      </c>
      <c r="AG147" s="56" t="str">
        <f t="array" ref="AG147">IFERROR(INDEX($A147:$AB147,SMALL(IF(NOT(COUNTIF($AC147:AF147,$Y147:$AB147)),COLUMN($Y147:$AB147)),1)),"")</f>
        <v/>
      </c>
    </row>
    <row r="148" spans="1:33">
      <c r="A148" s="52">
        <v>147</v>
      </c>
      <c r="B148" s="6"/>
      <c r="C148" s="7"/>
      <c r="D148" s="53" t="str">
        <f>IFERROR(VLOOKUP($C148,'LISTE A SAISIR'!$E$4:$N$19,2,0),"")</f>
        <v/>
      </c>
      <c r="E148" s="7"/>
      <c r="F148" s="53" t="str">
        <f>IFERROR(VLOOKUP($C148,'LISTE A SAISIR'!$E$4:$N$19,2+2*MATCH(E148,Y148:AB148,0),0),"")</f>
        <v/>
      </c>
      <c r="G148" s="7"/>
      <c r="H148" s="7"/>
      <c r="I148" s="53">
        <f t="shared" si="4"/>
        <v>0</v>
      </c>
      <c r="L148" s="52" t="str">
        <f t="array" ref="L148">IFERROR(INDEX(B:B,SMALL(IF($B$2:$B$149=$K$1,ROW($B$2:$B$149)),ROWS(L$2:L148))),"")</f>
        <v/>
      </c>
      <c r="M148" s="52" t="str">
        <f t="array" ref="M148">IFERROR(INDEX(#REF!,SMALL(IF($B$2:$B$149=$K$1,ROW($B$2:$B$149)),ROWS(M$2:M148))),"")</f>
        <v/>
      </c>
      <c r="N148" s="52" t="str">
        <f t="array" ref="N148">IFERROR(INDEX(C:C,SMALL(IF($B$2:$B$149=$K$1,ROW($B$2:$B$149)),ROWS(N$2:N148))),"")</f>
        <v/>
      </c>
      <c r="O148" s="52" t="str">
        <f t="array" ref="O148">IFERROR(INDEX(D:D,SMALL(IF($B$2:$B$149=$K$1,ROW($B$2:$B$149)),ROWS(O$2:O148))),"")</f>
        <v/>
      </c>
      <c r="P148" s="52" t="str">
        <f t="array" ref="P148">IFERROR(INDEX(E:E,SMALL(IF($B$2:$B$149=$K$1,ROW($B$2:$B$149)),ROWS(P$2:P148))),"")</f>
        <v/>
      </c>
      <c r="Q148" s="52" t="str">
        <f t="array" ref="Q148">IFERROR(INDEX(F:F,SMALL(IF($B$2:$B$149=$K$1,ROW($B$2:$B$149)),ROWS(Q$2:Q148))),"")</f>
        <v/>
      </c>
      <c r="R148" s="52" t="str">
        <f t="array" ref="R148">IFERROR(INDEX(G:G,SMALL(IF($B$2:$B$149=$K$1,ROW($B$2:$B$149)),ROWS(R$2:R148))),"")</f>
        <v/>
      </c>
      <c r="S148" s="52" t="str">
        <f t="array" ref="S148">IFERROR(INDEX(H:H,SMALL(IF($B$2:$B$149=$K$1,ROW($B$2:$B$149)),ROWS(S$2:S148))),"")</f>
        <v/>
      </c>
      <c r="Y148" s="55" t="str">
        <f>IFERROR(""&amp;VLOOKUP($C148,'LISTE A SAISIR'!$E$4:$L$19,3,0),"")</f>
        <v/>
      </c>
      <c r="Z148" s="55" t="str">
        <f>IFERROR(""&amp;VLOOKUP($C148,'LISTE A SAISIR'!$E$4:$L$19,5,0),"")</f>
        <v/>
      </c>
      <c r="AA148" s="55" t="str">
        <f>IFERROR(""&amp;VLOOKUP($C148,'LISTE A SAISIR'!$E$4:$L$19,7,0),"")</f>
        <v/>
      </c>
      <c r="AB148" s="55" t="str">
        <f>IFERROR(""&amp;VLOOKUP($C148,'LISTE A SAISIR'!$E$4:$N$19,9,0),"")</f>
        <v/>
      </c>
      <c r="AD148" s="56" t="str">
        <f t="array" ref="AD148">IFERROR(INDEX($A148:$AB148,SMALL(IF(NOT(COUNTIF($AC148:AC148,$Y148:$AB148)),COLUMN($Y148:$AB148)),1)),"")</f>
        <v/>
      </c>
      <c r="AE148" s="56" t="str">
        <f t="array" ref="AE148">IFERROR(INDEX($A148:$AB148,SMALL(IF(NOT(COUNTIF($AC148:AD148,$Y148:$AB148)),COLUMN($Y148:$AB148)),1)),"")</f>
        <v/>
      </c>
      <c r="AF148" s="56" t="str">
        <f t="array" ref="AF148">IFERROR(INDEX($A148:$AB148,SMALL(IF(NOT(COUNTIF($AC148:AE148,$Y148:$AB148)),COLUMN($Y148:$AB148)),1)),"")</f>
        <v/>
      </c>
      <c r="AG148" s="56" t="str">
        <f t="array" ref="AG148">IFERROR(INDEX($A148:$AB148,SMALL(IF(NOT(COUNTIF($AC148:AF148,$Y148:$AB148)),COLUMN($Y148:$AB148)),1)),"")</f>
        <v/>
      </c>
    </row>
    <row r="149" spans="1:33">
      <c r="A149" s="52">
        <v>148</v>
      </c>
      <c r="B149" s="4"/>
      <c r="C149" s="1"/>
      <c r="D149" s="52" t="str">
        <f>IFERROR(VLOOKUP($C149,'LISTE A SAISIR'!$E$4:$N$19,2,0),"")</f>
        <v/>
      </c>
      <c r="E149" s="1"/>
      <c r="F149" s="53" t="str">
        <f>IFERROR(VLOOKUP($C149,'LISTE A SAISIR'!$E$4:$N$19,2+2*MATCH(E149,Y149:AB149,0),0),"")</f>
        <v/>
      </c>
      <c r="G149" s="1"/>
      <c r="H149" s="1"/>
      <c r="I149" s="58">
        <f t="shared" si="4"/>
        <v>0</v>
      </c>
      <c r="L149" s="52" t="str">
        <f t="array" ref="L149">IFERROR(INDEX(B:B,SMALL(IF($B$2:$B$149=$K$1,ROW($B$2:$B$149)),ROWS(L$2:L149))),"")</f>
        <v/>
      </c>
      <c r="M149" s="52" t="str">
        <f t="array" ref="M149">IFERROR(INDEX(#REF!,SMALL(IF($B$2:$B$149=$K$1,ROW($B$2:$B$149)),ROWS(M$2:M149))),"")</f>
        <v/>
      </c>
      <c r="N149" s="52" t="str">
        <f t="array" ref="N149">IFERROR(INDEX(C:C,SMALL(IF($B$2:$B$149=$K$1,ROW($B$2:$B$149)),ROWS(N$2:N149))),"")</f>
        <v/>
      </c>
      <c r="O149" s="52" t="str">
        <f t="array" ref="O149">IFERROR(INDEX(D:D,SMALL(IF($B$2:$B$149=$K$1,ROW($B$2:$B$149)),ROWS(O$2:O149))),"")</f>
        <v/>
      </c>
      <c r="P149" s="52" t="str">
        <f t="array" ref="P149">IFERROR(INDEX(E:E,SMALL(IF($B$2:$B$149=$K$1,ROW($B$2:$B$149)),ROWS(P$2:P149))),"")</f>
        <v/>
      </c>
      <c r="Q149" s="52" t="str">
        <f t="array" ref="Q149">IFERROR(INDEX(F:F,SMALL(IF($B$2:$B$149=$K$1,ROW($B$2:$B$149)),ROWS(Q$2:Q149))),"")</f>
        <v/>
      </c>
      <c r="R149" s="52" t="str">
        <f t="array" ref="R149">IFERROR(INDEX(G:G,SMALL(IF($B$2:$B$149=$K$1,ROW($B$2:$B$149)),ROWS(R$2:R149))),"")</f>
        <v/>
      </c>
      <c r="S149" s="52" t="str">
        <f t="array" ref="S149">IFERROR(INDEX(H:H,SMALL(IF($B$2:$B$149=$K$1,ROW($B$2:$B$149)),ROWS(S$2:S149))),"")</f>
        <v/>
      </c>
      <c r="Y149" s="55" t="str">
        <f>IFERROR(""&amp;VLOOKUP($C149,'LISTE A SAISIR'!$E$4:$L$19,3,0),"")</f>
        <v/>
      </c>
      <c r="Z149" s="55" t="str">
        <f>IFERROR(""&amp;VLOOKUP($C149,'LISTE A SAISIR'!$E$4:$L$19,5,0),"")</f>
        <v/>
      </c>
      <c r="AA149" s="55" t="str">
        <f>IFERROR(""&amp;VLOOKUP($C149,'LISTE A SAISIR'!$E$4:$L$19,7,0),"")</f>
        <v/>
      </c>
      <c r="AB149" s="55" t="str">
        <f>IFERROR(""&amp;VLOOKUP($C149,'LISTE A SAISIR'!$E$4:$N$19,9,0),"")</f>
        <v/>
      </c>
      <c r="AD149" s="56" t="str">
        <f t="array" ref="AD149">IFERROR(INDEX($A149:$AB149,SMALL(IF(NOT(COUNTIF($AC149:AC149,$Y149:$AB149)),COLUMN($Y149:$AB149)),1)),"")</f>
        <v/>
      </c>
      <c r="AE149" s="56" t="str">
        <f t="array" ref="AE149">IFERROR(INDEX($A149:$AB149,SMALL(IF(NOT(COUNTIF($AC149:AD149,$Y149:$AB149)),COLUMN($Y149:$AB149)),1)),"")</f>
        <v/>
      </c>
      <c r="AF149" s="56" t="str">
        <f t="array" ref="AF149">IFERROR(INDEX($A149:$AB149,SMALL(IF(NOT(COUNTIF($AC149:AE149,$Y149:$AB149)),COLUMN($Y149:$AB149)),1)),"")</f>
        <v/>
      </c>
      <c r="AG149" s="56" t="str">
        <f t="array" ref="AG149">IFERROR(INDEX($A149:$AB149,SMALL(IF(NOT(COUNTIF($AC149:AF149,$Y149:$AB149)),COLUMN($Y149:$AB149)),1)),"")</f>
        <v/>
      </c>
    </row>
    <row r="150" spans="1:33">
      <c r="A150" s="52">
        <v>149</v>
      </c>
      <c r="B150" s="4"/>
      <c r="C150" s="1"/>
      <c r="D150" s="52" t="str">
        <f>IFERROR(VLOOKUP($C150,'LISTE A SAISIR'!$E$4:$N$19,2,0),"")</f>
        <v/>
      </c>
      <c r="E150" s="1"/>
      <c r="F150" s="53" t="str">
        <f>IFERROR(VLOOKUP($C150,'LISTE A SAISIR'!$E$4:$N$19,2+2*MATCH(E150,Y150:AB150,0),0),"")</f>
        <v/>
      </c>
      <c r="G150" s="1"/>
      <c r="H150" s="1"/>
      <c r="I150" s="58">
        <f t="shared" ref="I150:I200" si="5">COUNTIF($B$2:$B$149,B150)</f>
        <v>0</v>
      </c>
      <c r="J150" s="86"/>
      <c r="K150" s="86"/>
      <c r="L150" s="52" t="str">
        <f t="array" ref="L150">IFERROR(INDEX(B:B,SMALL(IF($B$2:$B$149=$K$1,ROW($B$2:$B$149)),ROWS(L$2:L150))),"")</f>
        <v/>
      </c>
      <c r="M150" s="52" t="str">
        <f t="array" ref="M150">IFERROR(INDEX(#REF!,SMALL(IF($B$2:$B$149=$K$1,ROW($B$2:$B$149)),ROWS(M$2:M150))),"")</f>
        <v/>
      </c>
      <c r="N150" s="52" t="str">
        <f t="array" ref="N150">IFERROR(INDEX(C:C,SMALL(IF($B$2:$B$149=$K$1,ROW($B$2:$B$149)),ROWS(N$2:N150))),"")</f>
        <v/>
      </c>
      <c r="O150" s="52" t="str">
        <f t="array" ref="O150">IFERROR(INDEX(D:D,SMALL(IF($B$2:$B$149=$K$1,ROW($B$2:$B$149)),ROWS(O$2:O150))),"")</f>
        <v/>
      </c>
      <c r="P150" s="52" t="str">
        <f t="array" ref="P150">IFERROR(INDEX(E:E,SMALL(IF($B$2:$B$149=$K$1,ROW($B$2:$B$149)),ROWS(P$2:P150))),"")</f>
        <v/>
      </c>
      <c r="Q150" s="52" t="str">
        <f t="array" ref="Q150">IFERROR(INDEX(F:F,SMALL(IF($B$2:$B$149=$K$1,ROW($B$2:$B$149)),ROWS(Q$2:Q150))),"")</f>
        <v/>
      </c>
      <c r="R150" s="52" t="str">
        <f t="array" ref="R150">IFERROR(INDEX(G:G,SMALL(IF($B$2:$B$149=$K$1,ROW($B$2:$B$149)),ROWS(R$2:R150))),"")</f>
        <v/>
      </c>
      <c r="S150" s="52" t="str">
        <f t="array" ref="S150">IFERROR(INDEX(H:H,SMALL(IF($B$2:$B$149=$K$1,ROW($B$2:$B$149)),ROWS(S$2:S150))),"")</f>
        <v/>
      </c>
    </row>
    <row r="151" spans="1:33">
      <c r="A151" s="52">
        <v>150</v>
      </c>
      <c r="B151" s="4"/>
      <c r="C151" s="1"/>
      <c r="D151" s="52" t="str">
        <f>IFERROR(VLOOKUP($C151,'LISTE A SAISIR'!$E$4:$N$19,2,0),"")</f>
        <v/>
      </c>
      <c r="E151" s="1"/>
      <c r="F151" s="53" t="str">
        <f>IFERROR(VLOOKUP($C151,'LISTE A SAISIR'!$E$4:$N$19,2+2*MATCH(E151,Y151:Y151,0),0),"")</f>
        <v/>
      </c>
      <c r="G151" s="1"/>
      <c r="H151" s="1"/>
      <c r="I151" s="58">
        <f t="shared" si="5"/>
        <v>0</v>
      </c>
      <c r="J151" s="86"/>
      <c r="K151" s="86"/>
      <c r="L151" s="52" t="str">
        <f t="array" ref="L151">IFERROR(INDEX(B:B,SMALL(IF($B$2:$B$149=$K$1,ROW($B$2:$B$149)),ROWS(L$2:L151))),"")</f>
        <v/>
      </c>
      <c r="M151" s="52" t="str">
        <f t="array" ref="M151">IFERROR(INDEX(#REF!,SMALL(IF($B$2:$B$149=$K$1,ROW($B$2:$B$149)),ROWS(M$2:M151))),"")</f>
        <v/>
      </c>
      <c r="N151" s="52" t="str">
        <f t="array" ref="N151">IFERROR(INDEX(C:C,SMALL(IF($B$2:$B$149=$K$1,ROW($B$2:$B$149)),ROWS(N$2:N151))),"")</f>
        <v/>
      </c>
      <c r="O151" s="52" t="str">
        <f t="array" ref="O151">IFERROR(INDEX(D:D,SMALL(IF($B$2:$B$149=$K$1,ROW($B$2:$B$149)),ROWS(O$2:O151))),"")</f>
        <v/>
      </c>
      <c r="P151" s="52" t="str">
        <f t="array" ref="P151">IFERROR(INDEX(E:E,SMALL(IF($B$2:$B$149=$K$1,ROW($B$2:$B$149)),ROWS(P$2:P151))),"")</f>
        <v/>
      </c>
      <c r="Q151" s="52" t="str">
        <f t="array" ref="Q151">IFERROR(INDEX(F:F,SMALL(IF($B$2:$B$149=$K$1,ROW($B$2:$B$149)),ROWS(Q$2:Q151))),"")</f>
        <v/>
      </c>
      <c r="R151" s="52" t="str">
        <f t="array" ref="R151">IFERROR(INDEX(G:G,SMALL(IF($B$2:$B$149=$K$1,ROW($B$2:$B$149)),ROWS(R$2:R151))),"")</f>
        <v/>
      </c>
      <c r="S151" s="52" t="str">
        <f t="array" ref="S151">IFERROR(INDEX(H:H,SMALL(IF($B$2:$B$149=$K$1,ROW($B$2:$B$149)),ROWS(S$2:S151))),"")</f>
        <v/>
      </c>
      <c r="X151" s="66"/>
    </row>
    <row r="152" spans="1:33">
      <c r="A152" s="52">
        <v>151</v>
      </c>
      <c r="B152" s="4"/>
      <c r="C152" s="1"/>
      <c r="D152" s="52" t="str">
        <f>IFERROR(VLOOKUP($C152,'LISTE A SAISIR'!$E$4:$N$19,2,0),"")</f>
        <v/>
      </c>
      <c r="E152" s="1"/>
      <c r="F152" s="53" t="str">
        <f>IFERROR(VLOOKUP($C152,'LISTE A SAISIR'!$E$4:$N$19,2+2*MATCH(E152,Y152:Y152,0),0),"")</f>
        <v/>
      </c>
      <c r="G152" s="1"/>
      <c r="H152" s="1"/>
      <c r="I152" s="58">
        <f t="shared" si="5"/>
        <v>0</v>
      </c>
      <c r="J152" s="86"/>
      <c r="K152" s="86"/>
      <c r="L152" s="52" t="str">
        <f t="array" ref="L152">IFERROR(INDEX(B:B,SMALL(IF($B$2:$B$149=$K$1,ROW($B$2:$B$149)),ROWS(L$2:L152))),"")</f>
        <v/>
      </c>
      <c r="M152" s="52" t="str">
        <f t="array" ref="M152">IFERROR(INDEX(#REF!,SMALL(IF($B$2:$B$149=$K$1,ROW($B$2:$B$149)),ROWS(M$2:M152))),"")</f>
        <v/>
      </c>
      <c r="N152" s="52" t="str">
        <f t="array" ref="N152">IFERROR(INDEX(C:C,SMALL(IF($B$2:$B$149=$K$1,ROW($B$2:$B$149)),ROWS(N$2:N152))),"")</f>
        <v/>
      </c>
      <c r="O152" s="52" t="str">
        <f t="array" ref="O152">IFERROR(INDEX(D:D,SMALL(IF($B$2:$B$149=$K$1,ROW($B$2:$B$149)),ROWS(O$2:O152))),"")</f>
        <v/>
      </c>
      <c r="P152" s="52" t="str">
        <f t="array" ref="P152">IFERROR(INDEX(E:E,SMALL(IF($B$2:$B$149=$K$1,ROW($B$2:$B$149)),ROWS(P$2:P152))),"")</f>
        <v/>
      </c>
      <c r="Q152" s="52" t="str">
        <f t="array" ref="Q152">IFERROR(INDEX(F:F,SMALL(IF($B$2:$B$149=$K$1,ROW($B$2:$B$149)),ROWS(Q$2:Q152))),"")</f>
        <v/>
      </c>
      <c r="R152" s="52" t="str">
        <f t="array" ref="R152">IFERROR(INDEX(G:G,SMALL(IF($B$2:$B$149=$K$1,ROW($B$2:$B$149)),ROWS(R$2:R152))),"")</f>
        <v/>
      </c>
      <c r="S152" s="52" t="str">
        <f t="array" ref="S152">IFERROR(INDEX(H:H,SMALL(IF($B$2:$B$149=$K$1,ROW($B$2:$B$149)),ROWS(S$2:S152))),"")</f>
        <v/>
      </c>
      <c r="X152" s="66"/>
    </row>
    <row r="153" spans="1:33">
      <c r="A153" s="52">
        <v>152</v>
      </c>
      <c r="B153" s="4"/>
      <c r="C153" s="1"/>
      <c r="D153" s="52" t="str">
        <f>IFERROR(VLOOKUP($C153,'LISTE A SAISIR'!$E$4:$N$19,2,0),"")</f>
        <v/>
      </c>
      <c r="E153" s="1"/>
      <c r="F153" s="53" t="str">
        <f>IFERROR(VLOOKUP($C153,'LISTE A SAISIR'!$E$4:$N$19,2+2*MATCH(E153,Y153:Y153,0),0),"")</f>
        <v/>
      </c>
      <c r="G153" s="1"/>
      <c r="H153" s="1"/>
      <c r="I153" s="58">
        <f t="shared" si="5"/>
        <v>0</v>
      </c>
      <c r="J153" s="86"/>
      <c r="K153" s="86"/>
      <c r="L153" s="52" t="str">
        <f t="array" ref="L153">IFERROR(INDEX(B:B,SMALL(IF($B$2:$B$149=$K$1,ROW($B$2:$B$149)),ROWS(L$2:L153))),"")</f>
        <v/>
      </c>
      <c r="M153" s="52" t="str">
        <f t="array" ref="M153">IFERROR(INDEX(#REF!,SMALL(IF($B$2:$B$149=$K$1,ROW($B$2:$B$149)),ROWS(M$2:M153))),"")</f>
        <v/>
      </c>
      <c r="N153" s="52" t="str">
        <f t="array" ref="N153">IFERROR(INDEX(C:C,SMALL(IF($B$2:$B$149=$K$1,ROW($B$2:$B$149)),ROWS(N$2:N153))),"")</f>
        <v/>
      </c>
      <c r="O153" s="52" t="str">
        <f t="array" ref="O153">IFERROR(INDEX(D:D,SMALL(IF($B$2:$B$149=$K$1,ROW($B$2:$B$149)),ROWS(O$2:O153))),"")</f>
        <v/>
      </c>
      <c r="P153" s="52" t="str">
        <f t="array" ref="P153">IFERROR(INDEX(E:E,SMALL(IF($B$2:$B$149=$K$1,ROW($B$2:$B$149)),ROWS(P$2:P153))),"")</f>
        <v/>
      </c>
      <c r="Q153" s="52" t="str">
        <f t="array" ref="Q153">IFERROR(INDEX(F:F,SMALL(IF($B$2:$B$149=$K$1,ROW($B$2:$B$149)),ROWS(Q$2:Q153))),"")</f>
        <v/>
      </c>
      <c r="R153" s="52" t="str">
        <f t="array" ref="R153">IFERROR(INDEX(G:G,SMALL(IF($B$2:$B$149=$K$1,ROW($B$2:$B$149)),ROWS(R$2:R153))),"")</f>
        <v/>
      </c>
      <c r="S153" s="52" t="str">
        <f t="array" ref="S153">IFERROR(INDEX(H:H,SMALL(IF($B$2:$B$149=$K$1,ROW($B$2:$B$149)),ROWS(S$2:S153))),"")</f>
        <v/>
      </c>
      <c r="X153" s="66"/>
    </row>
    <row r="154" spans="1:33">
      <c r="A154" s="52">
        <v>153</v>
      </c>
      <c r="B154" s="4"/>
      <c r="C154" s="1"/>
      <c r="D154" s="52" t="str">
        <f>IFERROR(VLOOKUP($C154,'LISTE A SAISIR'!$E$4:$N$19,2,0),"")</f>
        <v/>
      </c>
      <c r="E154" s="1"/>
      <c r="F154" s="53" t="str">
        <f>IFERROR(VLOOKUP($C154,'LISTE A SAISIR'!$E$4:$N$19,2+2*MATCH(E154,Y154:Y154,0),0),"")</f>
        <v/>
      </c>
      <c r="G154" s="1"/>
      <c r="H154" s="1"/>
      <c r="I154" s="58">
        <f t="shared" si="5"/>
        <v>0</v>
      </c>
      <c r="J154" s="86"/>
      <c r="K154" s="86"/>
      <c r="L154" s="52" t="str">
        <f t="array" ref="L154">IFERROR(INDEX(B:B,SMALL(IF($B$2:$B$149=$K$1,ROW($B$2:$B$149)),ROWS(L$2:L154))),"")</f>
        <v/>
      </c>
      <c r="M154" s="52" t="str">
        <f t="array" ref="M154">IFERROR(INDEX(#REF!,SMALL(IF($B$2:$B$149=$K$1,ROW($B$2:$B$149)),ROWS(M$2:M154))),"")</f>
        <v/>
      </c>
      <c r="N154" s="52" t="str">
        <f t="array" ref="N154">IFERROR(INDEX(C:C,SMALL(IF($B$2:$B$149=$K$1,ROW($B$2:$B$149)),ROWS(N$2:N154))),"")</f>
        <v/>
      </c>
      <c r="O154" s="52" t="str">
        <f t="array" ref="O154">IFERROR(INDEX(D:D,SMALL(IF($B$2:$B$149=$K$1,ROW($B$2:$B$149)),ROWS(O$2:O154))),"")</f>
        <v/>
      </c>
      <c r="P154" s="52" t="str">
        <f t="array" ref="P154">IFERROR(INDEX(E:E,SMALL(IF($B$2:$B$149=$K$1,ROW($B$2:$B$149)),ROWS(P$2:P154))),"")</f>
        <v/>
      </c>
      <c r="Q154" s="52" t="str">
        <f t="array" ref="Q154">IFERROR(INDEX(F:F,SMALL(IF($B$2:$B$149=$K$1,ROW($B$2:$B$149)),ROWS(Q$2:Q154))),"")</f>
        <v/>
      </c>
      <c r="R154" s="52" t="str">
        <f t="array" ref="R154">IFERROR(INDEX(G:G,SMALL(IF($B$2:$B$149=$K$1,ROW($B$2:$B$149)),ROWS(R$2:R154))),"")</f>
        <v/>
      </c>
      <c r="S154" s="52" t="str">
        <f t="array" ref="S154">IFERROR(INDEX(H:H,SMALL(IF($B$2:$B$149=$K$1,ROW($B$2:$B$149)),ROWS(S$2:S154))),"")</f>
        <v/>
      </c>
      <c r="X154" s="66"/>
    </row>
    <row r="155" spans="1:33">
      <c r="A155" s="52">
        <v>154</v>
      </c>
      <c r="B155" s="4"/>
      <c r="C155" s="1"/>
      <c r="D155" s="52" t="str">
        <f>IFERROR(VLOOKUP($C155,'LISTE A SAISIR'!$E$4:$N$19,2,0),"")</f>
        <v/>
      </c>
      <c r="E155" s="1"/>
      <c r="F155" s="53" t="str">
        <f>IFERROR(VLOOKUP($C155,'LISTE A SAISIR'!$E$4:$N$19,2+2*MATCH(E155,Y155:Y155,0),0),"")</f>
        <v/>
      </c>
      <c r="G155" s="1"/>
      <c r="H155" s="1"/>
      <c r="I155" s="58">
        <f t="shared" si="5"/>
        <v>0</v>
      </c>
      <c r="J155" s="86"/>
      <c r="K155" s="86"/>
      <c r="L155" s="52" t="str">
        <f t="array" ref="L155">IFERROR(INDEX(B:B,SMALL(IF($B$2:$B$149=$K$1,ROW($B$2:$B$149)),ROWS(L$2:L155))),"")</f>
        <v/>
      </c>
      <c r="M155" s="52" t="str">
        <f t="array" ref="M155">IFERROR(INDEX(#REF!,SMALL(IF($B$2:$B$149=$K$1,ROW($B$2:$B$149)),ROWS(M$2:M155))),"")</f>
        <v/>
      </c>
      <c r="N155" s="52" t="str">
        <f t="array" ref="N155">IFERROR(INDEX(C:C,SMALL(IF($B$2:$B$149=$K$1,ROW($B$2:$B$149)),ROWS(N$2:N155))),"")</f>
        <v/>
      </c>
      <c r="O155" s="52" t="str">
        <f t="array" ref="O155">IFERROR(INDEX(D:D,SMALL(IF($B$2:$B$149=$K$1,ROW($B$2:$B$149)),ROWS(O$2:O155))),"")</f>
        <v/>
      </c>
      <c r="P155" s="52" t="str">
        <f t="array" ref="P155">IFERROR(INDEX(E:E,SMALL(IF($B$2:$B$149=$K$1,ROW($B$2:$B$149)),ROWS(P$2:P155))),"")</f>
        <v/>
      </c>
      <c r="Q155" s="52" t="str">
        <f t="array" ref="Q155">IFERROR(INDEX(F:F,SMALL(IF($B$2:$B$149=$K$1,ROW($B$2:$B$149)),ROWS(Q$2:Q155))),"")</f>
        <v/>
      </c>
      <c r="R155" s="52" t="str">
        <f t="array" ref="R155">IFERROR(INDEX(G:G,SMALL(IF($B$2:$B$149=$K$1,ROW($B$2:$B$149)),ROWS(R$2:R155))),"")</f>
        <v/>
      </c>
      <c r="S155" s="52" t="str">
        <f t="array" ref="S155">IFERROR(INDEX(H:H,SMALL(IF($B$2:$B$149=$K$1,ROW($B$2:$B$149)),ROWS(S$2:S155))),"")</f>
        <v/>
      </c>
      <c r="X155" s="66"/>
    </row>
    <row r="156" spans="1:33">
      <c r="A156" s="52">
        <v>155</v>
      </c>
      <c r="B156" s="4"/>
      <c r="C156" s="1"/>
      <c r="D156" s="52" t="str">
        <f>IFERROR(VLOOKUP($C156,'LISTE A SAISIR'!$E$4:$N$19,2,0),"")</f>
        <v/>
      </c>
      <c r="E156" s="1"/>
      <c r="F156" s="53" t="str">
        <f>IFERROR(VLOOKUP($C156,'LISTE A SAISIR'!$E$4:$N$19,2+2*MATCH(E156,Y156:Y156,0),0),"")</f>
        <v/>
      </c>
      <c r="G156" s="1"/>
      <c r="H156" s="1"/>
      <c r="I156" s="58">
        <f t="shared" si="5"/>
        <v>0</v>
      </c>
      <c r="J156" s="86"/>
      <c r="K156" s="86"/>
      <c r="L156" s="52" t="str">
        <f t="array" ref="L156">IFERROR(INDEX(B:B,SMALL(IF($B$2:$B$149=$K$1,ROW($B$2:$B$149)),ROWS(L$2:L156))),"")</f>
        <v/>
      </c>
      <c r="M156" s="52" t="str">
        <f t="array" ref="M156">IFERROR(INDEX(#REF!,SMALL(IF($B$2:$B$149=$K$1,ROW($B$2:$B$149)),ROWS(M$2:M156))),"")</f>
        <v/>
      </c>
      <c r="N156" s="52" t="str">
        <f t="array" ref="N156">IFERROR(INDEX(C:C,SMALL(IF($B$2:$B$149=$K$1,ROW($B$2:$B$149)),ROWS(N$2:N156))),"")</f>
        <v/>
      </c>
      <c r="O156" s="52" t="str">
        <f t="array" ref="O156">IFERROR(INDEX(D:D,SMALL(IF($B$2:$B$149=$K$1,ROW($B$2:$B$149)),ROWS(O$2:O156))),"")</f>
        <v/>
      </c>
      <c r="P156" s="52" t="str">
        <f t="array" ref="P156">IFERROR(INDEX(E:E,SMALL(IF($B$2:$B$149=$K$1,ROW($B$2:$B$149)),ROWS(P$2:P156))),"")</f>
        <v/>
      </c>
      <c r="Q156" s="52" t="str">
        <f t="array" ref="Q156">IFERROR(INDEX(F:F,SMALL(IF($B$2:$B$149=$K$1,ROW($B$2:$B$149)),ROWS(Q$2:Q156))),"")</f>
        <v/>
      </c>
      <c r="R156" s="52" t="str">
        <f t="array" ref="R156">IFERROR(INDEX(G:G,SMALL(IF($B$2:$B$149=$K$1,ROW($B$2:$B$149)),ROWS(R$2:R156))),"")</f>
        <v/>
      </c>
      <c r="S156" s="52" t="str">
        <f t="array" ref="S156">IFERROR(INDEX(H:H,SMALL(IF($B$2:$B$149=$K$1,ROW($B$2:$B$149)),ROWS(S$2:S156))),"")</f>
        <v/>
      </c>
      <c r="X156" s="66"/>
    </row>
    <row r="157" spans="1:33">
      <c r="A157" s="52">
        <v>156</v>
      </c>
      <c r="B157" s="4"/>
      <c r="C157" s="1"/>
      <c r="D157" s="52" t="str">
        <f>IFERROR(VLOOKUP($C157,'LISTE A SAISIR'!$E$4:$N$19,2,0),"")</f>
        <v/>
      </c>
      <c r="E157" s="1"/>
      <c r="F157" s="53" t="str">
        <f>IFERROR(VLOOKUP($C157,'LISTE A SAISIR'!$E$4:$N$19,2+2*MATCH(E157,Y157:Y157,0),0),"")</f>
        <v/>
      </c>
      <c r="G157" s="1"/>
      <c r="H157" s="1"/>
      <c r="I157" s="58">
        <f t="shared" si="5"/>
        <v>0</v>
      </c>
      <c r="J157" s="86"/>
      <c r="K157" s="86"/>
      <c r="L157" s="52" t="str">
        <f t="array" ref="L157">IFERROR(INDEX(B:B,SMALL(IF($B$2:$B$149=$K$1,ROW($B$2:$B$149)),ROWS(L$2:L157))),"")</f>
        <v/>
      </c>
      <c r="M157" s="52" t="str">
        <f t="array" ref="M157">IFERROR(INDEX(#REF!,SMALL(IF($B$2:$B$149=$K$1,ROW($B$2:$B$149)),ROWS(M$2:M157))),"")</f>
        <v/>
      </c>
      <c r="N157" s="52" t="str">
        <f t="array" ref="N157">IFERROR(INDEX(C:C,SMALL(IF($B$2:$B$149=$K$1,ROW($B$2:$B$149)),ROWS(N$2:N157))),"")</f>
        <v/>
      </c>
      <c r="O157" s="52" t="str">
        <f t="array" ref="O157">IFERROR(INDEX(D:D,SMALL(IF($B$2:$B$149=$K$1,ROW($B$2:$B$149)),ROWS(O$2:O157))),"")</f>
        <v/>
      </c>
      <c r="P157" s="52" t="str">
        <f t="array" ref="P157">IFERROR(INDEX(E:E,SMALL(IF($B$2:$B$149=$K$1,ROW($B$2:$B$149)),ROWS(P$2:P157))),"")</f>
        <v/>
      </c>
      <c r="Q157" s="52" t="str">
        <f t="array" ref="Q157">IFERROR(INDEX(F:F,SMALL(IF($B$2:$B$149=$K$1,ROW($B$2:$B$149)),ROWS(Q$2:Q157))),"")</f>
        <v/>
      </c>
      <c r="R157" s="52" t="str">
        <f t="array" ref="R157">IFERROR(INDEX(G:G,SMALL(IF($B$2:$B$149=$K$1,ROW($B$2:$B$149)),ROWS(R$2:R157))),"")</f>
        <v/>
      </c>
      <c r="S157" s="52" t="str">
        <f t="array" ref="S157">IFERROR(INDEX(H:H,SMALL(IF($B$2:$B$149=$K$1,ROW($B$2:$B$149)),ROWS(S$2:S157))),"")</f>
        <v/>
      </c>
      <c r="X157" s="66"/>
    </row>
    <row r="158" spans="1:33">
      <c r="A158" s="52">
        <v>157</v>
      </c>
      <c r="B158" s="4"/>
      <c r="C158" s="1"/>
      <c r="D158" s="52" t="str">
        <f>IFERROR(VLOOKUP($C158,'LISTE A SAISIR'!$E$4:$N$19,2,0),"")</f>
        <v/>
      </c>
      <c r="E158" s="1"/>
      <c r="F158" s="53" t="str">
        <f>IFERROR(VLOOKUP($C158,'LISTE A SAISIR'!$E$4:$N$19,2+2*MATCH(E158,Y158:Y158,0),0),"")</f>
        <v/>
      </c>
      <c r="G158" s="1"/>
      <c r="H158" s="1"/>
      <c r="I158" s="58">
        <f t="shared" si="5"/>
        <v>0</v>
      </c>
      <c r="J158" s="86"/>
      <c r="K158" s="86"/>
      <c r="L158" s="52" t="str">
        <f t="array" ref="L158">IFERROR(INDEX(B:B,SMALL(IF($B$2:$B$149=$K$1,ROW($B$2:$B$149)),ROWS(L$2:L158))),"")</f>
        <v/>
      </c>
      <c r="M158" s="52" t="str">
        <f t="array" ref="M158">IFERROR(INDEX(#REF!,SMALL(IF($B$2:$B$149=$K$1,ROW($B$2:$B$149)),ROWS(M$2:M158))),"")</f>
        <v/>
      </c>
      <c r="N158" s="52" t="str">
        <f t="array" ref="N158">IFERROR(INDEX(C:C,SMALL(IF($B$2:$B$149=$K$1,ROW($B$2:$B$149)),ROWS(N$2:N158))),"")</f>
        <v/>
      </c>
      <c r="O158" s="52" t="str">
        <f t="array" ref="O158">IFERROR(INDEX(D:D,SMALL(IF($B$2:$B$149=$K$1,ROW($B$2:$B$149)),ROWS(O$2:O158))),"")</f>
        <v/>
      </c>
      <c r="P158" s="52" t="str">
        <f t="array" ref="P158">IFERROR(INDEX(E:E,SMALL(IF($B$2:$B$149=$K$1,ROW($B$2:$B$149)),ROWS(P$2:P158))),"")</f>
        <v/>
      </c>
      <c r="Q158" s="52" t="str">
        <f t="array" ref="Q158">IFERROR(INDEX(F:F,SMALL(IF($B$2:$B$149=$K$1,ROW($B$2:$B$149)),ROWS(Q$2:Q158))),"")</f>
        <v/>
      </c>
      <c r="R158" s="52" t="str">
        <f t="array" ref="R158">IFERROR(INDEX(G:G,SMALL(IF($B$2:$B$149=$K$1,ROW($B$2:$B$149)),ROWS(R$2:R158))),"")</f>
        <v/>
      </c>
      <c r="S158" s="52" t="str">
        <f t="array" ref="S158">IFERROR(INDEX(H:H,SMALL(IF($B$2:$B$149=$K$1,ROW($B$2:$B$149)),ROWS(S$2:S158))),"")</f>
        <v/>
      </c>
      <c r="X158" s="66"/>
    </row>
    <row r="159" spans="1:33">
      <c r="A159" s="52">
        <v>158</v>
      </c>
      <c r="B159" s="4"/>
      <c r="C159" s="1"/>
      <c r="D159" s="52" t="str">
        <f>IFERROR(VLOOKUP($C159,'LISTE A SAISIR'!$E$4:$N$19,2,0),"")</f>
        <v/>
      </c>
      <c r="E159" s="1"/>
      <c r="F159" s="53" t="str">
        <f>IFERROR(VLOOKUP($C159,'LISTE A SAISIR'!$E$4:$N$19,2+2*MATCH(E159,Y159:Y159,0),0),"")</f>
        <v/>
      </c>
      <c r="G159" s="1"/>
      <c r="H159" s="1"/>
      <c r="I159" s="58">
        <f t="shared" si="5"/>
        <v>0</v>
      </c>
      <c r="J159" s="86"/>
      <c r="K159" s="86"/>
      <c r="L159" s="52" t="str">
        <f t="array" ref="L159">IFERROR(INDEX(B:B,SMALL(IF($B$2:$B$149=$K$1,ROW($B$2:$B$149)),ROWS(L$2:L159))),"")</f>
        <v/>
      </c>
      <c r="M159" s="52" t="str">
        <f t="array" ref="M159">IFERROR(INDEX(#REF!,SMALL(IF($B$2:$B$149=$K$1,ROW($B$2:$B$149)),ROWS(M$2:M159))),"")</f>
        <v/>
      </c>
      <c r="N159" s="52" t="str">
        <f t="array" ref="N159">IFERROR(INDEX(C:C,SMALL(IF($B$2:$B$149=$K$1,ROW($B$2:$B$149)),ROWS(N$2:N159))),"")</f>
        <v/>
      </c>
      <c r="O159" s="52" t="str">
        <f t="array" ref="O159">IFERROR(INDEX(D:D,SMALL(IF($B$2:$B$149=$K$1,ROW($B$2:$B$149)),ROWS(O$2:O159))),"")</f>
        <v/>
      </c>
      <c r="P159" s="52" t="str">
        <f t="array" ref="P159">IFERROR(INDEX(E:E,SMALL(IF($B$2:$B$149=$K$1,ROW($B$2:$B$149)),ROWS(P$2:P159))),"")</f>
        <v/>
      </c>
      <c r="Q159" s="52" t="str">
        <f t="array" ref="Q159">IFERROR(INDEX(F:F,SMALL(IF($B$2:$B$149=$K$1,ROW($B$2:$B$149)),ROWS(Q$2:Q159))),"")</f>
        <v/>
      </c>
      <c r="R159" s="52" t="str">
        <f t="array" ref="R159">IFERROR(INDEX(G:G,SMALL(IF($B$2:$B$149=$K$1,ROW($B$2:$B$149)),ROWS(R$2:R159))),"")</f>
        <v/>
      </c>
      <c r="S159" s="52" t="str">
        <f t="array" ref="S159">IFERROR(INDEX(H:H,SMALL(IF($B$2:$B$149=$K$1,ROW($B$2:$B$149)),ROWS(S$2:S159))),"")</f>
        <v/>
      </c>
      <c r="X159" s="66"/>
    </row>
    <row r="160" spans="1:33">
      <c r="A160" s="52">
        <v>159</v>
      </c>
      <c r="B160" s="4"/>
      <c r="C160" s="1"/>
      <c r="D160" s="52" t="str">
        <f>IFERROR(VLOOKUP($C160,'LISTE A SAISIR'!$E$4:$N$19,2,0),"")</f>
        <v/>
      </c>
      <c r="E160" s="1"/>
      <c r="F160" s="53" t="str">
        <f>IFERROR(VLOOKUP($C160,'LISTE A SAISIR'!$E$4:$N$19,2+2*MATCH(E160,Y160:Y160,0),0),"")</f>
        <v/>
      </c>
      <c r="G160" s="1"/>
      <c r="H160" s="1"/>
      <c r="I160" s="58">
        <f t="shared" si="5"/>
        <v>0</v>
      </c>
      <c r="J160" s="86"/>
      <c r="K160" s="86"/>
      <c r="L160" s="52" t="str">
        <f t="array" ref="L160">IFERROR(INDEX(B:B,SMALL(IF($B$2:$B$149=$K$1,ROW($B$2:$B$149)),ROWS(L$2:L160))),"")</f>
        <v/>
      </c>
      <c r="M160" s="52" t="str">
        <f t="array" ref="M160">IFERROR(INDEX(#REF!,SMALL(IF($B$2:$B$149=$K$1,ROW($B$2:$B$149)),ROWS(M$2:M160))),"")</f>
        <v/>
      </c>
      <c r="N160" s="52" t="str">
        <f t="array" ref="N160">IFERROR(INDEX(C:C,SMALL(IF($B$2:$B$149=$K$1,ROW($B$2:$B$149)),ROWS(N$2:N160))),"")</f>
        <v/>
      </c>
      <c r="O160" s="52" t="str">
        <f t="array" ref="O160">IFERROR(INDEX(D:D,SMALL(IF($B$2:$B$149=$K$1,ROW($B$2:$B$149)),ROWS(O$2:O160))),"")</f>
        <v/>
      </c>
      <c r="P160" s="52" t="str">
        <f t="array" ref="P160">IFERROR(INDEX(E:E,SMALL(IF($B$2:$B$149=$K$1,ROW($B$2:$B$149)),ROWS(P$2:P160))),"")</f>
        <v/>
      </c>
      <c r="Q160" s="52" t="str">
        <f t="array" ref="Q160">IFERROR(INDEX(F:F,SMALL(IF($B$2:$B$149=$K$1,ROW($B$2:$B$149)),ROWS(Q$2:Q160))),"")</f>
        <v/>
      </c>
      <c r="R160" s="52" t="str">
        <f t="array" ref="R160">IFERROR(INDEX(G:G,SMALL(IF($B$2:$B$149=$K$1,ROW($B$2:$B$149)),ROWS(R$2:R160))),"")</f>
        <v/>
      </c>
      <c r="S160" s="52" t="str">
        <f t="array" ref="S160">IFERROR(INDEX(H:H,SMALL(IF($B$2:$B$149=$K$1,ROW($B$2:$B$149)),ROWS(S$2:S160))),"")</f>
        <v/>
      </c>
      <c r="X160" s="66"/>
    </row>
    <row r="161" spans="1:24">
      <c r="A161" s="52">
        <v>160</v>
      </c>
      <c r="B161" s="4"/>
      <c r="C161" s="1"/>
      <c r="D161" s="52" t="str">
        <f>IFERROR(VLOOKUP($C161,'LISTE A SAISIR'!$E$4:$N$19,2,0),"")</f>
        <v/>
      </c>
      <c r="E161" s="1"/>
      <c r="F161" s="53" t="str">
        <f>IFERROR(VLOOKUP($C161,'LISTE A SAISIR'!$E$4:$N$19,2+2*MATCH(E161,Y161:Y161,0),0),"")</f>
        <v/>
      </c>
      <c r="G161" s="1"/>
      <c r="H161" s="1"/>
      <c r="I161" s="58">
        <f t="shared" si="5"/>
        <v>0</v>
      </c>
      <c r="J161" s="86"/>
      <c r="K161" s="86"/>
      <c r="L161" s="52" t="str">
        <f t="array" ref="L161">IFERROR(INDEX(B:B,SMALL(IF($B$2:$B$149=$K$1,ROW($B$2:$B$149)),ROWS(L$2:L161))),"")</f>
        <v/>
      </c>
      <c r="M161" s="52" t="str">
        <f t="array" ref="M161">IFERROR(INDEX(#REF!,SMALL(IF($B$2:$B$149=$K$1,ROW($B$2:$B$149)),ROWS(M$2:M161))),"")</f>
        <v/>
      </c>
      <c r="N161" s="52" t="str">
        <f t="array" ref="N161">IFERROR(INDEX(C:C,SMALL(IF($B$2:$B$149=$K$1,ROW($B$2:$B$149)),ROWS(N$2:N161))),"")</f>
        <v/>
      </c>
      <c r="O161" s="52" t="str">
        <f t="array" ref="O161">IFERROR(INDEX(D:D,SMALL(IF($B$2:$B$149=$K$1,ROW($B$2:$B$149)),ROWS(O$2:O161))),"")</f>
        <v/>
      </c>
      <c r="P161" s="52" t="str">
        <f t="array" ref="P161">IFERROR(INDEX(E:E,SMALL(IF($B$2:$B$149=$K$1,ROW($B$2:$B$149)),ROWS(P$2:P161))),"")</f>
        <v/>
      </c>
      <c r="Q161" s="52" t="str">
        <f t="array" ref="Q161">IFERROR(INDEX(F:F,SMALL(IF($B$2:$B$149=$K$1,ROW($B$2:$B$149)),ROWS(Q$2:Q161))),"")</f>
        <v/>
      </c>
      <c r="R161" s="52" t="str">
        <f t="array" ref="R161">IFERROR(INDEX(G:G,SMALL(IF($B$2:$B$149=$K$1,ROW($B$2:$B$149)),ROWS(R$2:R161))),"")</f>
        <v/>
      </c>
      <c r="S161" s="52" t="str">
        <f t="array" ref="S161">IFERROR(INDEX(H:H,SMALL(IF($B$2:$B$149=$K$1,ROW($B$2:$B$149)),ROWS(S$2:S161))),"")</f>
        <v/>
      </c>
      <c r="X161" s="66"/>
    </row>
    <row r="162" spans="1:24">
      <c r="A162" s="52">
        <v>161</v>
      </c>
      <c r="B162" s="4"/>
      <c r="C162" s="1"/>
      <c r="D162" s="52" t="str">
        <f>IFERROR(VLOOKUP($C162,'LISTE A SAISIR'!$E$4:$N$19,2,0),"")</f>
        <v/>
      </c>
      <c r="E162" s="1"/>
      <c r="F162" s="53" t="str">
        <f>IFERROR(VLOOKUP($C162,'LISTE A SAISIR'!$E$4:$N$19,2+2*MATCH(E162,Y162:Y162,0),0),"")</f>
        <v/>
      </c>
      <c r="G162" s="1"/>
      <c r="H162" s="1"/>
      <c r="I162" s="58">
        <f t="shared" si="5"/>
        <v>0</v>
      </c>
      <c r="J162" s="86"/>
      <c r="K162" s="86"/>
      <c r="L162" s="52" t="str">
        <f t="array" ref="L162">IFERROR(INDEX(B:B,SMALL(IF($B$2:$B$149=$K$1,ROW($B$2:$B$149)),ROWS(L$2:L162))),"")</f>
        <v/>
      </c>
      <c r="M162" s="52" t="str">
        <f t="array" ref="M162">IFERROR(INDEX(#REF!,SMALL(IF($B$2:$B$149=$K$1,ROW($B$2:$B$149)),ROWS(M$2:M162))),"")</f>
        <v/>
      </c>
      <c r="N162" s="52" t="str">
        <f t="array" ref="N162">IFERROR(INDEX(C:C,SMALL(IF($B$2:$B$149=$K$1,ROW($B$2:$B$149)),ROWS(N$2:N162))),"")</f>
        <v/>
      </c>
      <c r="O162" s="52" t="str">
        <f t="array" ref="O162">IFERROR(INDEX(D:D,SMALL(IF($B$2:$B$149=$K$1,ROW($B$2:$B$149)),ROWS(O$2:O162))),"")</f>
        <v/>
      </c>
      <c r="P162" s="52" t="str">
        <f t="array" ref="P162">IFERROR(INDEX(E:E,SMALL(IF($B$2:$B$149=$K$1,ROW($B$2:$B$149)),ROWS(P$2:P162))),"")</f>
        <v/>
      </c>
      <c r="Q162" s="52" t="str">
        <f t="array" ref="Q162">IFERROR(INDEX(F:F,SMALL(IF($B$2:$B$149=$K$1,ROW($B$2:$B$149)),ROWS(Q$2:Q162))),"")</f>
        <v/>
      </c>
      <c r="R162" s="52" t="str">
        <f t="array" ref="R162">IFERROR(INDEX(G:G,SMALL(IF($B$2:$B$149=$K$1,ROW($B$2:$B$149)),ROWS(R$2:R162))),"")</f>
        <v/>
      </c>
      <c r="S162" s="52" t="str">
        <f t="array" ref="S162">IFERROR(INDEX(H:H,SMALL(IF($B$2:$B$149=$K$1,ROW($B$2:$B$149)),ROWS(S$2:S162))),"")</f>
        <v/>
      </c>
      <c r="X162" s="66"/>
    </row>
    <row r="163" spans="1:24">
      <c r="A163" s="52">
        <v>162</v>
      </c>
      <c r="B163" s="4"/>
      <c r="C163" s="1"/>
      <c r="D163" s="52" t="str">
        <f>IFERROR(VLOOKUP($C163,'LISTE A SAISIR'!$E$4:$N$19,2,0),"")</f>
        <v/>
      </c>
      <c r="E163" s="1"/>
      <c r="F163" s="53" t="str">
        <f>IFERROR(VLOOKUP($C163,'LISTE A SAISIR'!$E$4:$N$19,2+2*MATCH(E163,Y163:Y163,0),0),"")</f>
        <v/>
      </c>
      <c r="G163" s="1"/>
      <c r="H163" s="1"/>
      <c r="I163" s="58">
        <f t="shared" si="5"/>
        <v>0</v>
      </c>
      <c r="J163" s="86"/>
      <c r="K163" s="86"/>
      <c r="L163" s="52" t="str">
        <f t="array" ref="L163">IFERROR(INDEX(B:B,SMALL(IF($B$2:$B$149=$K$1,ROW($B$2:$B$149)),ROWS(L$2:L163))),"")</f>
        <v/>
      </c>
      <c r="M163" s="52" t="str">
        <f t="array" ref="M163">IFERROR(INDEX(#REF!,SMALL(IF($B$2:$B$149=$K$1,ROW($B$2:$B$149)),ROWS(M$2:M163))),"")</f>
        <v/>
      </c>
      <c r="N163" s="52" t="str">
        <f t="array" ref="N163">IFERROR(INDEX(C:C,SMALL(IF($B$2:$B$149=$K$1,ROW($B$2:$B$149)),ROWS(N$2:N163))),"")</f>
        <v/>
      </c>
      <c r="O163" s="52" t="str">
        <f t="array" ref="O163">IFERROR(INDEX(D:D,SMALL(IF($B$2:$B$149=$K$1,ROW($B$2:$B$149)),ROWS(O$2:O163))),"")</f>
        <v/>
      </c>
      <c r="P163" s="52" t="str">
        <f t="array" ref="P163">IFERROR(INDEX(E:E,SMALL(IF($B$2:$B$149=$K$1,ROW($B$2:$B$149)),ROWS(P$2:P163))),"")</f>
        <v/>
      </c>
      <c r="Q163" s="52" t="str">
        <f t="array" ref="Q163">IFERROR(INDEX(F:F,SMALL(IF($B$2:$B$149=$K$1,ROW($B$2:$B$149)),ROWS(Q$2:Q163))),"")</f>
        <v/>
      </c>
      <c r="R163" s="52" t="str">
        <f t="array" ref="R163">IFERROR(INDEX(G:G,SMALL(IF($B$2:$B$149=$K$1,ROW($B$2:$B$149)),ROWS(R$2:R163))),"")</f>
        <v/>
      </c>
      <c r="S163" s="52" t="str">
        <f t="array" ref="S163">IFERROR(INDEX(H:H,SMALL(IF($B$2:$B$149=$K$1,ROW($B$2:$B$149)),ROWS(S$2:S163))),"")</f>
        <v/>
      </c>
      <c r="X163" s="66"/>
    </row>
    <row r="164" spans="1:24">
      <c r="A164" s="52">
        <v>163</v>
      </c>
      <c r="B164" s="4"/>
      <c r="C164" s="1"/>
      <c r="D164" s="52" t="str">
        <f>IFERROR(VLOOKUP($C164,'LISTE A SAISIR'!$E$4:$N$19,2,0),"")</f>
        <v/>
      </c>
      <c r="E164" s="1"/>
      <c r="F164" s="53" t="str">
        <f>IFERROR(VLOOKUP($C164,'LISTE A SAISIR'!$E$4:$N$19,2+2*MATCH(E164,Y164:Y164,0),0),"")</f>
        <v/>
      </c>
      <c r="G164" s="1"/>
      <c r="H164" s="1"/>
      <c r="I164" s="58">
        <f t="shared" si="5"/>
        <v>0</v>
      </c>
      <c r="J164" s="86"/>
      <c r="K164" s="86"/>
      <c r="L164" s="52" t="str">
        <f t="array" ref="L164">IFERROR(INDEX(B:B,SMALL(IF($B$2:$B$149=$K$1,ROW($B$2:$B$149)),ROWS(L$2:L164))),"")</f>
        <v/>
      </c>
      <c r="M164" s="52" t="str">
        <f t="array" ref="M164">IFERROR(INDEX(#REF!,SMALL(IF($B$2:$B$149=$K$1,ROW($B$2:$B$149)),ROWS(M$2:M164))),"")</f>
        <v/>
      </c>
      <c r="N164" s="52" t="str">
        <f t="array" ref="N164">IFERROR(INDEX(C:C,SMALL(IF($B$2:$B$149=$K$1,ROW($B$2:$B$149)),ROWS(N$2:N164))),"")</f>
        <v/>
      </c>
      <c r="O164" s="52" t="str">
        <f t="array" ref="O164">IFERROR(INDEX(D:D,SMALL(IF($B$2:$B$149=$K$1,ROW($B$2:$B$149)),ROWS(O$2:O164))),"")</f>
        <v/>
      </c>
      <c r="P164" s="52" t="str">
        <f t="array" ref="P164">IFERROR(INDEX(E:E,SMALL(IF($B$2:$B$149=$K$1,ROW($B$2:$B$149)),ROWS(P$2:P164))),"")</f>
        <v/>
      </c>
      <c r="Q164" s="52" t="str">
        <f t="array" ref="Q164">IFERROR(INDEX(F:F,SMALL(IF($B$2:$B$149=$K$1,ROW($B$2:$B$149)),ROWS(Q$2:Q164))),"")</f>
        <v/>
      </c>
      <c r="R164" s="52" t="str">
        <f t="array" ref="R164">IFERROR(INDEX(G:G,SMALL(IF($B$2:$B$149=$K$1,ROW($B$2:$B$149)),ROWS(R$2:R164))),"")</f>
        <v/>
      </c>
      <c r="S164" s="52" t="str">
        <f t="array" ref="S164">IFERROR(INDEX(H:H,SMALL(IF($B$2:$B$149=$K$1,ROW($B$2:$B$149)),ROWS(S$2:S164))),"")</f>
        <v/>
      </c>
      <c r="X164" s="66"/>
    </row>
    <row r="165" spans="1:24">
      <c r="A165" s="52">
        <v>164</v>
      </c>
      <c r="B165" s="4"/>
      <c r="C165" s="1"/>
      <c r="D165" s="52" t="str">
        <f>IFERROR(VLOOKUP($C165,'LISTE A SAISIR'!$E$4:$N$19,2,0),"")</f>
        <v/>
      </c>
      <c r="E165" s="1"/>
      <c r="F165" s="53" t="str">
        <f>IFERROR(VLOOKUP($C165,'LISTE A SAISIR'!$E$4:$N$19,2+2*MATCH(E165,Y165:Y165,0),0),"")</f>
        <v/>
      </c>
      <c r="G165" s="1"/>
      <c r="H165" s="1"/>
      <c r="I165" s="58">
        <f t="shared" si="5"/>
        <v>0</v>
      </c>
      <c r="J165" s="86"/>
      <c r="K165" s="86"/>
      <c r="L165" s="52" t="str">
        <f t="array" ref="L165">IFERROR(INDEX(B:B,SMALL(IF($B$2:$B$149=$K$1,ROW($B$2:$B$149)),ROWS(L$2:L165))),"")</f>
        <v/>
      </c>
      <c r="M165" s="52" t="str">
        <f t="array" ref="M165">IFERROR(INDEX(#REF!,SMALL(IF($B$2:$B$149=$K$1,ROW($B$2:$B$149)),ROWS(M$2:M165))),"")</f>
        <v/>
      </c>
      <c r="N165" s="52" t="str">
        <f t="array" ref="N165">IFERROR(INDEX(C:C,SMALL(IF($B$2:$B$149=$K$1,ROW($B$2:$B$149)),ROWS(N$2:N165))),"")</f>
        <v/>
      </c>
      <c r="O165" s="52" t="str">
        <f t="array" ref="O165">IFERROR(INDEX(D:D,SMALL(IF($B$2:$B$149=$K$1,ROW($B$2:$B$149)),ROWS(O$2:O165))),"")</f>
        <v/>
      </c>
      <c r="P165" s="52" t="str">
        <f t="array" ref="P165">IFERROR(INDEX(E:E,SMALL(IF($B$2:$B$149=$K$1,ROW($B$2:$B$149)),ROWS(P$2:P165))),"")</f>
        <v/>
      </c>
      <c r="Q165" s="52" t="str">
        <f t="array" ref="Q165">IFERROR(INDEX(F:F,SMALL(IF($B$2:$B$149=$K$1,ROW($B$2:$B$149)),ROWS(Q$2:Q165))),"")</f>
        <v/>
      </c>
      <c r="R165" s="52" t="str">
        <f t="array" ref="R165">IFERROR(INDEX(G:G,SMALL(IF($B$2:$B$149=$K$1,ROW($B$2:$B$149)),ROWS(R$2:R165))),"")</f>
        <v/>
      </c>
      <c r="S165" s="52" t="str">
        <f t="array" ref="S165">IFERROR(INDEX(H:H,SMALL(IF($B$2:$B$149=$K$1,ROW($B$2:$B$149)),ROWS(S$2:S165))),"")</f>
        <v/>
      </c>
      <c r="X165" s="66"/>
    </row>
    <row r="166" spans="1:24">
      <c r="A166" s="52">
        <v>165</v>
      </c>
      <c r="B166" s="4"/>
      <c r="C166" s="1"/>
      <c r="D166" s="52" t="str">
        <f>IFERROR(VLOOKUP($C166,'LISTE A SAISIR'!$E$4:$N$19,2,0),"")</f>
        <v/>
      </c>
      <c r="E166" s="1"/>
      <c r="F166" s="53" t="str">
        <f>IFERROR(VLOOKUP($C166,'LISTE A SAISIR'!$E$4:$N$19,2+2*MATCH(E166,Y166:Y166,0),0),"")</f>
        <v/>
      </c>
      <c r="G166" s="1"/>
      <c r="H166" s="1"/>
      <c r="I166" s="58">
        <f t="shared" si="5"/>
        <v>0</v>
      </c>
      <c r="J166" s="86"/>
      <c r="K166" s="86"/>
      <c r="L166" s="52" t="str">
        <f t="array" ref="L166">IFERROR(INDEX(B:B,SMALL(IF($B$2:$B$149=$K$1,ROW($B$2:$B$149)),ROWS(L$2:L166))),"")</f>
        <v/>
      </c>
      <c r="M166" s="52" t="str">
        <f t="array" ref="M166">IFERROR(INDEX(#REF!,SMALL(IF($B$2:$B$149=$K$1,ROW($B$2:$B$149)),ROWS(M$2:M166))),"")</f>
        <v/>
      </c>
      <c r="N166" s="52" t="str">
        <f t="array" ref="N166">IFERROR(INDEX(C:C,SMALL(IF($B$2:$B$149=$K$1,ROW($B$2:$B$149)),ROWS(N$2:N166))),"")</f>
        <v/>
      </c>
      <c r="O166" s="52" t="str">
        <f t="array" ref="O166">IFERROR(INDEX(D:D,SMALL(IF($B$2:$B$149=$K$1,ROW($B$2:$B$149)),ROWS(O$2:O166))),"")</f>
        <v/>
      </c>
      <c r="P166" s="52" t="str">
        <f t="array" ref="P166">IFERROR(INDEX(E:E,SMALL(IF($B$2:$B$149=$K$1,ROW($B$2:$B$149)),ROWS(P$2:P166))),"")</f>
        <v/>
      </c>
      <c r="Q166" s="52" t="str">
        <f t="array" ref="Q166">IFERROR(INDEX(F:F,SMALL(IF($B$2:$B$149=$K$1,ROW($B$2:$B$149)),ROWS(Q$2:Q166))),"")</f>
        <v/>
      </c>
      <c r="R166" s="52" t="str">
        <f t="array" ref="R166">IFERROR(INDEX(G:G,SMALL(IF($B$2:$B$149=$K$1,ROW($B$2:$B$149)),ROWS(R$2:R166))),"")</f>
        <v/>
      </c>
      <c r="S166" s="52" t="str">
        <f t="array" ref="S166">IFERROR(INDEX(H:H,SMALL(IF($B$2:$B$149=$K$1,ROW($B$2:$B$149)),ROWS(S$2:S166))),"")</f>
        <v/>
      </c>
      <c r="X166" s="66"/>
    </row>
    <row r="167" spans="1:24">
      <c r="A167" s="52">
        <v>166</v>
      </c>
      <c r="B167" s="4"/>
      <c r="C167" s="1"/>
      <c r="D167" s="52" t="str">
        <f>IFERROR(VLOOKUP($C167,'LISTE A SAISIR'!$E$4:$N$19,2,0),"")</f>
        <v/>
      </c>
      <c r="E167" s="1"/>
      <c r="F167" s="53" t="str">
        <f>IFERROR(VLOOKUP($C167,'LISTE A SAISIR'!$E$4:$N$19,2+2*MATCH(E167,Y167:Y167,0),0),"")</f>
        <v/>
      </c>
      <c r="G167" s="1"/>
      <c r="H167" s="1"/>
      <c r="I167" s="58">
        <f t="shared" si="5"/>
        <v>0</v>
      </c>
      <c r="J167" s="86"/>
      <c r="K167" s="86"/>
      <c r="L167" s="52" t="str">
        <f t="array" ref="L167">IFERROR(INDEX(B:B,SMALL(IF($B$2:$B$149=$K$1,ROW($B$2:$B$149)),ROWS(L$2:L167))),"")</f>
        <v/>
      </c>
      <c r="M167" s="52" t="str">
        <f t="array" ref="M167">IFERROR(INDEX(#REF!,SMALL(IF($B$2:$B$149=$K$1,ROW($B$2:$B$149)),ROWS(M$2:M167))),"")</f>
        <v/>
      </c>
      <c r="N167" s="52" t="str">
        <f t="array" ref="N167">IFERROR(INDEX(C:C,SMALL(IF($B$2:$B$149=$K$1,ROW($B$2:$B$149)),ROWS(N$2:N167))),"")</f>
        <v/>
      </c>
      <c r="O167" s="52" t="str">
        <f t="array" ref="O167">IFERROR(INDEX(D:D,SMALL(IF($B$2:$B$149=$K$1,ROW($B$2:$B$149)),ROWS(O$2:O167))),"")</f>
        <v/>
      </c>
      <c r="P167" s="52" t="str">
        <f t="array" ref="P167">IFERROR(INDEX(E:E,SMALL(IF($B$2:$B$149=$K$1,ROW($B$2:$B$149)),ROWS(P$2:P167))),"")</f>
        <v/>
      </c>
      <c r="Q167" s="52" t="str">
        <f t="array" ref="Q167">IFERROR(INDEX(F:F,SMALL(IF($B$2:$B$149=$K$1,ROW($B$2:$B$149)),ROWS(Q$2:Q167))),"")</f>
        <v/>
      </c>
      <c r="R167" s="52" t="str">
        <f t="array" ref="R167">IFERROR(INDEX(G:G,SMALL(IF($B$2:$B$149=$K$1,ROW($B$2:$B$149)),ROWS(R$2:R167))),"")</f>
        <v/>
      </c>
      <c r="S167" s="52" t="str">
        <f t="array" ref="S167">IFERROR(INDEX(H:H,SMALL(IF($B$2:$B$149=$K$1,ROW($B$2:$B$149)),ROWS(S$2:S167))),"")</f>
        <v/>
      </c>
      <c r="X167" s="66"/>
    </row>
    <row r="168" spans="1:24">
      <c r="A168" s="52">
        <v>167</v>
      </c>
      <c r="B168" s="4"/>
      <c r="C168" s="1"/>
      <c r="D168" s="52" t="str">
        <f>IFERROR(VLOOKUP($C168,'LISTE A SAISIR'!$E$4:$N$19,2,0),"")</f>
        <v/>
      </c>
      <c r="E168" s="1"/>
      <c r="F168" s="53" t="str">
        <f>IFERROR(VLOOKUP($C168,'LISTE A SAISIR'!$E$4:$N$19,2+2*MATCH(E168,Y168:Y168,0),0),"")</f>
        <v/>
      </c>
      <c r="G168" s="1"/>
      <c r="H168" s="1"/>
      <c r="I168" s="58">
        <f t="shared" si="5"/>
        <v>0</v>
      </c>
      <c r="J168" s="86"/>
      <c r="K168" s="86"/>
      <c r="L168" s="52" t="str">
        <f t="array" ref="L168">IFERROR(INDEX(B:B,SMALL(IF($B$2:$B$149=$K$1,ROW($B$2:$B$149)),ROWS(L$2:L168))),"")</f>
        <v/>
      </c>
      <c r="M168" s="52" t="str">
        <f t="array" ref="M168">IFERROR(INDEX(#REF!,SMALL(IF($B$2:$B$149=$K$1,ROW($B$2:$B$149)),ROWS(M$2:M168))),"")</f>
        <v/>
      </c>
      <c r="N168" s="52" t="str">
        <f t="array" ref="N168">IFERROR(INDEX(C:C,SMALL(IF($B$2:$B$149=$K$1,ROW($B$2:$B$149)),ROWS(N$2:N168))),"")</f>
        <v/>
      </c>
      <c r="O168" s="52" t="str">
        <f t="array" ref="O168">IFERROR(INDEX(D:D,SMALL(IF($B$2:$B$149=$K$1,ROW($B$2:$B$149)),ROWS(O$2:O168))),"")</f>
        <v/>
      </c>
      <c r="P168" s="52" t="str">
        <f t="array" ref="P168">IFERROR(INDEX(E:E,SMALL(IF($B$2:$B$149=$K$1,ROW($B$2:$B$149)),ROWS(P$2:P168))),"")</f>
        <v/>
      </c>
      <c r="Q168" s="52" t="str">
        <f t="array" ref="Q168">IFERROR(INDEX(F:F,SMALL(IF($B$2:$B$149=$K$1,ROW($B$2:$B$149)),ROWS(Q$2:Q168))),"")</f>
        <v/>
      </c>
      <c r="R168" s="52" t="str">
        <f t="array" ref="R168">IFERROR(INDEX(G:G,SMALL(IF($B$2:$B$149=$K$1,ROW($B$2:$B$149)),ROWS(R$2:R168))),"")</f>
        <v/>
      </c>
      <c r="S168" s="52" t="str">
        <f t="array" ref="S168">IFERROR(INDEX(H:H,SMALL(IF($B$2:$B$149=$K$1,ROW($B$2:$B$149)),ROWS(S$2:S168))),"")</f>
        <v/>
      </c>
      <c r="X168" s="66"/>
    </row>
    <row r="169" spans="1:24">
      <c r="A169" s="52">
        <v>168</v>
      </c>
      <c r="B169" s="4"/>
      <c r="C169" s="1"/>
      <c r="D169" s="52" t="str">
        <f>IFERROR(VLOOKUP($C169,'LISTE A SAISIR'!$E$4:$N$19,2,0),"")</f>
        <v/>
      </c>
      <c r="E169" s="1"/>
      <c r="F169" s="53" t="str">
        <f>IFERROR(VLOOKUP($C169,'LISTE A SAISIR'!$E$4:$N$19,2+2*MATCH(E169,Y169:AB169,0),0),"")</f>
        <v/>
      </c>
      <c r="G169" s="1"/>
      <c r="H169" s="1"/>
      <c r="I169" s="58">
        <f t="shared" si="5"/>
        <v>0</v>
      </c>
      <c r="J169" s="86"/>
      <c r="K169" s="86"/>
      <c r="L169" s="52" t="str">
        <f t="array" ref="L169">IFERROR(INDEX(B:B,SMALL(IF($B$2:$B$149=$K$1,ROW($B$2:$B$149)),ROWS(L$2:L169))),"")</f>
        <v/>
      </c>
      <c r="M169" s="52" t="str">
        <f t="array" ref="M169">IFERROR(INDEX(#REF!,SMALL(IF($B$2:$B$149=$K$1,ROW($B$2:$B$149)),ROWS(M$2:M169))),"")</f>
        <v/>
      </c>
      <c r="N169" s="52" t="str">
        <f t="array" ref="N169">IFERROR(INDEX(C:C,SMALL(IF($B$2:$B$149=$K$1,ROW($B$2:$B$149)),ROWS(N$2:N169))),"")</f>
        <v/>
      </c>
      <c r="O169" s="52" t="str">
        <f t="array" ref="O169">IFERROR(INDEX(D:D,SMALL(IF($B$2:$B$149=$K$1,ROW($B$2:$B$149)),ROWS(O$2:O169))),"")</f>
        <v/>
      </c>
      <c r="P169" s="52" t="str">
        <f t="array" ref="P169">IFERROR(INDEX(E:E,SMALL(IF($B$2:$B$149=$K$1,ROW($B$2:$B$149)),ROWS(P$2:P169))),"")</f>
        <v/>
      </c>
      <c r="Q169" s="52" t="str">
        <f t="array" ref="Q169">IFERROR(INDEX(F:F,SMALL(IF($B$2:$B$149=$K$1,ROW($B$2:$B$149)),ROWS(Q$2:Q169))),"")</f>
        <v/>
      </c>
      <c r="R169" s="52" t="str">
        <f t="array" ref="R169">IFERROR(INDEX(G:G,SMALL(IF($B$2:$B$149=$K$1,ROW($B$2:$B$149)),ROWS(R$2:R169))),"")</f>
        <v/>
      </c>
      <c r="S169" s="52" t="str">
        <f t="array" ref="S169">IFERROR(INDEX(H:H,SMALL(IF($B$2:$B$149=$K$1,ROW($B$2:$B$149)),ROWS(S$2:S169))),"")</f>
        <v/>
      </c>
      <c r="X169" s="66"/>
    </row>
    <row r="170" spans="1:24">
      <c r="A170" s="52">
        <v>169</v>
      </c>
      <c r="B170" s="4"/>
      <c r="C170" s="1"/>
      <c r="D170" s="52" t="str">
        <f>IFERROR(VLOOKUP($C170,'LISTE A SAISIR'!$E$4:$N$19,2,0),"")</f>
        <v/>
      </c>
      <c r="E170" s="1"/>
      <c r="F170" s="53" t="str">
        <f>IFERROR(VLOOKUP($C170,'LISTE A SAISIR'!$E$4:$N$19,2+2*MATCH(E170,Y170:AB170,0),0),"")</f>
        <v/>
      </c>
      <c r="G170" s="1"/>
      <c r="H170" s="1"/>
      <c r="I170" s="58">
        <f t="shared" si="5"/>
        <v>0</v>
      </c>
      <c r="J170" s="86"/>
      <c r="K170" s="86"/>
      <c r="L170" s="52" t="str">
        <f t="array" ref="L170">IFERROR(INDEX(B:B,SMALL(IF($B$2:$B$149=$K$1,ROW($B$2:$B$149)),ROWS(L$2:L170))),"")</f>
        <v/>
      </c>
      <c r="M170" s="52" t="str">
        <f t="array" ref="M170">IFERROR(INDEX(#REF!,SMALL(IF($B$2:$B$149=$K$1,ROW($B$2:$B$149)),ROWS(M$2:M170))),"")</f>
        <v/>
      </c>
      <c r="N170" s="52" t="str">
        <f t="array" ref="N170">IFERROR(INDEX(C:C,SMALL(IF($B$2:$B$149=$K$1,ROW($B$2:$B$149)),ROWS(N$2:N170))),"")</f>
        <v/>
      </c>
      <c r="O170" s="52" t="str">
        <f t="array" ref="O170">IFERROR(INDEX(D:D,SMALL(IF($B$2:$B$149=$K$1,ROW($B$2:$B$149)),ROWS(O$2:O170))),"")</f>
        <v/>
      </c>
      <c r="P170" s="52" t="str">
        <f t="array" ref="P170">IFERROR(INDEX(E:E,SMALL(IF($B$2:$B$149=$K$1,ROW($B$2:$B$149)),ROWS(P$2:P170))),"")</f>
        <v/>
      </c>
      <c r="Q170" s="52" t="str">
        <f t="array" ref="Q170">IFERROR(INDEX(F:F,SMALL(IF($B$2:$B$149=$K$1,ROW($B$2:$B$149)),ROWS(Q$2:Q170))),"")</f>
        <v/>
      </c>
      <c r="R170" s="52" t="str">
        <f t="array" ref="R170">IFERROR(INDEX(G:G,SMALL(IF($B$2:$B$149=$K$1,ROW($B$2:$B$149)),ROWS(R$2:R170))),"")</f>
        <v/>
      </c>
      <c r="S170" s="52" t="str">
        <f t="array" ref="S170">IFERROR(INDEX(H:H,SMALL(IF($B$2:$B$149=$K$1,ROW($B$2:$B$149)),ROWS(S$2:S170))),"")</f>
        <v/>
      </c>
      <c r="X170" s="66"/>
    </row>
    <row r="171" spans="1:24">
      <c r="A171" s="52">
        <v>170</v>
      </c>
      <c r="B171" s="4"/>
      <c r="C171" s="1"/>
      <c r="D171" s="52" t="str">
        <f>IFERROR(VLOOKUP($C171,'LISTE A SAISIR'!$E$4:$N$19,2,0),"")</f>
        <v/>
      </c>
      <c r="E171" s="1"/>
      <c r="F171" s="53" t="str">
        <f>IFERROR(VLOOKUP($C171,'LISTE A SAISIR'!$E$4:$N$19,2+2*MATCH(E171,Y171:AB171,0),0),"")</f>
        <v/>
      </c>
      <c r="G171" s="1"/>
      <c r="H171" s="1"/>
      <c r="I171" s="58">
        <f t="shared" si="5"/>
        <v>0</v>
      </c>
      <c r="J171" s="86"/>
      <c r="K171" s="86"/>
      <c r="L171" s="52" t="str">
        <f t="array" ref="L171">IFERROR(INDEX(B:B,SMALL(IF($B$2:$B$149=$K$1,ROW($B$2:$B$149)),ROWS(L$2:L171))),"")</f>
        <v/>
      </c>
      <c r="M171" s="52" t="str">
        <f t="array" ref="M171">IFERROR(INDEX(#REF!,SMALL(IF($B$2:$B$149=$K$1,ROW($B$2:$B$149)),ROWS(M$2:M171))),"")</f>
        <v/>
      </c>
      <c r="N171" s="52" t="str">
        <f t="array" ref="N171">IFERROR(INDEX(C:C,SMALL(IF($B$2:$B$149=$K$1,ROW($B$2:$B$149)),ROWS(N$2:N171))),"")</f>
        <v/>
      </c>
      <c r="O171" s="52" t="str">
        <f t="array" ref="O171">IFERROR(INDEX(D:D,SMALL(IF($B$2:$B$149=$K$1,ROW($B$2:$B$149)),ROWS(O$2:O171))),"")</f>
        <v/>
      </c>
      <c r="P171" s="52" t="str">
        <f t="array" ref="P171">IFERROR(INDEX(E:E,SMALL(IF($B$2:$B$149=$K$1,ROW($B$2:$B$149)),ROWS(P$2:P171))),"")</f>
        <v/>
      </c>
      <c r="Q171" s="52" t="str">
        <f t="array" ref="Q171">IFERROR(INDEX(F:F,SMALL(IF($B$2:$B$149=$K$1,ROW($B$2:$B$149)),ROWS(Q$2:Q171))),"")</f>
        <v/>
      </c>
      <c r="R171" s="52" t="str">
        <f t="array" ref="R171">IFERROR(INDEX(G:G,SMALL(IF($B$2:$B$149=$K$1,ROW($B$2:$B$149)),ROWS(R$2:R171))),"")</f>
        <v/>
      </c>
      <c r="S171" s="52" t="str">
        <f t="array" ref="S171">IFERROR(INDEX(H:H,SMALL(IF($B$2:$B$149=$K$1,ROW($B$2:$B$149)),ROWS(S$2:S171))),"")</f>
        <v/>
      </c>
      <c r="X171" s="66"/>
    </row>
    <row r="172" spans="1:24">
      <c r="A172" s="52">
        <v>171</v>
      </c>
      <c r="B172" s="4"/>
      <c r="C172" s="1"/>
      <c r="D172" s="52" t="str">
        <f>IFERROR(VLOOKUP($C172,'LISTE A SAISIR'!$E$4:$N$19,2,0),"")</f>
        <v/>
      </c>
      <c r="E172" s="1"/>
      <c r="F172" s="53" t="str">
        <f>IFERROR(VLOOKUP($C172,'LISTE A SAISIR'!$E$4:$N$19,2+2*MATCH(E172,Y172:AB172,0),0),"")</f>
        <v/>
      </c>
      <c r="G172" s="1"/>
      <c r="H172" s="1"/>
      <c r="I172" s="58">
        <f t="shared" si="5"/>
        <v>0</v>
      </c>
      <c r="J172" s="86"/>
      <c r="K172" s="86"/>
      <c r="L172" s="52" t="str">
        <f t="array" ref="L172">IFERROR(INDEX(B:B,SMALL(IF($B$2:$B$149=$K$1,ROW($B$2:$B$149)),ROWS(L$2:L172))),"")</f>
        <v/>
      </c>
      <c r="M172" s="52" t="str">
        <f t="array" ref="M172">IFERROR(INDEX(#REF!,SMALL(IF($B$2:$B$149=$K$1,ROW($B$2:$B$149)),ROWS(M$2:M172))),"")</f>
        <v/>
      </c>
      <c r="N172" s="52" t="str">
        <f t="array" ref="N172">IFERROR(INDEX(C:C,SMALL(IF($B$2:$B$149=$K$1,ROW($B$2:$B$149)),ROWS(N$2:N172))),"")</f>
        <v/>
      </c>
      <c r="O172" s="52" t="str">
        <f t="array" ref="O172">IFERROR(INDEX(D:D,SMALL(IF($B$2:$B$149=$K$1,ROW($B$2:$B$149)),ROWS(O$2:O172))),"")</f>
        <v/>
      </c>
      <c r="P172" s="52" t="str">
        <f t="array" ref="P172">IFERROR(INDEX(E:E,SMALL(IF($B$2:$B$149=$K$1,ROW($B$2:$B$149)),ROWS(P$2:P172))),"")</f>
        <v/>
      </c>
      <c r="Q172" s="52" t="str">
        <f t="array" ref="Q172">IFERROR(INDEX(F:F,SMALL(IF($B$2:$B$149=$K$1,ROW($B$2:$B$149)),ROWS(Q$2:Q172))),"")</f>
        <v/>
      </c>
      <c r="R172" s="52" t="str">
        <f t="array" ref="R172">IFERROR(INDEX(G:G,SMALL(IF($B$2:$B$149=$K$1,ROW($B$2:$B$149)),ROWS(R$2:R172))),"")</f>
        <v/>
      </c>
      <c r="S172" s="52" t="str">
        <f t="array" ref="S172">IFERROR(INDEX(H:H,SMALL(IF($B$2:$B$149=$K$1,ROW($B$2:$B$149)),ROWS(S$2:S172))),"")</f>
        <v/>
      </c>
      <c r="X172" s="66"/>
    </row>
    <row r="173" spans="1:24">
      <c r="A173" s="52">
        <v>172</v>
      </c>
      <c r="B173" s="4"/>
      <c r="C173" s="1"/>
      <c r="D173" s="52" t="str">
        <f>IFERROR(VLOOKUP($C173,'LISTE A SAISIR'!$E$4:$N$19,2,0),"")</f>
        <v/>
      </c>
      <c r="E173" s="1"/>
      <c r="F173" s="53" t="str">
        <f>IFERROR(VLOOKUP($C173,'LISTE A SAISIR'!$E$4:$N$19,2+2*MATCH(E173,Y173:AB173,0),0),"")</f>
        <v/>
      </c>
      <c r="G173" s="1"/>
      <c r="H173" s="1"/>
      <c r="I173" s="58">
        <f t="shared" si="5"/>
        <v>0</v>
      </c>
      <c r="J173" s="86"/>
      <c r="K173" s="86"/>
      <c r="L173" s="52" t="str">
        <f t="array" ref="L173">IFERROR(INDEX(B:B,SMALL(IF($B$2:$B$149=$K$1,ROW($B$2:$B$149)),ROWS(L$2:L173))),"")</f>
        <v/>
      </c>
      <c r="M173" s="52" t="str">
        <f t="array" ref="M173">IFERROR(INDEX(#REF!,SMALL(IF($B$2:$B$149=$K$1,ROW($B$2:$B$149)),ROWS(M$2:M173))),"")</f>
        <v/>
      </c>
      <c r="N173" s="52" t="str">
        <f t="array" ref="N173">IFERROR(INDEX(C:C,SMALL(IF($B$2:$B$149=$K$1,ROW($B$2:$B$149)),ROWS(N$2:N173))),"")</f>
        <v/>
      </c>
      <c r="O173" s="52" t="str">
        <f t="array" ref="O173">IFERROR(INDEX(D:D,SMALL(IF($B$2:$B$149=$K$1,ROW($B$2:$B$149)),ROWS(O$2:O173))),"")</f>
        <v/>
      </c>
      <c r="P173" s="52" t="str">
        <f t="array" ref="P173">IFERROR(INDEX(E:E,SMALL(IF($B$2:$B$149=$K$1,ROW($B$2:$B$149)),ROWS(P$2:P173))),"")</f>
        <v/>
      </c>
      <c r="Q173" s="52" t="str">
        <f t="array" ref="Q173">IFERROR(INDEX(F:F,SMALL(IF($B$2:$B$149=$K$1,ROW($B$2:$B$149)),ROWS(Q$2:Q173))),"")</f>
        <v/>
      </c>
      <c r="R173" s="52" t="str">
        <f t="array" ref="R173">IFERROR(INDEX(G:G,SMALL(IF($B$2:$B$149=$K$1,ROW($B$2:$B$149)),ROWS(R$2:R173))),"")</f>
        <v/>
      </c>
      <c r="S173" s="52" t="str">
        <f t="array" ref="S173">IFERROR(INDEX(H:H,SMALL(IF($B$2:$B$149=$K$1,ROW($B$2:$B$149)),ROWS(S$2:S173))),"")</f>
        <v/>
      </c>
      <c r="X173" s="66"/>
    </row>
    <row r="174" spans="1:24">
      <c r="A174" s="52">
        <v>173</v>
      </c>
      <c r="B174" s="4"/>
      <c r="C174" s="1"/>
      <c r="D174" s="52" t="str">
        <f>IFERROR(VLOOKUP($C174,'LISTE A SAISIR'!$E$4:$N$19,2,0),"")</f>
        <v/>
      </c>
      <c r="E174" s="1"/>
      <c r="F174" s="53" t="str">
        <f>IFERROR(VLOOKUP($C174,'LISTE A SAISIR'!$E$4:$N$19,2+2*MATCH(E174,Y174:AB174,0),0),"")</f>
        <v/>
      </c>
      <c r="G174" s="1"/>
      <c r="H174" s="1"/>
      <c r="I174" s="58">
        <f t="shared" si="5"/>
        <v>0</v>
      </c>
      <c r="J174" s="86"/>
      <c r="K174" s="86"/>
      <c r="L174" s="52" t="str">
        <f t="array" ref="L174">IFERROR(INDEX(B:B,SMALL(IF($B$2:$B$149=$K$1,ROW($B$2:$B$149)),ROWS(L$2:L174))),"")</f>
        <v/>
      </c>
      <c r="M174" s="52" t="str">
        <f t="array" ref="M174">IFERROR(INDEX(#REF!,SMALL(IF($B$2:$B$149=$K$1,ROW($B$2:$B$149)),ROWS(M$2:M174))),"")</f>
        <v/>
      </c>
      <c r="N174" s="52" t="str">
        <f t="array" ref="N174">IFERROR(INDEX(C:C,SMALL(IF($B$2:$B$149=$K$1,ROW($B$2:$B$149)),ROWS(N$2:N174))),"")</f>
        <v/>
      </c>
      <c r="O174" s="52" t="str">
        <f t="array" ref="O174">IFERROR(INDEX(D:D,SMALL(IF($B$2:$B$149=$K$1,ROW($B$2:$B$149)),ROWS(O$2:O174))),"")</f>
        <v/>
      </c>
      <c r="P174" s="52" t="str">
        <f t="array" ref="P174">IFERROR(INDEX(E:E,SMALL(IF($B$2:$B$149=$K$1,ROW($B$2:$B$149)),ROWS(P$2:P174))),"")</f>
        <v/>
      </c>
      <c r="Q174" s="52" t="str">
        <f t="array" ref="Q174">IFERROR(INDEX(F:F,SMALL(IF($B$2:$B$149=$K$1,ROW($B$2:$B$149)),ROWS(Q$2:Q174))),"")</f>
        <v/>
      </c>
      <c r="R174" s="52" t="str">
        <f t="array" ref="R174">IFERROR(INDEX(G:G,SMALL(IF($B$2:$B$149=$K$1,ROW($B$2:$B$149)),ROWS(R$2:R174))),"")</f>
        <v/>
      </c>
      <c r="S174" s="52" t="str">
        <f t="array" ref="S174">IFERROR(INDEX(H:H,SMALL(IF($B$2:$B$149=$K$1,ROW($B$2:$B$149)),ROWS(S$2:S174))),"")</f>
        <v/>
      </c>
      <c r="X174" s="66"/>
    </row>
    <row r="175" spans="1:24">
      <c r="A175" s="52">
        <v>174</v>
      </c>
      <c r="B175" s="4"/>
      <c r="C175" s="1"/>
      <c r="D175" s="52" t="str">
        <f>IFERROR(VLOOKUP($C175,'LISTE A SAISIR'!$E$4:$N$19,2,0),"")</f>
        <v/>
      </c>
      <c r="E175" s="1"/>
      <c r="F175" s="53" t="str">
        <f>IFERROR(VLOOKUP($C175,'LISTE A SAISIR'!$E$4:$N$19,2+2*MATCH(E175,Y175:AB175,0),0),"")</f>
        <v/>
      </c>
      <c r="G175" s="1"/>
      <c r="H175" s="1"/>
      <c r="I175" s="58">
        <f t="shared" si="5"/>
        <v>0</v>
      </c>
      <c r="J175" s="86"/>
      <c r="K175" s="86"/>
      <c r="L175" s="52" t="str">
        <f t="array" ref="L175">IFERROR(INDEX(B:B,SMALL(IF($B$2:$B$149=$K$1,ROW($B$2:$B$149)),ROWS(L$2:L175))),"")</f>
        <v/>
      </c>
      <c r="M175" s="52" t="str">
        <f t="array" ref="M175">IFERROR(INDEX(#REF!,SMALL(IF($B$2:$B$149=$K$1,ROW($B$2:$B$149)),ROWS(M$2:M175))),"")</f>
        <v/>
      </c>
      <c r="N175" s="52" t="str">
        <f t="array" ref="N175">IFERROR(INDEX(C:C,SMALL(IF($B$2:$B$149=$K$1,ROW($B$2:$B$149)),ROWS(N$2:N175))),"")</f>
        <v/>
      </c>
      <c r="O175" s="52" t="str">
        <f t="array" ref="O175">IFERROR(INDEX(D:D,SMALL(IF($B$2:$B$149=$K$1,ROW($B$2:$B$149)),ROWS(O$2:O175))),"")</f>
        <v/>
      </c>
      <c r="P175" s="52" t="str">
        <f t="array" ref="P175">IFERROR(INDEX(E:E,SMALL(IF($B$2:$B$149=$K$1,ROW($B$2:$B$149)),ROWS(P$2:P175))),"")</f>
        <v/>
      </c>
      <c r="Q175" s="52" t="str">
        <f t="array" ref="Q175">IFERROR(INDEX(F:F,SMALL(IF($B$2:$B$149=$K$1,ROW($B$2:$B$149)),ROWS(Q$2:Q175))),"")</f>
        <v/>
      </c>
      <c r="R175" s="52" t="str">
        <f t="array" ref="R175">IFERROR(INDEX(G:G,SMALL(IF($B$2:$B$149=$K$1,ROW($B$2:$B$149)),ROWS(R$2:R175))),"")</f>
        <v/>
      </c>
      <c r="S175" s="52" t="str">
        <f t="array" ref="S175">IFERROR(INDEX(H:H,SMALL(IF($B$2:$B$149=$K$1,ROW($B$2:$B$149)),ROWS(S$2:S175))),"")</f>
        <v/>
      </c>
      <c r="X175" s="66"/>
    </row>
    <row r="176" spans="1:24">
      <c r="A176" s="52">
        <v>175</v>
      </c>
      <c r="B176" s="4"/>
      <c r="C176" s="1"/>
      <c r="D176" s="52" t="str">
        <f>IFERROR(VLOOKUP($C176,'LISTE A SAISIR'!$E$4:$N$19,2,0),"")</f>
        <v/>
      </c>
      <c r="E176" s="1"/>
      <c r="F176" s="53" t="str">
        <f>IFERROR(VLOOKUP($C176,'LISTE A SAISIR'!$E$4:$N$19,2+2*MATCH(E176,Y176:AB176,0),0),"")</f>
        <v/>
      </c>
      <c r="G176" s="1"/>
      <c r="H176" s="1"/>
      <c r="I176" s="58">
        <f t="shared" si="5"/>
        <v>0</v>
      </c>
      <c r="J176" s="86"/>
      <c r="K176" s="86"/>
      <c r="L176" s="52" t="str">
        <f t="array" ref="L176">IFERROR(INDEX(B:B,SMALL(IF($B$2:$B$149=$K$1,ROW($B$2:$B$149)),ROWS(L$2:L176))),"")</f>
        <v/>
      </c>
      <c r="M176" s="52" t="str">
        <f t="array" ref="M176">IFERROR(INDEX(#REF!,SMALL(IF($B$2:$B$149=$K$1,ROW($B$2:$B$149)),ROWS(M$2:M176))),"")</f>
        <v/>
      </c>
      <c r="N176" s="52" t="str">
        <f t="array" ref="N176">IFERROR(INDEX(C:C,SMALL(IF($B$2:$B$149=$K$1,ROW($B$2:$B$149)),ROWS(N$2:N176))),"")</f>
        <v/>
      </c>
      <c r="O176" s="52" t="str">
        <f t="array" ref="O176">IFERROR(INDEX(D:D,SMALL(IF($B$2:$B$149=$K$1,ROW($B$2:$B$149)),ROWS(O$2:O176))),"")</f>
        <v/>
      </c>
      <c r="P176" s="52" t="str">
        <f t="array" ref="P176">IFERROR(INDEX(E:E,SMALL(IF($B$2:$B$149=$K$1,ROW($B$2:$B$149)),ROWS(P$2:P176))),"")</f>
        <v/>
      </c>
      <c r="Q176" s="52" t="str">
        <f t="array" ref="Q176">IFERROR(INDEX(F:F,SMALL(IF($B$2:$B$149=$K$1,ROW($B$2:$B$149)),ROWS(Q$2:Q176))),"")</f>
        <v/>
      </c>
      <c r="R176" s="52" t="str">
        <f t="array" ref="R176">IFERROR(INDEX(G:G,SMALL(IF($B$2:$B$149=$K$1,ROW($B$2:$B$149)),ROWS(R$2:R176))),"")</f>
        <v/>
      </c>
      <c r="S176" s="52" t="str">
        <f t="array" ref="S176">IFERROR(INDEX(H:H,SMALL(IF($B$2:$B$149=$K$1,ROW($B$2:$B$149)),ROWS(S$2:S176))),"")</f>
        <v/>
      </c>
      <c r="X176" s="66"/>
    </row>
    <row r="177" spans="1:24">
      <c r="A177" s="52">
        <v>176</v>
      </c>
      <c r="B177" s="4"/>
      <c r="C177" s="1"/>
      <c r="D177" s="52" t="str">
        <f>IFERROR(VLOOKUP($C177,'LISTE A SAISIR'!$E$4:$N$19,2,0),"")</f>
        <v/>
      </c>
      <c r="E177" s="1"/>
      <c r="F177" s="53" t="str">
        <f>IFERROR(VLOOKUP($C177,'LISTE A SAISIR'!$E$4:$N$19,2+2*MATCH(E177,Y177:AB177,0),0),"")</f>
        <v/>
      </c>
      <c r="G177" s="1"/>
      <c r="H177" s="1"/>
      <c r="I177" s="58">
        <f t="shared" si="5"/>
        <v>0</v>
      </c>
      <c r="J177" s="86"/>
      <c r="K177" s="86"/>
      <c r="L177" s="52" t="str">
        <f t="array" ref="L177">IFERROR(INDEX(B:B,SMALL(IF($B$2:$B$149=$K$1,ROW($B$2:$B$149)),ROWS(L$2:L177))),"")</f>
        <v/>
      </c>
      <c r="M177" s="52" t="str">
        <f t="array" ref="M177">IFERROR(INDEX(#REF!,SMALL(IF($B$2:$B$149=$K$1,ROW($B$2:$B$149)),ROWS(M$2:M177))),"")</f>
        <v/>
      </c>
      <c r="N177" s="52" t="str">
        <f t="array" ref="N177">IFERROR(INDEX(C:C,SMALL(IF($B$2:$B$149=$K$1,ROW($B$2:$B$149)),ROWS(N$2:N177))),"")</f>
        <v/>
      </c>
      <c r="O177" s="52" t="str">
        <f t="array" ref="O177">IFERROR(INDEX(D:D,SMALL(IF($B$2:$B$149=$K$1,ROW($B$2:$B$149)),ROWS(O$2:O177))),"")</f>
        <v/>
      </c>
      <c r="P177" s="52" t="str">
        <f t="array" ref="P177">IFERROR(INDEX(E:E,SMALL(IF($B$2:$B$149=$K$1,ROW($B$2:$B$149)),ROWS(P$2:P177))),"")</f>
        <v/>
      </c>
      <c r="Q177" s="52" t="str">
        <f t="array" ref="Q177">IFERROR(INDEX(F:F,SMALL(IF($B$2:$B$149=$K$1,ROW($B$2:$B$149)),ROWS(Q$2:Q177))),"")</f>
        <v/>
      </c>
      <c r="R177" s="52" t="str">
        <f t="array" ref="R177">IFERROR(INDEX(G:G,SMALL(IF($B$2:$B$149=$K$1,ROW($B$2:$B$149)),ROWS(R$2:R177))),"")</f>
        <v/>
      </c>
      <c r="S177" s="52" t="str">
        <f t="array" ref="S177">IFERROR(INDEX(H:H,SMALL(IF($B$2:$B$149=$K$1,ROW($B$2:$B$149)),ROWS(S$2:S177))),"")</f>
        <v/>
      </c>
      <c r="X177" s="66"/>
    </row>
    <row r="178" spans="1:24">
      <c r="A178" s="52">
        <v>177</v>
      </c>
      <c r="B178" s="4"/>
      <c r="C178" s="1"/>
      <c r="D178" s="52" t="str">
        <f>IFERROR(VLOOKUP($C178,'LISTE A SAISIR'!$E$4:$N$19,2,0),"")</f>
        <v/>
      </c>
      <c r="E178" s="1"/>
      <c r="F178" s="53" t="str">
        <f>IFERROR(VLOOKUP($C178,'LISTE A SAISIR'!$E$4:$N$19,2+2*MATCH(E178,Y178:AB178,0),0),"")</f>
        <v/>
      </c>
      <c r="G178" s="1"/>
      <c r="H178" s="1"/>
      <c r="I178" s="58">
        <f t="shared" si="5"/>
        <v>0</v>
      </c>
      <c r="J178" s="86"/>
      <c r="K178" s="86"/>
      <c r="L178" s="52" t="str">
        <f t="array" ref="L178">IFERROR(INDEX(B:B,SMALL(IF($B$2:$B$149=$K$1,ROW($B$2:$B$149)),ROWS(L$2:L178))),"")</f>
        <v/>
      </c>
      <c r="M178" s="52" t="str">
        <f t="array" ref="M178">IFERROR(INDEX(#REF!,SMALL(IF($B$2:$B$149=$K$1,ROW($B$2:$B$149)),ROWS(M$2:M178))),"")</f>
        <v/>
      </c>
      <c r="N178" s="52" t="str">
        <f t="array" ref="N178">IFERROR(INDEX(C:C,SMALL(IF($B$2:$B$149=$K$1,ROW($B$2:$B$149)),ROWS(N$2:N178))),"")</f>
        <v/>
      </c>
      <c r="O178" s="52" t="str">
        <f t="array" ref="O178">IFERROR(INDEX(D:D,SMALL(IF($B$2:$B$149=$K$1,ROW($B$2:$B$149)),ROWS(O$2:O178))),"")</f>
        <v/>
      </c>
      <c r="P178" s="52" t="str">
        <f t="array" ref="P178">IFERROR(INDEX(E:E,SMALL(IF($B$2:$B$149=$K$1,ROW($B$2:$B$149)),ROWS(P$2:P178))),"")</f>
        <v/>
      </c>
      <c r="Q178" s="52" t="str">
        <f t="array" ref="Q178">IFERROR(INDEX(F:F,SMALL(IF($B$2:$B$149=$K$1,ROW($B$2:$B$149)),ROWS(Q$2:Q178))),"")</f>
        <v/>
      </c>
      <c r="R178" s="52" t="str">
        <f t="array" ref="R178">IFERROR(INDEX(G:G,SMALL(IF($B$2:$B$149=$K$1,ROW($B$2:$B$149)),ROWS(R$2:R178))),"")</f>
        <v/>
      </c>
      <c r="S178" s="52" t="str">
        <f t="array" ref="S178">IFERROR(INDEX(H:H,SMALL(IF($B$2:$B$149=$K$1,ROW($B$2:$B$149)),ROWS(S$2:S178))),"")</f>
        <v/>
      </c>
      <c r="X178" s="66"/>
    </row>
    <row r="179" spans="1:24">
      <c r="A179" s="52">
        <v>178</v>
      </c>
      <c r="B179" s="4"/>
      <c r="C179" s="1"/>
      <c r="D179" s="52" t="str">
        <f>IFERROR(VLOOKUP($C179,'LISTE A SAISIR'!$E$4:$N$19,2,0),"")</f>
        <v/>
      </c>
      <c r="E179" s="1"/>
      <c r="F179" s="53" t="str">
        <f>IFERROR(VLOOKUP($C179,'LISTE A SAISIR'!$E$4:$N$19,2+2*MATCH(E179,Y179:AB179,0),0),"")</f>
        <v/>
      </c>
      <c r="G179" s="1"/>
      <c r="H179" s="1"/>
      <c r="I179" s="58">
        <f t="shared" si="5"/>
        <v>0</v>
      </c>
      <c r="J179" s="86"/>
      <c r="K179" s="86"/>
      <c r="L179" s="52" t="str">
        <f t="array" ref="L179">IFERROR(INDEX(B:B,SMALL(IF($B$2:$B$149=$K$1,ROW($B$2:$B$149)),ROWS(L$2:L179))),"")</f>
        <v/>
      </c>
      <c r="M179" s="52" t="str">
        <f t="array" ref="M179">IFERROR(INDEX(#REF!,SMALL(IF($B$2:$B$149=$K$1,ROW($B$2:$B$149)),ROWS(M$2:M179))),"")</f>
        <v/>
      </c>
      <c r="N179" s="52" t="str">
        <f t="array" ref="N179">IFERROR(INDEX(C:C,SMALL(IF($B$2:$B$149=$K$1,ROW($B$2:$B$149)),ROWS(N$2:N179))),"")</f>
        <v/>
      </c>
      <c r="O179" s="52" t="str">
        <f t="array" ref="O179">IFERROR(INDEX(D:D,SMALL(IF($B$2:$B$149=$K$1,ROW($B$2:$B$149)),ROWS(O$2:O179))),"")</f>
        <v/>
      </c>
      <c r="P179" s="52" t="str">
        <f t="array" ref="P179">IFERROR(INDEX(E:E,SMALL(IF($B$2:$B$149=$K$1,ROW($B$2:$B$149)),ROWS(P$2:P179))),"")</f>
        <v/>
      </c>
      <c r="Q179" s="52" t="str">
        <f t="array" ref="Q179">IFERROR(INDEX(F:F,SMALL(IF($B$2:$B$149=$K$1,ROW($B$2:$B$149)),ROWS(Q$2:Q179))),"")</f>
        <v/>
      </c>
      <c r="R179" s="52" t="str">
        <f t="array" ref="R179">IFERROR(INDEX(G:G,SMALL(IF($B$2:$B$149=$K$1,ROW($B$2:$B$149)),ROWS(R$2:R179))),"")</f>
        <v/>
      </c>
      <c r="S179" s="52" t="str">
        <f t="array" ref="S179">IFERROR(INDEX(H:H,SMALL(IF($B$2:$B$149=$K$1,ROW($B$2:$B$149)),ROWS(S$2:S179))),"")</f>
        <v/>
      </c>
      <c r="X179" s="66"/>
    </row>
    <row r="180" spans="1:24">
      <c r="A180" s="52">
        <v>179</v>
      </c>
      <c r="B180" s="4"/>
      <c r="C180" s="1"/>
      <c r="D180" s="52" t="str">
        <f>IFERROR(VLOOKUP($C180,'LISTE A SAISIR'!$E$4:$N$19,2,0),"")</f>
        <v/>
      </c>
      <c r="E180" s="1"/>
      <c r="F180" s="53" t="str">
        <f>IFERROR(VLOOKUP($C180,'LISTE A SAISIR'!$E$4:$N$19,2+2*MATCH(E180,Y180:AB180,0),0),"")</f>
        <v/>
      </c>
      <c r="G180" s="1"/>
      <c r="H180" s="1"/>
      <c r="I180" s="58">
        <f t="shared" si="5"/>
        <v>0</v>
      </c>
      <c r="J180" s="86"/>
      <c r="K180" s="86"/>
      <c r="L180" s="52" t="str">
        <f t="array" ref="L180">IFERROR(INDEX(B:B,SMALL(IF($B$2:$B$149=$K$1,ROW($B$2:$B$149)),ROWS(L$2:L180))),"")</f>
        <v/>
      </c>
      <c r="M180" s="52" t="str">
        <f t="array" ref="M180">IFERROR(INDEX(#REF!,SMALL(IF($B$2:$B$149=$K$1,ROW($B$2:$B$149)),ROWS(M$2:M180))),"")</f>
        <v/>
      </c>
      <c r="N180" s="52" t="str">
        <f t="array" ref="N180">IFERROR(INDEX(C:C,SMALL(IF($B$2:$B$149=$K$1,ROW($B$2:$B$149)),ROWS(N$2:N180))),"")</f>
        <v/>
      </c>
      <c r="O180" s="52" t="str">
        <f t="array" ref="O180">IFERROR(INDEX(D:D,SMALL(IF($B$2:$B$149=$K$1,ROW($B$2:$B$149)),ROWS(O$2:O180))),"")</f>
        <v/>
      </c>
      <c r="P180" s="52" t="str">
        <f t="array" ref="P180">IFERROR(INDEX(E:E,SMALL(IF($B$2:$B$149=$K$1,ROW($B$2:$B$149)),ROWS(P$2:P180))),"")</f>
        <v/>
      </c>
      <c r="Q180" s="52" t="str">
        <f t="array" ref="Q180">IFERROR(INDEX(F:F,SMALL(IF($B$2:$B$149=$K$1,ROW($B$2:$B$149)),ROWS(Q$2:Q180))),"")</f>
        <v/>
      </c>
      <c r="R180" s="52" t="str">
        <f t="array" ref="R180">IFERROR(INDEX(G:G,SMALL(IF($B$2:$B$149=$K$1,ROW($B$2:$B$149)),ROWS(R$2:R180))),"")</f>
        <v/>
      </c>
      <c r="S180" s="52" t="str">
        <f t="array" ref="S180">IFERROR(INDEX(H:H,SMALL(IF($B$2:$B$149=$K$1,ROW($B$2:$B$149)),ROWS(S$2:S180))),"")</f>
        <v/>
      </c>
      <c r="X180" s="66"/>
    </row>
    <row r="181" spans="1:24">
      <c r="A181" s="52">
        <v>180</v>
      </c>
      <c r="B181" s="4"/>
      <c r="C181" s="1"/>
      <c r="D181" s="52" t="str">
        <f>IFERROR(VLOOKUP($C181,'LISTE A SAISIR'!$E$4:$N$19,2,0),"")</f>
        <v/>
      </c>
      <c r="E181" s="1"/>
      <c r="F181" s="53" t="str">
        <f>IFERROR(VLOOKUP($C181,'LISTE A SAISIR'!$E$4:$N$19,2+2*MATCH(E181,Y181:AB181,0),0),"")</f>
        <v/>
      </c>
      <c r="G181" s="1"/>
      <c r="H181" s="1"/>
      <c r="I181" s="58">
        <f t="shared" si="5"/>
        <v>0</v>
      </c>
      <c r="J181" s="86"/>
      <c r="K181" s="86"/>
      <c r="L181" s="52" t="str">
        <f t="array" ref="L181">IFERROR(INDEX(B:B,SMALL(IF($B$2:$B$149=$K$1,ROW($B$2:$B$149)),ROWS(L$2:L181))),"")</f>
        <v/>
      </c>
      <c r="M181" s="52" t="str">
        <f t="array" ref="M181">IFERROR(INDEX(#REF!,SMALL(IF($B$2:$B$149=$K$1,ROW($B$2:$B$149)),ROWS(M$2:M181))),"")</f>
        <v/>
      </c>
      <c r="N181" s="52" t="str">
        <f t="array" ref="N181">IFERROR(INDEX(C:C,SMALL(IF($B$2:$B$149=$K$1,ROW($B$2:$B$149)),ROWS(N$2:N181))),"")</f>
        <v/>
      </c>
      <c r="O181" s="52" t="str">
        <f t="array" ref="O181">IFERROR(INDEX(D:D,SMALL(IF($B$2:$B$149=$K$1,ROW($B$2:$B$149)),ROWS(O$2:O181))),"")</f>
        <v/>
      </c>
      <c r="P181" s="52" t="str">
        <f t="array" ref="P181">IFERROR(INDEX(E:E,SMALL(IF($B$2:$B$149=$K$1,ROW($B$2:$B$149)),ROWS(P$2:P181))),"")</f>
        <v/>
      </c>
      <c r="Q181" s="52" t="str">
        <f t="array" ref="Q181">IFERROR(INDEX(F:F,SMALL(IF($B$2:$B$149=$K$1,ROW($B$2:$B$149)),ROWS(Q$2:Q181))),"")</f>
        <v/>
      </c>
      <c r="R181" s="52" t="str">
        <f t="array" ref="R181">IFERROR(INDEX(G:G,SMALL(IF($B$2:$B$149=$K$1,ROW($B$2:$B$149)),ROWS(R$2:R181))),"")</f>
        <v/>
      </c>
      <c r="S181" s="52" t="str">
        <f t="array" ref="S181">IFERROR(INDEX(H:H,SMALL(IF($B$2:$B$149=$K$1,ROW($B$2:$B$149)),ROWS(S$2:S181))),"")</f>
        <v/>
      </c>
      <c r="X181" s="66"/>
    </row>
    <row r="182" spans="1:24">
      <c r="A182" s="52">
        <v>181</v>
      </c>
      <c r="B182" s="4"/>
      <c r="C182" s="1"/>
      <c r="D182" s="52" t="str">
        <f>IFERROR(VLOOKUP($C182,'LISTE A SAISIR'!$E$4:$N$19,2,0),"")</f>
        <v/>
      </c>
      <c r="E182" s="1"/>
      <c r="F182" s="53" t="str">
        <f>IFERROR(VLOOKUP($C182,'LISTE A SAISIR'!$E$4:$N$19,2+2*MATCH(E182,Y182:AB182,0),0),"")</f>
        <v/>
      </c>
      <c r="G182" s="1"/>
      <c r="H182" s="1"/>
      <c r="I182" s="58">
        <f t="shared" si="5"/>
        <v>0</v>
      </c>
      <c r="J182" s="86"/>
      <c r="K182" s="86"/>
      <c r="L182" s="52" t="str">
        <f t="array" ref="L182">IFERROR(INDEX(B:B,SMALL(IF($B$2:$B$149=$K$1,ROW($B$2:$B$149)),ROWS(L$2:L182))),"")</f>
        <v/>
      </c>
      <c r="M182" s="52" t="str">
        <f t="array" ref="M182">IFERROR(INDEX(#REF!,SMALL(IF($B$2:$B$149=$K$1,ROW($B$2:$B$149)),ROWS(M$2:M182))),"")</f>
        <v/>
      </c>
      <c r="N182" s="52" t="str">
        <f t="array" ref="N182">IFERROR(INDEX(C:C,SMALL(IF($B$2:$B$149=$K$1,ROW($B$2:$B$149)),ROWS(N$2:N182))),"")</f>
        <v/>
      </c>
      <c r="O182" s="52" t="str">
        <f t="array" ref="O182">IFERROR(INDEX(D:D,SMALL(IF($B$2:$B$149=$K$1,ROW($B$2:$B$149)),ROWS(O$2:O182))),"")</f>
        <v/>
      </c>
      <c r="P182" s="52" t="str">
        <f t="array" ref="P182">IFERROR(INDEX(E:E,SMALL(IF($B$2:$B$149=$K$1,ROW($B$2:$B$149)),ROWS(P$2:P182))),"")</f>
        <v/>
      </c>
      <c r="Q182" s="52" t="str">
        <f t="array" ref="Q182">IFERROR(INDEX(F:F,SMALL(IF($B$2:$B$149=$K$1,ROW($B$2:$B$149)),ROWS(Q$2:Q182))),"")</f>
        <v/>
      </c>
      <c r="R182" s="52" t="str">
        <f t="array" ref="R182">IFERROR(INDEX(G:G,SMALL(IF($B$2:$B$149=$K$1,ROW($B$2:$B$149)),ROWS(R$2:R182))),"")</f>
        <v/>
      </c>
      <c r="S182" s="52" t="str">
        <f t="array" ref="S182">IFERROR(INDEX(H:H,SMALL(IF($B$2:$B$149=$K$1,ROW($B$2:$B$149)),ROWS(S$2:S182))),"")</f>
        <v/>
      </c>
      <c r="X182" s="66"/>
    </row>
    <row r="183" spans="1:24">
      <c r="A183" s="52">
        <v>182</v>
      </c>
      <c r="B183" s="4"/>
      <c r="C183" s="1"/>
      <c r="D183" s="52" t="str">
        <f>IFERROR(VLOOKUP($C183,'LISTE A SAISIR'!$E$4:$N$19,2,0),"")</f>
        <v/>
      </c>
      <c r="E183" s="1"/>
      <c r="F183" s="53" t="str">
        <f>IFERROR(VLOOKUP($C183,'LISTE A SAISIR'!$E$4:$N$19,2+2*MATCH(E183,Y183:AB183,0),0),"")</f>
        <v/>
      </c>
      <c r="G183" s="1"/>
      <c r="H183" s="1"/>
      <c r="I183" s="58">
        <f t="shared" si="5"/>
        <v>0</v>
      </c>
      <c r="J183" s="86"/>
      <c r="K183" s="86"/>
      <c r="L183" s="52" t="str">
        <f t="array" ref="L183">IFERROR(INDEX(B:B,SMALL(IF($B$2:$B$149=$K$1,ROW($B$2:$B$149)),ROWS(L$2:L183))),"")</f>
        <v/>
      </c>
      <c r="M183" s="52" t="str">
        <f t="array" ref="M183">IFERROR(INDEX(#REF!,SMALL(IF($B$2:$B$149=$K$1,ROW($B$2:$B$149)),ROWS(M$2:M183))),"")</f>
        <v/>
      </c>
      <c r="N183" s="52" t="str">
        <f t="array" ref="N183">IFERROR(INDEX(C:C,SMALL(IF($B$2:$B$149=$K$1,ROW($B$2:$B$149)),ROWS(N$2:N183))),"")</f>
        <v/>
      </c>
      <c r="O183" s="52" t="str">
        <f t="array" ref="O183">IFERROR(INDEX(D:D,SMALL(IF($B$2:$B$149=$K$1,ROW($B$2:$B$149)),ROWS(O$2:O183))),"")</f>
        <v/>
      </c>
      <c r="P183" s="52" t="str">
        <f t="array" ref="P183">IFERROR(INDEX(E:E,SMALL(IF($B$2:$B$149=$K$1,ROW($B$2:$B$149)),ROWS(P$2:P183))),"")</f>
        <v/>
      </c>
      <c r="Q183" s="52" t="str">
        <f t="array" ref="Q183">IFERROR(INDEX(F:F,SMALL(IF($B$2:$B$149=$K$1,ROW($B$2:$B$149)),ROWS(Q$2:Q183))),"")</f>
        <v/>
      </c>
      <c r="R183" s="52" t="str">
        <f t="array" ref="R183">IFERROR(INDEX(G:G,SMALL(IF($B$2:$B$149=$K$1,ROW($B$2:$B$149)),ROWS(R$2:R183))),"")</f>
        <v/>
      </c>
      <c r="S183" s="52" t="str">
        <f t="array" ref="S183">IFERROR(INDEX(H:H,SMALL(IF($B$2:$B$149=$K$1,ROW($B$2:$B$149)),ROWS(S$2:S183))),"")</f>
        <v/>
      </c>
      <c r="X183" s="66"/>
    </row>
    <row r="184" spans="1:24">
      <c r="A184" s="52">
        <v>183</v>
      </c>
      <c r="B184" s="4"/>
      <c r="C184" s="1"/>
      <c r="D184" s="52" t="str">
        <f>IFERROR(VLOOKUP($C184,'LISTE A SAISIR'!$E$4:$N$19,2,0),"")</f>
        <v/>
      </c>
      <c r="E184" s="1"/>
      <c r="F184" s="53" t="str">
        <f>IFERROR(VLOOKUP($C184,'LISTE A SAISIR'!$E$4:$N$19,2+2*MATCH(E184,Y184:AB184,0),0),"")</f>
        <v/>
      </c>
      <c r="G184" s="1"/>
      <c r="H184" s="1"/>
      <c r="I184" s="58">
        <f t="shared" si="5"/>
        <v>0</v>
      </c>
      <c r="J184" s="86"/>
      <c r="K184" s="86"/>
      <c r="L184" s="52" t="str">
        <f t="array" ref="L184">IFERROR(INDEX(B:B,SMALL(IF($B$2:$B$149=$K$1,ROW($B$2:$B$149)),ROWS(L$2:L184))),"")</f>
        <v/>
      </c>
      <c r="M184" s="52" t="str">
        <f t="array" ref="M184">IFERROR(INDEX(#REF!,SMALL(IF($B$2:$B$149=$K$1,ROW($B$2:$B$149)),ROWS(M$2:M184))),"")</f>
        <v/>
      </c>
      <c r="N184" s="52" t="str">
        <f t="array" ref="N184">IFERROR(INDEX(C:C,SMALL(IF($B$2:$B$149=$K$1,ROW($B$2:$B$149)),ROWS(N$2:N184))),"")</f>
        <v/>
      </c>
      <c r="O184" s="52" t="str">
        <f t="array" ref="O184">IFERROR(INDEX(D:D,SMALL(IF($B$2:$B$149=$K$1,ROW($B$2:$B$149)),ROWS(O$2:O184))),"")</f>
        <v/>
      </c>
      <c r="P184" s="52" t="str">
        <f t="array" ref="P184">IFERROR(INDEX(E:E,SMALL(IF($B$2:$B$149=$K$1,ROW($B$2:$B$149)),ROWS(P$2:P184))),"")</f>
        <v/>
      </c>
      <c r="Q184" s="52" t="str">
        <f t="array" ref="Q184">IFERROR(INDEX(F:F,SMALL(IF($B$2:$B$149=$K$1,ROW($B$2:$B$149)),ROWS(Q$2:Q184))),"")</f>
        <v/>
      </c>
      <c r="R184" s="52" t="str">
        <f t="array" ref="R184">IFERROR(INDEX(G:G,SMALL(IF($B$2:$B$149=$K$1,ROW($B$2:$B$149)),ROWS(R$2:R184))),"")</f>
        <v/>
      </c>
      <c r="S184" s="52" t="str">
        <f t="array" ref="S184">IFERROR(INDEX(H:H,SMALL(IF($B$2:$B$149=$K$1,ROW($B$2:$B$149)),ROWS(S$2:S184))),"")</f>
        <v/>
      </c>
      <c r="X184" s="66"/>
    </row>
    <row r="185" spans="1:24">
      <c r="A185" s="52">
        <v>184</v>
      </c>
      <c r="B185" s="4"/>
      <c r="C185" s="1"/>
      <c r="D185" s="52" t="str">
        <f>IFERROR(VLOOKUP($C185,'LISTE A SAISIR'!$E$4:$N$19,2,0),"")</f>
        <v/>
      </c>
      <c r="E185" s="1"/>
      <c r="F185" s="53" t="str">
        <f>IFERROR(VLOOKUP($C185,'LISTE A SAISIR'!$E$4:$N$19,2+2*MATCH(E185,Y185:AB185,0),0),"")</f>
        <v/>
      </c>
      <c r="G185" s="1"/>
      <c r="H185" s="1"/>
      <c r="I185" s="58">
        <f t="shared" si="5"/>
        <v>0</v>
      </c>
      <c r="J185" s="86"/>
      <c r="K185" s="86"/>
      <c r="L185" s="52" t="str">
        <f t="array" ref="L185">IFERROR(INDEX(B:B,SMALL(IF($B$2:$B$149=$K$1,ROW($B$2:$B$149)),ROWS(L$2:L185))),"")</f>
        <v/>
      </c>
      <c r="M185" s="52" t="str">
        <f t="array" ref="M185">IFERROR(INDEX(#REF!,SMALL(IF($B$2:$B$149=$K$1,ROW($B$2:$B$149)),ROWS(M$2:M185))),"")</f>
        <v/>
      </c>
      <c r="N185" s="52" t="str">
        <f t="array" ref="N185">IFERROR(INDEX(C:C,SMALL(IF($B$2:$B$149=$K$1,ROW($B$2:$B$149)),ROWS(N$2:N185))),"")</f>
        <v/>
      </c>
      <c r="O185" s="52" t="str">
        <f t="array" ref="O185">IFERROR(INDEX(D:D,SMALL(IF($B$2:$B$149=$K$1,ROW($B$2:$B$149)),ROWS(O$2:O185))),"")</f>
        <v/>
      </c>
      <c r="P185" s="52" t="str">
        <f t="array" ref="P185">IFERROR(INDEX(E:E,SMALL(IF($B$2:$B$149=$K$1,ROW($B$2:$B$149)),ROWS(P$2:P185))),"")</f>
        <v/>
      </c>
      <c r="Q185" s="52" t="str">
        <f t="array" ref="Q185">IFERROR(INDEX(F:F,SMALL(IF($B$2:$B$149=$K$1,ROW($B$2:$B$149)),ROWS(Q$2:Q185))),"")</f>
        <v/>
      </c>
      <c r="R185" s="52" t="str">
        <f t="array" ref="R185">IFERROR(INDEX(G:G,SMALL(IF($B$2:$B$149=$K$1,ROW($B$2:$B$149)),ROWS(R$2:R185))),"")</f>
        <v/>
      </c>
      <c r="S185" s="52" t="str">
        <f t="array" ref="S185">IFERROR(INDEX(H:H,SMALL(IF($B$2:$B$149=$K$1,ROW($B$2:$B$149)),ROWS(S$2:S185))),"")</f>
        <v/>
      </c>
      <c r="X185" s="66"/>
    </row>
    <row r="186" spans="1:24">
      <c r="A186" s="52">
        <v>185</v>
      </c>
      <c r="B186" s="4"/>
      <c r="C186" s="1"/>
      <c r="D186" s="52" t="str">
        <f>IFERROR(VLOOKUP($C186,'LISTE A SAISIR'!$E$4:$N$19,2,0),"")</f>
        <v/>
      </c>
      <c r="E186" s="1"/>
      <c r="F186" s="53" t="str">
        <f>IFERROR(VLOOKUP($C186,'LISTE A SAISIR'!$E$4:$N$19,2+2*MATCH(E186,Y186:AB186,0),0),"")</f>
        <v/>
      </c>
      <c r="G186" s="1"/>
      <c r="H186" s="1"/>
      <c r="I186" s="58">
        <f t="shared" si="5"/>
        <v>0</v>
      </c>
      <c r="J186" s="86"/>
      <c r="K186" s="86"/>
      <c r="L186" s="52" t="str">
        <f t="array" ref="L186">IFERROR(INDEX(B:B,SMALL(IF($B$2:$B$149=$K$1,ROW($B$2:$B$149)),ROWS(L$2:L186))),"")</f>
        <v/>
      </c>
      <c r="M186" s="52" t="str">
        <f t="array" ref="M186">IFERROR(INDEX(#REF!,SMALL(IF($B$2:$B$149=$K$1,ROW($B$2:$B$149)),ROWS(M$2:M186))),"")</f>
        <v/>
      </c>
      <c r="N186" s="52" t="str">
        <f t="array" ref="N186">IFERROR(INDEX(C:C,SMALL(IF($B$2:$B$149=$K$1,ROW($B$2:$B$149)),ROWS(N$2:N186))),"")</f>
        <v/>
      </c>
      <c r="O186" s="52" t="str">
        <f t="array" ref="O186">IFERROR(INDEX(D:D,SMALL(IF($B$2:$B$149=$K$1,ROW($B$2:$B$149)),ROWS(O$2:O186))),"")</f>
        <v/>
      </c>
      <c r="P186" s="52" t="str">
        <f t="array" ref="P186">IFERROR(INDEX(E:E,SMALL(IF($B$2:$B$149=$K$1,ROW($B$2:$B$149)),ROWS(P$2:P186))),"")</f>
        <v/>
      </c>
      <c r="Q186" s="52" t="str">
        <f t="array" ref="Q186">IFERROR(INDEX(F:F,SMALL(IF($B$2:$B$149=$K$1,ROW($B$2:$B$149)),ROWS(Q$2:Q186))),"")</f>
        <v/>
      </c>
      <c r="R186" s="52" t="str">
        <f t="array" ref="R186">IFERROR(INDEX(G:G,SMALL(IF($B$2:$B$149=$K$1,ROW($B$2:$B$149)),ROWS(R$2:R186))),"")</f>
        <v/>
      </c>
      <c r="S186" s="52" t="str">
        <f t="array" ref="S186">IFERROR(INDEX(H:H,SMALL(IF($B$2:$B$149=$K$1,ROW($B$2:$B$149)),ROWS(S$2:S186))),"")</f>
        <v/>
      </c>
      <c r="X186" s="66"/>
    </row>
    <row r="187" spans="1:24">
      <c r="A187" s="52">
        <v>186</v>
      </c>
      <c r="B187" s="4"/>
      <c r="C187" s="1"/>
      <c r="D187" s="52" t="str">
        <f>IFERROR(VLOOKUP($C187,'LISTE A SAISIR'!$E$4:$N$19,2,0),"")</f>
        <v/>
      </c>
      <c r="E187" s="1"/>
      <c r="F187" s="53" t="str">
        <f>IFERROR(VLOOKUP($C187,'LISTE A SAISIR'!$E$4:$N$19,2+2*MATCH(E187,Y187:AB187,0),0),"")</f>
        <v/>
      </c>
      <c r="G187" s="1"/>
      <c r="H187" s="1"/>
      <c r="I187" s="58">
        <f t="shared" si="5"/>
        <v>0</v>
      </c>
      <c r="J187" s="86"/>
      <c r="K187" s="86"/>
      <c r="L187" s="52" t="str">
        <f t="array" ref="L187">IFERROR(INDEX(B:B,SMALL(IF($B$2:$B$149=$K$1,ROW($B$2:$B$149)),ROWS(L$2:L187))),"")</f>
        <v/>
      </c>
      <c r="M187" s="52" t="str">
        <f t="array" ref="M187">IFERROR(INDEX(#REF!,SMALL(IF($B$2:$B$149=$K$1,ROW($B$2:$B$149)),ROWS(M$2:M187))),"")</f>
        <v/>
      </c>
      <c r="N187" s="52" t="str">
        <f t="array" ref="N187">IFERROR(INDEX(C:C,SMALL(IF($B$2:$B$149=$K$1,ROW($B$2:$B$149)),ROWS(N$2:N187))),"")</f>
        <v/>
      </c>
      <c r="O187" s="52" t="str">
        <f t="array" ref="O187">IFERROR(INDEX(D:D,SMALL(IF($B$2:$B$149=$K$1,ROW($B$2:$B$149)),ROWS(O$2:O187))),"")</f>
        <v/>
      </c>
      <c r="P187" s="52" t="str">
        <f t="array" ref="P187">IFERROR(INDEX(E:E,SMALL(IF($B$2:$B$149=$K$1,ROW($B$2:$B$149)),ROWS(P$2:P187))),"")</f>
        <v/>
      </c>
      <c r="Q187" s="52" t="str">
        <f t="array" ref="Q187">IFERROR(INDEX(F:F,SMALL(IF($B$2:$B$149=$K$1,ROW($B$2:$B$149)),ROWS(Q$2:Q187))),"")</f>
        <v/>
      </c>
      <c r="R187" s="52" t="str">
        <f t="array" ref="R187">IFERROR(INDEX(G:G,SMALL(IF($B$2:$B$149=$K$1,ROW($B$2:$B$149)),ROWS(R$2:R187))),"")</f>
        <v/>
      </c>
      <c r="S187" s="52" t="str">
        <f t="array" ref="S187">IFERROR(INDEX(H:H,SMALL(IF($B$2:$B$149=$K$1,ROW($B$2:$B$149)),ROWS(S$2:S187))),"")</f>
        <v/>
      </c>
      <c r="X187" s="66"/>
    </row>
    <row r="188" spans="1:24">
      <c r="A188" s="52">
        <v>187</v>
      </c>
      <c r="B188" s="4"/>
      <c r="C188" s="1"/>
      <c r="D188" s="52" t="str">
        <f>IFERROR(VLOOKUP($C188,'LISTE A SAISIR'!$E$4:$N$19,2,0),"")</f>
        <v/>
      </c>
      <c r="E188" s="1"/>
      <c r="F188" s="53" t="str">
        <f>IFERROR(VLOOKUP($C188,'LISTE A SAISIR'!$E$4:$N$19,2+2*MATCH(E188,Y188:AB188,0),0),"")</f>
        <v/>
      </c>
      <c r="G188" s="1"/>
      <c r="H188" s="1"/>
      <c r="I188" s="58">
        <f t="shared" si="5"/>
        <v>0</v>
      </c>
      <c r="J188" s="86"/>
      <c r="K188" s="86"/>
      <c r="L188" s="52" t="str">
        <f t="array" ref="L188">IFERROR(INDEX(B:B,SMALL(IF($B$2:$B$149=$K$1,ROW($B$2:$B$149)),ROWS(L$2:L188))),"")</f>
        <v/>
      </c>
      <c r="M188" s="52" t="str">
        <f t="array" ref="M188">IFERROR(INDEX(#REF!,SMALL(IF($B$2:$B$149=$K$1,ROW($B$2:$B$149)),ROWS(M$2:M188))),"")</f>
        <v/>
      </c>
      <c r="N188" s="52" t="str">
        <f t="array" ref="N188">IFERROR(INDEX(C:C,SMALL(IF($B$2:$B$149=$K$1,ROW($B$2:$B$149)),ROWS(N$2:N188))),"")</f>
        <v/>
      </c>
      <c r="O188" s="52" t="str">
        <f t="array" ref="O188">IFERROR(INDEX(D:D,SMALL(IF($B$2:$B$149=$K$1,ROW($B$2:$B$149)),ROWS(O$2:O188))),"")</f>
        <v/>
      </c>
      <c r="P188" s="52" t="str">
        <f t="array" ref="P188">IFERROR(INDEX(E:E,SMALL(IF($B$2:$B$149=$K$1,ROW($B$2:$B$149)),ROWS(P$2:P188))),"")</f>
        <v/>
      </c>
      <c r="Q188" s="52" t="str">
        <f t="array" ref="Q188">IFERROR(INDEX(F:F,SMALL(IF($B$2:$B$149=$K$1,ROW($B$2:$B$149)),ROWS(Q$2:Q188))),"")</f>
        <v/>
      </c>
      <c r="R188" s="52" t="str">
        <f t="array" ref="R188">IFERROR(INDEX(G:G,SMALL(IF($B$2:$B$149=$K$1,ROW($B$2:$B$149)),ROWS(R$2:R188))),"")</f>
        <v/>
      </c>
      <c r="S188" s="52" t="str">
        <f t="array" ref="S188">IFERROR(INDEX(H:H,SMALL(IF($B$2:$B$149=$K$1,ROW($B$2:$B$149)),ROWS(S$2:S188))),"")</f>
        <v/>
      </c>
      <c r="X188" s="66"/>
    </row>
    <row r="189" spans="1:24">
      <c r="A189" s="52">
        <v>188</v>
      </c>
      <c r="B189" s="4"/>
      <c r="C189" s="1"/>
      <c r="D189" s="52" t="str">
        <f>IFERROR(VLOOKUP($C189,'LISTE A SAISIR'!$E$4:$N$19,2,0),"")</f>
        <v/>
      </c>
      <c r="E189" s="1"/>
      <c r="F189" s="53" t="str">
        <f>IFERROR(VLOOKUP($C189,'LISTE A SAISIR'!$E$4:$N$19,2+2*MATCH(E189,Y189:AB189,0),0),"")</f>
        <v/>
      </c>
      <c r="G189" s="1"/>
      <c r="H189" s="1"/>
      <c r="I189" s="58">
        <f t="shared" si="5"/>
        <v>0</v>
      </c>
      <c r="J189" s="86"/>
      <c r="K189" s="86"/>
      <c r="L189" s="52" t="str">
        <f t="array" ref="L189">IFERROR(INDEX(B:B,SMALL(IF($B$2:$B$149=$K$1,ROW($B$2:$B$149)),ROWS(L$2:L189))),"")</f>
        <v/>
      </c>
      <c r="M189" s="52" t="str">
        <f t="array" ref="M189">IFERROR(INDEX(#REF!,SMALL(IF($B$2:$B$149=$K$1,ROW($B$2:$B$149)),ROWS(M$2:M189))),"")</f>
        <v/>
      </c>
      <c r="N189" s="52" t="str">
        <f t="array" ref="N189">IFERROR(INDEX(C:C,SMALL(IF($B$2:$B$149=$K$1,ROW($B$2:$B$149)),ROWS(N$2:N189))),"")</f>
        <v/>
      </c>
      <c r="O189" s="52" t="str">
        <f t="array" ref="O189">IFERROR(INDEX(D:D,SMALL(IF($B$2:$B$149=$K$1,ROW($B$2:$B$149)),ROWS(O$2:O189))),"")</f>
        <v/>
      </c>
      <c r="P189" s="52" t="str">
        <f t="array" ref="P189">IFERROR(INDEX(E:E,SMALL(IF($B$2:$B$149=$K$1,ROW($B$2:$B$149)),ROWS(P$2:P189))),"")</f>
        <v/>
      </c>
      <c r="Q189" s="52" t="str">
        <f t="array" ref="Q189">IFERROR(INDEX(F:F,SMALL(IF($B$2:$B$149=$K$1,ROW($B$2:$B$149)),ROWS(Q$2:Q189))),"")</f>
        <v/>
      </c>
      <c r="R189" s="52" t="str">
        <f t="array" ref="R189">IFERROR(INDEX(G:G,SMALL(IF($B$2:$B$149=$K$1,ROW($B$2:$B$149)),ROWS(R$2:R189))),"")</f>
        <v/>
      </c>
      <c r="S189" s="52" t="str">
        <f t="array" ref="S189">IFERROR(INDEX(H:H,SMALL(IF($B$2:$B$149=$K$1,ROW($B$2:$B$149)),ROWS(S$2:S189))),"")</f>
        <v/>
      </c>
      <c r="X189" s="66"/>
    </row>
    <row r="190" spans="1:24">
      <c r="A190" s="52">
        <v>189</v>
      </c>
      <c r="B190" s="4"/>
      <c r="C190" s="1"/>
      <c r="D190" s="52" t="str">
        <f>IFERROR(VLOOKUP($C190,'LISTE A SAISIR'!$E$4:$N$19,2,0),"")</f>
        <v/>
      </c>
      <c r="E190" s="1"/>
      <c r="F190" s="53" t="str">
        <f>IFERROR(VLOOKUP($C190,'LISTE A SAISIR'!$E$4:$N$19,2+2*MATCH(E190,Y190:AB190,0),0),"")</f>
        <v/>
      </c>
      <c r="G190" s="1"/>
      <c r="H190" s="1"/>
      <c r="I190" s="58">
        <f t="shared" si="5"/>
        <v>0</v>
      </c>
      <c r="J190" s="86"/>
      <c r="K190" s="86"/>
      <c r="L190" s="52" t="str">
        <f t="array" ref="L190">IFERROR(INDEX(B:B,SMALL(IF($B$2:$B$149=$K$1,ROW($B$2:$B$149)),ROWS(L$2:L190))),"")</f>
        <v/>
      </c>
      <c r="M190" s="52" t="str">
        <f t="array" ref="M190">IFERROR(INDEX(#REF!,SMALL(IF($B$2:$B$149=$K$1,ROW($B$2:$B$149)),ROWS(M$2:M190))),"")</f>
        <v/>
      </c>
      <c r="N190" s="52" t="str">
        <f t="array" ref="N190">IFERROR(INDEX(C:C,SMALL(IF($B$2:$B$149=$K$1,ROW($B$2:$B$149)),ROWS(N$2:N190))),"")</f>
        <v/>
      </c>
      <c r="O190" s="52" t="str">
        <f t="array" ref="O190">IFERROR(INDEX(D:D,SMALL(IF($B$2:$B$149=$K$1,ROW($B$2:$B$149)),ROWS(O$2:O190))),"")</f>
        <v/>
      </c>
      <c r="P190" s="52" t="str">
        <f t="array" ref="P190">IFERROR(INDEX(E:E,SMALL(IF($B$2:$B$149=$K$1,ROW($B$2:$B$149)),ROWS(P$2:P190))),"")</f>
        <v/>
      </c>
      <c r="Q190" s="52" t="str">
        <f t="array" ref="Q190">IFERROR(INDEX(F:F,SMALL(IF($B$2:$B$149=$K$1,ROW($B$2:$B$149)),ROWS(Q$2:Q190))),"")</f>
        <v/>
      </c>
      <c r="R190" s="52" t="str">
        <f t="array" ref="R190">IFERROR(INDEX(G:G,SMALL(IF($B$2:$B$149=$K$1,ROW($B$2:$B$149)),ROWS(R$2:R190))),"")</f>
        <v/>
      </c>
      <c r="S190" s="52" t="str">
        <f t="array" ref="S190">IFERROR(INDEX(H:H,SMALL(IF($B$2:$B$149=$K$1,ROW($B$2:$B$149)),ROWS(S$2:S190))),"")</f>
        <v/>
      </c>
      <c r="X190" s="66"/>
    </row>
    <row r="191" spans="1:24">
      <c r="A191" s="52">
        <v>190</v>
      </c>
      <c r="B191" s="4"/>
      <c r="C191" s="1"/>
      <c r="D191" s="52" t="str">
        <f>IFERROR(VLOOKUP($C191,'LISTE A SAISIR'!$E$4:$N$19,2,0),"")</f>
        <v/>
      </c>
      <c r="E191" s="1"/>
      <c r="F191" s="53" t="str">
        <f>IFERROR(VLOOKUP($C191,'LISTE A SAISIR'!$E$4:$N$19,2+2*MATCH(E191,Y191:AB191,0),0),"")</f>
        <v/>
      </c>
      <c r="G191" s="1"/>
      <c r="H191" s="1"/>
      <c r="I191" s="58">
        <f t="shared" si="5"/>
        <v>0</v>
      </c>
      <c r="J191" s="86"/>
      <c r="K191" s="86"/>
      <c r="L191" s="52" t="str">
        <f t="array" ref="L191">IFERROR(INDEX(B:B,SMALL(IF($B$2:$B$149=$K$1,ROW($B$2:$B$149)),ROWS(L$2:L191))),"")</f>
        <v/>
      </c>
      <c r="M191" s="52" t="str">
        <f t="array" ref="M191">IFERROR(INDEX(#REF!,SMALL(IF($B$2:$B$149=$K$1,ROW($B$2:$B$149)),ROWS(M$2:M191))),"")</f>
        <v/>
      </c>
      <c r="N191" s="52" t="str">
        <f t="array" ref="N191">IFERROR(INDEX(C:C,SMALL(IF($B$2:$B$149=$K$1,ROW($B$2:$B$149)),ROWS(N$2:N191))),"")</f>
        <v/>
      </c>
      <c r="O191" s="52" t="str">
        <f t="array" ref="O191">IFERROR(INDEX(D:D,SMALL(IF($B$2:$B$149=$K$1,ROW($B$2:$B$149)),ROWS(O$2:O191))),"")</f>
        <v/>
      </c>
      <c r="P191" s="52" t="str">
        <f t="array" ref="P191">IFERROR(INDEX(E:E,SMALL(IF($B$2:$B$149=$K$1,ROW($B$2:$B$149)),ROWS(P$2:P191))),"")</f>
        <v/>
      </c>
      <c r="Q191" s="52" t="str">
        <f t="array" ref="Q191">IFERROR(INDEX(F:F,SMALL(IF($B$2:$B$149=$K$1,ROW($B$2:$B$149)),ROWS(Q$2:Q191))),"")</f>
        <v/>
      </c>
      <c r="R191" s="52" t="str">
        <f t="array" ref="R191">IFERROR(INDEX(G:G,SMALL(IF($B$2:$B$149=$K$1,ROW($B$2:$B$149)),ROWS(R$2:R191))),"")</f>
        <v/>
      </c>
      <c r="S191" s="52" t="str">
        <f t="array" ref="S191">IFERROR(INDEX(H:H,SMALL(IF($B$2:$B$149=$K$1,ROW($B$2:$B$149)),ROWS(S$2:S191))),"")</f>
        <v/>
      </c>
      <c r="X191" s="66"/>
    </row>
    <row r="192" spans="1:24">
      <c r="A192" s="52">
        <v>191</v>
      </c>
      <c r="B192" s="4"/>
      <c r="C192" s="1"/>
      <c r="D192" s="52" t="str">
        <f>IFERROR(VLOOKUP($C192,'LISTE A SAISIR'!$E$4:$N$19,2,0),"")</f>
        <v/>
      </c>
      <c r="E192" s="1"/>
      <c r="F192" s="53" t="str">
        <f>IFERROR(VLOOKUP($C192,'LISTE A SAISIR'!$E$4:$N$19,2+2*MATCH(E192,Y192:AB192,0),0),"")</f>
        <v/>
      </c>
      <c r="G192" s="1"/>
      <c r="H192" s="1"/>
      <c r="I192" s="58">
        <f t="shared" si="5"/>
        <v>0</v>
      </c>
      <c r="J192" s="86"/>
      <c r="K192" s="86"/>
      <c r="L192" s="52" t="str">
        <f t="array" ref="L192">IFERROR(INDEX(B:B,SMALL(IF($B$2:$B$149=$K$1,ROW($B$2:$B$149)),ROWS(L$2:L192))),"")</f>
        <v/>
      </c>
      <c r="M192" s="52" t="str">
        <f t="array" ref="M192">IFERROR(INDEX(#REF!,SMALL(IF($B$2:$B$149=$K$1,ROW($B$2:$B$149)),ROWS(M$2:M192))),"")</f>
        <v/>
      </c>
      <c r="N192" s="52" t="str">
        <f t="array" ref="N192">IFERROR(INDEX(C:C,SMALL(IF($B$2:$B$149=$K$1,ROW($B$2:$B$149)),ROWS(N$2:N192))),"")</f>
        <v/>
      </c>
      <c r="O192" s="52" t="str">
        <f t="array" ref="O192">IFERROR(INDEX(D:D,SMALL(IF($B$2:$B$149=$K$1,ROW($B$2:$B$149)),ROWS(O$2:O192))),"")</f>
        <v/>
      </c>
      <c r="P192" s="52" t="str">
        <f t="array" ref="P192">IFERROR(INDEX(E:E,SMALL(IF($B$2:$B$149=$K$1,ROW($B$2:$B$149)),ROWS(P$2:P192))),"")</f>
        <v/>
      </c>
      <c r="Q192" s="52" t="str">
        <f t="array" ref="Q192">IFERROR(INDEX(F:F,SMALL(IF($B$2:$B$149=$K$1,ROW($B$2:$B$149)),ROWS(Q$2:Q192))),"")</f>
        <v/>
      </c>
      <c r="R192" s="52" t="str">
        <f t="array" ref="R192">IFERROR(INDEX(G:G,SMALL(IF($B$2:$B$149=$K$1,ROW($B$2:$B$149)),ROWS(R$2:R192))),"")</f>
        <v/>
      </c>
      <c r="S192" s="52" t="str">
        <f t="array" ref="S192">IFERROR(INDEX(H:H,SMALL(IF($B$2:$B$149=$K$1,ROW($B$2:$B$149)),ROWS(S$2:S192))),"")</f>
        <v/>
      </c>
      <c r="X192" s="66"/>
    </row>
    <row r="193" spans="1:24">
      <c r="A193" s="52">
        <v>192</v>
      </c>
      <c r="B193" s="4"/>
      <c r="C193" s="1"/>
      <c r="D193" s="52" t="str">
        <f>IFERROR(VLOOKUP($C193,'LISTE A SAISIR'!$E$4:$N$19,2,0),"")</f>
        <v/>
      </c>
      <c r="E193" s="1"/>
      <c r="F193" s="53" t="str">
        <f>IFERROR(VLOOKUP($C193,'LISTE A SAISIR'!$E$4:$N$19,2+2*MATCH(E193,Y193:AB193,0),0),"")</f>
        <v/>
      </c>
      <c r="G193" s="1"/>
      <c r="H193" s="1"/>
      <c r="I193" s="58">
        <f t="shared" si="5"/>
        <v>0</v>
      </c>
      <c r="J193" s="86"/>
      <c r="K193" s="86"/>
      <c r="L193" s="52" t="str">
        <f t="array" ref="L193">IFERROR(INDEX(B:B,SMALL(IF($B$2:$B$149=$K$1,ROW($B$2:$B$149)),ROWS(L$2:L193))),"")</f>
        <v/>
      </c>
      <c r="M193" s="52" t="str">
        <f t="array" ref="M193">IFERROR(INDEX(#REF!,SMALL(IF($B$2:$B$149=$K$1,ROW($B$2:$B$149)),ROWS(M$2:M193))),"")</f>
        <v/>
      </c>
      <c r="N193" s="52" t="str">
        <f t="array" ref="N193">IFERROR(INDEX(C:C,SMALL(IF($B$2:$B$149=$K$1,ROW($B$2:$B$149)),ROWS(N$2:N193))),"")</f>
        <v/>
      </c>
      <c r="O193" s="52" t="str">
        <f t="array" ref="O193">IFERROR(INDEX(D:D,SMALL(IF($B$2:$B$149=$K$1,ROW($B$2:$B$149)),ROWS(O$2:O193))),"")</f>
        <v/>
      </c>
      <c r="P193" s="52" t="str">
        <f t="array" ref="P193">IFERROR(INDEX(E:E,SMALL(IF($B$2:$B$149=$K$1,ROW($B$2:$B$149)),ROWS(P$2:P193))),"")</f>
        <v/>
      </c>
      <c r="Q193" s="52" t="str">
        <f t="array" ref="Q193">IFERROR(INDEX(F:F,SMALL(IF($B$2:$B$149=$K$1,ROW($B$2:$B$149)),ROWS(Q$2:Q193))),"")</f>
        <v/>
      </c>
      <c r="R193" s="52" t="str">
        <f t="array" ref="R193">IFERROR(INDEX(G:G,SMALL(IF($B$2:$B$149=$K$1,ROW($B$2:$B$149)),ROWS(R$2:R193))),"")</f>
        <v/>
      </c>
      <c r="S193" s="52" t="str">
        <f t="array" ref="S193">IFERROR(INDEX(H:H,SMALL(IF($B$2:$B$149=$K$1,ROW($B$2:$B$149)),ROWS(S$2:S193))),"")</f>
        <v/>
      </c>
      <c r="X193" s="66"/>
    </row>
    <row r="194" spans="1:24">
      <c r="A194" s="52">
        <v>193</v>
      </c>
      <c r="B194" s="4"/>
      <c r="C194" s="1"/>
      <c r="D194" s="52" t="str">
        <f>IFERROR(VLOOKUP($C194,'LISTE A SAISIR'!$E$4:$N$19,2,0),"")</f>
        <v/>
      </c>
      <c r="E194" s="1"/>
      <c r="F194" s="53" t="str">
        <f>IFERROR(VLOOKUP($C194,'LISTE A SAISIR'!$E$4:$N$19,2+2*MATCH(E194,Y194:AB194,0),0),"")</f>
        <v/>
      </c>
      <c r="G194" s="1"/>
      <c r="H194" s="1"/>
      <c r="I194" s="58">
        <f t="shared" si="5"/>
        <v>0</v>
      </c>
      <c r="J194" s="86"/>
      <c r="K194" s="86"/>
      <c r="L194" s="52" t="str">
        <f t="array" ref="L194">IFERROR(INDEX(B:B,SMALL(IF($B$2:$B$149=$K$1,ROW($B$2:$B$149)),ROWS(L$2:L194))),"")</f>
        <v/>
      </c>
      <c r="M194" s="52" t="str">
        <f t="array" ref="M194">IFERROR(INDEX(#REF!,SMALL(IF($B$2:$B$149=$K$1,ROW($B$2:$B$149)),ROWS(M$2:M194))),"")</f>
        <v/>
      </c>
      <c r="N194" s="52" t="str">
        <f t="array" ref="N194">IFERROR(INDEX(C:C,SMALL(IF($B$2:$B$149=$K$1,ROW($B$2:$B$149)),ROWS(N$2:N194))),"")</f>
        <v/>
      </c>
      <c r="O194" s="52" t="str">
        <f t="array" ref="O194">IFERROR(INDEX(D:D,SMALL(IF($B$2:$B$149=$K$1,ROW($B$2:$B$149)),ROWS(O$2:O194))),"")</f>
        <v/>
      </c>
      <c r="P194" s="52" t="str">
        <f t="array" ref="P194">IFERROR(INDEX(E:E,SMALL(IF($B$2:$B$149=$K$1,ROW($B$2:$B$149)),ROWS(P$2:P194))),"")</f>
        <v/>
      </c>
      <c r="Q194" s="52" t="str">
        <f t="array" ref="Q194">IFERROR(INDEX(F:F,SMALL(IF($B$2:$B$149=$K$1,ROW($B$2:$B$149)),ROWS(Q$2:Q194))),"")</f>
        <v/>
      </c>
      <c r="R194" s="52" t="str">
        <f t="array" ref="R194">IFERROR(INDEX(G:G,SMALL(IF($B$2:$B$149=$K$1,ROW($B$2:$B$149)),ROWS(R$2:R194))),"")</f>
        <v/>
      </c>
      <c r="S194" s="52" t="str">
        <f t="array" ref="S194">IFERROR(INDEX(H:H,SMALL(IF($B$2:$B$149=$K$1,ROW($B$2:$B$149)),ROWS(S$2:S194))),"")</f>
        <v/>
      </c>
      <c r="X194" s="66"/>
    </row>
    <row r="195" spans="1:24">
      <c r="A195" s="52">
        <v>194</v>
      </c>
      <c r="B195" s="4"/>
      <c r="C195" s="1"/>
      <c r="D195" s="52" t="str">
        <f>IFERROR(VLOOKUP($C195,'LISTE A SAISIR'!$E$4:$N$19,2,0),"")</f>
        <v/>
      </c>
      <c r="E195" s="1"/>
      <c r="F195" s="53" t="str">
        <f>IFERROR(VLOOKUP($C195,'LISTE A SAISIR'!$E$4:$N$19,2+2*MATCH(E195,Y195:AB195,0),0),"")</f>
        <v/>
      </c>
      <c r="G195" s="1"/>
      <c r="H195" s="1"/>
      <c r="I195" s="58">
        <f t="shared" si="5"/>
        <v>0</v>
      </c>
      <c r="J195" s="86"/>
      <c r="K195" s="86"/>
      <c r="L195" s="52" t="str">
        <f t="array" ref="L195">IFERROR(INDEX(B:B,SMALL(IF($B$2:$B$149=$K$1,ROW($B$2:$B$149)),ROWS(L$2:L195))),"")</f>
        <v/>
      </c>
      <c r="M195" s="52" t="str">
        <f t="array" ref="M195">IFERROR(INDEX(#REF!,SMALL(IF($B$2:$B$149=$K$1,ROW($B$2:$B$149)),ROWS(M$2:M195))),"")</f>
        <v/>
      </c>
      <c r="N195" s="52" t="str">
        <f t="array" ref="N195">IFERROR(INDEX(C:C,SMALL(IF($B$2:$B$149=$K$1,ROW($B$2:$B$149)),ROWS(N$2:N195))),"")</f>
        <v/>
      </c>
      <c r="O195" s="52" t="str">
        <f t="array" ref="O195">IFERROR(INDEX(D:D,SMALL(IF($B$2:$B$149=$K$1,ROW($B$2:$B$149)),ROWS(O$2:O195))),"")</f>
        <v/>
      </c>
      <c r="P195" s="52" t="str">
        <f t="array" ref="P195">IFERROR(INDEX(E:E,SMALL(IF($B$2:$B$149=$K$1,ROW($B$2:$B$149)),ROWS(P$2:P195))),"")</f>
        <v/>
      </c>
      <c r="Q195" s="52" t="str">
        <f t="array" ref="Q195">IFERROR(INDEX(F:F,SMALL(IF($B$2:$B$149=$K$1,ROW($B$2:$B$149)),ROWS(Q$2:Q195))),"")</f>
        <v/>
      </c>
      <c r="R195" s="52" t="str">
        <f t="array" ref="R195">IFERROR(INDEX(G:G,SMALL(IF($B$2:$B$149=$K$1,ROW($B$2:$B$149)),ROWS(R$2:R195))),"")</f>
        <v/>
      </c>
      <c r="S195" s="52" t="str">
        <f t="array" ref="S195">IFERROR(INDEX(H:H,SMALL(IF($B$2:$B$149=$K$1,ROW($B$2:$B$149)),ROWS(S$2:S195))),"")</f>
        <v/>
      </c>
      <c r="X195" s="66"/>
    </row>
    <row r="196" spans="1:24">
      <c r="A196" s="52">
        <v>195</v>
      </c>
      <c r="B196" s="4"/>
      <c r="C196" s="1"/>
      <c r="D196" s="52" t="str">
        <f>IFERROR(VLOOKUP($C196,'LISTE A SAISIR'!$E$4:$N$19,2,0),"")</f>
        <v/>
      </c>
      <c r="E196" s="1"/>
      <c r="F196" s="53" t="str">
        <f>IFERROR(VLOOKUP($C196,'LISTE A SAISIR'!$E$4:$N$19,2+2*MATCH(E196,Y196:AB196,0),0),"")</f>
        <v/>
      </c>
      <c r="G196" s="1"/>
      <c r="H196" s="1"/>
      <c r="I196" s="58">
        <f t="shared" si="5"/>
        <v>0</v>
      </c>
      <c r="J196" s="86"/>
      <c r="K196" s="86"/>
      <c r="L196" s="52" t="str">
        <f t="array" ref="L196">IFERROR(INDEX(B:B,SMALL(IF($B$2:$B$149=$K$1,ROW($B$2:$B$149)),ROWS(L$2:L196))),"")</f>
        <v/>
      </c>
      <c r="M196" s="52" t="str">
        <f t="array" ref="M196">IFERROR(INDEX(#REF!,SMALL(IF($B$2:$B$149=$K$1,ROW($B$2:$B$149)),ROWS(M$2:M196))),"")</f>
        <v/>
      </c>
      <c r="N196" s="52" t="str">
        <f t="array" ref="N196">IFERROR(INDEX(C:C,SMALL(IF($B$2:$B$149=$K$1,ROW($B$2:$B$149)),ROWS(N$2:N196))),"")</f>
        <v/>
      </c>
      <c r="O196" s="52" t="str">
        <f t="array" ref="O196">IFERROR(INDEX(D:D,SMALL(IF($B$2:$B$149=$K$1,ROW($B$2:$B$149)),ROWS(O$2:O196))),"")</f>
        <v/>
      </c>
      <c r="P196" s="52" t="str">
        <f t="array" ref="P196">IFERROR(INDEX(E:E,SMALL(IF($B$2:$B$149=$K$1,ROW($B$2:$B$149)),ROWS(P$2:P196))),"")</f>
        <v/>
      </c>
      <c r="Q196" s="52" t="str">
        <f t="array" ref="Q196">IFERROR(INDEX(F:F,SMALL(IF($B$2:$B$149=$K$1,ROW($B$2:$B$149)),ROWS(Q$2:Q196))),"")</f>
        <v/>
      </c>
      <c r="R196" s="52" t="str">
        <f t="array" ref="R196">IFERROR(INDEX(G:G,SMALL(IF($B$2:$B$149=$K$1,ROW($B$2:$B$149)),ROWS(R$2:R196))),"")</f>
        <v/>
      </c>
      <c r="S196" s="52" t="str">
        <f t="array" ref="S196">IFERROR(INDEX(H:H,SMALL(IF($B$2:$B$149=$K$1,ROW($B$2:$B$149)),ROWS(S$2:S196))),"")</f>
        <v/>
      </c>
      <c r="X196" s="66"/>
    </row>
    <row r="197" spans="1:24">
      <c r="A197" s="52">
        <v>196</v>
      </c>
      <c r="B197" s="4"/>
      <c r="C197" s="1"/>
      <c r="D197" s="52" t="str">
        <f>IFERROR(VLOOKUP($C197,'LISTE A SAISIR'!$E$4:$N$19,2,0),"")</f>
        <v/>
      </c>
      <c r="E197" s="1"/>
      <c r="F197" s="53" t="str">
        <f>IFERROR(VLOOKUP($C197,'LISTE A SAISIR'!$E$4:$N$19,2+2*MATCH(E197,Y197:AB197,0),0),"")</f>
        <v/>
      </c>
      <c r="G197" s="1"/>
      <c r="H197" s="1"/>
      <c r="I197" s="58">
        <f t="shared" si="5"/>
        <v>0</v>
      </c>
      <c r="J197" s="86"/>
      <c r="K197" s="86"/>
      <c r="L197" s="52" t="str">
        <f t="array" ref="L197">IFERROR(INDEX(B:B,SMALL(IF($B$2:$B$149=$K$1,ROW($B$2:$B$149)),ROWS(L$2:L197))),"")</f>
        <v/>
      </c>
      <c r="M197" s="52" t="str">
        <f t="array" ref="M197">IFERROR(INDEX(#REF!,SMALL(IF($B$2:$B$149=$K$1,ROW($B$2:$B$149)),ROWS(M$2:M197))),"")</f>
        <v/>
      </c>
      <c r="N197" s="52" t="str">
        <f t="array" ref="N197">IFERROR(INDEX(C:C,SMALL(IF($B$2:$B$149=$K$1,ROW($B$2:$B$149)),ROWS(N$2:N197))),"")</f>
        <v/>
      </c>
      <c r="O197" s="52" t="str">
        <f t="array" ref="O197">IFERROR(INDEX(D:D,SMALL(IF($B$2:$B$149=$K$1,ROW($B$2:$B$149)),ROWS(O$2:O197))),"")</f>
        <v/>
      </c>
      <c r="P197" s="52" t="str">
        <f t="array" ref="P197">IFERROR(INDEX(E:E,SMALL(IF($B$2:$B$149=$K$1,ROW($B$2:$B$149)),ROWS(P$2:P197))),"")</f>
        <v/>
      </c>
      <c r="Q197" s="52" t="str">
        <f t="array" ref="Q197">IFERROR(INDEX(F:F,SMALL(IF($B$2:$B$149=$K$1,ROW($B$2:$B$149)),ROWS(Q$2:Q197))),"")</f>
        <v/>
      </c>
      <c r="R197" s="52" t="str">
        <f t="array" ref="R197">IFERROR(INDEX(G:G,SMALL(IF($B$2:$B$149=$K$1,ROW($B$2:$B$149)),ROWS(R$2:R197))),"")</f>
        <v/>
      </c>
      <c r="S197" s="52" t="str">
        <f t="array" ref="S197">IFERROR(INDEX(H:H,SMALL(IF($B$2:$B$149=$K$1,ROW($B$2:$B$149)),ROWS(S$2:S197))),"")</f>
        <v/>
      </c>
      <c r="X197" s="66"/>
    </row>
    <row r="198" spans="1:24">
      <c r="A198" s="52">
        <v>197</v>
      </c>
      <c r="B198" s="4"/>
      <c r="C198" s="1"/>
      <c r="D198" s="52" t="str">
        <f>IFERROR(VLOOKUP($C198,'LISTE A SAISIR'!$E$4:$N$19,2,0),"")</f>
        <v/>
      </c>
      <c r="E198" s="1"/>
      <c r="F198" s="53" t="str">
        <f>IFERROR(VLOOKUP($C198,'LISTE A SAISIR'!$E$4:$N$19,2+2*MATCH(E198,Y198:AB198,0),0),"")</f>
        <v/>
      </c>
      <c r="G198" s="1"/>
      <c r="H198" s="1"/>
      <c r="I198" s="58">
        <f t="shared" si="5"/>
        <v>0</v>
      </c>
      <c r="J198" s="86"/>
      <c r="K198" s="86"/>
      <c r="L198" s="52" t="str">
        <f t="array" ref="L198">IFERROR(INDEX(B:B,SMALL(IF($B$2:$B$149=$K$1,ROW($B$2:$B$149)),ROWS(L$2:L198))),"")</f>
        <v/>
      </c>
      <c r="M198" s="52" t="str">
        <f t="array" ref="M198">IFERROR(INDEX(#REF!,SMALL(IF($B$2:$B$149=$K$1,ROW($B$2:$B$149)),ROWS(M$2:M198))),"")</f>
        <v/>
      </c>
      <c r="N198" s="52" t="str">
        <f t="array" ref="N198">IFERROR(INDEX(C:C,SMALL(IF($B$2:$B$149=$K$1,ROW($B$2:$B$149)),ROWS(N$2:N198))),"")</f>
        <v/>
      </c>
      <c r="O198" s="52" t="str">
        <f t="array" ref="O198">IFERROR(INDEX(D:D,SMALL(IF($B$2:$B$149=$K$1,ROW($B$2:$B$149)),ROWS(O$2:O198))),"")</f>
        <v/>
      </c>
      <c r="P198" s="52" t="str">
        <f t="array" ref="P198">IFERROR(INDEX(E:E,SMALL(IF($B$2:$B$149=$K$1,ROW($B$2:$B$149)),ROWS(P$2:P198))),"")</f>
        <v/>
      </c>
      <c r="Q198" s="52" t="str">
        <f t="array" ref="Q198">IFERROR(INDEX(F:F,SMALL(IF($B$2:$B$149=$K$1,ROW($B$2:$B$149)),ROWS(Q$2:Q198))),"")</f>
        <v/>
      </c>
      <c r="R198" s="52" t="str">
        <f t="array" ref="R198">IFERROR(INDEX(G:G,SMALL(IF($B$2:$B$149=$K$1,ROW($B$2:$B$149)),ROWS(R$2:R198))),"")</f>
        <v/>
      </c>
      <c r="S198" s="52" t="str">
        <f t="array" ref="S198">IFERROR(INDEX(H:H,SMALL(IF($B$2:$B$149=$K$1,ROW($B$2:$B$149)),ROWS(S$2:S198))),"")</f>
        <v/>
      </c>
      <c r="X198" s="66"/>
    </row>
    <row r="199" spans="1:24">
      <c r="A199" s="52">
        <v>198</v>
      </c>
      <c r="B199" s="4"/>
      <c r="C199" s="1"/>
      <c r="D199" s="52" t="str">
        <f>IFERROR(VLOOKUP($C199,'LISTE A SAISIR'!$E$4:$N$19,2,0),"")</f>
        <v/>
      </c>
      <c r="E199" s="1"/>
      <c r="F199" s="53" t="str">
        <f>IFERROR(VLOOKUP($C199,'LISTE A SAISIR'!$E$4:$N$19,2+2*MATCH(E199,Y199:AB199,0),0),"")</f>
        <v/>
      </c>
      <c r="G199" s="1"/>
      <c r="H199" s="1"/>
      <c r="I199" s="58">
        <f t="shared" si="5"/>
        <v>0</v>
      </c>
      <c r="J199" s="86"/>
      <c r="K199" s="86"/>
      <c r="L199" s="52" t="str">
        <f t="array" ref="L199">IFERROR(INDEX(B:B,SMALL(IF($B$2:$B$149=$K$1,ROW($B$2:$B$149)),ROWS(L$2:L199))),"")</f>
        <v/>
      </c>
      <c r="M199" s="52" t="str">
        <f t="array" ref="M199">IFERROR(INDEX(#REF!,SMALL(IF($B$2:$B$149=$K$1,ROW($B$2:$B$149)),ROWS(M$2:M199))),"")</f>
        <v/>
      </c>
      <c r="N199" s="52" t="str">
        <f t="array" ref="N199">IFERROR(INDEX(C:C,SMALL(IF($B$2:$B$149=$K$1,ROW($B$2:$B$149)),ROWS(N$2:N199))),"")</f>
        <v/>
      </c>
      <c r="O199" s="52" t="str">
        <f t="array" ref="O199">IFERROR(INDEX(D:D,SMALL(IF($B$2:$B$149=$K$1,ROW($B$2:$B$149)),ROWS(O$2:O199))),"")</f>
        <v/>
      </c>
      <c r="P199" s="52" t="str">
        <f t="array" ref="P199">IFERROR(INDEX(E:E,SMALL(IF($B$2:$B$149=$K$1,ROW($B$2:$B$149)),ROWS(P$2:P199))),"")</f>
        <v/>
      </c>
      <c r="Q199" s="52" t="str">
        <f t="array" ref="Q199">IFERROR(INDEX(F:F,SMALL(IF($B$2:$B$149=$K$1,ROW($B$2:$B$149)),ROWS(Q$2:Q199))),"")</f>
        <v/>
      </c>
      <c r="R199" s="52" t="str">
        <f t="array" ref="R199">IFERROR(INDEX(G:G,SMALL(IF($B$2:$B$149=$K$1,ROW($B$2:$B$149)),ROWS(R$2:R199))),"")</f>
        <v/>
      </c>
      <c r="S199" s="52" t="str">
        <f t="array" ref="S199">IFERROR(INDEX(H:H,SMALL(IF($B$2:$B$149=$K$1,ROW($B$2:$B$149)),ROWS(S$2:S199))),"")</f>
        <v/>
      </c>
      <c r="X199" s="66"/>
    </row>
    <row r="200" spans="1:24">
      <c r="A200" s="52">
        <v>199</v>
      </c>
      <c r="B200" s="4"/>
      <c r="C200" s="1"/>
      <c r="D200" s="52" t="str">
        <f>IFERROR(VLOOKUP($C200,'LISTE A SAISIR'!$E$4:$N$19,2,0),"")</f>
        <v/>
      </c>
      <c r="E200" s="1"/>
      <c r="F200" s="53" t="str">
        <f>IFERROR(VLOOKUP($C200,'LISTE A SAISIR'!$E$4:$N$19,2+2*MATCH(E200,Y200:AB200,0),0),"")</f>
        <v/>
      </c>
      <c r="G200" s="1"/>
      <c r="H200" s="1"/>
      <c r="I200" s="58">
        <f t="shared" si="5"/>
        <v>0</v>
      </c>
      <c r="J200" s="86"/>
      <c r="K200" s="86"/>
      <c r="L200" s="52" t="str">
        <f t="array" ref="L200">IFERROR(INDEX(B:B,SMALL(IF($B$2:$B$149=$K$1,ROW($B$2:$B$149)),ROWS(L$2:L200))),"")</f>
        <v/>
      </c>
      <c r="M200" s="52" t="str">
        <f t="array" ref="M200">IFERROR(INDEX(#REF!,SMALL(IF($B$2:$B$149=$K$1,ROW($B$2:$B$149)),ROWS(M$2:M200))),"")</f>
        <v/>
      </c>
      <c r="N200" s="52" t="str">
        <f t="array" ref="N200">IFERROR(INDEX(C:C,SMALL(IF($B$2:$B$149=$K$1,ROW($B$2:$B$149)),ROWS(N$2:N200))),"")</f>
        <v/>
      </c>
      <c r="O200" s="52" t="str">
        <f t="array" ref="O200">IFERROR(INDEX(D:D,SMALL(IF($B$2:$B$149=$K$1,ROW($B$2:$B$149)),ROWS(O$2:O200))),"")</f>
        <v/>
      </c>
      <c r="P200" s="52" t="str">
        <f t="array" ref="P200">IFERROR(INDEX(E:E,SMALL(IF($B$2:$B$149=$K$1,ROW($B$2:$B$149)),ROWS(P$2:P200))),"")</f>
        <v/>
      </c>
      <c r="Q200" s="52" t="str">
        <f t="array" ref="Q200">IFERROR(INDEX(F:F,SMALL(IF($B$2:$B$149=$K$1,ROW($B$2:$B$149)),ROWS(Q$2:Q200))),"")</f>
        <v/>
      </c>
      <c r="R200" s="52" t="str">
        <f t="array" ref="R200">IFERROR(INDEX(G:G,SMALL(IF($B$2:$B$149=$K$1,ROW($B$2:$B$149)),ROWS(R$2:R200))),"")</f>
        <v/>
      </c>
      <c r="S200" s="52" t="str">
        <f t="array" ref="S200">IFERROR(INDEX(H:H,SMALL(IF($B$2:$B$149=$K$1,ROW($B$2:$B$149)),ROWS(S$2:S200))),"")</f>
        <v/>
      </c>
      <c r="X200" s="66"/>
    </row>
    <row r="201" spans="1:24">
      <c r="X201" s="66"/>
    </row>
    <row r="202" spans="1:24">
      <c r="X202" s="66"/>
    </row>
    <row r="203" spans="1:24">
      <c r="X203" s="66"/>
    </row>
    <row r="204" spans="1:24">
      <c r="X204" s="66"/>
    </row>
    <row r="205" spans="1:24">
      <c r="X205" s="66"/>
    </row>
    <row r="206" spans="1:24">
      <c r="X206" s="66"/>
    </row>
    <row r="207" spans="1:24">
      <c r="X207" s="66"/>
    </row>
    <row r="208" spans="1:24">
      <c r="X208" s="66"/>
    </row>
    <row r="209" spans="24:24">
      <c r="X209" s="66"/>
    </row>
    <row r="210" spans="24:24">
      <c r="X210" s="66"/>
    </row>
    <row r="211" spans="24:24">
      <c r="X211" s="66"/>
    </row>
    <row r="212" spans="24:24">
      <c r="X212" s="66"/>
    </row>
    <row r="213" spans="24:24">
      <c r="X213" s="66"/>
    </row>
    <row r="214" spans="24:24">
      <c r="X214" s="66"/>
    </row>
    <row r="215" spans="24:24">
      <c r="X215" s="66"/>
    </row>
    <row r="216" spans="24:24">
      <c r="X216" s="66"/>
    </row>
    <row r="217" spans="24:24">
      <c r="X217" s="66"/>
    </row>
    <row r="218" spans="24:24">
      <c r="X218" s="66"/>
    </row>
    <row r="219" spans="24:24">
      <c r="X219" s="66"/>
    </row>
    <row r="220" spans="24:24">
      <c r="X220" s="66"/>
    </row>
    <row r="221" spans="24:24">
      <c r="X221" s="66"/>
    </row>
    <row r="222" spans="24:24">
      <c r="X222" s="66"/>
    </row>
    <row r="223" spans="24:24">
      <c r="X223" s="66"/>
    </row>
    <row r="224" spans="24:24">
      <c r="X224" s="66"/>
    </row>
    <row r="225" spans="24:24">
      <c r="X225" s="66"/>
    </row>
    <row r="226" spans="24:24">
      <c r="X226" s="66"/>
    </row>
    <row r="227" spans="24:24">
      <c r="X227" s="66"/>
    </row>
    <row r="228" spans="24:24">
      <c r="X228" s="66"/>
    </row>
    <row r="229" spans="24:24">
      <c r="X229" s="66"/>
    </row>
    <row r="230" spans="24:24">
      <c r="X230" s="66"/>
    </row>
    <row r="231" spans="24:24">
      <c r="X231" s="66"/>
    </row>
    <row r="232" spans="24:24">
      <c r="X232" s="66"/>
    </row>
    <row r="233" spans="24:24">
      <c r="X233" s="66"/>
    </row>
    <row r="234" spans="24:24">
      <c r="X234" s="66"/>
    </row>
    <row r="235" spans="24:24">
      <c r="X235" s="66"/>
    </row>
    <row r="236" spans="24:24">
      <c r="X236" s="66"/>
    </row>
    <row r="237" spans="24:24">
      <c r="X237" s="66"/>
    </row>
    <row r="238" spans="24:24">
      <c r="X238" s="66"/>
    </row>
    <row r="239" spans="24:24">
      <c r="X239" s="66"/>
    </row>
    <row r="240" spans="24:24">
      <c r="X240" s="66"/>
    </row>
    <row r="241" spans="24:24">
      <c r="X241" s="66"/>
    </row>
    <row r="242" spans="24:24">
      <c r="X242" s="66"/>
    </row>
    <row r="243" spans="24:24">
      <c r="X243" s="66"/>
    </row>
    <row r="244" spans="24:24">
      <c r="X244" s="66"/>
    </row>
    <row r="245" spans="24:24">
      <c r="X245" s="66"/>
    </row>
    <row r="246" spans="24:24">
      <c r="X246" s="66"/>
    </row>
    <row r="247" spans="24:24">
      <c r="X247" s="66"/>
    </row>
    <row r="248" spans="24:24">
      <c r="X248" s="66"/>
    </row>
    <row r="249" spans="24:24">
      <c r="X249" s="66"/>
    </row>
    <row r="250" spans="24:24">
      <c r="X250" s="66"/>
    </row>
    <row r="251" spans="24:24">
      <c r="X251" s="66"/>
    </row>
    <row r="252" spans="24:24">
      <c r="X252" s="66"/>
    </row>
    <row r="253" spans="24:24">
      <c r="X253" s="66"/>
    </row>
    <row r="254" spans="24:24">
      <c r="X254" s="66"/>
    </row>
    <row r="255" spans="24:24">
      <c r="X255" s="66"/>
    </row>
    <row r="256" spans="24:24">
      <c r="X256" s="66"/>
    </row>
    <row r="257" spans="24:24">
      <c r="X257" s="66"/>
    </row>
    <row r="258" spans="24:24">
      <c r="X258" s="66"/>
    </row>
    <row r="259" spans="24:24">
      <c r="X259" s="66"/>
    </row>
    <row r="260" spans="24:24">
      <c r="X260" s="66"/>
    </row>
    <row r="261" spans="24:24">
      <c r="X261" s="66"/>
    </row>
    <row r="262" spans="24:24">
      <c r="X262" s="66"/>
    </row>
    <row r="263" spans="24:24">
      <c r="X263" s="66"/>
    </row>
    <row r="264" spans="24:24">
      <c r="X264" s="66"/>
    </row>
    <row r="265" spans="24:24">
      <c r="X265" s="66"/>
    </row>
    <row r="266" spans="24:24">
      <c r="X266" s="66"/>
    </row>
    <row r="267" spans="24:24">
      <c r="X267" s="66"/>
    </row>
    <row r="268" spans="24:24">
      <c r="X268" s="66"/>
    </row>
    <row r="269" spans="24:24">
      <c r="X269" s="66"/>
    </row>
    <row r="270" spans="24:24">
      <c r="X270" s="66"/>
    </row>
    <row r="271" spans="24:24">
      <c r="X271" s="66"/>
    </row>
    <row r="272" spans="24:24">
      <c r="X272" s="66"/>
    </row>
    <row r="273" spans="24:24">
      <c r="X273" s="66"/>
    </row>
    <row r="274" spans="24:24">
      <c r="X274" s="66"/>
    </row>
    <row r="275" spans="24:24">
      <c r="X275" s="66"/>
    </row>
    <row r="276" spans="24:24">
      <c r="X276" s="66"/>
    </row>
    <row r="277" spans="24:24">
      <c r="X277" s="66"/>
    </row>
    <row r="278" spans="24:24">
      <c r="X278" s="66"/>
    </row>
    <row r="279" spans="24:24">
      <c r="X279" s="66"/>
    </row>
    <row r="280" spans="24:24">
      <c r="X280" s="66"/>
    </row>
    <row r="281" spans="24:24">
      <c r="X281" s="66"/>
    </row>
    <row r="282" spans="24:24">
      <c r="X282" s="66"/>
    </row>
    <row r="283" spans="24:24">
      <c r="X283" s="66"/>
    </row>
    <row r="284" spans="24:24">
      <c r="X284" s="66"/>
    </row>
    <row r="285" spans="24:24">
      <c r="X285" s="66"/>
    </row>
    <row r="286" spans="24:24">
      <c r="X286" s="66"/>
    </row>
    <row r="287" spans="24:24">
      <c r="X287" s="66"/>
    </row>
    <row r="288" spans="24:24">
      <c r="X288" s="66"/>
    </row>
    <row r="289" spans="24:24">
      <c r="X289" s="66"/>
    </row>
    <row r="290" spans="24:24">
      <c r="X290" s="66"/>
    </row>
    <row r="291" spans="24:24">
      <c r="X291" s="66"/>
    </row>
    <row r="292" spans="24:24">
      <c r="X292" s="66"/>
    </row>
    <row r="293" spans="24:24">
      <c r="X293" s="66"/>
    </row>
    <row r="294" spans="24:24">
      <c r="X294" s="66"/>
    </row>
    <row r="295" spans="24:24">
      <c r="X295" s="66"/>
    </row>
    <row r="296" spans="24:24">
      <c r="X296" s="66"/>
    </row>
    <row r="297" spans="24:24">
      <c r="X297" s="66"/>
    </row>
    <row r="298" spans="24:24">
      <c r="X298" s="66"/>
    </row>
    <row r="299" spans="24:24">
      <c r="X299" s="66"/>
    </row>
    <row r="300" spans="24:24">
      <c r="X300" s="66"/>
    </row>
  </sheetData>
  <sheetProtection selectLockedCells="1"/>
  <sortState xmlns:xlrd2="http://schemas.microsoft.com/office/spreadsheetml/2017/richdata2" ref="A2:A300">
    <sortCondition ref="A1"/>
  </sortState>
  <mergeCells count="3">
    <mergeCell ref="Y1:AB1"/>
    <mergeCell ref="AD1:AG1"/>
    <mergeCell ref="J2:K3"/>
  </mergeCells>
  <conditionalFormatting sqref="X161">
    <cfRule type="containsText" dxfId="16" priority="9" operator="containsText" text="couleur">
      <formula>NOT(ISERROR(SEARCH("couleur",X161)))</formula>
    </cfRule>
    <cfRule type="containsText" dxfId="15" priority="10" operator="containsText" text="couleur">
      <formula>NOT(ISERROR(SEARCH("couleur",X161)))</formula>
    </cfRule>
  </conditionalFormatting>
  <conditionalFormatting sqref="E129:E200">
    <cfRule type="expression" dxfId="14" priority="7">
      <formula>FIND("-",$C129)</formula>
    </cfRule>
    <cfRule type="expression" dxfId="13" priority="8">
      <formula>"TROUVE(""choix"";$E3)"</formula>
    </cfRule>
  </conditionalFormatting>
  <conditionalFormatting sqref="V153">
    <cfRule type="expression" dxfId="12" priority="5">
      <formula>FIND("choix",$C153)</formula>
    </cfRule>
    <cfRule type="expression" dxfId="11" priority="6">
      <formula>"TROUVE(""choix"";$E3)"</formula>
    </cfRule>
  </conditionalFormatting>
  <conditionalFormatting sqref="I74:I200">
    <cfRule type="cellIs" dxfId="10" priority="4" operator="between">
      <formula>1</formula>
      <formula>2</formula>
    </cfRule>
  </conditionalFormatting>
  <conditionalFormatting sqref="E2:E128">
    <cfRule type="expression" dxfId="9" priority="2">
      <formula>FIND("-",$C2)</formula>
    </cfRule>
    <cfRule type="expression" dxfId="8" priority="3">
      <formula>"TROUVE(""choix"";$E3)"</formula>
    </cfRule>
  </conditionalFormatting>
  <conditionalFormatting sqref="I2:I73">
    <cfRule type="cellIs" dxfId="7" priority="1" operator="between">
      <formula>1</formula>
      <formula>2</formula>
    </cfRule>
  </conditionalFormatting>
  <dataValidations count="5">
    <dataValidation type="list" allowBlank="1" showInputMessage="1" showErrorMessage="1" sqref="U2:W149 X153 G2:G200" xr:uid="{0542F652-AE12-4BC3-B13D-E2EA5BFC5A9E}">
      <formula1>"-,1,2,3,4,5,TOP"</formula1>
    </dataValidation>
    <dataValidation type="list" allowBlank="1" showInputMessage="1" showErrorMessage="1" sqref="V153" xr:uid="{B52684EC-0ECE-4129-849B-9CF5BEC66229}">
      <formula1>OFFSET(AM153:AO153,,,,SUMPRODUCT(N(AM153:AO153&lt;&gt;"")))</formula1>
    </dataValidation>
    <dataValidation type="list" allowBlank="1" showInputMessage="1" showErrorMessage="1" sqref="B2:B200" xr:uid="{26550182-9C12-436E-8744-5A3764925261}">
      <formula1>INDIRECT("TabListing[élèves]")</formula1>
    </dataValidation>
    <dataValidation type="list" allowBlank="1" showInputMessage="1" showErrorMessage="1" sqref="H2:H200" xr:uid="{419DA039-BCC4-4A48-A7D2-B317E21582BB}">
      <formula1>"oui,non"</formula1>
    </dataValidation>
    <dataValidation type="list" allowBlank="1" showInputMessage="1" showErrorMessage="1" sqref="E2:E150 E169:E200" xr:uid="{C1D3170A-D031-4E58-B671-D364A00939B7}">
      <formula1>OFFSET(AD2,,,,SUMPRODUCT(N(AD2:AG2&lt;&gt;"")))</formula1>
    </dataValidation>
  </dataValidations>
  <pageMargins left="0.19685039370078741" right="0.31496062992125984" top="0.74803149606299213" bottom="0.74803149606299213" header="0.31496062992125984" footer="0.31496062992125984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EA8BE5-E884-4AB6-98B5-F2F437ED02F6}">
          <x14:formula1>
            <xm:f>'LISTE A SAISIR'!$E$4:$E$20</xm:f>
          </x14:formula1>
          <xm:sqref>T153 C2:C200</xm:sqref>
        </x14:dataValidation>
        <x14:dataValidation type="list" allowBlank="1" showInputMessage="1" showErrorMessage="1" xr:uid="{7D66F455-3BDB-4B9A-8FC0-851B849B91D6}">
          <x14:formula1>
            <xm:f>OFFSET('LISTE A SAISIR'!I3,,,,SUMPRODUCT(N('LISTE A SAISIR'!I3:L3&lt;&gt;"")))</xm:f>
          </x14:formula1>
          <xm:sqref>E151:E168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>
    <tabColor rgb="FFFFFF00"/>
  </sheetPr>
  <dimension ref="A1:AZ145"/>
  <sheetViews>
    <sheetView zoomScale="89" zoomScaleNormal="90" workbookViewId="0">
      <selection activeCell="Z21" sqref="Z21"/>
    </sheetView>
  </sheetViews>
  <sheetFormatPr baseColWidth="10" defaultColWidth="11.42578125" defaultRowHeight="15"/>
  <cols>
    <col min="1" max="1" width="4.28515625" style="44" customWidth="1"/>
    <col min="2" max="2" width="11.42578125" style="44"/>
    <col min="3" max="18" width="3.7109375" style="44" customWidth="1"/>
    <col min="19" max="19" width="4.28515625" style="44" customWidth="1"/>
    <col min="20" max="22" width="3.7109375" style="44" customWidth="1"/>
    <col min="23" max="23" width="4.140625" style="44" customWidth="1"/>
    <col min="24" max="24" width="4.7109375" style="44" customWidth="1"/>
    <col min="25" max="37" width="3.7109375" style="44" customWidth="1"/>
    <col min="38" max="38" width="4.7109375" style="44" customWidth="1"/>
    <col min="39" max="42" width="3.7109375" style="44" customWidth="1"/>
    <col min="43" max="43" width="4.28515625" style="44" customWidth="1"/>
    <col min="44" max="51" width="3.7109375" style="44" customWidth="1"/>
    <col min="52" max="52" width="9.140625" style="44" customWidth="1"/>
    <col min="53" max="16384" width="11.42578125" style="44"/>
  </cols>
  <sheetData>
    <row r="1" spans="1:52" ht="45.75" customHeight="1" thickBot="1">
      <c r="C1" s="127" t="s">
        <v>49</v>
      </c>
      <c r="D1" s="128"/>
      <c r="E1" s="129"/>
      <c r="F1" s="130" t="s">
        <v>50</v>
      </c>
      <c r="G1" s="131"/>
      <c r="H1" s="132"/>
      <c r="I1" s="130" t="s">
        <v>51</v>
      </c>
      <c r="J1" s="131"/>
      <c r="K1" s="131"/>
      <c r="L1" s="132"/>
      <c r="M1" s="133" t="s">
        <v>52</v>
      </c>
      <c r="N1" s="134"/>
      <c r="O1" s="135"/>
      <c r="P1" s="133" t="s">
        <v>53</v>
      </c>
      <c r="Q1" s="134"/>
      <c r="R1" s="134"/>
      <c r="S1" s="126" t="s">
        <v>54</v>
      </c>
      <c r="T1" s="126"/>
      <c r="U1" s="126"/>
      <c r="V1" s="126"/>
      <c r="W1" s="138" t="s">
        <v>55</v>
      </c>
      <c r="X1" s="138"/>
      <c r="Y1" s="136" t="s">
        <v>56</v>
      </c>
      <c r="Z1" s="136"/>
      <c r="AA1" s="136"/>
      <c r="AB1" s="136"/>
      <c r="AC1" s="137" t="s">
        <v>57</v>
      </c>
      <c r="AD1" s="137"/>
      <c r="AE1" s="139" t="s">
        <v>58</v>
      </c>
      <c r="AF1" s="139"/>
      <c r="AG1" s="139"/>
      <c r="AH1" s="136" t="s">
        <v>62</v>
      </c>
      <c r="AI1" s="136"/>
      <c r="AJ1" s="136"/>
      <c r="AK1" s="136"/>
      <c r="AL1" s="137" t="s">
        <v>59</v>
      </c>
      <c r="AM1" s="137"/>
      <c r="AN1" s="136" t="s">
        <v>61</v>
      </c>
      <c r="AO1" s="136"/>
      <c r="AP1" s="136"/>
      <c r="AQ1" s="137" t="s">
        <v>63</v>
      </c>
      <c r="AR1" s="137"/>
      <c r="AS1" s="134" t="s">
        <v>60</v>
      </c>
      <c r="AT1" s="134"/>
      <c r="AU1" s="134"/>
      <c r="AV1" s="126" t="s">
        <v>64</v>
      </c>
      <c r="AW1" s="126"/>
      <c r="AX1" s="126"/>
      <c r="AY1" s="126"/>
      <c r="AZ1" s="32" t="s">
        <v>47</v>
      </c>
    </row>
    <row r="2" spans="1:52" ht="21.75" customHeight="1">
      <c r="C2" s="13">
        <v>1</v>
      </c>
      <c r="D2" s="44">
        <v>1</v>
      </c>
      <c r="E2" s="44">
        <v>1</v>
      </c>
      <c r="F2" s="45">
        <v>2</v>
      </c>
      <c r="G2" s="45">
        <v>2</v>
      </c>
      <c r="H2" s="45">
        <v>2</v>
      </c>
      <c r="I2" s="44">
        <v>3</v>
      </c>
      <c r="J2" s="44">
        <v>3</v>
      </c>
      <c r="K2" s="44">
        <v>3</v>
      </c>
      <c r="L2" s="44">
        <v>3</v>
      </c>
      <c r="M2" s="45">
        <v>4</v>
      </c>
      <c r="N2" s="45">
        <v>4</v>
      </c>
      <c r="O2" s="45">
        <v>4</v>
      </c>
      <c r="P2" s="44">
        <v>5</v>
      </c>
      <c r="Q2" s="14">
        <v>5</v>
      </c>
      <c r="R2" s="42">
        <v>5</v>
      </c>
      <c r="S2" s="45">
        <v>6</v>
      </c>
      <c r="T2" s="45">
        <v>6</v>
      </c>
      <c r="U2" s="45">
        <v>6</v>
      </c>
      <c r="V2" s="45">
        <v>6</v>
      </c>
      <c r="W2" s="44">
        <v>7</v>
      </c>
      <c r="X2" s="44">
        <v>7</v>
      </c>
      <c r="Y2" s="45">
        <v>8</v>
      </c>
      <c r="Z2" s="45">
        <v>8</v>
      </c>
      <c r="AA2" s="45">
        <v>8</v>
      </c>
      <c r="AB2" s="45">
        <v>8</v>
      </c>
      <c r="AC2" s="14">
        <v>9</v>
      </c>
      <c r="AD2" s="42">
        <v>9</v>
      </c>
      <c r="AE2" s="45">
        <v>10</v>
      </c>
      <c r="AF2" s="45">
        <v>10</v>
      </c>
      <c r="AG2" s="45">
        <v>10</v>
      </c>
      <c r="AH2" s="44">
        <v>11</v>
      </c>
      <c r="AI2" s="44">
        <v>11</v>
      </c>
      <c r="AJ2" s="14">
        <v>11</v>
      </c>
      <c r="AK2" s="42">
        <v>11</v>
      </c>
      <c r="AL2" s="15">
        <v>12</v>
      </c>
      <c r="AM2" s="42">
        <v>12</v>
      </c>
      <c r="AN2" s="44">
        <v>13</v>
      </c>
      <c r="AO2" s="44">
        <v>13</v>
      </c>
      <c r="AP2" s="44">
        <v>13</v>
      </c>
      <c r="AQ2" s="45">
        <v>14</v>
      </c>
      <c r="AR2" s="45">
        <v>14</v>
      </c>
      <c r="AS2" s="14">
        <v>15</v>
      </c>
      <c r="AT2" s="44">
        <v>15</v>
      </c>
      <c r="AU2" s="44">
        <v>15</v>
      </c>
      <c r="AV2" s="45">
        <v>16</v>
      </c>
      <c r="AW2" s="45">
        <v>16</v>
      </c>
      <c r="AX2" s="45">
        <v>16</v>
      </c>
      <c r="AY2" s="45">
        <v>16</v>
      </c>
      <c r="AZ2" s="32"/>
    </row>
    <row r="3" spans="1:52" s="46" customFormat="1" ht="21.75" customHeight="1">
      <c r="C3" s="13" t="s">
        <v>80</v>
      </c>
      <c r="D3" s="46" t="s">
        <v>80</v>
      </c>
      <c r="E3" s="46" t="s">
        <v>80</v>
      </c>
      <c r="F3" s="45" t="s">
        <v>81</v>
      </c>
      <c r="G3" s="45" t="s">
        <v>81</v>
      </c>
      <c r="H3" s="45" t="s">
        <v>81</v>
      </c>
      <c r="I3" s="46" t="s">
        <v>81</v>
      </c>
      <c r="J3" s="46" t="s">
        <v>81</v>
      </c>
      <c r="K3" s="46" t="s">
        <v>81</v>
      </c>
      <c r="L3" s="46" t="s">
        <v>81</v>
      </c>
      <c r="M3" s="45" t="s">
        <v>80</v>
      </c>
      <c r="N3" s="45" t="s">
        <v>80</v>
      </c>
      <c r="O3" s="45" t="s">
        <v>80</v>
      </c>
      <c r="P3" s="46" t="s">
        <v>80</v>
      </c>
      <c r="Q3" s="14" t="s">
        <v>80</v>
      </c>
      <c r="R3" s="42" t="s">
        <v>80</v>
      </c>
      <c r="S3" s="45" t="s">
        <v>80</v>
      </c>
      <c r="T3" s="45" t="s">
        <v>80</v>
      </c>
      <c r="U3" s="45" t="s">
        <v>80</v>
      </c>
      <c r="V3" s="45" t="s">
        <v>80</v>
      </c>
      <c r="W3" s="46" t="s">
        <v>80</v>
      </c>
      <c r="X3" s="46" t="s">
        <v>80</v>
      </c>
      <c r="Y3" s="45" t="s">
        <v>82</v>
      </c>
      <c r="Z3" s="45" t="s">
        <v>82</v>
      </c>
      <c r="AA3" s="45" t="s">
        <v>82</v>
      </c>
      <c r="AB3" s="45" t="s">
        <v>82</v>
      </c>
      <c r="AC3" s="14" t="s">
        <v>82</v>
      </c>
      <c r="AD3" s="42" t="s">
        <v>82</v>
      </c>
      <c r="AE3" s="45" t="s">
        <v>82</v>
      </c>
      <c r="AF3" s="45" t="s">
        <v>82</v>
      </c>
      <c r="AG3" s="45" t="s">
        <v>82</v>
      </c>
      <c r="AH3" s="46" t="s">
        <v>82</v>
      </c>
      <c r="AI3" s="46" t="s">
        <v>82</v>
      </c>
      <c r="AJ3" s="14" t="s">
        <v>82</v>
      </c>
      <c r="AK3" s="42" t="s">
        <v>82</v>
      </c>
      <c r="AL3" s="15" t="s">
        <v>82</v>
      </c>
      <c r="AM3" s="42" t="s">
        <v>82</v>
      </c>
      <c r="AN3" s="46" t="s">
        <v>82</v>
      </c>
      <c r="AO3" s="46" t="s">
        <v>82</v>
      </c>
      <c r="AP3" s="46" t="s">
        <v>82</v>
      </c>
      <c r="AQ3" s="45" t="s">
        <v>82</v>
      </c>
      <c r="AR3" s="45" t="s">
        <v>82</v>
      </c>
      <c r="AS3" s="14" t="s">
        <v>80</v>
      </c>
      <c r="AT3" s="46" t="s">
        <v>80</v>
      </c>
      <c r="AU3" s="46" t="s">
        <v>80</v>
      </c>
      <c r="AV3" s="45" t="s">
        <v>80</v>
      </c>
      <c r="AW3" s="45" t="s">
        <v>80</v>
      </c>
      <c r="AX3" s="45" t="s">
        <v>80</v>
      </c>
      <c r="AY3" s="45" t="s">
        <v>80</v>
      </c>
      <c r="AZ3" s="65"/>
    </row>
    <row r="4" spans="1:52" s="46" customFormat="1" ht="21.75" customHeight="1" thickBot="1">
      <c r="C4" s="13">
        <v>14</v>
      </c>
      <c r="D4" s="46">
        <v>66</v>
      </c>
      <c r="E4" s="46">
        <v>10</v>
      </c>
      <c r="F4" s="45">
        <v>32</v>
      </c>
      <c r="G4" s="45">
        <v>34</v>
      </c>
      <c r="H4" s="45">
        <v>31</v>
      </c>
      <c r="I4" s="46">
        <v>3</v>
      </c>
      <c r="J4" s="46">
        <v>58</v>
      </c>
      <c r="K4" s="46">
        <v>57</v>
      </c>
      <c r="L4" s="46">
        <v>1</v>
      </c>
      <c r="M4" s="45">
        <v>42</v>
      </c>
      <c r="N4" s="45">
        <v>43</v>
      </c>
      <c r="O4" s="45">
        <v>40</v>
      </c>
      <c r="P4" s="46">
        <v>14</v>
      </c>
      <c r="Q4" s="14">
        <v>66</v>
      </c>
      <c r="R4" s="42">
        <v>11</v>
      </c>
      <c r="S4" s="45">
        <v>40</v>
      </c>
      <c r="T4" s="45">
        <v>66</v>
      </c>
      <c r="U4" s="45">
        <v>69</v>
      </c>
      <c r="V4" s="45">
        <v>39</v>
      </c>
      <c r="W4" s="46">
        <v>14</v>
      </c>
      <c r="X4" s="46">
        <v>11</v>
      </c>
      <c r="Y4" s="45">
        <v>52</v>
      </c>
      <c r="Z4" s="45">
        <v>75</v>
      </c>
      <c r="AA4" s="45">
        <v>77</v>
      </c>
      <c r="AB4" s="45">
        <v>51</v>
      </c>
      <c r="AC4" s="14">
        <v>51</v>
      </c>
      <c r="AD4" s="42">
        <v>50</v>
      </c>
      <c r="AE4" s="45">
        <v>53</v>
      </c>
      <c r="AF4" s="45">
        <v>26</v>
      </c>
      <c r="AG4" s="45">
        <v>52</v>
      </c>
      <c r="AH4" s="46">
        <v>51</v>
      </c>
      <c r="AI4" s="46">
        <v>75</v>
      </c>
      <c r="AJ4" s="14">
        <v>78</v>
      </c>
      <c r="AK4" s="42">
        <v>50</v>
      </c>
      <c r="AL4" s="15">
        <v>53</v>
      </c>
      <c r="AM4" s="42">
        <v>52</v>
      </c>
      <c r="AN4" s="46">
        <v>51</v>
      </c>
      <c r="AO4" s="46">
        <v>75</v>
      </c>
      <c r="AP4" s="46">
        <v>50</v>
      </c>
      <c r="AQ4" s="45">
        <v>25</v>
      </c>
      <c r="AR4" s="45">
        <v>20</v>
      </c>
      <c r="AS4" s="14">
        <v>43</v>
      </c>
      <c r="AT4" s="46">
        <v>67</v>
      </c>
      <c r="AU4" s="46">
        <v>42</v>
      </c>
      <c r="AV4" s="45">
        <v>14</v>
      </c>
      <c r="AW4" s="45">
        <v>41</v>
      </c>
      <c r="AX4" s="45">
        <v>66</v>
      </c>
      <c r="AY4" s="45">
        <v>10</v>
      </c>
      <c r="AZ4" s="65"/>
    </row>
    <row r="5" spans="1:52" ht="30" customHeight="1">
      <c r="A5" s="16" t="s">
        <v>43</v>
      </c>
      <c r="B5" s="16" t="s">
        <v>44</v>
      </c>
      <c r="C5" s="170" t="s">
        <v>39</v>
      </c>
      <c r="D5" s="166" t="s">
        <v>15</v>
      </c>
      <c r="E5" s="167"/>
      <c r="F5" s="165" t="s">
        <v>4</v>
      </c>
      <c r="G5" s="168" t="s">
        <v>16</v>
      </c>
      <c r="H5" s="169" t="s">
        <v>22</v>
      </c>
      <c r="I5" s="170" t="s">
        <v>40</v>
      </c>
      <c r="J5" s="171" t="s">
        <v>15</v>
      </c>
      <c r="K5" s="172" t="s">
        <v>15</v>
      </c>
      <c r="L5" s="173">
        <v>4</v>
      </c>
      <c r="M5" s="165" t="s">
        <v>18</v>
      </c>
      <c r="N5" s="168" t="s">
        <v>16</v>
      </c>
      <c r="O5" s="169" t="s">
        <v>22</v>
      </c>
      <c r="P5" s="170" t="s">
        <v>39</v>
      </c>
      <c r="Q5" s="174" t="s">
        <v>21</v>
      </c>
      <c r="R5" s="167"/>
      <c r="S5" s="165" t="s">
        <v>20</v>
      </c>
      <c r="T5" s="171" t="s">
        <v>15</v>
      </c>
      <c r="U5" s="175"/>
      <c r="V5" s="176" t="s">
        <v>20</v>
      </c>
      <c r="W5" s="177" t="s">
        <v>39</v>
      </c>
      <c r="X5" s="178"/>
      <c r="Y5" s="179" t="s">
        <v>16</v>
      </c>
      <c r="Z5" s="171" t="s">
        <v>15</v>
      </c>
      <c r="AA5" s="175"/>
      <c r="AB5" s="176" t="s">
        <v>18</v>
      </c>
      <c r="AC5" s="180" t="s">
        <v>18</v>
      </c>
      <c r="AD5" s="181" t="s">
        <v>207</v>
      </c>
      <c r="AE5" s="179" t="s">
        <v>23</v>
      </c>
      <c r="AF5" s="182" t="s">
        <v>41</v>
      </c>
      <c r="AG5" s="167"/>
      <c r="AH5" s="165" t="s">
        <v>18</v>
      </c>
      <c r="AI5" s="171" t="s">
        <v>15</v>
      </c>
      <c r="AJ5" s="172" t="s">
        <v>21</v>
      </c>
      <c r="AK5" s="176" t="s">
        <v>4</v>
      </c>
      <c r="AL5" s="183" t="s">
        <v>23</v>
      </c>
      <c r="AM5" s="181" t="s">
        <v>209</v>
      </c>
      <c r="AN5" s="165" t="s">
        <v>18</v>
      </c>
      <c r="AO5" s="166" t="s">
        <v>15</v>
      </c>
      <c r="AP5" s="184"/>
      <c r="AQ5" s="177" t="s">
        <v>42</v>
      </c>
      <c r="AR5" s="178"/>
      <c r="AS5" s="179" t="s">
        <v>16</v>
      </c>
      <c r="AT5" s="172" t="s">
        <v>17</v>
      </c>
      <c r="AU5" s="185"/>
      <c r="AV5" s="186" t="s">
        <v>39</v>
      </c>
      <c r="AW5" s="187" t="s">
        <v>4</v>
      </c>
      <c r="AX5" s="188" t="s">
        <v>15</v>
      </c>
      <c r="AY5" s="189">
        <v>4</v>
      </c>
      <c r="AZ5" s="32"/>
    </row>
    <row r="6" spans="1:52" ht="21" customHeight="1">
      <c r="A6" s="44">
        <f>IF('SEANCE 1'!$B2&lt;&gt;"",'SEANCE 1'!$A2,"")</f>
        <v>1</v>
      </c>
      <c r="B6" s="44" t="str">
        <f t="array" aca="1" ref="B6" ca="1">IF(ISNA(INDEX(ListeB,MATCH(0,COUNTIF($B$5:B5,ListeB),0))),"",INDEX(ListeB,MATCH(0,COUNTIF($B$5:B5,ListeB),0)))</f>
        <v>exemple</v>
      </c>
      <c r="C6" s="64" t="str">
        <f ca="1">IF(COUNTIFS('SEANCE 1'!$B:$B, $B6, 'SEANCE 1'!$C:$C, C$2, 'SEANCE 1'!$F:$F, C$5)=0, "", COUNTIFS('SEANCE 1'!$B:$B, $B6, 'SEANCE 1'!$C:$C, C$2, 'SEANCE 1'!$F:$F, C$5))</f>
        <v/>
      </c>
      <c r="D6" s="64" t="str">
        <f ca="1">IF(COUNTIFS('SEANCE 1'!$B:$B, $B6, 'SEANCE 1'!$C:$C, D$2, 'SEANCE 1'!$F:$F, D$5)=0, "", COUNTIFS('SEANCE 1'!$B:$B, $B6, 'SEANCE 1'!$C:$C, D$2, 'SEANCE 1'!$F:$F, D$5))</f>
        <v/>
      </c>
      <c r="E6" s="64" t="str">
        <f ca="1">IF(COUNTIFS('SEANCE 1'!$B:$B, $B6, 'SEANCE 1'!$C:$C, E$2, 'SEANCE 1'!$F:$F, E$5)=0, "", COUNTIFS('SEANCE 1'!$B:$B, $B6, 'SEANCE 1'!$C:$C, E$2, 'SEANCE 1'!$F:$F, E$5))</f>
        <v/>
      </c>
      <c r="F6" s="64" t="str">
        <f ca="1">IF(COUNTIFS('SEANCE 1'!$B:$B, $B6, 'SEANCE 1'!$C:$C, F$2, 'SEANCE 1'!$F:$F, F$5)=0, "", COUNTIFS('SEANCE 1'!$B:$B, $B6, 'SEANCE 1'!$C:$C, F$2, 'SEANCE 1'!$F:$F, F$5))</f>
        <v/>
      </c>
      <c r="G6" s="64" t="str">
        <f ca="1">IF(COUNTIFS('SEANCE 1'!$B:$B, $B6, 'SEANCE 1'!$C:$C, G$2, 'SEANCE 1'!$F:$F, G$5)=0, "", COUNTIFS('SEANCE 1'!$B:$B, $B6, 'SEANCE 1'!$C:$C, G$2, 'SEANCE 1'!$F:$F, G$5))</f>
        <v/>
      </c>
      <c r="H6" s="64" t="str">
        <f ca="1">IF(COUNTIFS('SEANCE 1'!$B:$B, $B6, 'SEANCE 1'!$C:$C, H$2, 'SEANCE 1'!$F:$F, H$5)=0, "", COUNTIFS('SEANCE 1'!$B:$B, $B6, 'SEANCE 1'!$C:$C, H$2, 'SEANCE 1'!$F:$F, H$5))</f>
        <v/>
      </c>
      <c r="I6" s="64" t="str">
        <f ca="1">IF(COUNTIFS('SEANCE 1'!$B:$B, $B6, 'SEANCE 1'!$C:$C, I$2, 'SEANCE 1'!$F:$F, I$5)=0, "", COUNTIFS('SEANCE 1'!$B:$B, $B6, 'SEANCE 1'!$C:$C, I$2, 'SEANCE 1'!$F:$F, I$5))</f>
        <v/>
      </c>
      <c r="J6" s="64" t="str">
        <f ca="1">IF(COUNTIFS('SEANCE 1'!$B:$B, $B6, 'SEANCE 1'!$C:$C, J$2, 'SEANCE 1'!$F:$F, J$5)=0, "", COUNTIFS('SEANCE 1'!$B:$B, $B6, 'SEANCE 1'!$C:$C, J$2, 'SEANCE 1'!$F:$F, J$5))</f>
        <v/>
      </c>
      <c r="K6" s="64" t="str">
        <f ca="1">IF(COUNTIFS('SEANCE 1'!$B:$B, $B6, 'SEANCE 1'!$C:$C, K$2, 'SEANCE 1'!$F:$F, K$5)=0, "", COUNTIFS('SEANCE 1'!$B:$B, $B6, 'SEANCE 1'!$C:$C, K$2, 'SEANCE 1'!$F:$F, K$5))</f>
        <v/>
      </c>
      <c r="L6" s="64" t="str">
        <f ca="1">IF(COUNTIFS('SEANCE 1'!$B:$B, $B6, 'SEANCE 1'!$C:$C, L$2, 'SEANCE 1'!$F:$F, L$5)=0, "", COUNTIFS('SEANCE 1'!$B:$B, $B6, 'SEANCE 1'!$C:$C, L$2, 'SEANCE 1'!$F:$F, L$5))</f>
        <v/>
      </c>
      <c r="M6" s="64" t="str">
        <f ca="1">IF(COUNTIFS('SEANCE 1'!$B:$B, $B6, 'SEANCE 1'!$C:$C, M$2, 'SEANCE 1'!$F:$F, M$5)=0, "", COUNTIFS('SEANCE 1'!$B:$B, $B6, 'SEANCE 1'!$C:$C, M$2, 'SEANCE 1'!$F:$F, M$5))</f>
        <v/>
      </c>
      <c r="N6" s="64" t="str">
        <f ca="1">IF(COUNTIFS('SEANCE 1'!$B:$B, $B6, 'SEANCE 1'!$C:$C, N$2, 'SEANCE 1'!$F:$F, N$5)=0, "", COUNTIFS('SEANCE 1'!$B:$B, $B6, 'SEANCE 1'!$C:$C, N$2, 'SEANCE 1'!$F:$F, N$5))</f>
        <v/>
      </c>
      <c r="O6" s="64" t="str">
        <f ca="1">IF(COUNTIFS('SEANCE 1'!$B:$B, $B6, 'SEANCE 1'!$C:$C, O$2, 'SEANCE 1'!$F:$F, O$5)=0, "", COUNTIFS('SEANCE 1'!$B:$B, $B6, 'SEANCE 1'!$C:$C, O$2, 'SEANCE 1'!$F:$F, O$5))</f>
        <v/>
      </c>
      <c r="P6" s="64" t="str">
        <f ca="1">IF(COUNTIFS('SEANCE 1'!$B:$B, $B6, 'SEANCE 1'!$C:$C, P$2, 'SEANCE 1'!$F:$F, P$5)=0, "", COUNTIFS('SEANCE 1'!$B:$B, $B6, 'SEANCE 1'!$C:$C, P$2, 'SEANCE 1'!$F:$F, P$5))</f>
        <v/>
      </c>
      <c r="Q6" s="64" t="str">
        <f ca="1">IF(COUNTIFS('SEANCE 1'!$B:$B, $B6, 'SEANCE 1'!$C:$C, Q$2, 'SEANCE 1'!$F:$F, Q$5)=0, "", COUNTIFS('SEANCE 1'!$B:$B, $B6, 'SEANCE 1'!$C:$C, Q$2, 'SEANCE 1'!$F:$F, Q$5))</f>
        <v/>
      </c>
      <c r="R6" s="64" t="str">
        <f ca="1">IF(COUNTIFS('SEANCE 1'!$B:$B, $B6, 'SEANCE 1'!$C:$C, R$2, 'SEANCE 1'!$F:$F, R$5)=0, "", COUNTIFS('SEANCE 1'!$B:$B, $B6, 'SEANCE 1'!$C:$C, R$2, 'SEANCE 1'!$F:$F, R$5))</f>
        <v/>
      </c>
      <c r="S6" s="64" t="str">
        <f ca="1">IF(COUNTIFS('SEANCE 1'!$B:$B, $B6, 'SEANCE 1'!$C:$C, S$2, 'SEANCE 1'!$F:$F, S$5)=0, "", COUNTIFS('SEANCE 1'!$B:$B, $B6, 'SEANCE 1'!$C:$C, S$2, 'SEANCE 1'!$F:$F, S$5))</f>
        <v/>
      </c>
      <c r="T6" s="64" t="str">
        <f ca="1">IF(COUNTIFS('SEANCE 1'!$B:$B, $B6, 'SEANCE 1'!$C:$C, T$2, 'SEANCE 1'!$F:$F, T$5)=0, "", COUNTIFS('SEANCE 1'!$B:$B, $B6, 'SEANCE 1'!$C:$C, T$2, 'SEANCE 1'!$F:$F, T$5))</f>
        <v/>
      </c>
      <c r="U6" s="64" t="str">
        <f ca="1">IF(COUNTIFS('SEANCE 1'!$B:$B, $B6, 'SEANCE 1'!$C:$C, U$2, 'SEANCE 1'!$F:$F, U$5)=0, "", COUNTIFS('SEANCE 1'!$B:$B, $B6, 'SEANCE 1'!$C:$C, U$2, 'SEANCE 1'!$F:$F, U$5))</f>
        <v/>
      </c>
      <c r="V6" s="64" t="str">
        <f ca="1">IF(COUNTIFS('SEANCE 1'!$B:$B, $B6, 'SEANCE 1'!$C:$C, V$2, 'SEANCE 1'!$F:$F, V$5)=0, "", COUNTIFS('SEANCE 1'!$B:$B, $B6, 'SEANCE 1'!$C:$C, V$2, 'SEANCE 1'!$F:$F, V$5))</f>
        <v/>
      </c>
      <c r="W6" s="64" t="str">
        <f ca="1">IF(COUNTIFS('SEANCE 1'!$B:$B, $B6, 'SEANCE 1'!$C:$C, W$2, 'SEANCE 1'!$F:$F, W$5)=0, "", COUNTIFS('SEANCE 1'!$B:$B, $B6, 'SEANCE 1'!$C:$C, W$2, 'SEANCE 1'!$F:$F, W$5))</f>
        <v/>
      </c>
      <c r="X6" s="64" t="str">
        <f ca="1">IF(COUNTIFS('SEANCE 1'!$B:$B, $B6, 'SEANCE 1'!$C:$C, X$2, 'SEANCE 1'!$F:$F, X$5)=0, "", COUNTIFS('SEANCE 1'!$B:$B, $B6, 'SEANCE 1'!$C:$C, X$2, 'SEANCE 1'!$F:$F, X$5))</f>
        <v/>
      </c>
      <c r="Y6" s="64" t="str">
        <f ca="1">IF(COUNTIFS('SEANCE 1'!$B:$B, $B6, 'SEANCE 1'!$C:$C, Y$2, 'SEANCE 1'!$F:$F, Y$5)=0, "", COUNTIFS('SEANCE 1'!$B:$B, $B6, 'SEANCE 1'!$C:$C, Y$2, 'SEANCE 1'!$F:$F, Y$5))</f>
        <v/>
      </c>
      <c r="Z6" s="64" t="str">
        <f ca="1">IF(COUNTIFS('SEANCE 1'!$B:$B, $B6, 'SEANCE 1'!$C:$C, Z$2, 'SEANCE 1'!$F:$F, Z$5)=0, "", COUNTIFS('SEANCE 1'!$B:$B, $B6, 'SEANCE 1'!$C:$C, Z$2, 'SEANCE 1'!$F:$F, Z$5))</f>
        <v/>
      </c>
      <c r="AA6" s="64" t="str">
        <f ca="1">IF(COUNTIFS('SEANCE 1'!$B:$B, $B6, 'SEANCE 1'!$C:$C, AA$2, 'SEANCE 1'!$F:$F, AA$5)=0, "", COUNTIFS('SEANCE 1'!$B:$B, $B6, 'SEANCE 1'!$C:$C, AA$2, 'SEANCE 1'!$F:$F, AA$5))</f>
        <v/>
      </c>
      <c r="AB6" s="64" t="str">
        <f ca="1">IF(COUNTIFS('SEANCE 1'!$B:$B, $B6, 'SEANCE 1'!$C:$C, AB$2, 'SEANCE 1'!$F:$F, AB$5)=0, "", COUNTIFS('SEANCE 1'!$B:$B, $B6, 'SEANCE 1'!$C:$C, AB$2, 'SEANCE 1'!$F:$F, AB$5))</f>
        <v/>
      </c>
      <c r="AC6" s="64" t="str">
        <f ca="1">IF(COUNTIFS('SEANCE 1'!$B:$B, $B6, 'SEANCE 1'!$C:$C, AC$2, 'SEANCE 1'!$F:$F, AC$5)=0, "", COUNTIFS('SEANCE 1'!$B:$B, $B6, 'SEANCE 1'!$C:$C, AC$2, 'SEANCE 1'!$F:$F, AC$5))</f>
        <v/>
      </c>
      <c r="AD6" s="64" t="str">
        <f ca="1">IF(COUNTIFS('SEANCE 1'!$B:$B, $B6, 'SEANCE 1'!$C:$C, AD$2, 'SEANCE 1'!$F:$F, AD$5)=0, "", COUNTIFS('SEANCE 1'!$B:$B, $B6, 'SEANCE 1'!$C:$C, AD$2, 'SEANCE 1'!$F:$F, AD$5))</f>
        <v/>
      </c>
      <c r="AE6" s="64" t="str">
        <f ca="1">IF(COUNTIFS('SEANCE 1'!$B:$B, $B6, 'SEANCE 1'!$C:$C, AE$2, 'SEANCE 1'!$F:$F, AE$5)=0, "", COUNTIFS('SEANCE 1'!$B:$B, $B6, 'SEANCE 1'!$C:$C, AE$2, 'SEANCE 1'!$F:$F, AE$5))</f>
        <v/>
      </c>
      <c r="AF6" s="64" t="str">
        <f ca="1">IF(COUNTIFS('SEANCE 1'!$B:$B, $B6, 'SEANCE 1'!$C:$C, AF$2, 'SEANCE 1'!$F:$F, AF$5)=0, "", COUNTIFS('SEANCE 1'!$B:$B, $B6, 'SEANCE 1'!$C:$C, AF$2, 'SEANCE 1'!$F:$F, AF$5))</f>
        <v/>
      </c>
      <c r="AG6" s="64" t="str">
        <f ca="1">IF(COUNTIFS('SEANCE 1'!$B:$B, $B6, 'SEANCE 1'!$C:$C, AG$2, 'SEANCE 1'!$F:$F, AG$5)=0, "", COUNTIFS('SEANCE 1'!$B:$B, $B6, 'SEANCE 1'!$C:$C, AG$2, 'SEANCE 1'!$F:$F, AG$5))</f>
        <v/>
      </c>
      <c r="AH6" s="64" t="str">
        <f ca="1">IF(COUNTIFS('SEANCE 1'!$B:$B, $B6, 'SEANCE 1'!$C:$C, AH$2, 'SEANCE 1'!$F:$F, AH$5)=0, "", COUNTIFS('SEANCE 1'!$B:$B, $B6, 'SEANCE 1'!$C:$C, AH$2, 'SEANCE 1'!$F:$F, AH$5))</f>
        <v/>
      </c>
      <c r="AI6" s="64" t="str">
        <f ca="1">IF(COUNTIFS('SEANCE 1'!$B:$B, $B6, 'SEANCE 1'!$C:$C, AI$2, 'SEANCE 1'!$F:$F, AI$5)=0, "", COUNTIFS('SEANCE 1'!$B:$B, $B6, 'SEANCE 1'!$C:$C, AI$2, 'SEANCE 1'!$F:$F, AI$5))</f>
        <v/>
      </c>
      <c r="AJ6" s="64" t="str">
        <f ca="1">IF(COUNTIFS('SEANCE 1'!$B:$B, $B6, 'SEANCE 1'!$C:$C, AJ$2, 'SEANCE 1'!$F:$F, AJ$5)=0, "", COUNTIFS('SEANCE 1'!$B:$B, $B6, 'SEANCE 1'!$C:$C, AJ$2, 'SEANCE 1'!$F:$F, AJ$5))</f>
        <v/>
      </c>
      <c r="AK6" s="64" t="str">
        <f ca="1">IF(COUNTIFS('SEANCE 1'!$B:$B, $B6, 'SEANCE 1'!$C:$C, AK$2, 'SEANCE 1'!$F:$F, AK$5)=0, "", COUNTIFS('SEANCE 1'!$B:$B, $B6, 'SEANCE 1'!$C:$C, AK$2, 'SEANCE 1'!$F:$F, AK$5))</f>
        <v/>
      </c>
      <c r="AL6" s="64" t="str">
        <f ca="1">IF(COUNTIFS('SEANCE 1'!$B:$B, $B6, 'SEANCE 1'!$C:$C, AL$2, 'SEANCE 1'!$F:$F, AL$5)=0, "", COUNTIFS('SEANCE 1'!$B:$B, $B6, 'SEANCE 1'!$C:$C, AL$2, 'SEANCE 1'!$F:$F, AL$5))</f>
        <v/>
      </c>
      <c r="AM6" s="64" t="str">
        <f ca="1">IF(COUNTIFS('SEANCE 1'!$B:$B, $B6, 'SEANCE 1'!$C:$C, AM$2, 'SEANCE 1'!$F:$F, AM$5)=0, "", COUNTIFS('SEANCE 1'!$B:$B, $B6, 'SEANCE 1'!$C:$C, AM$2, 'SEANCE 1'!$F:$F, AM$5))</f>
        <v/>
      </c>
      <c r="AN6" s="64" t="str">
        <f ca="1">IF(COUNTIFS('SEANCE 1'!$B:$B, $B6, 'SEANCE 1'!$C:$C, AN$2, 'SEANCE 1'!$F:$F, AN$5)=0, "", COUNTIFS('SEANCE 1'!$B:$B, $B6, 'SEANCE 1'!$C:$C, AN$2, 'SEANCE 1'!$F:$F, AN$5))</f>
        <v/>
      </c>
      <c r="AO6" s="64" t="str">
        <f ca="1">IF(COUNTIFS('SEANCE 1'!$B:$B, $B6, 'SEANCE 1'!$C:$C, AO$2, 'SEANCE 1'!$F:$F, AO$5)=0, "", COUNTIFS('SEANCE 1'!$B:$B, $B6, 'SEANCE 1'!$C:$C, AO$2, 'SEANCE 1'!$F:$F, AO$5))</f>
        <v/>
      </c>
      <c r="AP6" s="64" t="str">
        <f ca="1">IF(COUNTIFS('SEANCE 1'!$B:$B, $B6, 'SEANCE 1'!$C:$C, AP$2, 'SEANCE 1'!$F:$F, AP$5)=0, "", COUNTIFS('SEANCE 1'!$B:$B, $B6, 'SEANCE 1'!$C:$C, AP$2, 'SEANCE 1'!$F:$F, AP$5))</f>
        <v/>
      </c>
      <c r="AQ6" s="64" t="str">
        <f ca="1">IF(COUNTIFS('SEANCE 1'!$B:$B, $B6, 'SEANCE 1'!$C:$C, AQ$2, 'SEANCE 1'!$F:$F, AQ$5)=0, "", COUNTIFS('SEANCE 1'!$B:$B, $B6, 'SEANCE 1'!$C:$C, AQ$2, 'SEANCE 1'!$F:$F, AQ$5))</f>
        <v/>
      </c>
      <c r="AR6" s="64" t="str">
        <f ca="1">IF(COUNTIFS('SEANCE 1'!$B:$B, $B6, 'SEANCE 1'!$C:$C, AR$2, 'SEANCE 1'!$F:$F, AR$5)=0, "", COUNTIFS('SEANCE 1'!$B:$B, $B6, 'SEANCE 1'!$C:$C, AR$2, 'SEANCE 1'!$F:$F, AR$5))</f>
        <v/>
      </c>
      <c r="AS6" s="64" t="str">
        <f ca="1">IF(COUNTIFS('SEANCE 1'!$B:$B, $B6, 'SEANCE 1'!$C:$C, AS$2, 'SEANCE 1'!$F:$F, AS$5)=0, "", COUNTIFS('SEANCE 1'!$B:$B, $B6, 'SEANCE 1'!$C:$C, AS$2, 'SEANCE 1'!$F:$F, AS$5))</f>
        <v/>
      </c>
      <c r="AT6" s="64" t="str">
        <f ca="1">IF(COUNTIFS('SEANCE 1'!$B:$B, $B6, 'SEANCE 1'!$C:$C, AT$2, 'SEANCE 1'!$F:$F, AT$5)=0, "", COUNTIFS('SEANCE 1'!$B:$B, $B6, 'SEANCE 1'!$C:$C, AT$2, 'SEANCE 1'!$F:$F, AT$5))</f>
        <v/>
      </c>
      <c r="AU6" s="64" t="str">
        <f ca="1">IF(COUNTIFS('SEANCE 1'!$B:$B, $B6, 'SEANCE 1'!$C:$C, AU$2, 'SEANCE 1'!$F:$F, AU$5)=0, "", COUNTIFS('SEANCE 1'!$B:$B, $B6, 'SEANCE 1'!$C:$C, AU$2, 'SEANCE 1'!$F:$F, AU$5))</f>
        <v/>
      </c>
      <c r="AV6" s="64" t="str">
        <f ca="1">IF(COUNTIFS('SEANCE 1'!$B:$B, $B6, 'SEANCE 1'!$C:$C, AV$2, 'SEANCE 1'!$F:$F, AV$5)=0, "", COUNTIFS('SEANCE 1'!$B:$B, $B6, 'SEANCE 1'!$C:$C, AV$2, 'SEANCE 1'!$F:$F, AV$5))</f>
        <v/>
      </c>
      <c r="AW6" s="64" t="str">
        <f ca="1">IF(COUNTIFS('SEANCE 1'!$B:$B, $B6, 'SEANCE 1'!$C:$C, AW$2, 'SEANCE 1'!$F:$F, AW$5)=0, "", COUNTIFS('SEANCE 1'!$B:$B, $B6, 'SEANCE 1'!$C:$C, AW$2, 'SEANCE 1'!$F:$F, AW$5))</f>
        <v/>
      </c>
      <c r="AX6" s="64" t="str">
        <f ca="1">IF(COUNTIFS('SEANCE 1'!$B:$B, $B6, 'SEANCE 1'!$C:$C, AX$2, 'SEANCE 1'!$F:$F, AX$5)=0, "", COUNTIFS('SEANCE 1'!$B:$B, $B6, 'SEANCE 1'!$C:$C, AX$2, 'SEANCE 1'!$F:$F, AX$5))</f>
        <v/>
      </c>
      <c r="AY6" s="64" t="str">
        <f ca="1">IF(COUNTIFS('SEANCE 1'!$B:$B, $B6, 'SEANCE 1'!$C:$C, AY$2, 'SEANCE 1'!$F:$F, AY$5)=0, "", COUNTIFS('SEANCE 1'!$B:$B, $B6, 'SEANCE 1'!$C:$C, AY$2, 'SEANCE 1'!$F:$F, AY$5))</f>
        <v/>
      </c>
      <c r="AZ6" s="32">
        <f ca="1">SUM(C6:AY6)</f>
        <v>0</v>
      </c>
    </row>
    <row r="7" spans="1:52">
      <c r="A7" s="44">
        <f>IF('SEANCE 1'!$B3&lt;&gt;"",'SEANCE 1'!$A3,"")</f>
        <v>2</v>
      </c>
      <c r="B7" s="44" t="str">
        <f t="array" aca="1" ref="B7" ca="1">IF(ISNA(INDEX(ListeB,MATCH(0,COUNTIF($B$5:B6,ListeB),0))),"",INDEX(ListeB,MATCH(0,COUNTIF($B$5:B6,ListeB),0)))</f>
        <v>élève 23</v>
      </c>
      <c r="C7" s="64" t="str">
        <f ca="1">IF(COUNTIFS('SEANCE 1'!$B:$B, $B7, 'SEANCE 1'!$C:$C, C$2, 'SEANCE 1'!$F:$F, C$5)=0, "", COUNTIFS('SEANCE 1'!$B:$B, $B7, 'SEANCE 1'!$C:$C, C$2, 'SEANCE 1'!$F:$F, C$5))</f>
        <v/>
      </c>
      <c r="D7" s="64" t="str">
        <f ca="1">IF(COUNTIFS('SEANCE 1'!$B:$B, $B7, 'SEANCE 1'!$C:$C, D$2, 'SEANCE 1'!$F:$F, D$5)=0, "", COUNTIFS('SEANCE 1'!$B:$B, $B7, 'SEANCE 1'!$C:$C, D$2, 'SEANCE 1'!$F:$F, D$5))</f>
        <v/>
      </c>
      <c r="E7" s="64" t="str">
        <f ca="1">IF(COUNTIFS('SEANCE 1'!$B:$B, $B7, 'SEANCE 1'!$C:$C, E$2, 'SEANCE 1'!$F:$F, E$5)=0, "", COUNTIFS('SEANCE 1'!$B:$B, $B7, 'SEANCE 1'!$C:$C, E$2, 'SEANCE 1'!$F:$F, E$5))</f>
        <v/>
      </c>
      <c r="F7" s="64" t="str">
        <f ca="1">IF(COUNTIFS('SEANCE 1'!$B:$B, $B7, 'SEANCE 1'!$C:$C, F$2, 'SEANCE 1'!$F:$F, F$5)=0, "", COUNTIFS('SEANCE 1'!$B:$B, $B7, 'SEANCE 1'!$C:$C, F$2, 'SEANCE 1'!$F:$F, F$5))</f>
        <v/>
      </c>
      <c r="G7" s="64" t="str">
        <f ca="1">IF(COUNTIFS('SEANCE 1'!$B:$B, $B7, 'SEANCE 1'!$C:$C, G$2, 'SEANCE 1'!$F:$F, G$5)=0, "", COUNTIFS('SEANCE 1'!$B:$B, $B7, 'SEANCE 1'!$C:$C, G$2, 'SEANCE 1'!$F:$F, G$5))</f>
        <v/>
      </c>
      <c r="H7" s="64" t="str">
        <f ca="1">IF(COUNTIFS('SEANCE 1'!$B:$B, $B7, 'SEANCE 1'!$C:$C, H$2, 'SEANCE 1'!$F:$F, H$5)=0, "", COUNTIFS('SEANCE 1'!$B:$B, $B7, 'SEANCE 1'!$C:$C, H$2, 'SEANCE 1'!$F:$F, H$5))</f>
        <v/>
      </c>
      <c r="I7" s="64" t="str">
        <f ca="1">IF(COUNTIFS('SEANCE 1'!$B:$B, $B7, 'SEANCE 1'!$C:$C, I$2, 'SEANCE 1'!$F:$F, I$5)=0, "", COUNTIFS('SEANCE 1'!$B:$B, $B7, 'SEANCE 1'!$C:$C, I$2, 'SEANCE 1'!$F:$F, I$5))</f>
        <v/>
      </c>
      <c r="J7" s="64" t="str">
        <f ca="1">IF(COUNTIFS('SEANCE 1'!$B:$B, $B7, 'SEANCE 1'!$C:$C, J$2, 'SEANCE 1'!$F:$F, J$5)=0, "", COUNTIFS('SEANCE 1'!$B:$B, $B7, 'SEANCE 1'!$C:$C, J$2, 'SEANCE 1'!$F:$F, J$5))</f>
        <v/>
      </c>
      <c r="K7" s="64" t="str">
        <f ca="1">IF(COUNTIFS('SEANCE 1'!$B:$B, $B7, 'SEANCE 1'!$C:$C, K$2, 'SEANCE 1'!$F:$F, K$5)=0, "", COUNTIFS('SEANCE 1'!$B:$B, $B7, 'SEANCE 1'!$C:$C, K$2, 'SEANCE 1'!$F:$F, K$5))</f>
        <v/>
      </c>
      <c r="L7" s="64" t="str">
        <f ca="1">IF(COUNTIFS('SEANCE 1'!$B:$B, $B7, 'SEANCE 1'!$C:$C, L$2, 'SEANCE 1'!$F:$F, L$5)=0, "", COUNTIFS('SEANCE 1'!$B:$B, $B7, 'SEANCE 1'!$C:$C, L$2, 'SEANCE 1'!$F:$F, L$5))</f>
        <v/>
      </c>
      <c r="M7" s="64" t="str">
        <f ca="1">IF(COUNTIFS('SEANCE 1'!$B:$B, $B7, 'SEANCE 1'!$C:$C, M$2, 'SEANCE 1'!$F:$F, M$5)=0, "", COUNTIFS('SEANCE 1'!$B:$B, $B7, 'SEANCE 1'!$C:$C, M$2, 'SEANCE 1'!$F:$F, M$5))</f>
        <v/>
      </c>
      <c r="N7" s="64" t="str">
        <f ca="1">IF(COUNTIFS('SEANCE 1'!$B:$B, $B7, 'SEANCE 1'!$C:$C, N$2, 'SEANCE 1'!$F:$F, N$5)=0, "", COUNTIFS('SEANCE 1'!$B:$B, $B7, 'SEANCE 1'!$C:$C, N$2, 'SEANCE 1'!$F:$F, N$5))</f>
        <v/>
      </c>
      <c r="O7" s="64" t="str">
        <f ca="1">IF(COUNTIFS('SEANCE 1'!$B:$B, $B7, 'SEANCE 1'!$C:$C, O$2, 'SEANCE 1'!$F:$F, O$5)=0, "", COUNTIFS('SEANCE 1'!$B:$B, $B7, 'SEANCE 1'!$C:$C, O$2, 'SEANCE 1'!$F:$F, O$5))</f>
        <v/>
      </c>
      <c r="P7" s="64" t="str">
        <f ca="1">IF(COUNTIFS('SEANCE 1'!$B:$B, $B7, 'SEANCE 1'!$C:$C, P$2, 'SEANCE 1'!$F:$F, P$5)=0, "", COUNTIFS('SEANCE 1'!$B:$B, $B7, 'SEANCE 1'!$C:$C, P$2, 'SEANCE 1'!$F:$F, P$5))</f>
        <v/>
      </c>
      <c r="Q7" s="64" t="str">
        <f ca="1">IF(COUNTIFS('SEANCE 1'!$B:$B, $B7, 'SEANCE 1'!$C:$C, Q$2, 'SEANCE 1'!$F:$F, Q$5)=0, "", COUNTIFS('SEANCE 1'!$B:$B, $B7, 'SEANCE 1'!$C:$C, Q$2, 'SEANCE 1'!$F:$F, Q$5))</f>
        <v/>
      </c>
      <c r="R7" s="64" t="str">
        <f ca="1">IF(COUNTIFS('SEANCE 1'!$B:$B, $B7, 'SEANCE 1'!$C:$C, R$2, 'SEANCE 1'!$F:$F, R$5)=0, "", COUNTIFS('SEANCE 1'!$B:$B, $B7, 'SEANCE 1'!$C:$C, R$2, 'SEANCE 1'!$F:$F, R$5))</f>
        <v/>
      </c>
      <c r="S7" s="64" t="str">
        <f ca="1">IF(COUNTIFS('SEANCE 1'!$B:$B, $B7, 'SEANCE 1'!$C:$C, S$2, 'SEANCE 1'!$F:$F, S$5)=0, "", COUNTIFS('SEANCE 1'!$B:$B, $B7, 'SEANCE 1'!$C:$C, S$2, 'SEANCE 1'!$F:$F, S$5))</f>
        <v/>
      </c>
      <c r="T7" s="64" t="str">
        <f ca="1">IF(COUNTIFS('SEANCE 1'!$B:$B, $B7, 'SEANCE 1'!$C:$C, T$2, 'SEANCE 1'!$F:$F, T$5)=0, "", COUNTIFS('SEANCE 1'!$B:$B, $B7, 'SEANCE 1'!$C:$C, T$2, 'SEANCE 1'!$F:$F, T$5))</f>
        <v/>
      </c>
      <c r="U7" s="64" t="str">
        <f ca="1">IF(COUNTIFS('SEANCE 1'!$B:$B, $B7, 'SEANCE 1'!$C:$C, U$2, 'SEANCE 1'!$F:$F, U$5)=0, "", COUNTIFS('SEANCE 1'!$B:$B, $B7, 'SEANCE 1'!$C:$C, U$2, 'SEANCE 1'!$F:$F, U$5))</f>
        <v/>
      </c>
      <c r="V7" s="64" t="str">
        <f ca="1">IF(COUNTIFS('SEANCE 1'!$B:$B, $B7, 'SEANCE 1'!$C:$C, V$2, 'SEANCE 1'!$F:$F, V$5)=0, "", COUNTIFS('SEANCE 1'!$B:$B, $B7, 'SEANCE 1'!$C:$C, V$2, 'SEANCE 1'!$F:$F, V$5))</f>
        <v/>
      </c>
      <c r="W7" s="64" t="str">
        <f ca="1">IF(COUNTIFS('SEANCE 1'!$B:$B, $B7, 'SEANCE 1'!$C:$C, W$2, 'SEANCE 1'!$F:$F, W$5)=0, "", COUNTIFS('SEANCE 1'!$B:$B, $B7, 'SEANCE 1'!$C:$C, W$2, 'SEANCE 1'!$F:$F, W$5))</f>
        <v/>
      </c>
      <c r="X7" s="64" t="str">
        <f ca="1">IF(COUNTIFS('SEANCE 1'!$B:$B, $B7, 'SEANCE 1'!$C:$C, X$2, 'SEANCE 1'!$F:$F, X$5)=0, "", COUNTIFS('SEANCE 1'!$B:$B, $B7, 'SEANCE 1'!$C:$C, X$2, 'SEANCE 1'!$F:$F, X$5))</f>
        <v/>
      </c>
      <c r="Y7" s="64" t="str">
        <f ca="1">IF(COUNTIFS('SEANCE 1'!$B:$B, $B7, 'SEANCE 1'!$C:$C, Y$2, 'SEANCE 1'!$F:$F, Y$5)=0, "", COUNTIFS('SEANCE 1'!$B:$B, $B7, 'SEANCE 1'!$C:$C, Y$2, 'SEANCE 1'!$F:$F, Y$5))</f>
        <v/>
      </c>
      <c r="Z7" s="64" t="str">
        <f ca="1">IF(COUNTIFS('SEANCE 1'!$B:$B, $B7, 'SEANCE 1'!$C:$C, Z$2, 'SEANCE 1'!$F:$F, Z$5)=0, "", COUNTIFS('SEANCE 1'!$B:$B, $B7, 'SEANCE 1'!$C:$C, Z$2, 'SEANCE 1'!$F:$F, Z$5))</f>
        <v/>
      </c>
      <c r="AA7" s="64" t="str">
        <f ca="1">IF(COUNTIFS('SEANCE 1'!$B:$B, $B7, 'SEANCE 1'!$C:$C, AA$2, 'SEANCE 1'!$F:$F, AA$5)=0, "", COUNTIFS('SEANCE 1'!$B:$B, $B7, 'SEANCE 1'!$C:$C, AA$2, 'SEANCE 1'!$F:$F, AA$5))</f>
        <v/>
      </c>
      <c r="AB7" s="64" t="str">
        <f ca="1">IF(COUNTIFS('SEANCE 1'!$B:$B, $B7, 'SEANCE 1'!$C:$C, AB$2, 'SEANCE 1'!$F:$F, AB$5)=0, "", COUNTIFS('SEANCE 1'!$B:$B, $B7, 'SEANCE 1'!$C:$C, AB$2, 'SEANCE 1'!$F:$F, AB$5))</f>
        <v/>
      </c>
      <c r="AC7" s="64" t="str">
        <f ca="1">IF(COUNTIFS('SEANCE 1'!$B:$B, $B7, 'SEANCE 1'!$C:$C, AC$2, 'SEANCE 1'!$F:$F, AC$5)=0, "", COUNTIFS('SEANCE 1'!$B:$B, $B7, 'SEANCE 1'!$C:$C, AC$2, 'SEANCE 1'!$F:$F, AC$5))</f>
        <v/>
      </c>
      <c r="AD7" s="64" t="str">
        <f ca="1">IF(COUNTIFS('SEANCE 1'!$B:$B, $B7, 'SEANCE 1'!$C:$C, AD$2, 'SEANCE 1'!$F:$F, AD$5)=0, "", COUNTIFS('SEANCE 1'!$B:$B, $B7, 'SEANCE 1'!$C:$C, AD$2, 'SEANCE 1'!$F:$F, AD$5))</f>
        <v/>
      </c>
      <c r="AE7" s="64" t="str">
        <f ca="1">IF(COUNTIFS('SEANCE 1'!$B:$B, $B7, 'SEANCE 1'!$C:$C, AE$2, 'SEANCE 1'!$F:$F, AE$5)=0, "", COUNTIFS('SEANCE 1'!$B:$B, $B7, 'SEANCE 1'!$C:$C, AE$2, 'SEANCE 1'!$F:$F, AE$5))</f>
        <v/>
      </c>
      <c r="AF7" s="64" t="str">
        <f ca="1">IF(COUNTIFS('SEANCE 1'!$B:$B, $B7, 'SEANCE 1'!$C:$C, AF$2, 'SEANCE 1'!$F:$F, AF$5)=0, "", COUNTIFS('SEANCE 1'!$B:$B, $B7, 'SEANCE 1'!$C:$C, AF$2, 'SEANCE 1'!$F:$F, AF$5))</f>
        <v/>
      </c>
      <c r="AG7" s="64" t="str">
        <f ca="1">IF(COUNTIFS('SEANCE 1'!$B:$B, $B7, 'SEANCE 1'!$C:$C, AG$2, 'SEANCE 1'!$F:$F, AG$5)=0, "", COUNTIFS('SEANCE 1'!$B:$B, $B7, 'SEANCE 1'!$C:$C, AG$2, 'SEANCE 1'!$F:$F, AG$5))</f>
        <v/>
      </c>
      <c r="AH7" s="64" t="str">
        <f ca="1">IF(COUNTIFS('SEANCE 1'!$B:$B, $B7, 'SEANCE 1'!$C:$C, AH$2, 'SEANCE 1'!$F:$F, AH$5)=0, "", COUNTIFS('SEANCE 1'!$B:$B, $B7, 'SEANCE 1'!$C:$C, AH$2, 'SEANCE 1'!$F:$F, AH$5))</f>
        <v/>
      </c>
      <c r="AI7" s="64" t="str">
        <f ca="1">IF(COUNTIFS('SEANCE 1'!$B:$B, $B7, 'SEANCE 1'!$C:$C, AI$2, 'SEANCE 1'!$F:$F, AI$5)=0, "", COUNTIFS('SEANCE 1'!$B:$B, $B7, 'SEANCE 1'!$C:$C, AI$2, 'SEANCE 1'!$F:$F, AI$5))</f>
        <v/>
      </c>
      <c r="AJ7" s="64">
        <f ca="1">IF(COUNTIFS('SEANCE 1'!$B:$B, $B7, 'SEANCE 1'!$C:$C, AJ$2, 'SEANCE 1'!$F:$F, AJ$5)=0, "", COUNTIFS('SEANCE 1'!$B:$B, $B7, 'SEANCE 1'!$C:$C, AJ$2, 'SEANCE 1'!$F:$F, AJ$5))</f>
        <v>1</v>
      </c>
      <c r="AK7" s="64" t="str">
        <f ca="1">IF(COUNTIFS('SEANCE 1'!$B:$B, $B7, 'SEANCE 1'!$C:$C, AK$2, 'SEANCE 1'!$F:$F, AK$5)=0, "", COUNTIFS('SEANCE 1'!$B:$B, $B7, 'SEANCE 1'!$C:$C, AK$2, 'SEANCE 1'!$F:$F, AK$5))</f>
        <v/>
      </c>
      <c r="AL7" s="64" t="str">
        <f ca="1">IF(COUNTIFS('SEANCE 1'!$B:$B, $B7, 'SEANCE 1'!$C:$C, AL$2, 'SEANCE 1'!$F:$F, AL$5)=0, "", COUNTIFS('SEANCE 1'!$B:$B, $B7, 'SEANCE 1'!$C:$C, AL$2, 'SEANCE 1'!$F:$F, AL$5))</f>
        <v/>
      </c>
      <c r="AM7" s="64" t="str">
        <f ca="1">IF(COUNTIFS('SEANCE 1'!$B:$B, $B7, 'SEANCE 1'!$C:$C, AM$2, 'SEANCE 1'!$F:$F, AM$5)=0, "", COUNTIFS('SEANCE 1'!$B:$B, $B7, 'SEANCE 1'!$C:$C, AM$2, 'SEANCE 1'!$F:$F, AM$5))</f>
        <v/>
      </c>
      <c r="AN7" s="64" t="str">
        <f ca="1">IF(COUNTIFS('SEANCE 1'!$B:$B, $B7, 'SEANCE 1'!$C:$C, AN$2, 'SEANCE 1'!$F:$F, AN$5)=0, "", COUNTIFS('SEANCE 1'!$B:$B, $B7, 'SEANCE 1'!$C:$C, AN$2, 'SEANCE 1'!$F:$F, AN$5))</f>
        <v/>
      </c>
      <c r="AO7" s="64" t="str">
        <f ca="1">IF(COUNTIFS('SEANCE 1'!$B:$B, $B7, 'SEANCE 1'!$C:$C, AO$2, 'SEANCE 1'!$F:$F, AO$5)=0, "", COUNTIFS('SEANCE 1'!$B:$B, $B7, 'SEANCE 1'!$C:$C, AO$2, 'SEANCE 1'!$F:$F, AO$5))</f>
        <v/>
      </c>
      <c r="AP7" s="64" t="str">
        <f ca="1">IF(COUNTIFS('SEANCE 1'!$B:$B, $B7, 'SEANCE 1'!$C:$C, AP$2, 'SEANCE 1'!$F:$F, AP$5)=0, "", COUNTIFS('SEANCE 1'!$B:$B, $B7, 'SEANCE 1'!$C:$C, AP$2, 'SEANCE 1'!$F:$F, AP$5))</f>
        <v/>
      </c>
      <c r="AQ7" s="64" t="str">
        <f ca="1">IF(COUNTIFS('SEANCE 1'!$B:$B, $B7, 'SEANCE 1'!$C:$C, AQ$2, 'SEANCE 1'!$F:$F, AQ$5)=0, "", COUNTIFS('SEANCE 1'!$B:$B, $B7, 'SEANCE 1'!$C:$C, AQ$2, 'SEANCE 1'!$F:$F, AQ$5))</f>
        <v/>
      </c>
      <c r="AR7" s="64" t="str">
        <f ca="1">IF(COUNTIFS('SEANCE 1'!$B:$B, $B7, 'SEANCE 1'!$C:$C, AR$2, 'SEANCE 1'!$F:$F, AR$5)=0, "", COUNTIFS('SEANCE 1'!$B:$B, $B7, 'SEANCE 1'!$C:$C, AR$2, 'SEANCE 1'!$F:$F, AR$5))</f>
        <v/>
      </c>
      <c r="AS7" s="64" t="str">
        <f ca="1">IF(COUNTIFS('SEANCE 1'!$B:$B, $B7, 'SEANCE 1'!$C:$C, AS$2, 'SEANCE 1'!$F:$F, AS$5)=0, "", COUNTIFS('SEANCE 1'!$B:$B, $B7, 'SEANCE 1'!$C:$C, AS$2, 'SEANCE 1'!$F:$F, AS$5))</f>
        <v/>
      </c>
      <c r="AT7" s="64" t="str">
        <f ca="1">IF(COUNTIFS('SEANCE 1'!$B:$B, $B7, 'SEANCE 1'!$C:$C, AT$2, 'SEANCE 1'!$F:$F, AT$5)=0, "", COUNTIFS('SEANCE 1'!$B:$B, $B7, 'SEANCE 1'!$C:$C, AT$2, 'SEANCE 1'!$F:$F, AT$5))</f>
        <v/>
      </c>
      <c r="AU7" s="64" t="str">
        <f ca="1">IF(COUNTIFS('SEANCE 1'!$B:$B, $B7, 'SEANCE 1'!$C:$C, AU$2, 'SEANCE 1'!$F:$F, AU$5)=0, "", COUNTIFS('SEANCE 1'!$B:$B, $B7, 'SEANCE 1'!$C:$C, AU$2, 'SEANCE 1'!$F:$F, AU$5))</f>
        <v/>
      </c>
      <c r="AV7" s="64" t="str">
        <f ca="1">IF(COUNTIFS('SEANCE 1'!$B:$B, $B7, 'SEANCE 1'!$C:$C, AV$2, 'SEANCE 1'!$F:$F, AV$5)=0, "", COUNTIFS('SEANCE 1'!$B:$B, $B7, 'SEANCE 1'!$C:$C, AV$2, 'SEANCE 1'!$F:$F, AV$5))</f>
        <v/>
      </c>
      <c r="AW7" s="64" t="str">
        <f ca="1">IF(COUNTIFS('SEANCE 1'!$B:$B, $B7, 'SEANCE 1'!$C:$C, AW$2, 'SEANCE 1'!$F:$F, AW$5)=0, "", COUNTIFS('SEANCE 1'!$B:$B, $B7, 'SEANCE 1'!$C:$C, AW$2, 'SEANCE 1'!$F:$F, AW$5))</f>
        <v/>
      </c>
      <c r="AX7" s="64" t="str">
        <f ca="1">IF(COUNTIFS('SEANCE 1'!$B:$B, $B7, 'SEANCE 1'!$C:$C, AX$2, 'SEANCE 1'!$F:$F, AX$5)=0, "", COUNTIFS('SEANCE 1'!$B:$B, $B7, 'SEANCE 1'!$C:$C, AX$2, 'SEANCE 1'!$F:$F, AX$5))</f>
        <v/>
      </c>
      <c r="AY7" s="64" t="str">
        <f ca="1">IF(COUNTIFS('SEANCE 1'!$B:$B, $B7, 'SEANCE 1'!$C:$C, AY$2, 'SEANCE 1'!$F:$F, AY$5)=0, "", COUNTIFS('SEANCE 1'!$B:$B, $B7, 'SEANCE 1'!$C:$C, AY$2, 'SEANCE 1'!$F:$F, AY$5))</f>
        <v/>
      </c>
      <c r="AZ7" s="32">
        <f t="shared" ref="AZ7:AZ70" ca="1" si="0">SUM(C7:AY7)</f>
        <v>1</v>
      </c>
    </row>
    <row r="8" spans="1:52">
      <c r="A8" s="44">
        <f>IF('SEANCE 1'!$B4&lt;&gt;"",'SEANCE 1'!$A4,"")</f>
        <v>3</v>
      </c>
      <c r="B8" s="44" t="str">
        <f t="array" aca="1" ref="B8" ca="1">IF(ISNA(INDEX(ListeB,MATCH(0,COUNTIF($B$5:B7,ListeB),0))),"",INDEX(ListeB,MATCH(0,COUNTIF($B$5:B7,ListeB),0)))</f>
        <v>élève 24</v>
      </c>
      <c r="C8" s="64" t="str">
        <f ca="1">IF(COUNTIFS('SEANCE 1'!$B:$B, $B8, 'SEANCE 1'!$C:$C, C$2, 'SEANCE 1'!$F:$F, C$5)=0, "", COUNTIFS('SEANCE 1'!$B:$B, $B8, 'SEANCE 1'!$C:$C, C$2, 'SEANCE 1'!$F:$F, C$5))</f>
        <v/>
      </c>
      <c r="D8" s="64">
        <f ca="1">IF(COUNTIFS('SEANCE 1'!$B:$B, $B8, 'SEANCE 1'!$C:$C, D$2, 'SEANCE 1'!$F:$F, D$5)=0, "", COUNTIFS('SEANCE 1'!$B:$B, $B8, 'SEANCE 1'!$C:$C, D$2, 'SEANCE 1'!$F:$F, D$5))</f>
        <v>1</v>
      </c>
      <c r="E8" s="64" t="str">
        <f ca="1">IF(COUNTIFS('SEANCE 1'!$B:$B, $B8, 'SEANCE 1'!$C:$C, E$2, 'SEANCE 1'!$F:$F, E$5)=0, "", COUNTIFS('SEANCE 1'!$B:$B, $B8, 'SEANCE 1'!$C:$C, E$2, 'SEANCE 1'!$F:$F, E$5))</f>
        <v/>
      </c>
      <c r="F8" s="64" t="str">
        <f ca="1">IF(COUNTIFS('SEANCE 1'!$B:$B, $B8, 'SEANCE 1'!$C:$C, F$2, 'SEANCE 1'!$F:$F, F$5)=0, "", COUNTIFS('SEANCE 1'!$B:$B, $B8, 'SEANCE 1'!$C:$C, F$2, 'SEANCE 1'!$F:$F, F$5))</f>
        <v/>
      </c>
      <c r="G8" s="64" t="str">
        <f ca="1">IF(COUNTIFS('SEANCE 1'!$B:$B, $B8, 'SEANCE 1'!$C:$C, G$2, 'SEANCE 1'!$F:$F, G$5)=0, "", COUNTIFS('SEANCE 1'!$B:$B, $B8, 'SEANCE 1'!$C:$C, G$2, 'SEANCE 1'!$F:$F, G$5))</f>
        <v/>
      </c>
      <c r="H8" s="64" t="str">
        <f ca="1">IF(COUNTIFS('SEANCE 1'!$B:$B, $B8, 'SEANCE 1'!$C:$C, H$2, 'SEANCE 1'!$F:$F, H$5)=0, "", COUNTIFS('SEANCE 1'!$B:$B, $B8, 'SEANCE 1'!$C:$C, H$2, 'SEANCE 1'!$F:$F, H$5))</f>
        <v/>
      </c>
      <c r="I8" s="64" t="str">
        <f ca="1">IF(COUNTIFS('SEANCE 1'!$B:$B, $B8, 'SEANCE 1'!$C:$C, I$2, 'SEANCE 1'!$F:$F, I$5)=0, "", COUNTIFS('SEANCE 1'!$B:$B, $B8, 'SEANCE 1'!$C:$C, I$2, 'SEANCE 1'!$F:$F, I$5))</f>
        <v/>
      </c>
      <c r="J8" s="64" t="str">
        <f ca="1">IF(COUNTIFS('SEANCE 1'!$B:$B, $B8, 'SEANCE 1'!$C:$C, J$2, 'SEANCE 1'!$F:$F, J$5)=0, "", COUNTIFS('SEANCE 1'!$B:$B, $B8, 'SEANCE 1'!$C:$C, J$2, 'SEANCE 1'!$F:$F, J$5))</f>
        <v/>
      </c>
      <c r="K8" s="64" t="str">
        <f ca="1">IF(COUNTIFS('SEANCE 1'!$B:$B, $B8, 'SEANCE 1'!$C:$C, K$2, 'SEANCE 1'!$F:$F, K$5)=0, "", COUNTIFS('SEANCE 1'!$B:$B, $B8, 'SEANCE 1'!$C:$C, K$2, 'SEANCE 1'!$F:$F, K$5))</f>
        <v/>
      </c>
      <c r="L8" s="64" t="str">
        <f ca="1">IF(COUNTIFS('SEANCE 1'!$B:$B, $B8, 'SEANCE 1'!$C:$C, L$2, 'SEANCE 1'!$F:$F, L$5)=0, "", COUNTIFS('SEANCE 1'!$B:$B, $B8, 'SEANCE 1'!$C:$C, L$2, 'SEANCE 1'!$F:$F, L$5))</f>
        <v/>
      </c>
      <c r="M8" s="64" t="str">
        <f ca="1">IF(COUNTIFS('SEANCE 1'!$B:$B, $B8, 'SEANCE 1'!$C:$C, M$2, 'SEANCE 1'!$F:$F, M$5)=0, "", COUNTIFS('SEANCE 1'!$B:$B, $B8, 'SEANCE 1'!$C:$C, M$2, 'SEANCE 1'!$F:$F, M$5))</f>
        <v/>
      </c>
      <c r="N8" s="64" t="str">
        <f ca="1">IF(COUNTIFS('SEANCE 1'!$B:$B, $B8, 'SEANCE 1'!$C:$C, N$2, 'SEANCE 1'!$F:$F, N$5)=0, "", COUNTIFS('SEANCE 1'!$B:$B, $B8, 'SEANCE 1'!$C:$C, N$2, 'SEANCE 1'!$F:$F, N$5))</f>
        <v/>
      </c>
      <c r="O8" s="64" t="str">
        <f ca="1">IF(COUNTIFS('SEANCE 1'!$B:$B, $B8, 'SEANCE 1'!$C:$C, O$2, 'SEANCE 1'!$F:$F, O$5)=0, "", COUNTIFS('SEANCE 1'!$B:$B, $B8, 'SEANCE 1'!$C:$C, O$2, 'SEANCE 1'!$F:$F, O$5))</f>
        <v/>
      </c>
      <c r="P8" s="64" t="str">
        <f ca="1">IF(COUNTIFS('SEANCE 1'!$B:$B, $B8, 'SEANCE 1'!$C:$C, P$2, 'SEANCE 1'!$F:$F, P$5)=0, "", COUNTIFS('SEANCE 1'!$B:$B, $B8, 'SEANCE 1'!$C:$C, P$2, 'SEANCE 1'!$F:$F, P$5))</f>
        <v/>
      </c>
      <c r="Q8" s="64" t="str">
        <f ca="1">IF(COUNTIFS('SEANCE 1'!$B:$B, $B8, 'SEANCE 1'!$C:$C, Q$2, 'SEANCE 1'!$F:$F, Q$5)=0, "", COUNTIFS('SEANCE 1'!$B:$B, $B8, 'SEANCE 1'!$C:$C, Q$2, 'SEANCE 1'!$F:$F, Q$5))</f>
        <v/>
      </c>
      <c r="R8" s="64" t="str">
        <f ca="1">IF(COUNTIFS('SEANCE 1'!$B:$B, $B8, 'SEANCE 1'!$C:$C, R$2, 'SEANCE 1'!$F:$F, R$5)=0, "", COUNTIFS('SEANCE 1'!$B:$B, $B8, 'SEANCE 1'!$C:$C, R$2, 'SEANCE 1'!$F:$F, R$5))</f>
        <v/>
      </c>
      <c r="S8" s="64" t="str">
        <f ca="1">IF(COUNTIFS('SEANCE 1'!$B:$B, $B8, 'SEANCE 1'!$C:$C, S$2, 'SEANCE 1'!$F:$F, S$5)=0, "", COUNTIFS('SEANCE 1'!$B:$B, $B8, 'SEANCE 1'!$C:$C, S$2, 'SEANCE 1'!$F:$F, S$5))</f>
        <v/>
      </c>
      <c r="T8" s="64" t="str">
        <f ca="1">IF(COUNTIFS('SEANCE 1'!$B:$B, $B8, 'SEANCE 1'!$C:$C, T$2, 'SEANCE 1'!$F:$F, T$5)=0, "", COUNTIFS('SEANCE 1'!$B:$B, $B8, 'SEANCE 1'!$C:$C, T$2, 'SEANCE 1'!$F:$F, T$5))</f>
        <v/>
      </c>
      <c r="U8" s="64" t="str">
        <f ca="1">IF(COUNTIFS('SEANCE 1'!$B:$B, $B8, 'SEANCE 1'!$C:$C, U$2, 'SEANCE 1'!$F:$F, U$5)=0, "", COUNTIFS('SEANCE 1'!$B:$B, $B8, 'SEANCE 1'!$C:$C, U$2, 'SEANCE 1'!$F:$F, U$5))</f>
        <v/>
      </c>
      <c r="V8" s="64" t="str">
        <f ca="1">IF(COUNTIFS('SEANCE 1'!$B:$B, $B8, 'SEANCE 1'!$C:$C, V$2, 'SEANCE 1'!$F:$F, V$5)=0, "", COUNTIFS('SEANCE 1'!$B:$B, $B8, 'SEANCE 1'!$C:$C, V$2, 'SEANCE 1'!$F:$F, V$5))</f>
        <v/>
      </c>
      <c r="W8" s="64" t="str">
        <f ca="1">IF(COUNTIFS('SEANCE 1'!$B:$B, $B8, 'SEANCE 1'!$C:$C, W$2, 'SEANCE 1'!$F:$F, W$5)=0, "", COUNTIFS('SEANCE 1'!$B:$B, $B8, 'SEANCE 1'!$C:$C, W$2, 'SEANCE 1'!$F:$F, W$5))</f>
        <v/>
      </c>
      <c r="X8" s="64" t="str">
        <f ca="1">IF(COUNTIFS('SEANCE 1'!$B:$B, $B8, 'SEANCE 1'!$C:$C, X$2, 'SEANCE 1'!$F:$F, X$5)=0, "", COUNTIFS('SEANCE 1'!$B:$B, $B8, 'SEANCE 1'!$C:$C, X$2, 'SEANCE 1'!$F:$F, X$5))</f>
        <v/>
      </c>
      <c r="Y8" s="64" t="str">
        <f ca="1">IF(COUNTIFS('SEANCE 1'!$B:$B, $B8, 'SEANCE 1'!$C:$C, Y$2, 'SEANCE 1'!$F:$F, Y$5)=0, "", COUNTIFS('SEANCE 1'!$B:$B, $B8, 'SEANCE 1'!$C:$C, Y$2, 'SEANCE 1'!$F:$F, Y$5))</f>
        <v/>
      </c>
      <c r="Z8" s="64" t="str">
        <f ca="1">IF(COUNTIFS('SEANCE 1'!$B:$B, $B8, 'SEANCE 1'!$C:$C, Z$2, 'SEANCE 1'!$F:$F, Z$5)=0, "", COUNTIFS('SEANCE 1'!$B:$B, $B8, 'SEANCE 1'!$C:$C, Z$2, 'SEANCE 1'!$F:$F, Z$5))</f>
        <v/>
      </c>
      <c r="AA8" s="64" t="str">
        <f ca="1">IF(COUNTIFS('SEANCE 1'!$B:$B, $B8, 'SEANCE 1'!$C:$C, AA$2, 'SEANCE 1'!$F:$F, AA$5)=0, "", COUNTIFS('SEANCE 1'!$B:$B, $B8, 'SEANCE 1'!$C:$C, AA$2, 'SEANCE 1'!$F:$F, AA$5))</f>
        <v/>
      </c>
      <c r="AB8" s="64" t="str">
        <f ca="1">IF(COUNTIFS('SEANCE 1'!$B:$B, $B8, 'SEANCE 1'!$C:$C, AB$2, 'SEANCE 1'!$F:$F, AB$5)=0, "", COUNTIFS('SEANCE 1'!$B:$B, $B8, 'SEANCE 1'!$C:$C, AB$2, 'SEANCE 1'!$F:$F, AB$5))</f>
        <v/>
      </c>
      <c r="AC8" s="64">
        <f ca="1">IF(COUNTIFS('SEANCE 1'!$B:$B, $B8, 'SEANCE 1'!$C:$C, AC$2, 'SEANCE 1'!$F:$F, AC$5)=0, "", COUNTIFS('SEANCE 1'!$B:$B, $B8, 'SEANCE 1'!$C:$C, AC$2, 'SEANCE 1'!$F:$F, AC$5))</f>
        <v>1</v>
      </c>
      <c r="AD8" s="64" t="str">
        <f ca="1">IF(COUNTIFS('SEANCE 1'!$B:$B, $B8, 'SEANCE 1'!$C:$C, AD$2, 'SEANCE 1'!$F:$F, AD$5)=0, "", COUNTIFS('SEANCE 1'!$B:$B, $B8, 'SEANCE 1'!$C:$C, AD$2, 'SEANCE 1'!$F:$F, AD$5))</f>
        <v/>
      </c>
      <c r="AE8" s="64" t="str">
        <f ca="1">IF(COUNTIFS('SEANCE 1'!$B:$B, $B8, 'SEANCE 1'!$C:$C, AE$2, 'SEANCE 1'!$F:$F, AE$5)=0, "", COUNTIFS('SEANCE 1'!$B:$B, $B8, 'SEANCE 1'!$C:$C, AE$2, 'SEANCE 1'!$F:$F, AE$5))</f>
        <v/>
      </c>
      <c r="AF8" s="64" t="str">
        <f ca="1">IF(COUNTIFS('SEANCE 1'!$B:$B, $B8, 'SEANCE 1'!$C:$C, AF$2, 'SEANCE 1'!$F:$F, AF$5)=0, "", COUNTIFS('SEANCE 1'!$B:$B, $B8, 'SEANCE 1'!$C:$C, AF$2, 'SEANCE 1'!$F:$F, AF$5))</f>
        <v/>
      </c>
      <c r="AG8" s="64" t="str">
        <f ca="1">IF(COUNTIFS('SEANCE 1'!$B:$B, $B8, 'SEANCE 1'!$C:$C, AG$2, 'SEANCE 1'!$F:$F, AG$5)=0, "", COUNTIFS('SEANCE 1'!$B:$B, $B8, 'SEANCE 1'!$C:$C, AG$2, 'SEANCE 1'!$F:$F, AG$5))</f>
        <v/>
      </c>
      <c r="AH8" s="64" t="str">
        <f ca="1">IF(COUNTIFS('SEANCE 1'!$B:$B, $B8, 'SEANCE 1'!$C:$C, AH$2, 'SEANCE 1'!$F:$F, AH$5)=0, "", COUNTIFS('SEANCE 1'!$B:$B, $B8, 'SEANCE 1'!$C:$C, AH$2, 'SEANCE 1'!$F:$F, AH$5))</f>
        <v/>
      </c>
      <c r="AI8" s="64" t="str">
        <f ca="1">IF(COUNTIFS('SEANCE 1'!$B:$B, $B8, 'SEANCE 1'!$C:$C, AI$2, 'SEANCE 1'!$F:$F, AI$5)=0, "", COUNTIFS('SEANCE 1'!$B:$B, $B8, 'SEANCE 1'!$C:$C, AI$2, 'SEANCE 1'!$F:$F, AI$5))</f>
        <v/>
      </c>
      <c r="AJ8" s="64" t="str">
        <f ca="1">IF(COUNTIFS('SEANCE 1'!$B:$B, $B8, 'SEANCE 1'!$C:$C, AJ$2, 'SEANCE 1'!$F:$F, AJ$5)=0, "", COUNTIFS('SEANCE 1'!$B:$B, $B8, 'SEANCE 1'!$C:$C, AJ$2, 'SEANCE 1'!$F:$F, AJ$5))</f>
        <v/>
      </c>
      <c r="AK8" s="64" t="str">
        <f ca="1">IF(COUNTIFS('SEANCE 1'!$B:$B, $B8, 'SEANCE 1'!$C:$C, AK$2, 'SEANCE 1'!$F:$F, AK$5)=0, "", COUNTIFS('SEANCE 1'!$B:$B, $B8, 'SEANCE 1'!$C:$C, AK$2, 'SEANCE 1'!$F:$F, AK$5))</f>
        <v/>
      </c>
      <c r="AL8" s="64" t="str">
        <f ca="1">IF(COUNTIFS('SEANCE 1'!$B:$B, $B8, 'SEANCE 1'!$C:$C, AL$2, 'SEANCE 1'!$F:$F, AL$5)=0, "", COUNTIFS('SEANCE 1'!$B:$B, $B8, 'SEANCE 1'!$C:$C, AL$2, 'SEANCE 1'!$F:$F, AL$5))</f>
        <v/>
      </c>
      <c r="AM8" s="64" t="str">
        <f ca="1">IF(COUNTIFS('SEANCE 1'!$B:$B, $B8, 'SEANCE 1'!$C:$C, AM$2, 'SEANCE 1'!$F:$F, AM$5)=0, "", COUNTIFS('SEANCE 1'!$B:$B, $B8, 'SEANCE 1'!$C:$C, AM$2, 'SEANCE 1'!$F:$F, AM$5))</f>
        <v/>
      </c>
      <c r="AN8" s="64" t="str">
        <f ca="1">IF(COUNTIFS('SEANCE 1'!$B:$B, $B8, 'SEANCE 1'!$C:$C, AN$2, 'SEANCE 1'!$F:$F, AN$5)=0, "", COUNTIFS('SEANCE 1'!$B:$B, $B8, 'SEANCE 1'!$C:$C, AN$2, 'SEANCE 1'!$F:$F, AN$5))</f>
        <v/>
      </c>
      <c r="AO8" s="64" t="str">
        <f ca="1">IF(COUNTIFS('SEANCE 1'!$B:$B, $B8, 'SEANCE 1'!$C:$C, AO$2, 'SEANCE 1'!$F:$F, AO$5)=0, "", COUNTIFS('SEANCE 1'!$B:$B, $B8, 'SEANCE 1'!$C:$C, AO$2, 'SEANCE 1'!$F:$F, AO$5))</f>
        <v/>
      </c>
      <c r="AP8" s="64" t="str">
        <f ca="1">IF(COUNTIFS('SEANCE 1'!$B:$B, $B8, 'SEANCE 1'!$C:$C, AP$2, 'SEANCE 1'!$F:$F, AP$5)=0, "", COUNTIFS('SEANCE 1'!$B:$B, $B8, 'SEANCE 1'!$C:$C, AP$2, 'SEANCE 1'!$F:$F, AP$5))</f>
        <v/>
      </c>
      <c r="AQ8" s="64" t="str">
        <f ca="1">IF(COUNTIFS('SEANCE 1'!$B:$B, $B8, 'SEANCE 1'!$C:$C, AQ$2, 'SEANCE 1'!$F:$F, AQ$5)=0, "", COUNTIFS('SEANCE 1'!$B:$B, $B8, 'SEANCE 1'!$C:$C, AQ$2, 'SEANCE 1'!$F:$F, AQ$5))</f>
        <v/>
      </c>
      <c r="AR8" s="64" t="str">
        <f ca="1">IF(COUNTIFS('SEANCE 1'!$B:$B, $B8, 'SEANCE 1'!$C:$C, AR$2, 'SEANCE 1'!$F:$F, AR$5)=0, "", COUNTIFS('SEANCE 1'!$B:$B, $B8, 'SEANCE 1'!$C:$C, AR$2, 'SEANCE 1'!$F:$F, AR$5))</f>
        <v/>
      </c>
      <c r="AS8" s="64" t="str">
        <f ca="1">IF(COUNTIFS('SEANCE 1'!$B:$B, $B8, 'SEANCE 1'!$C:$C, AS$2, 'SEANCE 1'!$F:$F, AS$5)=0, "", COUNTIFS('SEANCE 1'!$B:$B, $B8, 'SEANCE 1'!$C:$C, AS$2, 'SEANCE 1'!$F:$F, AS$5))</f>
        <v/>
      </c>
      <c r="AT8" s="64" t="str">
        <f ca="1">IF(COUNTIFS('SEANCE 1'!$B:$B, $B8, 'SEANCE 1'!$C:$C, AT$2, 'SEANCE 1'!$F:$F, AT$5)=0, "", COUNTIFS('SEANCE 1'!$B:$B, $B8, 'SEANCE 1'!$C:$C, AT$2, 'SEANCE 1'!$F:$F, AT$5))</f>
        <v/>
      </c>
      <c r="AU8" s="64" t="str">
        <f ca="1">IF(COUNTIFS('SEANCE 1'!$B:$B, $B8, 'SEANCE 1'!$C:$C, AU$2, 'SEANCE 1'!$F:$F, AU$5)=0, "", COUNTIFS('SEANCE 1'!$B:$B, $B8, 'SEANCE 1'!$C:$C, AU$2, 'SEANCE 1'!$F:$F, AU$5))</f>
        <v/>
      </c>
      <c r="AV8" s="64" t="str">
        <f ca="1">IF(COUNTIFS('SEANCE 1'!$B:$B, $B8, 'SEANCE 1'!$C:$C, AV$2, 'SEANCE 1'!$F:$F, AV$5)=0, "", COUNTIFS('SEANCE 1'!$B:$B, $B8, 'SEANCE 1'!$C:$C, AV$2, 'SEANCE 1'!$F:$F, AV$5))</f>
        <v/>
      </c>
      <c r="AW8" s="64" t="str">
        <f ca="1">IF(COUNTIFS('SEANCE 1'!$B:$B, $B8, 'SEANCE 1'!$C:$C, AW$2, 'SEANCE 1'!$F:$F, AW$5)=0, "", COUNTIFS('SEANCE 1'!$B:$B, $B8, 'SEANCE 1'!$C:$C, AW$2, 'SEANCE 1'!$F:$F, AW$5))</f>
        <v/>
      </c>
      <c r="AX8" s="64" t="str">
        <f ca="1">IF(COUNTIFS('SEANCE 1'!$B:$B, $B8, 'SEANCE 1'!$C:$C, AX$2, 'SEANCE 1'!$F:$F, AX$5)=0, "", COUNTIFS('SEANCE 1'!$B:$B, $B8, 'SEANCE 1'!$C:$C, AX$2, 'SEANCE 1'!$F:$F, AX$5))</f>
        <v/>
      </c>
      <c r="AY8" s="64" t="str">
        <f ca="1">IF(COUNTIFS('SEANCE 1'!$B:$B, $B8, 'SEANCE 1'!$C:$C, AY$2, 'SEANCE 1'!$F:$F, AY$5)=0, "", COUNTIFS('SEANCE 1'!$B:$B, $B8, 'SEANCE 1'!$C:$C, AY$2, 'SEANCE 1'!$F:$F, AY$5))</f>
        <v/>
      </c>
      <c r="AZ8" s="32">
        <f t="shared" ca="1" si="0"/>
        <v>2</v>
      </c>
    </row>
    <row r="9" spans="1:52">
      <c r="A9" s="44">
        <f>IF('SEANCE 1'!$B5&lt;&gt;"",'SEANCE 1'!$A5,"")</f>
        <v>4</v>
      </c>
      <c r="B9" s="44" t="str">
        <f t="array" aca="1" ref="B9" ca="1">IF(ISNA(INDEX(ListeB,MATCH(0,COUNTIF($B$5:B8,ListeB),0))),"",INDEX(ListeB,MATCH(0,COUNTIF($B$5:B8,ListeB),0)))</f>
        <v>élève 26</v>
      </c>
      <c r="C9" s="64" t="str">
        <f ca="1">IF(COUNTIFS('SEANCE 1'!$B:$B, $B9, 'SEANCE 1'!$C:$C, C$2, 'SEANCE 1'!$F:$F, C$5)=0, "", COUNTIFS('SEANCE 1'!$B:$B, $B9, 'SEANCE 1'!$C:$C, C$2, 'SEANCE 1'!$F:$F, C$5))</f>
        <v/>
      </c>
      <c r="D9" s="64" t="str">
        <f ca="1">IF(COUNTIFS('SEANCE 1'!$B:$B, $B9, 'SEANCE 1'!$C:$C, D$2, 'SEANCE 1'!$F:$F, D$5)=0, "", COUNTIFS('SEANCE 1'!$B:$B, $B9, 'SEANCE 1'!$C:$C, D$2, 'SEANCE 1'!$F:$F, D$5))</f>
        <v/>
      </c>
      <c r="E9" s="64" t="str">
        <f ca="1">IF(COUNTIFS('SEANCE 1'!$B:$B, $B9, 'SEANCE 1'!$C:$C, E$2, 'SEANCE 1'!$F:$F, E$5)=0, "", COUNTIFS('SEANCE 1'!$B:$B, $B9, 'SEANCE 1'!$C:$C, E$2, 'SEANCE 1'!$F:$F, E$5))</f>
        <v/>
      </c>
      <c r="F9" s="64" t="str">
        <f ca="1">IF(COUNTIFS('SEANCE 1'!$B:$B, $B9, 'SEANCE 1'!$C:$C, F$2, 'SEANCE 1'!$F:$F, F$5)=0, "", COUNTIFS('SEANCE 1'!$B:$B, $B9, 'SEANCE 1'!$C:$C, F$2, 'SEANCE 1'!$F:$F, F$5))</f>
        <v/>
      </c>
      <c r="G9" s="64" t="str">
        <f ca="1">IF(COUNTIFS('SEANCE 1'!$B:$B, $B9, 'SEANCE 1'!$C:$C, G$2, 'SEANCE 1'!$F:$F, G$5)=0, "", COUNTIFS('SEANCE 1'!$B:$B, $B9, 'SEANCE 1'!$C:$C, G$2, 'SEANCE 1'!$F:$F, G$5))</f>
        <v/>
      </c>
      <c r="H9" s="64" t="str">
        <f ca="1">IF(COUNTIFS('SEANCE 1'!$B:$B, $B9, 'SEANCE 1'!$C:$C, H$2, 'SEANCE 1'!$F:$F, H$5)=0, "", COUNTIFS('SEANCE 1'!$B:$B, $B9, 'SEANCE 1'!$C:$C, H$2, 'SEANCE 1'!$F:$F, H$5))</f>
        <v/>
      </c>
      <c r="I9" s="64" t="str">
        <f ca="1">IF(COUNTIFS('SEANCE 1'!$B:$B, $B9, 'SEANCE 1'!$C:$C, I$2, 'SEANCE 1'!$F:$F, I$5)=0, "", COUNTIFS('SEANCE 1'!$B:$B, $B9, 'SEANCE 1'!$C:$C, I$2, 'SEANCE 1'!$F:$F, I$5))</f>
        <v/>
      </c>
      <c r="J9" s="64" t="str">
        <f ca="1">IF(COUNTIFS('SEANCE 1'!$B:$B, $B9, 'SEANCE 1'!$C:$C, J$2, 'SEANCE 1'!$F:$F, J$5)=0, "", COUNTIFS('SEANCE 1'!$B:$B, $B9, 'SEANCE 1'!$C:$C, J$2, 'SEANCE 1'!$F:$F, J$5))</f>
        <v/>
      </c>
      <c r="K9" s="64" t="str">
        <f ca="1">IF(COUNTIFS('SEANCE 1'!$B:$B, $B9, 'SEANCE 1'!$C:$C, K$2, 'SEANCE 1'!$F:$F, K$5)=0, "", COUNTIFS('SEANCE 1'!$B:$B, $B9, 'SEANCE 1'!$C:$C, K$2, 'SEANCE 1'!$F:$F, K$5))</f>
        <v/>
      </c>
      <c r="L9" s="64" t="str">
        <f ca="1">IF(COUNTIFS('SEANCE 1'!$B:$B, $B9, 'SEANCE 1'!$C:$C, L$2, 'SEANCE 1'!$F:$F, L$5)=0, "", COUNTIFS('SEANCE 1'!$B:$B, $B9, 'SEANCE 1'!$C:$C, L$2, 'SEANCE 1'!$F:$F, L$5))</f>
        <v/>
      </c>
      <c r="M9" s="64" t="str">
        <f ca="1">IF(COUNTIFS('SEANCE 1'!$B:$B, $B9, 'SEANCE 1'!$C:$C, M$2, 'SEANCE 1'!$F:$F, M$5)=0, "", COUNTIFS('SEANCE 1'!$B:$B, $B9, 'SEANCE 1'!$C:$C, M$2, 'SEANCE 1'!$F:$F, M$5))</f>
        <v/>
      </c>
      <c r="N9" s="64" t="str">
        <f ca="1">IF(COUNTIFS('SEANCE 1'!$B:$B, $B9, 'SEANCE 1'!$C:$C, N$2, 'SEANCE 1'!$F:$F, N$5)=0, "", COUNTIFS('SEANCE 1'!$B:$B, $B9, 'SEANCE 1'!$C:$C, N$2, 'SEANCE 1'!$F:$F, N$5))</f>
        <v/>
      </c>
      <c r="O9" s="64" t="str">
        <f ca="1">IF(COUNTIFS('SEANCE 1'!$B:$B, $B9, 'SEANCE 1'!$C:$C, O$2, 'SEANCE 1'!$F:$F, O$5)=0, "", COUNTIFS('SEANCE 1'!$B:$B, $B9, 'SEANCE 1'!$C:$C, O$2, 'SEANCE 1'!$F:$F, O$5))</f>
        <v/>
      </c>
      <c r="P9" s="64" t="str">
        <f ca="1">IF(COUNTIFS('SEANCE 1'!$B:$B, $B9, 'SEANCE 1'!$C:$C, P$2, 'SEANCE 1'!$F:$F, P$5)=0, "", COUNTIFS('SEANCE 1'!$B:$B, $B9, 'SEANCE 1'!$C:$C, P$2, 'SEANCE 1'!$F:$F, P$5))</f>
        <v/>
      </c>
      <c r="Q9" s="64" t="str">
        <f ca="1">IF(COUNTIFS('SEANCE 1'!$B:$B, $B9, 'SEANCE 1'!$C:$C, Q$2, 'SEANCE 1'!$F:$F, Q$5)=0, "", COUNTIFS('SEANCE 1'!$B:$B, $B9, 'SEANCE 1'!$C:$C, Q$2, 'SEANCE 1'!$F:$F, Q$5))</f>
        <v/>
      </c>
      <c r="R9" s="64" t="str">
        <f ca="1">IF(COUNTIFS('SEANCE 1'!$B:$B, $B9, 'SEANCE 1'!$C:$C, R$2, 'SEANCE 1'!$F:$F, R$5)=0, "", COUNTIFS('SEANCE 1'!$B:$B, $B9, 'SEANCE 1'!$C:$C, R$2, 'SEANCE 1'!$F:$F, R$5))</f>
        <v/>
      </c>
      <c r="S9" s="64" t="str">
        <f ca="1">IF(COUNTIFS('SEANCE 1'!$B:$B, $B9, 'SEANCE 1'!$C:$C, S$2, 'SEANCE 1'!$F:$F, S$5)=0, "", COUNTIFS('SEANCE 1'!$B:$B, $B9, 'SEANCE 1'!$C:$C, S$2, 'SEANCE 1'!$F:$F, S$5))</f>
        <v/>
      </c>
      <c r="T9" s="64" t="str">
        <f ca="1">IF(COUNTIFS('SEANCE 1'!$B:$B, $B9, 'SEANCE 1'!$C:$C, T$2, 'SEANCE 1'!$F:$F, T$5)=0, "", COUNTIFS('SEANCE 1'!$B:$B, $B9, 'SEANCE 1'!$C:$C, T$2, 'SEANCE 1'!$F:$F, T$5))</f>
        <v/>
      </c>
      <c r="U9" s="64" t="str">
        <f ca="1">IF(COUNTIFS('SEANCE 1'!$B:$B, $B9, 'SEANCE 1'!$C:$C, U$2, 'SEANCE 1'!$F:$F, U$5)=0, "", COUNTIFS('SEANCE 1'!$B:$B, $B9, 'SEANCE 1'!$C:$C, U$2, 'SEANCE 1'!$F:$F, U$5))</f>
        <v/>
      </c>
      <c r="V9" s="64" t="str">
        <f ca="1">IF(COUNTIFS('SEANCE 1'!$B:$B, $B9, 'SEANCE 1'!$C:$C, V$2, 'SEANCE 1'!$F:$F, V$5)=0, "", COUNTIFS('SEANCE 1'!$B:$B, $B9, 'SEANCE 1'!$C:$C, V$2, 'SEANCE 1'!$F:$F, V$5))</f>
        <v/>
      </c>
      <c r="W9" s="64" t="str">
        <f ca="1">IF(COUNTIFS('SEANCE 1'!$B:$B, $B9, 'SEANCE 1'!$C:$C, W$2, 'SEANCE 1'!$F:$F, W$5)=0, "", COUNTIFS('SEANCE 1'!$B:$B, $B9, 'SEANCE 1'!$C:$C, W$2, 'SEANCE 1'!$F:$F, W$5))</f>
        <v/>
      </c>
      <c r="X9" s="64" t="str">
        <f ca="1">IF(COUNTIFS('SEANCE 1'!$B:$B, $B9, 'SEANCE 1'!$C:$C, X$2, 'SEANCE 1'!$F:$F, X$5)=0, "", COUNTIFS('SEANCE 1'!$B:$B, $B9, 'SEANCE 1'!$C:$C, X$2, 'SEANCE 1'!$F:$F, X$5))</f>
        <v/>
      </c>
      <c r="Y9" s="64" t="str">
        <f ca="1">IF(COUNTIFS('SEANCE 1'!$B:$B, $B9, 'SEANCE 1'!$C:$C, Y$2, 'SEANCE 1'!$F:$F, Y$5)=0, "", COUNTIFS('SEANCE 1'!$B:$B, $B9, 'SEANCE 1'!$C:$C, Y$2, 'SEANCE 1'!$F:$F, Y$5))</f>
        <v/>
      </c>
      <c r="Z9" s="64" t="str">
        <f ca="1">IF(COUNTIFS('SEANCE 1'!$B:$B, $B9, 'SEANCE 1'!$C:$C, Z$2, 'SEANCE 1'!$F:$F, Z$5)=0, "", COUNTIFS('SEANCE 1'!$B:$B, $B9, 'SEANCE 1'!$C:$C, Z$2, 'SEANCE 1'!$F:$F, Z$5))</f>
        <v/>
      </c>
      <c r="AA9" s="64" t="str">
        <f ca="1">IF(COUNTIFS('SEANCE 1'!$B:$B, $B9, 'SEANCE 1'!$C:$C, AA$2, 'SEANCE 1'!$F:$F, AA$5)=0, "", COUNTIFS('SEANCE 1'!$B:$B, $B9, 'SEANCE 1'!$C:$C, AA$2, 'SEANCE 1'!$F:$F, AA$5))</f>
        <v/>
      </c>
      <c r="AB9" s="64" t="str">
        <f ca="1">IF(COUNTIFS('SEANCE 1'!$B:$B, $B9, 'SEANCE 1'!$C:$C, AB$2, 'SEANCE 1'!$F:$F, AB$5)=0, "", COUNTIFS('SEANCE 1'!$B:$B, $B9, 'SEANCE 1'!$C:$C, AB$2, 'SEANCE 1'!$F:$F, AB$5))</f>
        <v/>
      </c>
      <c r="AC9" s="64" t="str">
        <f ca="1">IF(COUNTIFS('SEANCE 1'!$B:$B, $B9, 'SEANCE 1'!$C:$C, AC$2, 'SEANCE 1'!$F:$F, AC$5)=0, "", COUNTIFS('SEANCE 1'!$B:$B, $B9, 'SEANCE 1'!$C:$C, AC$2, 'SEANCE 1'!$F:$F, AC$5))</f>
        <v/>
      </c>
      <c r="AD9" s="64" t="str">
        <f ca="1">IF(COUNTIFS('SEANCE 1'!$B:$B, $B9, 'SEANCE 1'!$C:$C, AD$2, 'SEANCE 1'!$F:$F, AD$5)=0, "", COUNTIFS('SEANCE 1'!$B:$B, $B9, 'SEANCE 1'!$C:$C, AD$2, 'SEANCE 1'!$F:$F, AD$5))</f>
        <v/>
      </c>
      <c r="AE9" s="64" t="str">
        <f ca="1">IF(COUNTIFS('SEANCE 1'!$B:$B, $B9, 'SEANCE 1'!$C:$C, AE$2, 'SEANCE 1'!$F:$F, AE$5)=0, "", COUNTIFS('SEANCE 1'!$B:$B, $B9, 'SEANCE 1'!$C:$C, AE$2, 'SEANCE 1'!$F:$F, AE$5))</f>
        <v/>
      </c>
      <c r="AF9" s="64" t="str">
        <f ca="1">IF(COUNTIFS('SEANCE 1'!$B:$B, $B9, 'SEANCE 1'!$C:$C, AF$2, 'SEANCE 1'!$F:$F, AF$5)=0, "", COUNTIFS('SEANCE 1'!$B:$B, $B9, 'SEANCE 1'!$C:$C, AF$2, 'SEANCE 1'!$F:$F, AF$5))</f>
        <v/>
      </c>
      <c r="AG9" s="64" t="str">
        <f ca="1">IF(COUNTIFS('SEANCE 1'!$B:$B, $B9, 'SEANCE 1'!$C:$C, AG$2, 'SEANCE 1'!$F:$F, AG$5)=0, "", COUNTIFS('SEANCE 1'!$B:$B, $B9, 'SEANCE 1'!$C:$C, AG$2, 'SEANCE 1'!$F:$F, AG$5))</f>
        <v/>
      </c>
      <c r="AH9" s="64" t="str">
        <f ca="1">IF(COUNTIFS('SEANCE 1'!$B:$B, $B9, 'SEANCE 1'!$C:$C, AH$2, 'SEANCE 1'!$F:$F, AH$5)=0, "", COUNTIFS('SEANCE 1'!$B:$B, $B9, 'SEANCE 1'!$C:$C, AH$2, 'SEANCE 1'!$F:$F, AH$5))</f>
        <v/>
      </c>
      <c r="AI9" s="64" t="str">
        <f ca="1">IF(COUNTIFS('SEANCE 1'!$B:$B, $B9, 'SEANCE 1'!$C:$C, AI$2, 'SEANCE 1'!$F:$F, AI$5)=0, "", COUNTIFS('SEANCE 1'!$B:$B, $B9, 'SEANCE 1'!$C:$C, AI$2, 'SEANCE 1'!$F:$F, AI$5))</f>
        <v/>
      </c>
      <c r="AJ9" s="64">
        <f ca="1">IF(COUNTIFS('SEANCE 1'!$B:$B, $B9, 'SEANCE 1'!$C:$C, AJ$2, 'SEANCE 1'!$F:$F, AJ$5)=0, "", COUNTIFS('SEANCE 1'!$B:$B, $B9, 'SEANCE 1'!$C:$C, AJ$2, 'SEANCE 1'!$F:$F, AJ$5))</f>
        <v>2</v>
      </c>
      <c r="AK9" s="64" t="str">
        <f ca="1">IF(COUNTIFS('SEANCE 1'!$B:$B, $B9, 'SEANCE 1'!$C:$C, AK$2, 'SEANCE 1'!$F:$F, AK$5)=0, "", COUNTIFS('SEANCE 1'!$B:$B, $B9, 'SEANCE 1'!$C:$C, AK$2, 'SEANCE 1'!$F:$F, AK$5))</f>
        <v/>
      </c>
      <c r="AL9" s="64" t="str">
        <f ca="1">IF(COUNTIFS('SEANCE 1'!$B:$B, $B9, 'SEANCE 1'!$C:$C, AL$2, 'SEANCE 1'!$F:$F, AL$5)=0, "", COUNTIFS('SEANCE 1'!$B:$B, $B9, 'SEANCE 1'!$C:$C, AL$2, 'SEANCE 1'!$F:$F, AL$5))</f>
        <v/>
      </c>
      <c r="AM9" s="64" t="str">
        <f ca="1">IF(COUNTIFS('SEANCE 1'!$B:$B, $B9, 'SEANCE 1'!$C:$C, AM$2, 'SEANCE 1'!$F:$F, AM$5)=0, "", COUNTIFS('SEANCE 1'!$B:$B, $B9, 'SEANCE 1'!$C:$C, AM$2, 'SEANCE 1'!$F:$F, AM$5))</f>
        <v/>
      </c>
      <c r="AN9" s="64" t="str">
        <f ca="1">IF(COUNTIFS('SEANCE 1'!$B:$B, $B9, 'SEANCE 1'!$C:$C, AN$2, 'SEANCE 1'!$F:$F, AN$5)=0, "", COUNTIFS('SEANCE 1'!$B:$B, $B9, 'SEANCE 1'!$C:$C, AN$2, 'SEANCE 1'!$F:$F, AN$5))</f>
        <v/>
      </c>
      <c r="AO9" s="64" t="str">
        <f ca="1">IF(COUNTIFS('SEANCE 1'!$B:$B, $B9, 'SEANCE 1'!$C:$C, AO$2, 'SEANCE 1'!$F:$F, AO$5)=0, "", COUNTIFS('SEANCE 1'!$B:$B, $B9, 'SEANCE 1'!$C:$C, AO$2, 'SEANCE 1'!$F:$F, AO$5))</f>
        <v/>
      </c>
      <c r="AP9" s="64" t="str">
        <f ca="1">IF(COUNTIFS('SEANCE 1'!$B:$B, $B9, 'SEANCE 1'!$C:$C, AP$2, 'SEANCE 1'!$F:$F, AP$5)=0, "", COUNTIFS('SEANCE 1'!$B:$B, $B9, 'SEANCE 1'!$C:$C, AP$2, 'SEANCE 1'!$F:$F, AP$5))</f>
        <v/>
      </c>
      <c r="AQ9" s="64" t="str">
        <f ca="1">IF(COUNTIFS('SEANCE 1'!$B:$B, $B9, 'SEANCE 1'!$C:$C, AQ$2, 'SEANCE 1'!$F:$F, AQ$5)=0, "", COUNTIFS('SEANCE 1'!$B:$B, $B9, 'SEANCE 1'!$C:$C, AQ$2, 'SEANCE 1'!$F:$F, AQ$5))</f>
        <v/>
      </c>
      <c r="AR9" s="64" t="str">
        <f ca="1">IF(COUNTIFS('SEANCE 1'!$B:$B, $B9, 'SEANCE 1'!$C:$C, AR$2, 'SEANCE 1'!$F:$F, AR$5)=0, "", COUNTIFS('SEANCE 1'!$B:$B, $B9, 'SEANCE 1'!$C:$C, AR$2, 'SEANCE 1'!$F:$F, AR$5))</f>
        <v/>
      </c>
      <c r="AS9" s="64" t="str">
        <f ca="1">IF(COUNTIFS('SEANCE 1'!$B:$B, $B9, 'SEANCE 1'!$C:$C, AS$2, 'SEANCE 1'!$F:$F, AS$5)=0, "", COUNTIFS('SEANCE 1'!$B:$B, $B9, 'SEANCE 1'!$C:$C, AS$2, 'SEANCE 1'!$F:$F, AS$5))</f>
        <v/>
      </c>
      <c r="AT9" s="64" t="str">
        <f ca="1">IF(COUNTIFS('SEANCE 1'!$B:$B, $B9, 'SEANCE 1'!$C:$C, AT$2, 'SEANCE 1'!$F:$F, AT$5)=0, "", COUNTIFS('SEANCE 1'!$B:$B, $B9, 'SEANCE 1'!$C:$C, AT$2, 'SEANCE 1'!$F:$F, AT$5))</f>
        <v/>
      </c>
      <c r="AU9" s="64" t="str">
        <f ca="1">IF(COUNTIFS('SEANCE 1'!$B:$B, $B9, 'SEANCE 1'!$C:$C, AU$2, 'SEANCE 1'!$F:$F, AU$5)=0, "", COUNTIFS('SEANCE 1'!$B:$B, $B9, 'SEANCE 1'!$C:$C, AU$2, 'SEANCE 1'!$F:$F, AU$5))</f>
        <v/>
      </c>
      <c r="AV9" s="64" t="str">
        <f ca="1">IF(COUNTIFS('SEANCE 1'!$B:$B, $B9, 'SEANCE 1'!$C:$C, AV$2, 'SEANCE 1'!$F:$F, AV$5)=0, "", COUNTIFS('SEANCE 1'!$B:$B, $B9, 'SEANCE 1'!$C:$C, AV$2, 'SEANCE 1'!$F:$F, AV$5))</f>
        <v/>
      </c>
      <c r="AW9" s="64" t="str">
        <f ca="1">IF(COUNTIFS('SEANCE 1'!$B:$B, $B9, 'SEANCE 1'!$C:$C, AW$2, 'SEANCE 1'!$F:$F, AW$5)=0, "", COUNTIFS('SEANCE 1'!$B:$B, $B9, 'SEANCE 1'!$C:$C, AW$2, 'SEANCE 1'!$F:$F, AW$5))</f>
        <v/>
      </c>
      <c r="AX9" s="64" t="str">
        <f ca="1">IF(COUNTIFS('SEANCE 1'!$B:$B, $B9, 'SEANCE 1'!$C:$C, AX$2, 'SEANCE 1'!$F:$F, AX$5)=0, "", COUNTIFS('SEANCE 1'!$B:$B, $B9, 'SEANCE 1'!$C:$C, AX$2, 'SEANCE 1'!$F:$F, AX$5))</f>
        <v/>
      </c>
      <c r="AY9" s="64" t="str">
        <f ca="1">IF(COUNTIFS('SEANCE 1'!$B:$B, $B9, 'SEANCE 1'!$C:$C, AY$2, 'SEANCE 1'!$F:$F, AY$5)=0, "", COUNTIFS('SEANCE 1'!$B:$B, $B9, 'SEANCE 1'!$C:$C, AY$2, 'SEANCE 1'!$F:$F, AY$5))</f>
        <v/>
      </c>
      <c r="AZ9" s="32">
        <f t="shared" ca="1" si="0"/>
        <v>2</v>
      </c>
    </row>
    <row r="10" spans="1:52">
      <c r="A10" s="44">
        <f>IF('SEANCE 1'!$B6&lt;&gt;"",'SEANCE 1'!$A6,"")</f>
        <v>5</v>
      </c>
      <c r="B10" s="44" t="str">
        <f t="array" aca="1" ref="B10" ca="1">IF(ISNA(INDEX(ListeB,MATCH(0,COUNTIF($B$5:B9,ListeB),0))),"",INDEX(ListeB,MATCH(0,COUNTIF($B$5:B9,ListeB),0)))</f>
        <v>élève 1</v>
      </c>
      <c r="C10" s="64" t="str">
        <f ca="1">IF(COUNTIFS('SEANCE 1'!$B:$B, $B10, 'SEANCE 1'!$C:$C, C$2, 'SEANCE 1'!$F:$F, C$5)=0, "", COUNTIFS('SEANCE 1'!$B:$B, $B10, 'SEANCE 1'!$C:$C, C$2, 'SEANCE 1'!$F:$F, C$5))</f>
        <v/>
      </c>
      <c r="D10" s="64" t="str">
        <f ca="1">IF(COUNTIFS('SEANCE 1'!$B:$B, $B10, 'SEANCE 1'!$C:$C, D$2, 'SEANCE 1'!$F:$F, D$5)=0, "", COUNTIFS('SEANCE 1'!$B:$B, $B10, 'SEANCE 1'!$C:$C, D$2, 'SEANCE 1'!$F:$F, D$5))</f>
        <v/>
      </c>
      <c r="E10" s="64" t="str">
        <f ca="1">IF(COUNTIFS('SEANCE 1'!$B:$B, $B10, 'SEANCE 1'!$C:$C, E$2, 'SEANCE 1'!$F:$F, E$5)=0, "", COUNTIFS('SEANCE 1'!$B:$B, $B10, 'SEANCE 1'!$C:$C, E$2, 'SEANCE 1'!$F:$F, E$5))</f>
        <v/>
      </c>
      <c r="F10" s="64" t="str">
        <f ca="1">IF(COUNTIFS('SEANCE 1'!$B:$B, $B10, 'SEANCE 1'!$C:$C, F$2, 'SEANCE 1'!$F:$F, F$5)=0, "", COUNTIFS('SEANCE 1'!$B:$B, $B10, 'SEANCE 1'!$C:$C, F$2, 'SEANCE 1'!$F:$F, F$5))</f>
        <v/>
      </c>
      <c r="G10" s="64" t="str">
        <f ca="1">IF(COUNTIFS('SEANCE 1'!$B:$B, $B10, 'SEANCE 1'!$C:$C, G$2, 'SEANCE 1'!$F:$F, G$5)=0, "", COUNTIFS('SEANCE 1'!$B:$B, $B10, 'SEANCE 1'!$C:$C, G$2, 'SEANCE 1'!$F:$F, G$5))</f>
        <v/>
      </c>
      <c r="H10" s="64" t="str">
        <f ca="1">IF(COUNTIFS('SEANCE 1'!$B:$B, $B10, 'SEANCE 1'!$C:$C, H$2, 'SEANCE 1'!$F:$F, H$5)=0, "", COUNTIFS('SEANCE 1'!$B:$B, $B10, 'SEANCE 1'!$C:$C, H$2, 'SEANCE 1'!$F:$F, H$5))</f>
        <v/>
      </c>
      <c r="I10" s="64" t="str">
        <f ca="1">IF(COUNTIFS('SEANCE 1'!$B:$B, $B10, 'SEANCE 1'!$C:$C, I$2, 'SEANCE 1'!$F:$F, I$5)=0, "", COUNTIFS('SEANCE 1'!$B:$B, $B10, 'SEANCE 1'!$C:$C, I$2, 'SEANCE 1'!$F:$F, I$5))</f>
        <v/>
      </c>
      <c r="J10" s="64" t="str">
        <f ca="1">IF(COUNTIFS('SEANCE 1'!$B:$B, $B10, 'SEANCE 1'!$C:$C, J$2, 'SEANCE 1'!$F:$F, J$5)=0, "", COUNTIFS('SEANCE 1'!$B:$B, $B10, 'SEANCE 1'!$C:$C, J$2, 'SEANCE 1'!$F:$F, J$5))</f>
        <v/>
      </c>
      <c r="K10" s="64" t="str">
        <f ca="1">IF(COUNTIFS('SEANCE 1'!$B:$B, $B10, 'SEANCE 1'!$C:$C, K$2, 'SEANCE 1'!$F:$F, K$5)=0, "", COUNTIFS('SEANCE 1'!$B:$B, $B10, 'SEANCE 1'!$C:$C, K$2, 'SEANCE 1'!$F:$F, K$5))</f>
        <v/>
      </c>
      <c r="L10" s="64" t="str">
        <f ca="1">IF(COUNTIFS('SEANCE 1'!$B:$B, $B10, 'SEANCE 1'!$C:$C, L$2, 'SEANCE 1'!$F:$F, L$5)=0, "", COUNTIFS('SEANCE 1'!$B:$B, $B10, 'SEANCE 1'!$C:$C, L$2, 'SEANCE 1'!$F:$F, L$5))</f>
        <v/>
      </c>
      <c r="M10" s="64" t="str">
        <f ca="1">IF(COUNTIFS('SEANCE 1'!$B:$B, $B10, 'SEANCE 1'!$C:$C, M$2, 'SEANCE 1'!$F:$F, M$5)=0, "", COUNTIFS('SEANCE 1'!$B:$B, $B10, 'SEANCE 1'!$C:$C, M$2, 'SEANCE 1'!$F:$F, M$5))</f>
        <v/>
      </c>
      <c r="N10" s="64" t="str">
        <f ca="1">IF(COUNTIFS('SEANCE 1'!$B:$B, $B10, 'SEANCE 1'!$C:$C, N$2, 'SEANCE 1'!$F:$F, N$5)=0, "", COUNTIFS('SEANCE 1'!$B:$B, $B10, 'SEANCE 1'!$C:$C, N$2, 'SEANCE 1'!$F:$F, N$5))</f>
        <v/>
      </c>
      <c r="O10" s="64" t="str">
        <f ca="1">IF(COUNTIFS('SEANCE 1'!$B:$B, $B10, 'SEANCE 1'!$C:$C, O$2, 'SEANCE 1'!$F:$F, O$5)=0, "", COUNTIFS('SEANCE 1'!$B:$B, $B10, 'SEANCE 1'!$C:$C, O$2, 'SEANCE 1'!$F:$F, O$5))</f>
        <v/>
      </c>
      <c r="P10" s="64" t="str">
        <f ca="1">IF(COUNTIFS('SEANCE 1'!$B:$B, $B10, 'SEANCE 1'!$C:$C, P$2, 'SEANCE 1'!$F:$F, P$5)=0, "", COUNTIFS('SEANCE 1'!$B:$B, $B10, 'SEANCE 1'!$C:$C, P$2, 'SEANCE 1'!$F:$F, P$5))</f>
        <v/>
      </c>
      <c r="Q10" s="64" t="str">
        <f ca="1">IF(COUNTIFS('SEANCE 1'!$B:$B, $B10, 'SEANCE 1'!$C:$C, Q$2, 'SEANCE 1'!$F:$F, Q$5)=0, "", COUNTIFS('SEANCE 1'!$B:$B, $B10, 'SEANCE 1'!$C:$C, Q$2, 'SEANCE 1'!$F:$F, Q$5))</f>
        <v/>
      </c>
      <c r="R10" s="64" t="str">
        <f ca="1">IF(COUNTIFS('SEANCE 1'!$B:$B, $B10, 'SEANCE 1'!$C:$C, R$2, 'SEANCE 1'!$F:$F, R$5)=0, "", COUNTIFS('SEANCE 1'!$B:$B, $B10, 'SEANCE 1'!$C:$C, R$2, 'SEANCE 1'!$F:$F, R$5))</f>
        <v/>
      </c>
      <c r="S10" s="64" t="str">
        <f ca="1">IF(COUNTIFS('SEANCE 1'!$B:$B, $B10, 'SEANCE 1'!$C:$C, S$2, 'SEANCE 1'!$F:$F, S$5)=0, "", COUNTIFS('SEANCE 1'!$B:$B, $B10, 'SEANCE 1'!$C:$C, S$2, 'SEANCE 1'!$F:$F, S$5))</f>
        <v/>
      </c>
      <c r="T10" s="64" t="str">
        <f ca="1">IF(COUNTIFS('SEANCE 1'!$B:$B, $B10, 'SEANCE 1'!$C:$C, T$2, 'SEANCE 1'!$F:$F, T$5)=0, "", COUNTIFS('SEANCE 1'!$B:$B, $B10, 'SEANCE 1'!$C:$C, T$2, 'SEANCE 1'!$F:$F, T$5))</f>
        <v/>
      </c>
      <c r="U10" s="64" t="str">
        <f ca="1">IF(COUNTIFS('SEANCE 1'!$B:$B, $B10, 'SEANCE 1'!$C:$C, U$2, 'SEANCE 1'!$F:$F, U$5)=0, "", COUNTIFS('SEANCE 1'!$B:$B, $B10, 'SEANCE 1'!$C:$C, U$2, 'SEANCE 1'!$F:$F, U$5))</f>
        <v/>
      </c>
      <c r="V10" s="64" t="str">
        <f ca="1">IF(COUNTIFS('SEANCE 1'!$B:$B, $B10, 'SEANCE 1'!$C:$C, V$2, 'SEANCE 1'!$F:$F, V$5)=0, "", COUNTIFS('SEANCE 1'!$B:$B, $B10, 'SEANCE 1'!$C:$C, V$2, 'SEANCE 1'!$F:$F, V$5))</f>
        <v/>
      </c>
      <c r="W10" s="64" t="str">
        <f ca="1">IF(COUNTIFS('SEANCE 1'!$B:$B, $B10, 'SEANCE 1'!$C:$C, W$2, 'SEANCE 1'!$F:$F, W$5)=0, "", COUNTIFS('SEANCE 1'!$B:$B, $B10, 'SEANCE 1'!$C:$C, W$2, 'SEANCE 1'!$F:$F, W$5))</f>
        <v/>
      </c>
      <c r="X10" s="64" t="str">
        <f ca="1">IF(COUNTIFS('SEANCE 1'!$B:$B, $B10, 'SEANCE 1'!$C:$C, X$2, 'SEANCE 1'!$F:$F, X$5)=0, "", COUNTIFS('SEANCE 1'!$B:$B, $B10, 'SEANCE 1'!$C:$C, X$2, 'SEANCE 1'!$F:$F, X$5))</f>
        <v/>
      </c>
      <c r="Y10" s="64" t="str">
        <f ca="1">IF(COUNTIFS('SEANCE 1'!$B:$B, $B10, 'SEANCE 1'!$C:$C, Y$2, 'SEANCE 1'!$F:$F, Y$5)=0, "", COUNTIFS('SEANCE 1'!$B:$B, $B10, 'SEANCE 1'!$C:$C, Y$2, 'SEANCE 1'!$F:$F, Y$5))</f>
        <v/>
      </c>
      <c r="Z10" s="64">
        <f ca="1">IF(COUNTIFS('SEANCE 1'!$B:$B, $B10, 'SEANCE 1'!$C:$C, Z$2, 'SEANCE 1'!$F:$F, Z$5)=0, "", COUNTIFS('SEANCE 1'!$B:$B, $B10, 'SEANCE 1'!$C:$C, Z$2, 'SEANCE 1'!$F:$F, Z$5))</f>
        <v>1</v>
      </c>
      <c r="AA10" s="64" t="str">
        <f ca="1">IF(COUNTIFS('SEANCE 1'!$B:$B, $B10, 'SEANCE 1'!$C:$C, AA$2, 'SEANCE 1'!$F:$F, AA$5)=0, "", COUNTIFS('SEANCE 1'!$B:$B, $B10, 'SEANCE 1'!$C:$C, AA$2, 'SEANCE 1'!$F:$F, AA$5))</f>
        <v/>
      </c>
      <c r="AB10" s="64" t="str">
        <f ca="1">IF(COUNTIFS('SEANCE 1'!$B:$B, $B10, 'SEANCE 1'!$C:$C, AB$2, 'SEANCE 1'!$F:$F, AB$5)=0, "", COUNTIFS('SEANCE 1'!$B:$B, $B10, 'SEANCE 1'!$C:$C, AB$2, 'SEANCE 1'!$F:$F, AB$5))</f>
        <v/>
      </c>
      <c r="AC10" s="64" t="str">
        <f ca="1">IF(COUNTIFS('SEANCE 1'!$B:$B, $B10, 'SEANCE 1'!$C:$C, AC$2, 'SEANCE 1'!$F:$F, AC$5)=0, "", COUNTIFS('SEANCE 1'!$B:$B, $B10, 'SEANCE 1'!$C:$C, AC$2, 'SEANCE 1'!$F:$F, AC$5))</f>
        <v/>
      </c>
      <c r="AD10" s="64" t="str">
        <f ca="1">IF(COUNTIFS('SEANCE 1'!$B:$B, $B10, 'SEANCE 1'!$C:$C, AD$2, 'SEANCE 1'!$F:$F, AD$5)=0, "", COUNTIFS('SEANCE 1'!$B:$B, $B10, 'SEANCE 1'!$C:$C, AD$2, 'SEANCE 1'!$F:$F, AD$5))</f>
        <v/>
      </c>
      <c r="AE10" s="64" t="str">
        <f ca="1">IF(COUNTIFS('SEANCE 1'!$B:$B, $B10, 'SEANCE 1'!$C:$C, AE$2, 'SEANCE 1'!$F:$F, AE$5)=0, "", COUNTIFS('SEANCE 1'!$B:$B, $B10, 'SEANCE 1'!$C:$C, AE$2, 'SEANCE 1'!$F:$F, AE$5))</f>
        <v/>
      </c>
      <c r="AF10" s="64" t="str">
        <f ca="1">IF(COUNTIFS('SEANCE 1'!$B:$B, $B10, 'SEANCE 1'!$C:$C, AF$2, 'SEANCE 1'!$F:$F, AF$5)=0, "", COUNTIFS('SEANCE 1'!$B:$B, $B10, 'SEANCE 1'!$C:$C, AF$2, 'SEANCE 1'!$F:$F, AF$5))</f>
        <v/>
      </c>
      <c r="AG10" s="64" t="str">
        <f ca="1">IF(COUNTIFS('SEANCE 1'!$B:$B, $B10, 'SEANCE 1'!$C:$C, AG$2, 'SEANCE 1'!$F:$F, AG$5)=0, "", COUNTIFS('SEANCE 1'!$B:$B, $B10, 'SEANCE 1'!$C:$C, AG$2, 'SEANCE 1'!$F:$F, AG$5))</f>
        <v/>
      </c>
      <c r="AH10" s="64" t="str">
        <f ca="1">IF(COUNTIFS('SEANCE 1'!$B:$B, $B10, 'SEANCE 1'!$C:$C, AH$2, 'SEANCE 1'!$F:$F, AH$5)=0, "", COUNTIFS('SEANCE 1'!$B:$B, $B10, 'SEANCE 1'!$C:$C, AH$2, 'SEANCE 1'!$F:$F, AH$5))</f>
        <v/>
      </c>
      <c r="AI10" s="64" t="str">
        <f ca="1">IF(COUNTIFS('SEANCE 1'!$B:$B, $B10, 'SEANCE 1'!$C:$C, AI$2, 'SEANCE 1'!$F:$F, AI$5)=0, "", COUNTIFS('SEANCE 1'!$B:$B, $B10, 'SEANCE 1'!$C:$C, AI$2, 'SEANCE 1'!$F:$F, AI$5))</f>
        <v/>
      </c>
      <c r="AJ10" s="64" t="str">
        <f ca="1">IF(COUNTIFS('SEANCE 1'!$B:$B, $B10, 'SEANCE 1'!$C:$C, AJ$2, 'SEANCE 1'!$F:$F, AJ$5)=0, "", COUNTIFS('SEANCE 1'!$B:$B, $B10, 'SEANCE 1'!$C:$C, AJ$2, 'SEANCE 1'!$F:$F, AJ$5))</f>
        <v/>
      </c>
      <c r="AK10" s="64" t="str">
        <f ca="1">IF(COUNTIFS('SEANCE 1'!$B:$B, $B10, 'SEANCE 1'!$C:$C, AK$2, 'SEANCE 1'!$F:$F, AK$5)=0, "", COUNTIFS('SEANCE 1'!$B:$B, $B10, 'SEANCE 1'!$C:$C, AK$2, 'SEANCE 1'!$F:$F, AK$5))</f>
        <v/>
      </c>
      <c r="AL10" s="64" t="str">
        <f ca="1">IF(COUNTIFS('SEANCE 1'!$B:$B, $B10, 'SEANCE 1'!$C:$C, AL$2, 'SEANCE 1'!$F:$F, AL$5)=0, "", COUNTIFS('SEANCE 1'!$B:$B, $B10, 'SEANCE 1'!$C:$C, AL$2, 'SEANCE 1'!$F:$F, AL$5))</f>
        <v/>
      </c>
      <c r="AM10" s="64" t="str">
        <f ca="1">IF(COUNTIFS('SEANCE 1'!$B:$B, $B10, 'SEANCE 1'!$C:$C, AM$2, 'SEANCE 1'!$F:$F, AM$5)=0, "", COUNTIFS('SEANCE 1'!$B:$B, $B10, 'SEANCE 1'!$C:$C, AM$2, 'SEANCE 1'!$F:$F, AM$5))</f>
        <v/>
      </c>
      <c r="AN10" s="64" t="str">
        <f ca="1">IF(COUNTIFS('SEANCE 1'!$B:$B, $B10, 'SEANCE 1'!$C:$C, AN$2, 'SEANCE 1'!$F:$F, AN$5)=0, "", COUNTIFS('SEANCE 1'!$B:$B, $B10, 'SEANCE 1'!$C:$C, AN$2, 'SEANCE 1'!$F:$F, AN$5))</f>
        <v/>
      </c>
      <c r="AO10" s="64" t="str">
        <f ca="1">IF(COUNTIFS('SEANCE 1'!$B:$B, $B10, 'SEANCE 1'!$C:$C, AO$2, 'SEANCE 1'!$F:$F, AO$5)=0, "", COUNTIFS('SEANCE 1'!$B:$B, $B10, 'SEANCE 1'!$C:$C, AO$2, 'SEANCE 1'!$F:$F, AO$5))</f>
        <v/>
      </c>
      <c r="AP10" s="64" t="str">
        <f ca="1">IF(COUNTIFS('SEANCE 1'!$B:$B, $B10, 'SEANCE 1'!$C:$C, AP$2, 'SEANCE 1'!$F:$F, AP$5)=0, "", COUNTIFS('SEANCE 1'!$B:$B, $B10, 'SEANCE 1'!$C:$C, AP$2, 'SEANCE 1'!$F:$F, AP$5))</f>
        <v/>
      </c>
      <c r="AQ10" s="64" t="str">
        <f ca="1">IF(COUNTIFS('SEANCE 1'!$B:$B, $B10, 'SEANCE 1'!$C:$C, AQ$2, 'SEANCE 1'!$F:$F, AQ$5)=0, "", COUNTIFS('SEANCE 1'!$B:$B, $B10, 'SEANCE 1'!$C:$C, AQ$2, 'SEANCE 1'!$F:$F, AQ$5))</f>
        <v/>
      </c>
      <c r="AR10" s="64" t="str">
        <f ca="1">IF(COUNTIFS('SEANCE 1'!$B:$B, $B10, 'SEANCE 1'!$C:$C, AR$2, 'SEANCE 1'!$F:$F, AR$5)=0, "", COUNTIFS('SEANCE 1'!$B:$B, $B10, 'SEANCE 1'!$C:$C, AR$2, 'SEANCE 1'!$F:$F, AR$5))</f>
        <v/>
      </c>
      <c r="AS10" s="64" t="str">
        <f ca="1">IF(COUNTIFS('SEANCE 1'!$B:$B, $B10, 'SEANCE 1'!$C:$C, AS$2, 'SEANCE 1'!$F:$F, AS$5)=0, "", COUNTIFS('SEANCE 1'!$B:$B, $B10, 'SEANCE 1'!$C:$C, AS$2, 'SEANCE 1'!$F:$F, AS$5))</f>
        <v/>
      </c>
      <c r="AT10" s="64" t="str">
        <f ca="1">IF(COUNTIFS('SEANCE 1'!$B:$B, $B10, 'SEANCE 1'!$C:$C, AT$2, 'SEANCE 1'!$F:$F, AT$5)=0, "", COUNTIFS('SEANCE 1'!$B:$B, $B10, 'SEANCE 1'!$C:$C, AT$2, 'SEANCE 1'!$F:$F, AT$5))</f>
        <v/>
      </c>
      <c r="AU10" s="64" t="str">
        <f ca="1">IF(COUNTIFS('SEANCE 1'!$B:$B, $B10, 'SEANCE 1'!$C:$C, AU$2, 'SEANCE 1'!$F:$F, AU$5)=0, "", COUNTIFS('SEANCE 1'!$B:$B, $B10, 'SEANCE 1'!$C:$C, AU$2, 'SEANCE 1'!$F:$F, AU$5))</f>
        <v/>
      </c>
      <c r="AV10" s="64" t="str">
        <f ca="1">IF(COUNTIFS('SEANCE 1'!$B:$B, $B10, 'SEANCE 1'!$C:$C, AV$2, 'SEANCE 1'!$F:$F, AV$5)=0, "", COUNTIFS('SEANCE 1'!$B:$B, $B10, 'SEANCE 1'!$C:$C, AV$2, 'SEANCE 1'!$F:$F, AV$5))</f>
        <v/>
      </c>
      <c r="AW10" s="64" t="str">
        <f ca="1">IF(COUNTIFS('SEANCE 1'!$B:$B, $B10, 'SEANCE 1'!$C:$C, AW$2, 'SEANCE 1'!$F:$F, AW$5)=0, "", COUNTIFS('SEANCE 1'!$B:$B, $B10, 'SEANCE 1'!$C:$C, AW$2, 'SEANCE 1'!$F:$F, AW$5))</f>
        <v/>
      </c>
      <c r="AX10" s="64" t="str">
        <f ca="1">IF(COUNTIFS('SEANCE 1'!$B:$B, $B10, 'SEANCE 1'!$C:$C, AX$2, 'SEANCE 1'!$F:$F, AX$5)=0, "", COUNTIFS('SEANCE 1'!$B:$B, $B10, 'SEANCE 1'!$C:$C, AX$2, 'SEANCE 1'!$F:$F, AX$5))</f>
        <v/>
      </c>
      <c r="AY10" s="64" t="str">
        <f ca="1">IF(COUNTIFS('SEANCE 1'!$B:$B, $B10, 'SEANCE 1'!$C:$C, AY$2, 'SEANCE 1'!$F:$F, AY$5)=0, "", COUNTIFS('SEANCE 1'!$B:$B, $B10, 'SEANCE 1'!$C:$C, AY$2, 'SEANCE 1'!$F:$F, AY$5))</f>
        <v/>
      </c>
      <c r="AZ10" s="32">
        <f t="shared" ca="1" si="0"/>
        <v>1</v>
      </c>
    </row>
    <row r="11" spans="1:52">
      <c r="A11" s="44">
        <f>IF('SEANCE 1'!$B7&lt;&gt;"",'SEANCE 1'!$A7,"")</f>
        <v>6</v>
      </c>
      <c r="B11" s="44" t="str">
        <f t="array" aca="1" ref="B11" ca="1">IF(ISNA(INDEX(ListeB,MATCH(0,COUNTIF($B$5:B10,ListeB),0))),"",INDEX(ListeB,MATCH(0,COUNTIF($B$5:B10,ListeB),0)))</f>
        <v>élève 30</v>
      </c>
      <c r="C11" s="64" t="str">
        <f ca="1">IF(COUNTIFS('SEANCE 1'!$B:$B, $B11, 'SEANCE 1'!$C:$C, C$2, 'SEANCE 1'!$F:$F, C$5)=0, "", COUNTIFS('SEANCE 1'!$B:$B, $B11, 'SEANCE 1'!$C:$C, C$2, 'SEANCE 1'!$F:$F, C$5))</f>
        <v/>
      </c>
      <c r="D11" s="64" t="str">
        <f ca="1">IF(COUNTIFS('SEANCE 1'!$B:$B, $B11, 'SEANCE 1'!$C:$C, D$2, 'SEANCE 1'!$F:$F, D$5)=0, "", COUNTIFS('SEANCE 1'!$B:$B, $B11, 'SEANCE 1'!$C:$C, D$2, 'SEANCE 1'!$F:$F, D$5))</f>
        <v/>
      </c>
      <c r="E11" s="64" t="str">
        <f ca="1">IF(COUNTIFS('SEANCE 1'!$B:$B, $B11, 'SEANCE 1'!$C:$C, E$2, 'SEANCE 1'!$F:$F, E$5)=0, "", COUNTIFS('SEANCE 1'!$B:$B, $B11, 'SEANCE 1'!$C:$C, E$2, 'SEANCE 1'!$F:$F, E$5))</f>
        <v/>
      </c>
      <c r="F11" s="64" t="str">
        <f ca="1">IF(COUNTIFS('SEANCE 1'!$B:$B, $B11, 'SEANCE 1'!$C:$C, F$2, 'SEANCE 1'!$F:$F, F$5)=0, "", COUNTIFS('SEANCE 1'!$B:$B, $B11, 'SEANCE 1'!$C:$C, F$2, 'SEANCE 1'!$F:$F, F$5))</f>
        <v/>
      </c>
      <c r="G11" s="64" t="str">
        <f ca="1">IF(COUNTIFS('SEANCE 1'!$B:$B, $B11, 'SEANCE 1'!$C:$C, G$2, 'SEANCE 1'!$F:$F, G$5)=0, "", COUNTIFS('SEANCE 1'!$B:$B, $B11, 'SEANCE 1'!$C:$C, G$2, 'SEANCE 1'!$F:$F, G$5))</f>
        <v/>
      </c>
      <c r="H11" s="64" t="str">
        <f ca="1">IF(COUNTIFS('SEANCE 1'!$B:$B, $B11, 'SEANCE 1'!$C:$C, H$2, 'SEANCE 1'!$F:$F, H$5)=0, "", COUNTIFS('SEANCE 1'!$B:$B, $B11, 'SEANCE 1'!$C:$C, H$2, 'SEANCE 1'!$F:$F, H$5))</f>
        <v/>
      </c>
      <c r="I11" s="64" t="str">
        <f ca="1">IF(COUNTIFS('SEANCE 1'!$B:$B, $B11, 'SEANCE 1'!$C:$C, I$2, 'SEANCE 1'!$F:$F, I$5)=0, "", COUNTIFS('SEANCE 1'!$B:$B, $B11, 'SEANCE 1'!$C:$C, I$2, 'SEANCE 1'!$F:$F, I$5))</f>
        <v/>
      </c>
      <c r="J11" s="64" t="str">
        <f ca="1">IF(COUNTIFS('SEANCE 1'!$B:$B, $B11, 'SEANCE 1'!$C:$C, J$2, 'SEANCE 1'!$F:$F, J$5)=0, "", COUNTIFS('SEANCE 1'!$B:$B, $B11, 'SEANCE 1'!$C:$C, J$2, 'SEANCE 1'!$F:$F, J$5))</f>
        <v/>
      </c>
      <c r="K11" s="64" t="str">
        <f ca="1">IF(COUNTIFS('SEANCE 1'!$B:$B, $B11, 'SEANCE 1'!$C:$C, K$2, 'SEANCE 1'!$F:$F, K$5)=0, "", COUNTIFS('SEANCE 1'!$B:$B, $B11, 'SEANCE 1'!$C:$C, K$2, 'SEANCE 1'!$F:$F, K$5))</f>
        <v/>
      </c>
      <c r="L11" s="64" t="str">
        <f ca="1">IF(COUNTIFS('SEANCE 1'!$B:$B, $B11, 'SEANCE 1'!$C:$C, L$2, 'SEANCE 1'!$F:$F, L$5)=0, "", COUNTIFS('SEANCE 1'!$B:$B, $B11, 'SEANCE 1'!$C:$C, L$2, 'SEANCE 1'!$F:$F, L$5))</f>
        <v/>
      </c>
      <c r="M11" s="64" t="str">
        <f ca="1">IF(COUNTIFS('SEANCE 1'!$B:$B, $B11, 'SEANCE 1'!$C:$C, M$2, 'SEANCE 1'!$F:$F, M$5)=0, "", COUNTIFS('SEANCE 1'!$B:$B, $B11, 'SEANCE 1'!$C:$C, M$2, 'SEANCE 1'!$F:$F, M$5))</f>
        <v/>
      </c>
      <c r="N11" s="64">
        <f ca="1">IF(COUNTIFS('SEANCE 1'!$B:$B, $B11, 'SEANCE 1'!$C:$C, N$2, 'SEANCE 1'!$F:$F, N$5)=0, "", COUNTIFS('SEANCE 1'!$B:$B, $B11, 'SEANCE 1'!$C:$C, N$2, 'SEANCE 1'!$F:$F, N$5))</f>
        <v>1</v>
      </c>
      <c r="O11" s="64" t="str">
        <f ca="1">IF(COUNTIFS('SEANCE 1'!$B:$B, $B11, 'SEANCE 1'!$C:$C, O$2, 'SEANCE 1'!$F:$F, O$5)=0, "", COUNTIFS('SEANCE 1'!$B:$B, $B11, 'SEANCE 1'!$C:$C, O$2, 'SEANCE 1'!$F:$F, O$5))</f>
        <v/>
      </c>
      <c r="P11" s="64" t="str">
        <f ca="1">IF(COUNTIFS('SEANCE 1'!$B:$B, $B11, 'SEANCE 1'!$C:$C, P$2, 'SEANCE 1'!$F:$F, P$5)=0, "", COUNTIFS('SEANCE 1'!$B:$B, $B11, 'SEANCE 1'!$C:$C, P$2, 'SEANCE 1'!$F:$F, P$5))</f>
        <v/>
      </c>
      <c r="Q11" s="64" t="str">
        <f ca="1">IF(COUNTIFS('SEANCE 1'!$B:$B, $B11, 'SEANCE 1'!$C:$C, Q$2, 'SEANCE 1'!$F:$F, Q$5)=0, "", COUNTIFS('SEANCE 1'!$B:$B, $B11, 'SEANCE 1'!$C:$C, Q$2, 'SEANCE 1'!$F:$F, Q$5))</f>
        <v/>
      </c>
      <c r="R11" s="64" t="str">
        <f ca="1">IF(COUNTIFS('SEANCE 1'!$B:$B, $B11, 'SEANCE 1'!$C:$C, R$2, 'SEANCE 1'!$F:$F, R$5)=0, "", COUNTIFS('SEANCE 1'!$B:$B, $B11, 'SEANCE 1'!$C:$C, R$2, 'SEANCE 1'!$F:$F, R$5))</f>
        <v/>
      </c>
      <c r="S11" s="64" t="str">
        <f ca="1">IF(COUNTIFS('SEANCE 1'!$B:$B, $B11, 'SEANCE 1'!$C:$C, S$2, 'SEANCE 1'!$F:$F, S$5)=0, "", COUNTIFS('SEANCE 1'!$B:$B, $B11, 'SEANCE 1'!$C:$C, S$2, 'SEANCE 1'!$F:$F, S$5))</f>
        <v/>
      </c>
      <c r="T11" s="64" t="str">
        <f ca="1">IF(COUNTIFS('SEANCE 1'!$B:$B, $B11, 'SEANCE 1'!$C:$C, T$2, 'SEANCE 1'!$F:$F, T$5)=0, "", COUNTIFS('SEANCE 1'!$B:$B, $B11, 'SEANCE 1'!$C:$C, T$2, 'SEANCE 1'!$F:$F, T$5))</f>
        <v/>
      </c>
      <c r="U11" s="64" t="str">
        <f ca="1">IF(COUNTIFS('SEANCE 1'!$B:$B, $B11, 'SEANCE 1'!$C:$C, U$2, 'SEANCE 1'!$F:$F, U$5)=0, "", COUNTIFS('SEANCE 1'!$B:$B, $B11, 'SEANCE 1'!$C:$C, U$2, 'SEANCE 1'!$F:$F, U$5))</f>
        <v/>
      </c>
      <c r="V11" s="64" t="str">
        <f ca="1">IF(COUNTIFS('SEANCE 1'!$B:$B, $B11, 'SEANCE 1'!$C:$C, V$2, 'SEANCE 1'!$F:$F, V$5)=0, "", COUNTIFS('SEANCE 1'!$B:$B, $B11, 'SEANCE 1'!$C:$C, V$2, 'SEANCE 1'!$F:$F, V$5))</f>
        <v/>
      </c>
      <c r="W11" s="64" t="str">
        <f ca="1">IF(COUNTIFS('SEANCE 1'!$B:$B, $B11, 'SEANCE 1'!$C:$C, W$2, 'SEANCE 1'!$F:$F, W$5)=0, "", COUNTIFS('SEANCE 1'!$B:$B, $B11, 'SEANCE 1'!$C:$C, W$2, 'SEANCE 1'!$F:$F, W$5))</f>
        <v/>
      </c>
      <c r="X11" s="64" t="str">
        <f ca="1">IF(COUNTIFS('SEANCE 1'!$B:$B, $B11, 'SEANCE 1'!$C:$C, X$2, 'SEANCE 1'!$F:$F, X$5)=0, "", COUNTIFS('SEANCE 1'!$B:$B, $B11, 'SEANCE 1'!$C:$C, X$2, 'SEANCE 1'!$F:$F, X$5))</f>
        <v/>
      </c>
      <c r="Y11" s="64" t="str">
        <f ca="1">IF(COUNTIFS('SEANCE 1'!$B:$B, $B11, 'SEANCE 1'!$C:$C, Y$2, 'SEANCE 1'!$F:$F, Y$5)=0, "", COUNTIFS('SEANCE 1'!$B:$B, $B11, 'SEANCE 1'!$C:$C, Y$2, 'SEANCE 1'!$F:$F, Y$5))</f>
        <v/>
      </c>
      <c r="Z11" s="64" t="str">
        <f ca="1">IF(COUNTIFS('SEANCE 1'!$B:$B, $B11, 'SEANCE 1'!$C:$C, Z$2, 'SEANCE 1'!$F:$F, Z$5)=0, "", COUNTIFS('SEANCE 1'!$B:$B, $B11, 'SEANCE 1'!$C:$C, Z$2, 'SEANCE 1'!$F:$F, Z$5))</f>
        <v/>
      </c>
      <c r="AA11" s="64" t="str">
        <f ca="1">IF(COUNTIFS('SEANCE 1'!$B:$B, $B11, 'SEANCE 1'!$C:$C, AA$2, 'SEANCE 1'!$F:$F, AA$5)=0, "", COUNTIFS('SEANCE 1'!$B:$B, $B11, 'SEANCE 1'!$C:$C, AA$2, 'SEANCE 1'!$F:$F, AA$5))</f>
        <v/>
      </c>
      <c r="AB11" s="64" t="str">
        <f ca="1">IF(COUNTIFS('SEANCE 1'!$B:$B, $B11, 'SEANCE 1'!$C:$C, AB$2, 'SEANCE 1'!$F:$F, AB$5)=0, "", COUNTIFS('SEANCE 1'!$B:$B, $B11, 'SEANCE 1'!$C:$C, AB$2, 'SEANCE 1'!$F:$F, AB$5))</f>
        <v/>
      </c>
      <c r="AC11" s="64" t="str">
        <f ca="1">IF(COUNTIFS('SEANCE 1'!$B:$B, $B11, 'SEANCE 1'!$C:$C, AC$2, 'SEANCE 1'!$F:$F, AC$5)=0, "", COUNTIFS('SEANCE 1'!$B:$B, $B11, 'SEANCE 1'!$C:$C, AC$2, 'SEANCE 1'!$F:$F, AC$5))</f>
        <v/>
      </c>
      <c r="AD11" s="64" t="str">
        <f ca="1">IF(COUNTIFS('SEANCE 1'!$B:$B, $B11, 'SEANCE 1'!$C:$C, AD$2, 'SEANCE 1'!$F:$F, AD$5)=0, "", COUNTIFS('SEANCE 1'!$B:$B, $B11, 'SEANCE 1'!$C:$C, AD$2, 'SEANCE 1'!$F:$F, AD$5))</f>
        <v/>
      </c>
      <c r="AE11" s="64" t="str">
        <f ca="1">IF(COUNTIFS('SEANCE 1'!$B:$B, $B11, 'SEANCE 1'!$C:$C, AE$2, 'SEANCE 1'!$F:$F, AE$5)=0, "", COUNTIFS('SEANCE 1'!$B:$B, $B11, 'SEANCE 1'!$C:$C, AE$2, 'SEANCE 1'!$F:$F, AE$5))</f>
        <v/>
      </c>
      <c r="AF11" s="64" t="str">
        <f ca="1">IF(COUNTIFS('SEANCE 1'!$B:$B, $B11, 'SEANCE 1'!$C:$C, AF$2, 'SEANCE 1'!$F:$F, AF$5)=0, "", COUNTIFS('SEANCE 1'!$B:$B, $B11, 'SEANCE 1'!$C:$C, AF$2, 'SEANCE 1'!$F:$F, AF$5))</f>
        <v/>
      </c>
      <c r="AG11" s="64" t="str">
        <f ca="1">IF(COUNTIFS('SEANCE 1'!$B:$B, $B11, 'SEANCE 1'!$C:$C, AG$2, 'SEANCE 1'!$F:$F, AG$5)=0, "", COUNTIFS('SEANCE 1'!$B:$B, $B11, 'SEANCE 1'!$C:$C, AG$2, 'SEANCE 1'!$F:$F, AG$5))</f>
        <v/>
      </c>
      <c r="AH11" s="64" t="str">
        <f ca="1">IF(COUNTIFS('SEANCE 1'!$B:$B, $B11, 'SEANCE 1'!$C:$C, AH$2, 'SEANCE 1'!$F:$F, AH$5)=0, "", COUNTIFS('SEANCE 1'!$B:$B, $B11, 'SEANCE 1'!$C:$C, AH$2, 'SEANCE 1'!$F:$F, AH$5))</f>
        <v/>
      </c>
      <c r="AI11" s="64" t="str">
        <f ca="1">IF(COUNTIFS('SEANCE 1'!$B:$B, $B11, 'SEANCE 1'!$C:$C, AI$2, 'SEANCE 1'!$F:$F, AI$5)=0, "", COUNTIFS('SEANCE 1'!$B:$B, $B11, 'SEANCE 1'!$C:$C, AI$2, 'SEANCE 1'!$F:$F, AI$5))</f>
        <v/>
      </c>
      <c r="AJ11" s="64" t="str">
        <f ca="1">IF(COUNTIFS('SEANCE 1'!$B:$B, $B11, 'SEANCE 1'!$C:$C, AJ$2, 'SEANCE 1'!$F:$F, AJ$5)=0, "", COUNTIFS('SEANCE 1'!$B:$B, $B11, 'SEANCE 1'!$C:$C, AJ$2, 'SEANCE 1'!$F:$F, AJ$5))</f>
        <v/>
      </c>
      <c r="AK11" s="64" t="str">
        <f ca="1">IF(COUNTIFS('SEANCE 1'!$B:$B, $B11, 'SEANCE 1'!$C:$C, AK$2, 'SEANCE 1'!$F:$F, AK$5)=0, "", COUNTIFS('SEANCE 1'!$B:$B, $B11, 'SEANCE 1'!$C:$C, AK$2, 'SEANCE 1'!$F:$F, AK$5))</f>
        <v/>
      </c>
      <c r="AL11" s="64" t="str">
        <f ca="1">IF(COUNTIFS('SEANCE 1'!$B:$B, $B11, 'SEANCE 1'!$C:$C, AL$2, 'SEANCE 1'!$F:$F, AL$5)=0, "", COUNTIFS('SEANCE 1'!$B:$B, $B11, 'SEANCE 1'!$C:$C, AL$2, 'SEANCE 1'!$F:$F, AL$5))</f>
        <v/>
      </c>
      <c r="AM11" s="64" t="str">
        <f ca="1">IF(COUNTIFS('SEANCE 1'!$B:$B, $B11, 'SEANCE 1'!$C:$C, AM$2, 'SEANCE 1'!$F:$F, AM$5)=0, "", COUNTIFS('SEANCE 1'!$B:$B, $B11, 'SEANCE 1'!$C:$C, AM$2, 'SEANCE 1'!$F:$F, AM$5))</f>
        <v/>
      </c>
      <c r="AN11" s="64" t="str">
        <f ca="1">IF(COUNTIFS('SEANCE 1'!$B:$B, $B11, 'SEANCE 1'!$C:$C, AN$2, 'SEANCE 1'!$F:$F, AN$5)=0, "", COUNTIFS('SEANCE 1'!$B:$B, $B11, 'SEANCE 1'!$C:$C, AN$2, 'SEANCE 1'!$F:$F, AN$5))</f>
        <v/>
      </c>
      <c r="AO11" s="64" t="str">
        <f ca="1">IF(COUNTIFS('SEANCE 1'!$B:$B, $B11, 'SEANCE 1'!$C:$C, AO$2, 'SEANCE 1'!$F:$F, AO$5)=0, "", COUNTIFS('SEANCE 1'!$B:$B, $B11, 'SEANCE 1'!$C:$C, AO$2, 'SEANCE 1'!$F:$F, AO$5))</f>
        <v/>
      </c>
      <c r="AP11" s="64" t="str">
        <f ca="1">IF(COUNTIFS('SEANCE 1'!$B:$B, $B11, 'SEANCE 1'!$C:$C, AP$2, 'SEANCE 1'!$F:$F, AP$5)=0, "", COUNTIFS('SEANCE 1'!$B:$B, $B11, 'SEANCE 1'!$C:$C, AP$2, 'SEANCE 1'!$F:$F, AP$5))</f>
        <v/>
      </c>
      <c r="AQ11" s="64" t="str">
        <f ca="1">IF(COUNTIFS('SEANCE 1'!$B:$B, $B11, 'SEANCE 1'!$C:$C, AQ$2, 'SEANCE 1'!$F:$F, AQ$5)=0, "", COUNTIFS('SEANCE 1'!$B:$B, $B11, 'SEANCE 1'!$C:$C, AQ$2, 'SEANCE 1'!$F:$F, AQ$5))</f>
        <v/>
      </c>
      <c r="AR11" s="64" t="str">
        <f ca="1">IF(COUNTIFS('SEANCE 1'!$B:$B, $B11, 'SEANCE 1'!$C:$C, AR$2, 'SEANCE 1'!$F:$F, AR$5)=0, "", COUNTIFS('SEANCE 1'!$B:$B, $B11, 'SEANCE 1'!$C:$C, AR$2, 'SEANCE 1'!$F:$F, AR$5))</f>
        <v/>
      </c>
      <c r="AS11" s="64" t="str">
        <f ca="1">IF(COUNTIFS('SEANCE 1'!$B:$B, $B11, 'SEANCE 1'!$C:$C, AS$2, 'SEANCE 1'!$F:$F, AS$5)=0, "", COUNTIFS('SEANCE 1'!$B:$B, $B11, 'SEANCE 1'!$C:$C, AS$2, 'SEANCE 1'!$F:$F, AS$5))</f>
        <v/>
      </c>
      <c r="AT11" s="64" t="str">
        <f ca="1">IF(COUNTIFS('SEANCE 1'!$B:$B, $B11, 'SEANCE 1'!$C:$C, AT$2, 'SEANCE 1'!$F:$F, AT$5)=0, "", COUNTIFS('SEANCE 1'!$B:$B, $B11, 'SEANCE 1'!$C:$C, AT$2, 'SEANCE 1'!$F:$F, AT$5))</f>
        <v/>
      </c>
      <c r="AU11" s="64" t="str">
        <f ca="1">IF(COUNTIFS('SEANCE 1'!$B:$B, $B11, 'SEANCE 1'!$C:$C, AU$2, 'SEANCE 1'!$F:$F, AU$5)=0, "", COUNTIFS('SEANCE 1'!$B:$B, $B11, 'SEANCE 1'!$C:$C, AU$2, 'SEANCE 1'!$F:$F, AU$5))</f>
        <v/>
      </c>
      <c r="AV11" s="64" t="str">
        <f ca="1">IF(COUNTIFS('SEANCE 1'!$B:$B, $B11, 'SEANCE 1'!$C:$C, AV$2, 'SEANCE 1'!$F:$F, AV$5)=0, "", COUNTIFS('SEANCE 1'!$B:$B, $B11, 'SEANCE 1'!$C:$C, AV$2, 'SEANCE 1'!$F:$F, AV$5))</f>
        <v/>
      </c>
      <c r="AW11" s="64" t="str">
        <f ca="1">IF(COUNTIFS('SEANCE 1'!$B:$B, $B11, 'SEANCE 1'!$C:$C, AW$2, 'SEANCE 1'!$F:$F, AW$5)=0, "", COUNTIFS('SEANCE 1'!$B:$B, $B11, 'SEANCE 1'!$C:$C, AW$2, 'SEANCE 1'!$F:$F, AW$5))</f>
        <v/>
      </c>
      <c r="AX11" s="64" t="str">
        <f ca="1">IF(COUNTIFS('SEANCE 1'!$B:$B, $B11, 'SEANCE 1'!$C:$C, AX$2, 'SEANCE 1'!$F:$F, AX$5)=0, "", COUNTIFS('SEANCE 1'!$B:$B, $B11, 'SEANCE 1'!$C:$C, AX$2, 'SEANCE 1'!$F:$F, AX$5))</f>
        <v/>
      </c>
      <c r="AY11" s="64" t="str">
        <f ca="1">IF(COUNTIFS('SEANCE 1'!$B:$B, $B11, 'SEANCE 1'!$C:$C, AY$2, 'SEANCE 1'!$F:$F, AY$5)=0, "", COUNTIFS('SEANCE 1'!$B:$B, $B11, 'SEANCE 1'!$C:$C, AY$2, 'SEANCE 1'!$F:$F, AY$5))</f>
        <v/>
      </c>
      <c r="AZ11" s="32">
        <f t="shared" ca="1" si="0"/>
        <v>1</v>
      </c>
    </row>
    <row r="12" spans="1:52">
      <c r="A12" s="44">
        <f>IF('SEANCE 1'!$B8&lt;&gt;"",'SEANCE 1'!$A8,"")</f>
        <v>7</v>
      </c>
      <c r="B12" s="44" t="str">
        <f t="array" aca="1" ref="B12" ca="1">IF(ISNA(INDEX(ListeB,MATCH(0,COUNTIF($B$5:B11,ListeB),0))),"",INDEX(ListeB,MATCH(0,COUNTIF($B$5:B11,ListeB),0)))</f>
        <v/>
      </c>
      <c r="C12" s="64" t="str">
        <f ca="1">IF(COUNTIFS('SEANCE 1'!$B:$B, $B12, 'SEANCE 1'!$C:$C, C$2, 'SEANCE 1'!$F:$F, C$5)=0, "", COUNTIFS('SEANCE 1'!$B:$B, $B12, 'SEANCE 1'!$C:$C, C$2, 'SEANCE 1'!$F:$F, C$5))</f>
        <v/>
      </c>
      <c r="D12" s="64" t="str">
        <f ca="1">IF(COUNTIFS('SEANCE 1'!$B:$B, $B12, 'SEANCE 1'!$C:$C, D$2, 'SEANCE 1'!$F:$F, D$5)=0, "", COUNTIFS('SEANCE 1'!$B:$B, $B12, 'SEANCE 1'!$C:$C, D$2, 'SEANCE 1'!$F:$F, D$5))</f>
        <v/>
      </c>
      <c r="E12" s="64" t="str">
        <f ca="1">IF(COUNTIFS('SEANCE 1'!$B:$B, $B12, 'SEANCE 1'!$C:$C, E$2, 'SEANCE 1'!$F:$F, E$5)=0, "", COUNTIFS('SEANCE 1'!$B:$B, $B12, 'SEANCE 1'!$C:$C, E$2, 'SEANCE 1'!$F:$F, E$5))</f>
        <v/>
      </c>
      <c r="F12" s="64" t="str">
        <f ca="1">IF(COUNTIFS('SEANCE 1'!$B:$B, $B12, 'SEANCE 1'!$C:$C, F$2, 'SEANCE 1'!$F:$F, F$5)=0, "", COUNTIFS('SEANCE 1'!$B:$B, $B12, 'SEANCE 1'!$C:$C, F$2, 'SEANCE 1'!$F:$F, F$5))</f>
        <v/>
      </c>
      <c r="G12" s="64" t="str">
        <f ca="1">IF(COUNTIFS('SEANCE 1'!$B:$B, $B12, 'SEANCE 1'!$C:$C, G$2, 'SEANCE 1'!$F:$F, G$5)=0, "", COUNTIFS('SEANCE 1'!$B:$B, $B12, 'SEANCE 1'!$C:$C, G$2, 'SEANCE 1'!$F:$F, G$5))</f>
        <v/>
      </c>
      <c r="H12" s="64" t="str">
        <f ca="1">IF(COUNTIFS('SEANCE 1'!$B:$B, $B12, 'SEANCE 1'!$C:$C, H$2, 'SEANCE 1'!$F:$F, H$5)=0, "", COUNTIFS('SEANCE 1'!$B:$B, $B12, 'SEANCE 1'!$C:$C, H$2, 'SEANCE 1'!$F:$F, H$5))</f>
        <v/>
      </c>
      <c r="I12" s="64" t="str">
        <f ca="1">IF(COUNTIFS('SEANCE 1'!$B:$B, $B12, 'SEANCE 1'!$C:$C, I$2, 'SEANCE 1'!$F:$F, I$5)=0, "", COUNTIFS('SEANCE 1'!$B:$B, $B12, 'SEANCE 1'!$C:$C, I$2, 'SEANCE 1'!$F:$F, I$5))</f>
        <v/>
      </c>
      <c r="J12" s="64" t="str">
        <f ca="1">IF(COUNTIFS('SEANCE 1'!$B:$B, $B12, 'SEANCE 1'!$C:$C, J$2, 'SEANCE 1'!$F:$F, J$5)=0, "", COUNTIFS('SEANCE 1'!$B:$B, $B12, 'SEANCE 1'!$C:$C, J$2, 'SEANCE 1'!$F:$F, J$5))</f>
        <v/>
      </c>
      <c r="K12" s="64" t="str">
        <f ca="1">IF(COUNTIFS('SEANCE 1'!$B:$B, $B12, 'SEANCE 1'!$C:$C, K$2, 'SEANCE 1'!$F:$F, K$5)=0, "", COUNTIFS('SEANCE 1'!$B:$B, $B12, 'SEANCE 1'!$C:$C, K$2, 'SEANCE 1'!$F:$F, K$5))</f>
        <v/>
      </c>
      <c r="L12" s="64" t="str">
        <f ca="1">IF(COUNTIFS('SEANCE 1'!$B:$B, $B12, 'SEANCE 1'!$C:$C, L$2, 'SEANCE 1'!$F:$F, L$5)=0, "", COUNTIFS('SEANCE 1'!$B:$B, $B12, 'SEANCE 1'!$C:$C, L$2, 'SEANCE 1'!$F:$F, L$5))</f>
        <v/>
      </c>
      <c r="M12" s="64" t="str">
        <f ca="1">IF(COUNTIFS('SEANCE 1'!$B:$B, $B12, 'SEANCE 1'!$C:$C, M$2, 'SEANCE 1'!$F:$F, M$5)=0, "", COUNTIFS('SEANCE 1'!$B:$B, $B12, 'SEANCE 1'!$C:$C, M$2, 'SEANCE 1'!$F:$F, M$5))</f>
        <v/>
      </c>
      <c r="N12" s="64" t="str">
        <f ca="1">IF(COUNTIFS('SEANCE 1'!$B:$B, $B12, 'SEANCE 1'!$C:$C, N$2, 'SEANCE 1'!$F:$F, N$5)=0, "", COUNTIFS('SEANCE 1'!$B:$B, $B12, 'SEANCE 1'!$C:$C, N$2, 'SEANCE 1'!$F:$F, N$5))</f>
        <v/>
      </c>
      <c r="O12" s="64" t="str">
        <f ca="1">IF(COUNTIFS('SEANCE 1'!$B:$B, $B12, 'SEANCE 1'!$C:$C, O$2, 'SEANCE 1'!$F:$F, O$5)=0, "", COUNTIFS('SEANCE 1'!$B:$B, $B12, 'SEANCE 1'!$C:$C, O$2, 'SEANCE 1'!$F:$F, O$5))</f>
        <v/>
      </c>
      <c r="P12" s="64" t="str">
        <f ca="1">IF(COUNTIFS('SEANCE 1'!$B:$B, $B12, 'SEANCE 1'!$C:$C, P$2, 'SEANCE 1'!$F:$F, P$5)=0, "", COUNTIFS('SEANCE 1'!$B:$B, $B12, 'SEANCE 1'!$C:$C, P$2, 'SEANCE 1'!$F:$F, P$5))</f>
        <v/>
      </c>
      <c r="Q12" s="64" t="str">
        <f ca="1">IF(COUNTIFS('SEANCE 1'!$B:$B, $B12, 'SEANCE 1'!$C:$C, Q$2, 'SEANCE 1'!$F:$F, Q$5)=0, "", COUNTIFS('SEANCE 1'!$B:$B, $B12, 'SEANCE 1'!$C:$C, Q$2, 'SEANCE 1'!$F:$F, Q$5))</f>
        <v/>
      </c>
      <c r="R12" s="64" t="str">
        <f ca="1">IF(COUNTIFS('SEANCE 1'!$B:$B, $B12, 'SEANCE 1'!$C:$C, R$2, 'SEANCE 1'!$F:$F, R$5)=0, "", COUNTIFS('SEANCE 1'!$B:$B, $B12, 'SEANCE 1'!$C:$C, R$2, 'SEANCE 1'!$F:$F, R$5))</f>
        <v/>
      </c>
      <c r="S12" s="64" t="str">
        <f ca="1">IF(COUNTIFS('SEANCE 1'!$B:$B, $B12, 'SEANCE 1'!$C:$C, S$2, 'SEANCE 1'!$F:$F, S$5)=0, "", COUNTIFS('SEANCE 1'!$B:$B, $B12, 'SEANCE 1'!$C:$C, S$2, 'SEANCE 1'!$F:$F, S$5))</f>
        <v/>
      </c>
      <c r="T12" s="64" t="str">
        <f ca="1">IF(COUNTIFS('SEANCE 1'!$B:$B, $B12, 'SEANCE 1'!$C:$C, T$2, 'SEANCE 1'!$F:$F, T$5)=0, "", COUNTIFS('SEANCE 1'!$B:$B, $B12, 'SEANCE 1'!$C:$C, T$2, 'SEANCE 1'!$F:$F, T$5))</f>
        <v/>
      </c>
      <c r="U12" s="64" t="str">
        <f ca="1">IF(COUNTIFS('SEANCE 1'!$B:$B, $B12, 'SEANCE 1'!$C:$C, U$2, 'SEANCE 1'!$F:$F, U$5)=0, "", COUNTIFS('SEANCE 1'!$B:$B, $B12, 'SEANCE 1'!$C:$C, U$2, 'SEANCE 1'!$F:$F, U$5))</f>
        <v/>
      </c>
      <c r="V12" s="64" t="str">
        <f ca="1">IF(COUNTIFS('SEANCE 1'!$B:$B, $B12, 'SEANCE 1'!$C:$C, V$2, 'SEANCE 1'!$F:$F, V$5)=0, "", COUNTIFS('SEANCE 1'!$B:$B, $B12, 'SEANCE 1'!$C:$C, V$2, 'SEANCE 1'!$F:$F, V$5))</f>
        <v/>
      </c>
      <c r="W12" s="64" t="str">
        <f ca="1">IF(COUNTIFS('SEANCE 1'!$B:$B, $B12, 'SEANCE 1'!$C:$C, W$2, 'SEANCE 1'!$F:$F, W$5)=0, "", COUNTIFS('SEANCE 1'!$B:$B, $B12, 'SEANCE 1'!$C:$C, W$2, 'SEANCE 1'!$F:$F, W$5))</f>
        <v/>
      </c>
      <c r="X12" s="64" t="str">
        <f ca="1">IF(COUNTIFS('SEANCE 1'!$B:$B, $B12, 'SEANCE 1'!$C:$C, X$2, 'SEANCE 1'!$F:$F, X$5)=0, "", COUNTIFS('SEANCE 1'!$B:$B, $B12, 'SEANCE 1'!$C:$C, X$2, 'SEANCE 1'!$F:$F, X$5))</f>
        <v/>
      </c>
      <c r="Y12" s="64" t="str">
        <f ca="1">IF(COUNTIFS('SEANCE 1'!$B:$B, $B12, 'SEANCE 1'!$C:$C, Y$2, 'SEANCE 1'!$F:$F, Y$5)=0, "", COUNTIFS('SEANCE 1'!$B:$B, $B12, 'SEANCE 1'!$C:$C, Y$2, 'SEANCE 1'!$F:$F, Y$5))</f>
        <v/>
      </c>
      <c r="Z12" s="64" t="str">
        <f ca="1">IF(COUNTIFS('SEANCE 1'!$B:$B, $B12, 'SEANCE 1'!$C:$C, Z$2, 'SEANCE 1'!$F:$F, Z$5)=0, "", COUNTIFS('SEANCE 1'!$B:$B, $B12, 'SEANCE 1'!$C:$C, Z$2, 'SEANCE 1'!$F:$F, Z$5))</f>
        <v/>
      </c>
      <c r="AA12" s="64" t="str">
        <f ca="1">IF(COUNTIFS('SEANCE 1'!$B:$B, $B12, 'SEANCE 1'!$C:$C, AA$2, 'SEANCE 1'!$F:$F, AA$5)=0, "", COUNTIFS('SEANCE 1'!$B:$B, $B12, 'SEANCE 1'!$C:$C, AA$2, 'SEANCE 1'!$F:$F, AA$5))</f>
        <v/>
      </c>
      <c r="AB12" s="64" t="str">
        <f ca="1">IF(COUNTIFS('SEANCE 1'!$B:$B, $B12, 'SEANCE 1'!$C:$C, AB$2, 'SEANCE 1'!$F:$F, AB$5)=0, "", COUNTIFS('SEANCE 1'!$B:$B, $B12, 'SEANCE 1'!$C:$C, AB$2, 'SEANCE 1'!$F:$F, AB$5))</f>
        <v/>
      </c>
      <c r="AC12" s="64" t="str">
        <f ca="1">IF(COUNTIFS('SEANCE 1'!$B:$B, $B12, 'SEANCE 1'!$C:$C, AC$2, 'SEANCE 1'!$F:$F, AC$5)=0, "", COUNTIFS('SEANCE 1'!$B:$B, $B12, 'SEANCE 1'!$C:$C, AC$2, 'SEANCE 1'!$F:$F, AC$5))</f>
        <v/>
      </c>
      <c r="AD12" s="64" t="str">
        <f ca="1">IF(COUNTIFS('SEANCE 1'!$B:$B, $B12, 'SEANCE 1'!$C:$C, AD$2, 'SEANCE 1'!$F:$F, AD$5)=0, "", COUNTIFS('SEANCE 1'!$B:$B, $B12, 'SEANCE 1'!$C:$C, AD$2, 'SEANCE 1'!$F:$F, AD$5))</f>
        <v/>
      </c>
      <c r="AE12" s="64" t="str">
        <f ca="1">IF(COUNTIFS('SEANCE 1'!$B:$B, $B12, 'SEANCE 1'!$C:$C, AE$2, 'SEANCE 1'!$F:$F, AE$5)=0, "", COUNTIFS('SEANCE 1'!$B:$B, $B12, 'SEANCE 1'!$C:$C, AE$2, 'SEANCE 1'!$F:$F, AE$5))</f>
        <v/>
      </c>
      <c r="AF12" s="64" t="str">
        <f ca="1">IF(COUNTIFS('SEANCE 1'!$B:$B, $B12, 'SEANCE 1'!$C:$C, AF$2, 'SEANCE 1'!$F:$F, AF$5)=0, "", COUNTIFS('SEANCE 1'!$B:$B, $B12, 'SEANCE 1'!$C:$C, AF$2, 'SEANCE 1'!$F:$F, AF$5))</f>
        <v/>
      </c>
      <c r="AG12" s="64" t="str">
        <f ca="1">IF(COUNTIFS('SEANCE 1'!$B:$B, $B12, 'SEANCE 1'!$C:$C, AG$2, 'SEANCE 1'!$F:$F, AG$5)=0, "", COUNTIFS('SEANCE 1'!$B:$B, $B12, 'SEANCE 1'!$C:$C, AG$2, 'SEANCE 1'!$F:$F, AG$5))</f>
        <v/>
      </c>
      <c r="AH12" s="64" t="str">
        <f ca="1">IF(COUNTIFS('SEANCE 1'!$B:$B, $B12, 'SEANCE 1'!$C:$C, AH$2, 'SEANCE 1'!$F:$F, AH$5)=0, "", COUNTIFS('SEANCE 1'!$B:$B, $B12, 'SEANCE 1'!$C:$C, AH$2, 'SEANCE 1'!$F:$F, AH$5))</f>
        <v/>
      </c>
      <c r="AI12" s="64" t="str">
        <f ca="1">IF(COUNTIFS('SEANCE 1'!$B:$B, $B12, 'SEANCE 1'!$C:$C, AI$2, 'SEANCE 1'!$F:$F, AI$5)=0, "", COUNTIFS('SEANCE 1'!$B:$B, $B12, 'SEANCE 1'!$C:$C, AI$2, 'SEANCE 1'!$F:$F, AI$5))</f>
        <v/>
      </c>
      <c r="AJ12" s="64" t="str">
        <f ca="1">IF(COUNTIFS('SEANCE 1'!$B:$B, $B12, 'SEANCE 1'!$C:$C, AJ$2, 'SEANCE 1'!$F:$F, AJ$5)=0, "", COUNTIFS('SEANCE 1'!$B:$B, $B12, 'SEANCE 1'!$C:$C, AJ$2, 'SEANCE 1'!$F:$F, AJ$5))</f>
        <v/>
      </c>
      <c r="AK12" s="64" t="str">
        <f ca="1">IF(COUNTIFS('SEANCE 1'!$B:$B, $B12, 'SEANCE 1'!$C:$C, AK$2, 'SEANCE 1'!$F:$F, AK$5)=0, "", COUNTIFS('SEANCE 1'!$B:$B, $B12, 'SEANCE 1'!$C:$C, AK$2, 'SEANCE 1'!$F:$F, AK$5))</f>
        <v/>
      </c>
      <c r="AL12" s="64" t="str">
        <f ca="1">IF(COUNTIFS('SEANCE 1'!$B:$B, $B12, 'SEANCE 1'!$C:$C, AL$2, 'SEANCE 1'!$F:$F, AL$5)=0, "", COUNTIFS('SEANCE 1'!$B:$B, $B12, 'SEANCE 1'!$C:$C, AL$2, 'SEANCE 1'!$F:$F, AL$5))</f>
        <v/>
      </c>
      <c r="AM12" s="64" t="str">
        <f ca="1">IF(COUNTIFS('SEANCE 1'!$B:$B, $B12, 'SEANCE 1'!$C:$C, AM$2, 'SEANCE 1'!$F:$F, AM$5)=0, "", COUNTIFS('SEANCE 1'!$B:$B, $B12, 'SEANCE 1'!$C:$C, AM$2, 'SEANCE 1'!$F:$F, AM$5))</f>
        <v/>
      </c>
      <c r="AN12" s="64" t="str">
        <f ca="1">IF(COUNTIFS('SEANCE 1'!$B:$B, $B12, 'SEANCE 1'!$C:$C, AN$2, 'SEANCE 1'!$F:$F, AN$5)=0, "", COUNTIFS('SEANCE 1'!$B:$B, $B12, 'SEANCE 1'!$C:$C, AN$2, 'SEANCE 1'!$F:$F, AN$5))</f>
        <v/>
      </c>
      <c r="AO12" s="64" t="str">
        <f ca="1">IF(COUNTIFS('SEANCE 1'!$B:$B, $B12, 'SEANCE 1'!$C:$C, AO$2, 'SEANCE 1'!$F:$F, AO$5)=0, "", COUNTIFS('SEANCE 1'!$B:$B, $B12, 'SEANCE 1'!$C:$C, AO$2, 'SEANCE 1'!$F:$F, AO$5))</f>
        <v/>
      </c>
      <c r="AP12" s="64" t="str">
        <f ca="1">IF(COUNTIFS('SEANCE 1'!$B:$B, $B12, 'SEANCE 1'!$C:$C, AP$2, 'SEANCE 1'!$F:$F, AP$5)=0, "", COUNTIFS('SEANCE 1'!$B:$B, $B12, 'SEANCE 1'!$C:$C, AP$2, 'SEANCE 1'!$F:$F, AP$5))</f>
        <v/>
      </c>
      <c r="AQ12" s="64" t="str">
        <f ca="1">IF(COUNTIFS('SEANCE 1'!$B:$B, $B12, 'SEANCE 1'!$C:$C, AQ$2, 'SEANCE 1'!$F:$F, AQ$5)=0, "", COUNTIFS('SEANCE 1'!$B:$B, $B12, 'SEANCE 1'!$C:$C, AQ$2, 'SEANCE 1'!$F:$F, AQ$5))</f>
        <v/>
      </c>
      <c r="AR12" s="64" t="str">
        <f ca="1">IF(COUNTIFS('SEANCE 1'!$B:$B, $B12, 'SEANCE 1'!$C:$C, AR$2, 'SEANCE 1'!$F:$F, AR$5)=0, "", COUNTIFS('SEANCE 1'!$B:$B, $B12, 'SEANCE 1'!$C:$C, AR$2, 'SEANCE 1'!$F:$F, AR$5))</f>
        <v/>
      </c>
      <c r="AS12" s="64" t="str">
        <f ca="1">IF(COUNTIFS('SEANCE 1'!$B:$B, $B12, 'SEANCE 1'!$C:$C, AS$2, 'SEANCE 1'!$F:$F, AS$5)=0, "", COUNTIFS('SEANCE 1'!$B:$B, $B12, 'SEANCE 1'!$C:$C, AS$2, 'SEANCE 1'!$F:$F, AS$5))</f>
        <v/>
      </c>
      <c r="AT12" s="64" t="str">
        <f ca="1">IF(COUNTIFS('SEANCE 1'!$B:$B, $B12, 'SEANCE 1'!$C:$C, AT$2, 'SEANCE 1'!$F:$F, AT$5)=0, "", COUNTIFS('SEANCE 1'!$B:$B, $B12, 'SEANCE 1'!$C:$C, AT$2, 'SEANCE 1'!$F:$F, AT$5))</f>
        <v/>
      </c>
      <c r="AU12" s="64" t="str">
        <f ca="1">IF(COUNTIFS('SEANCE 1'!$B:$B, $B12, 'SEANCE 1'!$C:$C, AU$2, 'SEANCE 1'!$F:$F, AU$5)=0, "", COUNTIFS('SEANCE 1'!$B:$B, $B12, 'SEANCE 1'!$C:$C, AU$2, 'SEANCE 1'!$F:$F, AU$5))</f>
        <v/>
      </c>
      <c r="AV12" s="64" t="str">
        <f ca="1">IF(COUNTIFS('SEANCE 1'!$B:$B, $B12, 'SEANCE 1'!$C:$C, AV$2, 'SEANCE 1'!$F:$F, AV$5)=0, "", COUNTIFS('SEANCE 1'!$B:$B, $B12, 'SEANCE 1'!$C:$C, AV$2, 'SEANCE 1'!$F:$F, AV$5))</f>
        <v/>
      </c>
      <c r="AW12" s="64" t="str">
        <f ca="1">IF(COUNTIFS('SEANCE 1'!$B:$B, $B12, 'SEANCE 1'!$C:$C, AW$2, 'SEANCE 1'!$F:$F, AW$5)=0, "", COUNTIFS('SEANCE 1'!$B:$B, $B12, 'SEANCE 1'!$C:$C, AW$2, 'SEANCE 1'!$F:$F, AW$5))</f>
        <v/>
      </c>
      <c r="AX12" s="64" t="str">
        <f ca="1">IF(COUNTIFS('SEANCE 1'!$B:$B, $B12, 'SEANCE 1'!$C:$C, AX$2, 'SEANCE 1'!$F:$F, AX$5)=0, "", COUNTIFS('SEANCE 1'!$B:$B, $B12, 'SEANCE 1'!$C:$C, AX$2, 'SEANCE 1'!$F:$F, AX$5))</f>
        <v/>
      </c>
      <c r="AY12" s="64" t="str">
        <f ca="1">IF(COUNTIFS('SEANCE 1'!$B:$B, $B12, 'SEANCE 1'!$C:$C, AY$2, 'SEANCE 1'!$F:$F, AY$5)=0, "", COUNTIFS('SEANCE 1'!$B:$B, $B12, 'SEANCE 1'!$C:$C, AY$2, 'SEANCE 1'!$F:$F, AY$5))</f>
        <v/>
      </c>
      <c r="AZ12" s="32">
        <f t="shared" ca="1" si="0"/>
        <v>0</v>
      </c>
    </row>
    <row r="13" spans="1:52">
      <c r="A13" s="44">
        <f>IF('SEANCE 1'!$B9&lt;&gt;"",'SEANCE 1'!$A9,"")</f>
        <v>8</v>
      </c>
      <c r="B13" s="44" t="str">
        <f t="array" aca="1" ref="B13" ca="1">IF(ISNA(INDEX(ListeB,MATCH(0,COUNTIF($B$5:B12,ListeB),0))),"",INDEX(ListeB,MATCH(0,COUNTIF($B$5:B12,ListeB),0)))</f>
        <v/>
      </c>
      <c r="C13" s="64" t="str">
        <f ca="1">IF(COUNTIFS('SEANCE 1'!$B:$B, $B13, 'SEANCE 1'!$C:$C, C$2, 'SEANCE 1'!$F:$F, C$5)=0, "", COUNTIFS('SEANCE 1'!$B:$B, $B13, 'SEANCE 1'!$C:$C, C$2, 'SEANCE 1'!$F:$F, C$5))</f>
        <v/>
      </c>
      <c r="D13" s="64" t="str">
        <f ca="1">IF(COUNTIFS('SEANCE 1'!$B:$B, $B13, 'SEANCE 1'!$C:$C, D$2, 'SEANCE 1'!$F:$F, D$5)=0, "", COUNTIFS('SEANCE 1'!$B:$B, $B13, 'SEANCE 1'!$C:$C, D$2, 'SEANCE 1'!$F:$F, D$5))</f>
        <v/>
      </c>
      <c r="E13" s="64" t="str">
        <f ca="1">IF(COUNTIFS('SEANCE 1'!$B:$B, $B13, 'SEANCE 1'!$C:$C, E$2, 'SEANCE 1'!$F:$F, E$5)=0, "", COUNTIFS('SEANCE 1'!$B:$B, $B13, 'SEANCE 1'!$C:$C, E$2, 'SEANCE 1'!$F:$F, E$5))</f>
        <v/>
      </c>
      <c r="F13" s="64" t="str">
        <f ca="1">IF(COUNTIFS('SEANCE 1'!$B:$B, $B13, 'SEANCE 1'!$C:$C, F$2, 'SEANCE 1'!$F:$F, F$5)=0, "", COUNTIFS('SEANCE 1'!$B:$B, $B13, 'SEANCE 1'!$C:$C, F$2, 'SEANCE 1'!$F:$F, F$5))</f>
        <v/>
      </c>
      <c r="G13" s="64" t="str">
        <f ca="1">IF(COUNTIFS('SEANCE 1'!$B:$B, $B13, 'SEANCE 1'!$C:$C, G$2, 'SEANCE 1'!$F:$F, G$5)=0, "", COUNTIFS('SEANCE 1'!$B:$B, $B13, 'SEANCE 1'!$C:$C, G$2, 'SEANCE 1'!$F:$F, G$5))</f>
        <v/>
      </c>
      <c r="H13" s="64" t="str">
        <f ca="1">IF(COUNTIFS('SEANCE 1'!$B:$B, $B13, 'SEANCE 1'!$C:$C, H$2, 'SEANCE 1'!$F:$F, H$5)=0, "", COUNTIFS('SEANCE 1'!$B:$B, $B13, 'SEANCE 1'!$C:$C, H$2, 'SEANCE 1'!$F:$F, H$5))</f>
        <v/>
      </c>
      <c r="I13" s="64" t="str">
        <f ca="1">IF(COUNTIFS('SEANCE 1'!$B:$B, $B13, 'SEANCE 1'!$C:$C, I$2, 'SEANCE 1'!$F:$F, I$5)=0, "", COUNTIFS('SEANCE 1'!$B:$B, $B13, 'SEANCE 1'!$C:$C, I$2, 'SEANCE 1'!$F:$F, I$5))</f>
        <v/>
      </c>
      <c r="J13" s="64" t="str">
        <f ca="1">IF(COUNTIFS('SEANCE 1'!$B:$B, $B13, 'SEANCE 1'!$C:$C, J$2, 'SEANCE 1'!$F:$F, J$5)=0, "", COUNTIFS('SEANCE 1'!$B:$B, $B13, 'SEANCE 1'!$C:$C, J$2, 'SEANCE 1'!$F:$F, J$5))</f>
        <v/>
      </c>
      <c r="K13" s="64" t="str">
        <f ca="1">IF(COUNTIFS('SEANCE 1'!$B:$B, $B13, 'SEANCE 1'!$C:$C, K$2, 'SEANCE 1'!$F:$F, K$5)=0, "", COUNTIFS('SEANCE 1'!$B:$B, $B13, 'SEANCE 1'!$C:$C, K$2, 'SEANCE 1'!$F:$F, K$5))</f>
        <v/>
      </c>
      <c r="L13" s="64" t="str">
        <f ca="1">IF(COUNTIFS('SEANCE 1'!$B:$B, $B13, 'SEANCE 1'!$C:$C, L$2, 'SEANCE 1'!$F:$F, L$5)=0, "", COUNTIFS('SEANCE 1'!$B:$B, $B13, 'SEANCE 1'!$C:$C, L$2, 'SEANCE 1'!$F:$F, L$5))</f>
        <v/>
      </c>
      <c r="M13" s="64" t="str">
        <f ca="1">IF(COUNTIFS('SEANCE 1'!$B:$B, $B13, 'SEANCE 1'!$C:$C, M$2, 'SEANCE 1'!$F:$F, M$5)=0, "", COUNTIFS('SEANCE 1'!$B:$B, $B13, 'SEANCE 1'!$C:$C, M$2, 'SEANCE 1'!$F:$F, M$5))</f>
        <v/>
      </c>
      <c r="N13" s="64" t="str">
        <f ca="1">IF(COUNTIFS('SEANCE 1'!$B:$B, $B13, 'SEANCE 1'!$C:$C, N$2, 'SEANCE 1'!$F:$F, N$5)=0, "", COUNTIFS('SEANCE 1'!$B:$B, $B13, 'SEANCE 1'!$C:$C, N$2, 'SEANCE 1'!$F:$F, N$5))</f>
        <v/>
      </c>
      <c r="O13" s="64" t="str">
        <f ca="1">IF(COUNTIFS('SEANCE 1'!$B:$B, $B13, 'SEANCE 1'!$C:$C, O$2, 'SEANCE 1'!$F:$F, O$5)=0, "", COUNTIFS('SEANCE 1'!$B:$B, $B13, 'SEANCE 1'!$C:$C, O$2, 'SEANCE 1'!$F:$F, O$5))</f>
        <v/>
      </c>
      <c r="P13" s="64" t="str">
        <f ca="1">IF(COUNTIFS('SEANCE 1'!$B:$B, $B13, 'SEANCE 1'!$C:$C, P$2, 'SEANCE 1'!$F:$F, P$5)=0, "", COUNTIFS('SEANCE 1'!$B:$B, $B13, 'SEANCE 1'!$C:$C, P$2, 'SEANCE 1'!$F:$F, P$5))</f>
        <v/>
      </c>
      <c r="Q13" s="64" t="str">
        <f ca="1">IF(COUNTIFS('SEANCE 1'!$B:$B, $B13, 'SEANCE 1'!$C:$C, Q$2, 'SEANCE 1'!$F:$F, Q$5)=0, "", COUNTIFS('SEANCE 1'!$B:$B, $B13, 'SEANCE 1'!$C:$C, Q$2, 'SEANCE 1'!$F:$F, Q$5))</f>
        <v/>
      </c>
      <c r="R13" s="64" t="str">
        <f ca="1">IF(COUNTIFS('SEANCE 1'!$B:$B, $B13, 'SEANCE 1'!$C:$C, R$2, 'SEANCE 1'!$F:$F, R$5)=0, "", COUNTIFS('SEANCE 1'!$B:$B, $B13, 'SEANCE 1'!$C:$C, R$2, 'SEANCE 1'!$F:$F, R$5))</f>
        <v/>
      </c>
      <c r="S13" s="64" t="str">
        <f ca="1">IF(COUNTIFS('SEANCE 1'!$B:$B, $B13, 'SEANCE 1'!$C:$C, S$2, 'SEANCE 1'!$F:$F, S$5)=0, "", COUNTIFS('SEANCE 1'!$B:$B, $B13, 'SEANCE 1'!$C:$C, S$2, 'SEANCE 1'!$F:$F, S$5))</f>
        <v/>
      </c>
      <c r="T13" s="64" t="str">
        <f ca="1">IF(COUNTIFS('SEANCE 1'!$B:$B, $B13, 'SEANCE 1'!$C:$C, T$2, 'SEANCE 1'!$F:$F, T$5)=0, "", COUNTIFS('SEANCE 1'!$B:$B, $B13, 'SEANCE 1'!$C:$C, T$2, 'SEANCE 1'!$F:$F, T$5))</f>
        <v/>
      </c>
      <c r="U13" s="64" t="str">
        <f ca="1">IF(COUNTIFS('SEANCE 1'!$B:$B, $B13, 'SEANCE 1'!$C:$C, U$2, 'SEANCE 1'!$F:$F, U$5)=0, "", COUNTIFS('SEANCE 1'!$B:$B, $B13, 'SEANCE 1'!$C:$C, U$2, 'SEANCE 1'!$F:$F, U$5))</f>
        <v/>
      </c>
      <c r="V13" s="64" t="str">
        <f ca="1">IF(COUNTIFS('SEANCE 1'!$B:$B, $B13, 'SEANCE 1'!$C:$C, V$2, 'SEANCE 1'!$F:$F, V$5)=0, "", COUNTIFS('SEANCE 1'!$B:$B, $B13, 'SEANCE 1'!$C:$C, V$2, 'SEANCE 1'!$F:$F, V$5))</f>
        <v/>
      </c>
      <c r="W13" s="64" t="str">
        <f ca="1">IF(COUNTIFS('SEANCE 1'!$B:$B, $B13, 'SEANCE 1'!$C:$C, W$2, 'SEANCE 1'!$F:$F, W$5)=0, "", COUNTIFS('SEANCE 1'!$B:$B, $B13, 'SEANCE 1'!$C:$C, W$2, 'SEANCE 1'!$F:$F, W$5))</f>
        <v/>
      </c>
      <c r="X13" s="64" t="str">
        <f ca="1">IF(COUNTIFS('SEANCE 1'!$B:$B, $B13, 'SEANCE 1'!$C:$C, X$2, 'SEANCE 1'!$F:$F, X$5)=0, "", COUNTIFS('SEANCE 1'!$B:$B, $B13, 'SEANCE 1'!$C:$C, X$2, 'SEANCE 1'!$F:$F, X$5))</f>
        <v/>
      </c>
      <c r="Y13" s="64" t="str">
        <f ca="1">IF(COUNTIFS('SEANCE 1'!$B:$B, $B13, 'SEANCE 1'!$C:$C, Y$2, 'SEANCE 1'!$F:$F, Y$5)=0, "", COUNTIFS('SEANCE 1'!$B:$B, $B13, 'SEANCE 1'!$C:$C, Y$2, 'SEANCE 1'!$F:$F, Y$5))</f>
        <v/>
      </c>
      <c r="Z13" s="64" t="str">
        <f ca="1">IF(COUNTIFS('SEANCE 1'!$B:$B, $B13, 'SEANCE 1'!$C:$C, Z$2, 'SEANCE 1'!$F:$F, Z$5)=0, "", COUNTIFS('SEANCE 1'!$B:$B, $B13, 'SEANCE 1'!$C:$C, Z$2, 'SEANCE 1'!$F:$F, Z$5))</f>
        <v/>
      </c>
      <c r="AA13" s="64" t="str">
        <f ca="1">IF(COUNTIFS('SEANCE 1'!$B:$B, $B13, 'SEANCE 1'!$C:$C, AA$2, 'SEANCE 1'!$F:$F, AA$5)=0, "", COUNTIFS('SEANCE 1'!$B:$B, $B13, 'SEANCE 1'!$C:$C, AA$2, 'SEANCE 1'!$F:$F, AA$5))</f>
        <v/>
      </c>
      <c r="AB13" s="64" t="str">
        <f ca="1">IF(COUNTIFS('SEANCE 1'!$B:$B, $B13, 'SEANCE 1'!$C:$C, AB$2, 'SEANCE 1'!$F:$F, AB$5)=0, "", COUNTIFS('SEANCE 1'!$B:$B, $B13, 'SEANCE 1'!$C:$C, AB$2, 'SEANCE 1'!$F:$F, AB$5))</f>
        <v/>
      </c>
      <c r="AC13" s="64" t="str">
        <f ca="1">IF(COUNTIFS('SEANCE 1'!$B:$B, $B13, 'SEANCE 1'!$C:$C, AC$2, 'SEANCE 1'!$F:$F, AC$5)=0, "", COUNTIFS('SEANCE 1'!$B:$B, $B13, 'SEANCE 1'!$C:$C, AC$2, 'SEANCE 1'!$F:$F, AC$5))</f>
        <v/>
      </c>
      <c r="AD13" s="64" t="str">
        <f ca="1">IF(COUNTIFS('SEANCE 1'!$B:$B, $B13, 'SEANCE 1'!$C:$C, AD$2, 'SEANCE 1'!$F:$F, AD$5)=0, "", COUNTIFS('SEANCE 1'!$B:$B, $B13, 'SEANCE 1'!$C:$C, AD$2, 'SEANCE 1'!$F:$F, AD$5))</f>
        <v/>
      </c>
      <c r="AE13" s="64" t="str">
        <f ca="1">IF(COUNTIFS('SEANCE 1'!$B:$B, $B13, 'SEANCE 1'!$C:$C, AE$2, 'SEANCE 1'!$F:$F, AE$5)=0, "", COUNTIFS('SEANCE 1'!$B:$B, $B13, 'SEANCE 1'!$C:$C, AE$2, 'SEANCE 1'!$F:$F, AE$5))</f>
        <v/>
      </c>
      <c r="AF13" s="64" t="str">
        <f ca="1">IF(COUNTIFS('SEANCE 1'!$B:$B, $B13, 'SEANCE 1'!$C:$C, AF$2, 'SEANCE 1'!$F:$F, AF$5)=0, "", COUNTIFS('SEANCE 1'!$B:$B, $B13, 'SEANCE 1'!$C:$C, AF$2, 'SEANCE 1'!$F:$F, AF$5))</f>
        <v/>
      </c>
      <c r="AG13" s="64" t="str">
        <f ca="1">IF(COUNTIFS('SEANCE 1'!$B:$B, $B13, 'SEANCE 1'!$C:$C, AG$2, 'SEANCE 1'!$F:$F, AG$5)=0, "", COUNTIFS('SEANCE 1'!$B:$B, $B13, 'SEANCE 1'!$C:$C, AG$2, 'SEANCE 1'!$F:$F, AG$5))</f>
        <v/>
      </c>
      <c r="AH13" s="64" t="str">
        <f ca="1">IF(COUNTIFS('SEANCE 1'!$B:$B, $B13, 'SEANCE 1'!$C:$C, AH$2, 'SEANCE 1'!$F:$F, AH$5)=0, "", COUNTIFS('SEANCE 1'!$B:$B, $B13, 'SEANCE 1'!$C:$C, AH$2, 'SEANCE 1'!$F:$F, AH$5))</f>
        <v/>
      </c>
      <c r="AI13" s="64" t="str">
        <f ca="1">IF(COUNTIFS('SEANCE 1'!$B:$B, $B13, 'SEANCE 1'!$C:$C, AI$2, 'SEANCE 1'!$F:$F, AI$5)=0, "", COUNTIFS('SEANCE 1'!$B:$B, $B13, 'SEANCE 1'!$C:$C, AI$2, 'SEANCE 1'!$F:$F, AI$5))</f>
        <v/>
      </c>
      <c r="AJ13" s="64" t="str">
        <f ca="1">IF(COUNTIFS('SEANCE 1'!$B:$B, $B13, 'SEANCE 1'!$C:$C, AJ$2, 'SEANCE 1'!$F:$F, AJ$5)=0, "", COUNTIFS('SEANCE 1'!$B:$B, $B13, 'SEANCE 1'!$C:$C, AJ$2, 'SEANCE 1'!$F:$F, AJ$5))</f>
        <v/>
      </c>
      <c r="AK13" s="64" t="str">
        <f ca="1">IF(COUNTIFS('SEANCE 1'!$B:$B, $B13, 'SEANCE 1'!$C:$C, AK$2, 'SEANCE 1'!$F:$F, AK$5)=0, "", COUNTIFS('SEANCE 1'!$B:$B, $B13, 'SEANCE 1'!$C:$C, AK$2, 'SEANCE 1'!$F:$F, AK$5))</f>
        <v/>
      </c>
      <c r="AL13" s="64" t="str">
        <f ca="1">IF(COUNTIFS('SEANCE 1'!$B:$B, $B13, 'SEANCE 1'!$C:$C, AL$2, 'SEANCE 1'!$F:$F, AL$5)=0, "", COUNTIFS('SEANCE 1'!$B:$B, $B13, 'SEANCE 1'!$C:$C, AL$2, 'SEANCE 1'!$F:$F, AL$5))</f>
        <v/>
      </c>
      <c r="AM13" s="64" t="str">
        <f ca="1">IF(COUNTIFS('SEANCE 1'!$B:$B, $B13, 'SEANCE 1'!$C:$C, AM$2, 'SEANCE 1'!$F:$F, AM$5)=0, "", COUNTIFS('SEANCE 1'!$B:$B, $B13, 'SEANCE 1'!$C:$C, AM$2, 'SEANCE 1'!$F:$F, AM$5))</f>
        <v/>
      </c>
      <c r="AN13" s="64" t="str">
        <f ca="1">IF(COUNTIFS('SEANCE 1'!$B:$B, $B13, 'SEANCE 1'!$C:$C, AN$2, 'SEANCE 1'!$F:$F, AN$5)=0, "", COUNTIFS('SEANCE 1'!$B:$B, $B13, 'SEANCE 1'!$C:$C, AN$2, 'SEANCE 1'!$F:$F, AN$5))</f>
        <v/>
      </c>
      <c r="AO13" s="64" t="str">
        <f ca="1">IF(COUNTIFS('SEANCE 1'!$B:$B, $B13, 'SEANCE 1'!$C:$C, AO$2, 'SEANCE 1'!$F:$F, AO$5)=0, "", COUNTIFS('SEANCE 1'!$B:$B, $B13, 'SEANCE 1'!$C:$C, AO$2, 'SEANCE 1'!$F:$F, AO$5))</f>
        <v/>
      </c>
      <c r="AP13" s="64" t="str">
        <f ca="1">IF(COUNTIFS('SEANCE 1'!$B:$B, $B13, 'SEANCE 1'!$C:$C, AP$2, 'SEANCE 1'!$F:$F, AP$5)=0, "", COUNTIFS('SEANCE 1'!$B:$B, $B13, 'SEANCE 1'!$C:$C, AP$2, 'SEANCE 1'!$F:$F, AP$5))</f>
        <v/>
      </c>
      <c r="AQ13" s="64" t="str">
        <f ca="1">IF(COUNTIFS('SEANCE 1'!$B:$B, $B13, 'SEANCE 1'!$C:$C, AQ$2, 'SEANCE 1'!$F:$F, AQ$5)=0, "", COUNTIFS('SEANCE 1'!$B:$B, $B13, 'SEANCE 1'!$C:$C, AQ$2, 'SEANCE 1'!$F:$F, AQ$5))</f>
        <v/>
      </c>
      <c r="AR13" s="64" t="str">
        <f ca="1">IF(COUNTIFS('SEANCE 1'!$B:$B, $B13, 'SEANCE 1'!$C:$C, AR$2, 'SEANCE 1'!$F:$F, AR$5)=0, "", COUNTIFS('SEANCE 1'!$B:$B, $B13, 'SEANCE 1'!$C:$C, AR$2, 'SEANCE 1'!$F:$F, AR$5))</f>
        <v/>
      </c>
      <c r="AS13" s="64" t="str">
        <f ca="1">IF(COUNTIFS('SEANCE 1'!$B:$B, $B13, 'SEANCE 1'!$C:$C, AS$2, 'SEANCE 1'!$F:$F, AS$5)=0, "", COUNTIFS('SEANCE 1'!$B:$B, $B13, 'SEANCE 1'!$C:$C, AS$2, 'SEANCE 1'!$F:$F, AS$5))</f>
        <v/>
      </c>
      <c r="AT13" s="64" t="str">
        <f ca="1">IF(COUNTIFS('SEANCE 1'!$B:$B, $B13, 'SEANCE 1'!$C:$C, AT$2, 'SEANCE 1'!$F:$F, AT$5)=0, "", COUNTIFS('SEANCE 1'!$B:$B, $B13, 'SEANCE 1'!$C:$C, AT$2, 'SEANCE 1'!$F:$F, AT$5))</f>
        <v/>
      </c>
      <c r="AU13" s="64" t="str">
        <f ca="1">IF(COUNTIFS('SEANCE 1'!$B:$B, $B13, 'SEANCE 1'!$C:$C, AU$2, 'SEANCE 1'!$F:$F, AU$5)=0, "", COUNTIFS('SEANCE 1'!$B:$B, $B13, 'SEANCE 1'!$C:$C, AU$2, 'SEANCE 1'!$F:$F, AU$5))</f>
        <v/>
      </c>
      <c r="AV13" s="64" t="str">
        <f ca="1">IF(COUNTIFS('SEANCE 1'!$B:$B, $B13, 'SEANCE 1'!$C:$C, AV$2, 'SEANCE 1'!$F:$F, AV$5)=0, "", COUNTIFS('SEANCE 1'!$B:$B, $B13, 'SEANCE 1'!$C:$C, AV$2, 'SEANCE 1'!$F:$F, AV$5))</f>
        <v/>
      </c>
      <c r="AW13" s="64" t="str">
        <f ca="1">IF(COUNTIFS('SEANCE 1'!$B:$B, $B13, 'SEANCE 1'!$C:$C, AW$2, 'SEANCE 1'!$F:$F, AW$5)=0, "", COUNTIFS('SEANCE 1'!$B:$B, $B13, 'SEANCE 1'!$C:$C, AW$2, 'SEANCE 1'!$F:$F, AW$5))</f>
        <v/>
      </c>
      <c r="AX13" s="64" t="str">
        <f ca="1">IF(COUNTIFS('SEANCE 1'!$B:$B, $B13, 'SEANCE 1'!$C:$C, AX$2, 'SEANCE 1'!$F:$F, AX$5)=0, "", COUNTIFS('SEANCE 1'!$B:$B, $B13, 'SEANCE 1'!$C:$C, AX$2, 'SEANCE 1'!$F:$F, AX$5))</f>
        <v/>
      </c>
      <c r="AY13" s="64" t="str">
        <f ca="1">IF(COUNTIFS('SEANCE 1'!$B:$B, $B13, 'SEANCE 1'!$C:$C, AY$2, 'SEANCE 1'!$F:$F, AY$5)=0, "", COUNTIFS('SEANCE 1'!$B:$B, $B13, 'SEANCE 1'!$C:$C, AY$2, 'SEANCE 1'!$F:$F, AY$5))</f>
        <v/>
      </c>
      <c r="AZ13" s="32">
        <f t="shared" ca="1" si="0"/>
        <v>0</v>
      </c>
    </row>
    <row r="14" spans="1:52">
      <c r="A14" s="44">
        <f>IF('SEANCE 1'!$B10&lt;&gt;"",'SEANCE 1'!$A10,"")</f>
        <v>9</v>
      </c>
      <c r="B14" s="44" t="str">
        <f t="array" aca="1" ref="B14" ca="1">IF(ISNA(INDEX(ListeB,MATCH(0,COUNTIF($B$5:B13,ListeB),0))),"",INDEX(ListeB,MATCH(0,COUNTIF($B$5:B13,ListeB),0)))</f>
        <v/>
      </c>
      <c r="C14" s="64" t="str">
        <f ca="1">IF(COUNTIFS('SEANCE 1'!$B:$B, $B14, 'SEANCE 1'!$C:$C, C$2, 'SEANCE 1'!$F:$F, C$5)=0, "", COUNTIFS('SEANCE 1'!$B:$B, $B14, 'SEANCE 1'!$C:$C, C$2, 'SEANCE 1'!$F:$F, C$5))</f>
        <v/>
      </c>
      <c r="D14" s="64" t="str">
        <f ca="1">IF(COUNTIFS('SEANCE 1'!$B:$B, $B14, 'SEANCE 1'!$C:$C, D$2, 'SEANCE 1'!$F:$F, D$5)=0, "", COUNTIFS('SEANCE 1'!$B:$B, $B14, 'SEANCE 1'!$C:$C, D$2, 'SEANCE 1'!$F:$F, D$5))</f>
        <v/>
      </c>
      <c r="E14" s="64" t="str">
        <f ca="1">IF(COUNTIFS('SEANCE 1'!$B:$B, $B14, 'SEANCE 1'!$C:$C, E$2, 'SEANCE 1'!$F:$F, E$5)=0, "", COUNTIFS('SEANCE 1'!$B:$B, $B14, 'SEANCE 1'!$C:$C, E$2, 'SEANCE 1'!$F:$F, E$5))</f>
        <v/>
      </c>
      <c r="F14" s="64" t="str">
        <f ca="1">IF(COUNTIFS('SEANCE 1'!$B:$B, $B14, 'SEANCE 1'!$C:$C, F$2, 'SEANCE 1'!$F:$F, F$5)=0, "", COUNTIFS('SEANCE 1'!$B:$B, $B14, 'SEANCE 1'!$C:$C, F$2, 'SEANCE 1'!$F:$F, F$5))</f>
        <v/>
      </c>
      <c r="G14" s="64" t="str">
        <f ca="1">IF(COUNTIFS('SEANCE 1'!$B:$B, $B14, 'SEANCE 1'!$C:$C, G$2, 'SEANCE 1'!$F:$F, G$5)=0, "", COUNTIFS('SEANCE 1'!$B:$B, $B14, 'SEANCE 1'!$C:$C, G$2, 'SEANCE 1'!$F:$F, G$5))</f>
        <v/>
      </c>
      <c r="H14" s="64" t="str">
        <f ca="1">IF(COUNTIFS('SEANCE 1'!$B:$B, $B14, 'SEANCE 1'!$C:$C, H$2, 'SEANCE 1'!$F:$F, H$5)=0, "", COUNTIFS('SEANCE 1'!$B:$B, $B14, 'SEANCE 1'!$C:$C, H$2, 'SEANCE 1'!$F:$F, H$5))</f>
        <v/>
      </c>
      <c r="I14" s="64" t="str">
        <f ca="1">IF(COUNTIFS('SEANCE 1'!$B:$B, $B14, 'SEANCE 1'!$C:$C, I$2, 'SEANCE 1'!$F:$F, I$5)=0, "", COUNTIFS('SEANCE 1'!$B:$B, $B14, 'SEANCE 1'!$C:$C, I$2, 'SEANCE 1'!$F:$F, I$5))</f>
        <v/>
      </c>
      <c r="J14" s="64" t="str">
        <f ca="1">IF(COUNTIFS('SEANCE 1'!$B:$B, $B14, 'SEANCE 1'!$C:$C, J$2, 'SEANCE 1'!$F:$F, J$5)=0, "", COUNTIFS('SEANCE 1'!$B:$B, $B14, 'SEANCE 1'!$C:$C, J$2, 'SEANCE 1'!$F:$F, J$5))</f>
        <v/>
      </c>
      <c r="K14" s="64" t="str">
        <f ca="1">IF(COUNTIFS('SEANCE 1'!$B:$B, $B14, 'SEANCE 1'!$C:$C, K$2, 'SEANCE 1'!$F:$F, K$5)=0, "", COUNTIFS('SEANCE 1'!$B:$B, $B14, 'SEANCE 1'!$C:$C, K$2, 'SEANCE 1'!$F:$F, K$5))</f>
        <v/>
      </c>
      <c r="L14" s="64" t="str">
        <f ca="1">IF(COUNTIFS('SEANCE 1'!$B:$B, $B14, 'SEANCE 1'!$C:$C, L$2, 'SEANCE 1'!$F:$F, L$5)=0, "", COUNTIFS('SEANCE 1'!$B:$B, $B14, 'SEANCE 1'!$C:$C, L$2, 'SEANCE 1'!$F:$F, L$5))</f>
        <v/>
      </c>
      <c r="M14" s="64" t="str">
        <f ca="1">IF(COUNTIFS('SEANCE 1'!$B:$B, $B14, 'SEANCE 1'!$C:$C, M$2, 'SEANCE 1'!$F:$F, M$5)=0, "", COUNTIFS('SEANCE 1'!$B:$B, $B14, 'SEANCE 1'!$C:$C, M$2, 'SEANCE 1'!$F:$F, M$5))</f>
        <v/>
      </c>
      <c r="N14" s="64" t="str">
        <f ca="1">IF(COUNTIFS('SEANCE 1'!$B:$B, $B14, 'SEANCE 1'!$C:$C, N$2, 'SEANCE 1'!$F:$F, N$5)=0, "", COUNTIFS('SEANCE 1'!$B:$B, $B14, 'SEANCE 1'!$C:$C, N$2, 'SEANCE 1'!$F:$F, N$5))</f>
        <v/>
      </c>
      <c r="O14" s="64" t="str">
        <f ca="1">IF(COUNTIFS('SEANCE 1'!$B:$B, $B14, 'SEANCE 1'!$C:$C, O$2, 'SEANCE 1'!$F:$F, O$5)=0, "", COUNTIFS('SEANCE 1'!$B:$B, $B14, 'SEANCE 1'!$C:$C, O$2, 'SEANCE 1'!$F:$F, O$5))</f>
        <v/>
      </c>
      <c r="P14" s="64" t="str">
        <f ca="1">IF(COUNTIFS('SEANCE 1'!$B:$B, $B14, 'SEANCE 1'!$C:$C, P$2, 'SEANCE 1'!$F:$F, P$5)=0, "", COUNTIFS('SEANCE 1'!$B:$B, $B14, 'SEANCE 1'!$C:$C, P$2, 'SEANCE 1'!$F:$F, P$5))</f>
        <v/>
      </c>
      <c r="Q14" s="64" t="str">
        <f ca="1">IF(COUNTIFS('SEANCE 1'!$B:$B, $B14, 'SEANCE 1'!$C:$C, Q$2, 'SEANCE 1'!$F:$F, Q$5)=0, "", COUNTIFS('SEANCE 1'!$B:$B, $B14, 'SEANCE 1'!$C:$C, Q$2, 'SEANCE 1'!$F:$F, Q$5))</f>
        <v/>
      </c>
      <c r="R14" s="64" t="str">
        <f ca="1">IF(COUNTIFS('SEANCE 1'!$B:$B, $B14, 'SEANCE 1'!$C:$C, R$2, 'SEANCE 1'!$F:$F, R$5)=0, "", COUNTIFS('SEANCE 1'!$B:$B, $B14, 'SEANCE 1'!$C:$C, R$2, 'SEANCE 1'!$F:$F, R$5))</f>
        <v/>
      </c>
      <c r="S14" s="64" t="str">
        <f ca="1">IF(COUNTIFS('SEANCE 1'!$B:$B, $B14, 'SEANCE 1'!$C:$C, S$2, 'SEANCE 1'!$F:$F, S$5)=0, "", COUNTIFS('SEANCE 1'!$B:$B, $B14, 'SEANCE 1'!$C:$C, S$2, 'SEANCE 1'!$F:$F, S$5))</f>
        <v/>
      </c>
      <c r="T14" s="64" t="str">
        <f ca="1">IF(COUNTIFS('SEANCE 1'!$B:$B, $B14, 'SEANCE 1'!$C:$C, T$2, 'SEANCE 1'!$F:$F, T$5)=0, "", COUNTIFS('SEANCE 1'!$B:$B, $B14, 'SEANCE 1'!$C:$C, T$2, 'SEANCE 1'!$F:$F, T$5))</f>
        <v/>
      </c>
      <c r="U14" s="64" t="str">
        <f ca="1">IF(COUNTIFS('SEANCE 1'!$B:$B, $B14, 'SEANCE 1'!$C:$C, U$2, 'SEANCE 1'!$F:$F, U$5)=0, "", COUNTIFS('SEANCE 1'!$B:$B, $B14, 'SEANCE 1'!$C:$C, U$2, 'SEANCE 1'!$F:$F, U$5))</f>
        <v/>
      </c>
      <c r="V14" s="64" t="str">
        <f ca="1">IF(COUNTIFS('SEANCE 1'!$B:$B, $B14, 'SEANCE 1'!$C:$C, V$2, 'SEANCE 1'!$F:$F, V$5)=0, "", COUNTIFS('SEANCE 1'!$B:$B, $B14, 'SEANCE 1'!$C:$C, V$2, 'SEANCE 1'!$F:$F, V$5))</f>
        <v/>
      </c>
      <c r="W14" s="64" t="str">
        <f ca="1">IF(COUNTIFS('SEANCE 1'!$B:$B, $B14, 'SEANCE 1'!$C:$C, W$2, 'SEANCE 1'!$F:$F, W$5)=0, "", COUNTIFS('SEANCE 1'!$B:$B, $B14, 'SEANCE 1'!$C:$C, W$2, 'SEANCE 1'!$F:$F, W$5))</f>
        <v/>
      </c>
      <c r="X14" s="64" t="str">
        <f ca="1">IF(COUNTIFS('SEANCE 1'!$B:$B, $B14, 'SEANCE 1'!$C:$C, X$2, 'SEANCE 1'!$F:$F, X$5)=0, "", COUNTIFS('SEANCE 1'!$B:$B, $B14, 'SEANCE 1'!$C:$C, X$2, 'SEANCE 1'!$F:$F, X$5))</f>
        <v/>
      </c>
      <c r="Y14" s="64" t="str">
        <f ca="1">IF(COUNTIFS('SEANCE 1'!$B:$B, $B14, 'SEANCE 1'!$C:$C, Y$2, 'SEANCE 1'!$F:$F, Y$5)=0, "", COUNTIFS('SEANCE 1'!$B:$B, $B14, 'SEANCE 1'!$C:$C, Y$2, 'SEANCE 1'!$F:$F, Y$5))</f>
        <v/>
      </c>
      <c r="Z14" s="64" t="str">
        <f ca="1">IF(COUNTIFS('SEANCE 1'!$B:$B, $B14, 'SEANCE 1'!$C:$C, Z$2, 'SEANCE 1'!$F:$F, Z$5)=0, "", COUNTIFS('SEANCE 1'!$B:$B, $B14, 'SEANCE 1'!$C:$C, Z$2, 'SEANCE 1'!$F:$F, Z$5))</f>
        <v/>
      </c>
      <c r="AA14" s="64" t="str">
        <f ca="1">IF(COUNTIFS('SEANCE 1'!$B:$B, $B14, 'SEANCE 1'!$C:$C, AA$2, 'SEANCE 1'!$F:$F, AA$5)=0, "", COUNTIFS('SEANCE 1'!$B:$B, $B14, 'SEANCE 1'!$C:$C, AA$2, 'SEANCE 1'!$F:$F, AA$5))</f>
        <v/>
      </c>
      <c r="AB14" s="64" t="str">
        <f ca="1">IF(COUNTIFS('SEANCE 1'!$B:$B, $B14, 'SEANCE 1'!$C:$C, AB$2, 'SEANCE 1'!$F:$F, AB$5)=0, "", COUNTIFS('SEANCE 1'!$B:$B, $B14, 'SEANCE 1'!$C:$C, AB$2, 'SEANCE 1'!$F:$F, AB$5))</f>
        <v/>
      </c>
      <c r="AC14" s="64" t="str">
        <f ca="1">IF(COUNTIFS('SEANCE 1'!$B:$B, $B14, 'SEANCE 1'!$C:$C, AC$2, 'SEANCE 1'!$F:$F, AC$5)=0, "", COUNTIFS('SEANCE 1'!$B:$B, $B14, 'SEANCE 1'!$C:$C, AC$2, 'SEANCE 1'!$F:$F, AC$5))</f>
        <v/>
      </c>
      <c r="AD14" s="64" t="str">
        <f ca="1">IF(COUNTIFS('SEANCE 1'!$B:$B, $B14, 'SEANCE 1'!$C:$C, AD$2, 'SEANCE 1'!$F:$F, AD$5)=0, "", COUNTIFS('SEANCE 1'!$B:$B, $B14, 'SEANCE 1'!$C:$C, AD$2, 'SEANCE 1'!$F:$F, AD$5))</f>
        <v/>
      </c>
      <c r="AE14" s="64" t="str">
        <f ca="1">IF(COUNTIFS('SEANCE 1'!$B:$B, $B14, 'SEANCE 1'!$C:$C, AE$2, 'SEANCE 1'!$F:$F, AE$5)=0, "", COUNTIFS('SEANCE 1'!$B:$B, $B14, 'SEANCE 1'!$C:$C, AE$2, 'SEANCE 1'!$F:$F, AE$5))</f>
        <v/>
      </c>
      <c r="AF14" s="64" t="str">
        <f ca="1">IF(COUNTIFS('SEANCE 1'!$B:$B, $B14, 'SEANCE 1'!$C:$C, AF$2, 'SEANCE 1'!$F:$F, AF$5)=0, "", COUNTIFS('SEANCE 1'!$B:$B, $B14, 'SEANCE 1'!$C:$C, AF$2, 'SEANCE 1'!$F:$F, AF$5))</f>
        <v/>
      </c>
      <c r="AG14" s="64" t="str">
        <f ca="1">IF(COUNTIFS('SEANCE 1'!$B:$B, $B14, 'SEANCE 1'!$C:$C, AG$2, 'SEANCE 1'!$F:$F, AG$5)=0, "", COUNTIFS('SEANCE 1'!$B:$B, $B14, 'SEANCE 1'!$C:$C, AG$2, 'SEANCE 1'!$F:$F, AG$5))</f>
        <v/>
      </c>
      <c r="AH14" s="64" t="str">
        <f ca="1">IF(COUNTIFS('SEANCE 1'!$B:$B, $B14, 'SEANCE 1'!$C:$C, AH$2, 'SEANCE 1'!$F:$F, AH$5)=0, "", COUNTIFS('SEANCE 1'!$B:$B, $B14, 'SEANCE 1'!$C:$C, AH$2, 'SEANCE 1'!$F:$F, AH$5))</f>
        <v/>
      </c>
      <c r="AI14" s="64" t="str">
        <f ca="1">IF(COUNTIFS('SEANCE 1'!$B:$B, $B14, 'SEANCE 1'!$C:$C, AI$2, 'SEANCE 1'!$F:$F, AI$5)=0, "", COUNTIFS('SEANCE 1'!$B:$B, $B14, 'SEANCE 1'!$C:$C, AI$2, 'SEANCE 1'!$F:$F, AI$5))</f>
        <v/>
      </c>
      <c r="AJ14" s="64" t="str">
        <f ca="1">IF(COUNTIFS('SEANCE 1'!$B:$B, $B14, 'SEANCE 1'!$C:$C, AJ$2, 'SEANCE 1'!$F:$F, AJ$5)=0, "", COUNTIFS('SEANCE 1'!$B:$B, $B14, 'SEANCE 1'!$C:$C, AJ$2, 'SEANCE 1'!$F:$F, AJ$5))</f>
        <v/>
      </c>
      <c r="AK14" s="64" t="str">
        <f ca="1">IF(COUNTIFS('SEANCE 1'!$B:$B, $B14, 'SEANCE 1'!$C:$C, AK$2, 'SEANCE 1'!$F:$F, AK$5)=0, "", COUNTIFS('SEANCE 1'!$B:$B, $B14, 'SEANCE 1'!$C:$C, AK$2, 'SEANCE 1'!$F:$F, AK$5))</f>
        <v/>
      </c>
      <c r="AL14" s="64" t="str">
        <f ca="1">IF(COUNTIFS('SEANCE 1'!$B:$B, $B14, 'SEANCE 1'!$C:$C, AL$2, 'SEANCE 1'!$F:$F, AL$5)=0, "", COUNTIFS('SEANCE 1'!$B:$B, $B14, 'SEANCE 1'!$C:$C, AL$2, 'SEANCE 1'!$F:$F, AL$5))</f>
        <v/>
      </c>
      <c r="AM14" s="64" t="str">
        <f ca="1">IF(COUNTIFS('SEANCE 1'!$B:$B, $B14, 'SEANCE 1'!$C:$C, AM$2, 'SEANCE 1'!$F:$F, AM$5)=0, "", COUNTIFS('SEANCE 1'!$B:$B, $B14, 'SEANCE 1'!$C:$C, AM$2, 'SEANCE 1'!$F:$F, AM$5))</f>
        <v/>
      </c>
      <c r="AN14" s="64" t="str">
        <f ca="1">IF(COUNTIFS('SEANCE 1'!$B:$B, $B14, 'SEANCE 1'!$C:$C, AN$2, 'SEANCE 1'!$F:$F, AN$5)=0, "", COUNTIFS('SEANCE 1'!$B:$B, $B14, 'SEANCE 1'!$C:$C, AN$2, 'SEANCE 1'!$F:$F, AN$5))</f>
        <v/>
      </c>
      <c r="AO14" s="64" t="str">
        <f ca="1">IF(COUNTIFS('SEANCE 1'!$B:$B, $B14, 'SEANCE 1'!$C:$C, AO$2, 'SEANCE 1'!$F:$F, AO$5)=0, "", COUNTIFS('SEANCE 1'!$B:$B, $B14, 'SEANCE 1'!$C:$C, AO$2, 'SEANCE 1'!$F:$F, AO$5))</f>
        <v/>
      </c>
      <c r="AP14" s="64" t="str">
        <f ca="1">IF(COUNTIFS('SEANCE 1'!$B:$B, $B14, 'SEANCE 1'!$C:$C, AP$2, 'SEANCE 1'!$F:$F, AP$5)=0, "", COUNTIFS('SEANCE 1'!$B:$B, $B14, 'SEANCE 1'!$C:$C, AP$2, 'SEANCE 1'!$F:$F, AP$5))</f>
        <v/>
      </c>
      <c r="AQ14" s="64" t="str">
        <f ca="1">IF(COUNTIFS('SEANCE 1'!$B:$B, $B14, 'SEANCE 1'!$C:$C, AQ$2, 'SEANCE 1'!$F:$F, AQ$5)=0, "", COUNTIFS('SEANCE 1'!$B:$B, $B14, 'SEANCE 1'!$C:$C, AQ$2, 'SEANCE 1'!$F:$F, AQ$5))</f>
        <v/>
      </c>
      <c r="AR14" s="64" t="str">
        <f ca="1">IF(COUNTIFS('SEANCE 1'!$B:$B, $B14, 'SEANCE 1'!$C:$C, AR$2, 'SEANCE 1'!$F:$F, AR$5)=0, "", COUNTIFS('SEANCE 1'!$B:$B, $B14, 'SEANCE 1'!$C:$C, AR$2, 'SEANCE 1'!$F:$F, AR$5))</f>
        <v/>
      </c>
      <c r="AS14" s="64" t="str">
        <f ca="1">IF(COUNTIFS('SEANCE 1'!$B:$B, $B14, 'SEANCE 1'!$C:$C, AS$2, 'SEANCE 1'!$F:$F, AS$5)=0, "", COUNTIFS('SEANCE 1'!$B:$B, $B14, 'SEANCE 1'!$C:$C, AS$2, 'SEANCE 1'!$F:$F, AS$5))</f>
        <v/>
      </c>
      <c r="AT14" s="64" t="str">
        <f ca="1">IF(COUNTIFS('SEANCE 1'!$B:$B, $B14, 'SEANCE 1'!$C:$C, AT$2, 'SEANCE 1'!$F:$F, AT$5)=0, "", COUNTIFS('SEANCE 1'!$B:$B, $B14, 'SEANCE 1'!$C:$C, AT$2, 'SEANCE 1'!$F:$F, AT$5))</f>
        <v/>
      </c>
      <c r="AU14" s="64" t="str">
        <f ca="1">IF(COUNTIFS('SEANCE 1'!$B:$B, $B14, 'SEANCE 1'!$C:$C, AU$2, 'SEANCE 1'!$F:$F, AU$5)=0, "", COUNTIFS('SEANCE 1'!$B:$B, $B14, 'SEANCE 1'!$C:$C, AU$2, 'SEANCE 1'!$F:$F, AU$5))</f>
        <v/>
      </c>
      <c r="AV14" s="64" t="str">
        <f ca="1">IF(COUNTIFS('SEANCE 1'!$B:$B, $B14, 'SEANCE 1'!$C:$C, AV$2, 'SEANCE 1'!$F:$F, AV$5)=0, "", COUNTIFS('SEANCE 1'!$B:$B, $B14, 'SEANCE 1'!$C:$C, AV$2, 'SEANCE 1'!$F:$F, AV$5))</f>
        <v/>
      </c>
      <c r="AW14" s="64" t="str">
        <f ca="1">IF(COUNTIFS('SEANCE 1'!$B:$B, $B14, 'SEANCE 1'!$C:$C, AW$2, 'SEANCE 1'!$F:$F, AW$5)=0, "", COUNTIFS('SEANCE 1'!$B:$B, $B14, 'SEANCE 1'!$C:$C, AW$2, 'SEANCE 1'!$F:$F, AW$5))</f>
        <v/>
      </c>
      <c r="AX14" s="64" t="str">
        <f ca="1">IF(COUNTIFS('SEANCE 1'!$B:$B, $B14, 'SEANCE 1'!$C:$C, AX$2, 'SEANCE 1'!$F:$F, AX$5)=0, "", COUNTIFS('SEANCE 1'!$B:$B, $B14, 'SEANCE 1'!$C:$C, AX$2, 'SEANCE 1'!$F:$F, AX$5))</f>
        <v/>
      </c>
      <c r="AY14" s="64" t="str">
        <f ca="1">IF(COUNTIFS('SEANCE 1'!$B:$B, $B14, 'SEANCE 1'!$C:$C, AY$2, 'SEANCE 1'!$F:$F, AY$5)=0, "", COUNTIFS('SEANCE 1'!$B:$B, $B14, 'SEANCE 1'!$C:$C, AY$2, 'SEANCE 1'!$F:$F, AY$5))</f>
        <v/>
      </c>
      <c r="AZ14" s="32">
        <f t="shared" ca="1" si="0"/>
        <v>0</v>
      </c>
    </row>
    <row r="15" spans="1:52">
      <c r="A15" s="44">
        <f>IF('SEANCE 1'!$B11&lt;&gt;"",'SEANCE 1'!$A11,"")</f>
        <v>10</v>
      </c>
      <c r="B15" s="44" t="str">
        <f t="array" aca="1" ref="B15" ca="1">IF(ISNA(INDEX(ListeB,MATCH(0,COUNTIF($B$5:B14,ListeB),0))),"",INDEX(ListeB,MATCH(0,COUNTIF($B$5:B14,ListeB),0)))</f>
        <v/>
      </c>
      <c r="C15" s="64" t="str">
        <f ca="1">IF(COUNTIFS('SEANCE 1'!$B:$B, $B15, 'SEANCE 1'!$C:$C, C$2, 'SEANCE 1'!$F:$F, C$5)=0, "", COUNTIFS('SEANCE 1'!$B:$B, $B15, 'SEANCE 1'!$C:$C, C$2, 'SEANCE 1'!$F:$F, C$5))</f>
        <v/>
      </c>
      <c r="D15" s="64" t="str">
        <f ca="1">IF(COUNTIFS('SEANCE 1'!$B:$B, $B15, 'SEANCE 1'!$C:$C, D$2, 'SEANCE 1'!$F:$F, D$5)=0, "", COUNTIFS('SEANCE 1'!$B:$B, $B15, 'SEANCE 1'!$C:$C, D$2, 'SEANCE 1'!$F:$F, D$5))</f>
        <v/>
      </c>
      <c r="E15" s="64" t="str">
        <f ca="1">IF(COUNTIFS('SEANCE 1'!$B:$B, $B15, 'SEANCE 1'!$C:$C, E$2, 'SEANCE 1'!$F:$F, E$5)=0, "", COUNTIFS('SEANCE 1'!$B:$B, $B15, 'SEANCE 1'!$C:$C, E$2, 'SEANCE 1'!$F:$F, E$5))</f>
        <v/>
      </c>
      <c r="F15" s="64" t="str">
        <f ca="1">IF(COUNTIFS('SEANCE 1'!$B:$B, $B15, 'SEANCE 1'!$C:$C, F$2, 'SEANCE 1'!$F:$F, F$5)=0, "", COUNTIFS('SEANCE 1'!$B:$B, $B15, 'SEANCE 1'!$C:$C, F$2, 'SEANCE 1'!$F:$F, F$5))</f>
        <v/>
      </c>
      <c r="G15" s="64" t="str">
        <f ca="1">IF(COUNTIFS('SEANCE 1'!$B:$B, $B15, 'SEANCE 1'!$C:$C, G$2, 'SEANCE 1'!$F:$F, G$5)=0, "", COUNTIFS('SEANCE 1'!$B:$B, $B15, 'SEANCE 1'!$C:$C, G$2, 'SEANCE 1'!$F:$F, G$5))</f>
        <v/>
      </c>
      <c r="H15" s="64" t="str">
        <f ca="1">IF(COUNTIFS('SEANCE 1'!$B:$B, $B15, 'SEANCE 1'!$C:$C, H$2, 'SEANCE 1'!$F:$F, H$5)=0, "", COUNTIFS('SEANCE 1'!$B:$B, $B15, 'SEANCE 1'!$C:$C, H$2, 'SEANCE 1'!$F:$F, H$5))</f>
        <v/>
      </c>
      <c r="I15" s="64" t="str">
        <f ca="1">IF(COUNTIFS('SEANCE 1'!$B:$B, $B15, 'SEANCE 1'!$C:$C, I$2, 'SEANCE 1'!$F:$F, I$5)=0, "", COUNTIFS('SEANCE 1'!$B:$B, $B15, 'SEANCE 1'!$C:$C, I$2, 'SEANCE 1'!$F:$F, I$5))</f>
        <v/>
      </c>
      <c r="J15" s="64" t="str">
        <f ca="1">IF(COUNTIFS('SEANCE 1'!$B:$B, $B15, 'SEANCE 1'!$C:$C, J$2, 'SEANCE 1'!$F:$F, J$5)=0, "", COUNTIFS('SEANCE 1'!$B:$B, $B15, 'SEANCE 1'!$C:$C, J$2, 'SEANCE 1'!$F:$F, J$5))</f>
        <v/>
      </c>
      <c r="K15" s="64" t="str">
        <f ca="1">IF(COUNTIFS('SEANCE 1'!$B:$B, $B15, 'SEANCE 1'!$C:$C, K$2, 'SEANCE 1'!$F:$F, K$5)=0, "", COUNTIFS('SEANCE 1'!$B:$B, $B15, 'SEANCE 1'!$C:$C, K$2, 'SEANCE 1'!$F:$F, K$5))</f>
        <v/>
      </c>
      <c r="L15" s="64" t="str">
        <f ca="1">IF(COUNTIFS('SEANCE 1'!$B:$B, $B15, 'SEANCE 1'!$C:$C, L$2, 'SEANCE 1'!$F:$F, L$5)=0, "", COUNTIFS('SEANCE 1'!$B:$B, $B15, 'SEANCE 1'!$C:$C, L$2, 'SEANCE 1'!$F:$F, L$5))</f>
        <v/>
      </c>
      <c r="M15" s="64" t="str">
        <f ca="1">IF(COUNTIFS('SEANCE 1'!$B:$B, $B15, 'SEANCE 1'!$C:$C, M$2, 'SEANCE 1'!$F:$F, M$5)=0, "", COUNTIFS('SEANCE 1'!$B:$B, $B15, 'SEANCE 1'!$C:$C, M$2, 'SEANCE 1'!$F:$F, M$5))</f>
        <v/>
      </c>
      <c r="N15" s="64" t="str">
        <f ca="1">IF(COUNTIFS('SEANCE 1'!$B:$B, $B15, 'SEANCE 1'!$C:$C, N$2, 'SEANCE 1'!$F:$F, N$5)=0, "", COUNTIFS('SEANCE 1'!$B:$B, $B15, 'SEANCE 1'!$C:$C, N$2, 'SEANCE 1'!$F:$F, N$5))</f>
        <v/>
      </c>
      <c r="O15" s="64" t="str">
        <f ca="1">IF(COUNTIFS('SEANCE 1'!$B:$B, $B15, 'SEANCE 1'!$C:$C, O$2, 'SEANCE 1'!$F:$F, O$5)=0, "", COUNTIFS('SEANCE 1'!$B:$B, $B15, 'SEANCE 1'!$C:$C, O$2, 'SEANCE 1'!$F:$F, O$5))</f>
        <v/>
      </c>
      <c r="P15" s="64" t="str">
        <f ca="1">IF(COUNTIFS('SEANCE 1'!$B:$B, $B15, 'SEANCE 1'!$C:$C, P$2, 'SEANCE 1'!$F:$F, P$5)=0, "", COUNTIFS('SEANCE 1'!$B:$B, $B15, 'SEANCE 1'!$C:$C, P$2, 'SEANCE 1'!$F:$F, P$5))</f>
        <v/>
      </c>
      <c r="Q15" s="64" t="str">
        <f ca="1">IF(COUNTIFS('SEANCE 1'!$B:$B, $B15, 'SEANCE 1'!$C:$C, Q$2, 'SEANCE 1'!$F:$F, Q$5)=0, "", COUNTIFS('SEANCE 1'!$B:$B, $B15, 'SEANCE 1'!$C:$C, Q$2, 'SEANCE 1'!$F:$F, Q$5))</f>
        <v/>
      </c>
      <c r="R15" s="64" t="str">
        <f ca="1">IF(COUNTIFS('SEANCE 1'!$B:$B, $B15, 'SEANCE 1'!$C:$C, R$2, 'SEANCE 1'!$F:$F, R$5)=0, "", COUNTIFS('SEANCE 1'!$B:$B, $B15, 'SEANCE 1'!$C:$C, R$2, 'SEANCE 1'!$F:$F, R$5))</f>
        <v/>
      </c>
      <c r="S15" s="64" t="str">
        <f ca="1">IF(COUNTIFS('SEANCE 1'!$B:$B, $B15, 'SEANCE 1'!$C:$C, S$2, 'SEANCE 1'!$F:$F, S$5)=0, "", COUNTIFS('SEANCE 1'!$B:$B, $B15, 'SEANCE 1'!$C:$C, S$2, 'SEANCE 1'!$F:$F, S$5))</f>
        <v/>
      </c>
      <c r="T15" s="64" t="str">
        <f ca="1">IF(COUNTIFS('SEANCE 1'!$B:$B, $B15, 'SEANCE 1'!$C:$C, T$2, 'SEANCE 1'!$F:$F, T$5)=0, "", COUNTIFS('SEANCE 1'!$B:$B, $B15, 'SEANCE 1'!$C:$C, T$2, 'SEANCE 1'!$F:$F, T$5))</f>
        <v/>
      </c>
      <c r="U15" s="64" t="str">
        <f ca="1">IF(COUNTIFS('SEANCE 1'!$B:$B, $B15, 'SEANCE 1'!$C:$C, U$2, 'SEANCE 1'!$F:$F, U$5)=0, "", COUNTIFS('SEANCE 1'!$B:$B, $B15, 'SEANCE 1'!$C:$C, U$2, 'SEANCE 1'!$F:$F, U$5))</f>
        <v/>
      </c>
      <c r="V15" s="64" t="str">
        <f ca="1">IF(COUNTIFS('SEANCE 1'!$B:$B, $B15, 'SEANCE 1'!$C:$C, V$2, 'SEANCE 1'!$F:$F, V$5)=0, "", COUNTIFS('SEANCE 1'!$B:$B, $B15, 'SEANCE 1'!$C:$C, V$2, 'SEANCE 1'!$F:$F, V$5))</f>
        <v/>
      </c>
      <c r="W15" s="64" t="str">
        <f ca="1">IF(COUNTIFS('SEANCE 1'!$B:$B, $B15, 'SEANCE 1'!$C:$C, W$2, 'SEANCE 1'!$F:$F, W$5)=0, "", COUNTIFS('SEANCE 1'!$B:$B, $B15, 'SEANCE 1'!$C:$C, W$2, 'SEANCE 1'!$F:$F, W$5))</f>
        <v/>
      </c>
      <c r="X15" s="64" t="str">
        <f ca="1">IF(COUNTIFS('SEANCE 1'!$B:$B, $B15, 'SEANCE 1'!$C:$C, X$2, 'SEANCE 1'!$F:$F, X$5)=0, "", COUNTIFS('SEANCE 1'!$B:$B, $B15, 'SEANCE 1'!$C:$C, X$2, 'SEANCE 1'!$F:$F, X$5))</f>
        <v/>
      </c>
      <c r="Y15" s="64" t="str">
        <f ca="1">IF(COUNTIFS('SEANCE 1'!$B:$B, $B15, 'SEANCE 1'!$C:$C, Y$2, 'SEANCE 1'!$F:$F, Y$5)=0, "", COUNTIFS('SEANCE 1'!$B:$B, $B15, 'SEANCE 1'!$C:$C, Y$2, 'SEANCE 1'!$F:$F, Y$5))</f>
        <v/>
      </c>
      <c r="Z15" s="64" t="str">
        <f ca="1">IF(COUNTIFS('SEANCE 1'!$B:$B, $B15, 'SEANCE 1'!$C:$C, Z$2, 'SEANCE 1'!$F:$F, Z$5)=0, "", COUNTIFS('SEANCE 1'!$B:$B, $B15, 'SEANCE 1'!$C:$C, Z$2, 'SEANCE 1'!$F:$F, Z$5))</f>
        <v/>
      </c>
      <c r="AA15" s="64" t="str">
        <f ca="1">IF(COUNTIFS('SEANCE 1'!$B:$B, $B15, 'SEANCE 1'!$C:$C, AA$2, 'SEANCE 1'!$F:$F, AA$5)=0, "", COUNTIFS('SEANCE 1'!$B:$B, $B15, 'SEANCE 1'!$C:$C, AA$2, 'SEANCE 1'!$F:$F, AA$5))</f>
        <v/>
      </c>
      <c r="AB15" s="64" t="str">
        <f ca="1">IF(COUNTIFS('SEANCE 1'!$B:$B, $B15, 'SEANCE 1'!$C:$C, AB$2, 'SEANCE 1'!$F:$F, AB$5)=0, "", COUNTIFS('SEANCE 1'!$B:$B, $B15, 'SEANCE 1'!$C:$C, AB$2, 'SEANCE 1'!$F:$F, AB$5))</f>
        <v/>
      </c>
      <c r="AC15" s="64" t="str">
        <f ca="1">IF(COUNTIFS('SEANCE 1'!$B:$B, $B15, 'SEANCE 1'!$C:$C, AC$2, 'SEANCE 1'!$F:$F, AC$5)=0, "", COUNTIFS('SEANCE 1'!$B:$B, $B15, 'SEANCE 1'!$C:$C, AC$2, 'SEANCE 1'!$F:$F, AC$5))</f>
        <v/>
      </c>
      <c r="AD15" s="64" t="str">
        <f ca="1">IF(COUNTIFS('SEANCE 1'!$B:$B, $B15, 'SEANCE 1'!$C:$C, AD$2, 'SEANCE 1'!$F:$F, AD$5)=0, "", COUNTIFS('SEANCE 1'!$B:$B, $B15, 'SEANCE 1'!$C:$C, AD$2, 'SEANCE 1'!$F:$F, AD$5))</f>
        <v/>
      </c>
      <c r="AE15" s="64" t="str">
        <f ca="1">IF(COUNTIFS('SEANCE 1'!$B:$B, $B15, 'SEANCE 1'!$C:$C, AE$2, 'SEANCE 1'!$F:$F, AE$5)=0, "", COUNTIFS('SEANCE 1'!$B:$B, $B15, 'SEANCE 1'!$C:$C, AE$2, 'SEANCE 1'!$F:$F, AE$5))</f>
        <v/>
      </c>
      <c r="AF15" s="64" t="str">
        <f ca="1">IF(COUNTIFS('SEANCE 1'!$B:$B, $B15, 'SEANCE 1'!$C:$C, AF$2, 'SEANCE 1'!$F:$F, AF$5)=0, "", COUNTIFS('SEANCE 1'!$B:$B, $B15, 'SEANCE 1'!$C:$C, AF$2, 'SEANCE 1'!$F:$F, AF$5))</f>
        <v/>
      </c>
      <c r="AG15" s="64" t="str">
        <f ca="1">IF(COUNTIFS('SEANCE 1'!$B:$B, $B15, 'SEANCE 1'!$C:$C, AG$2, 'SEANCE 1'!$F:$F, AG$5)=0, "", COUNTIFS('SEANCE 1'!$B:$B, $B15, 'SEANCE 1'!$C:$C, AG$2, 'SEANCE 1'!$F:$F, AG$5))</f>
        <v/>
      </c>
      <c r="AH15" s="64" t="str">
        <f ca="1">IF(COUNTIFS('SEANCE 1'!$B:$B, $B15, 'SEANCE 1'!$C:$C, AH$2, 'SEANCE 1'!$F:$F, AH$5)=0, "", COUNTIFS('SEANCE 1'!$B:$B, $B15, 'SEANCE 1'!$C:$C, AH$2, 'SEANCE 1'!$F:$F, AH$5))</f>
        <v/>
      </c>
      <c r="AI15" s="64" t="str">
        <f ca="1">IF(COUNTIFS('SEANCE 1'!$B:$B, $B15, 'SEANCE 1'!$C:$C, AI$2, 'SEANCE 1'!$F:$F, AI$5)=0, "", COUNTIFS('SEANCE 1'!$B:$B, $B15, 'SEANCE 1'!$C:$C, AI$2, 'SEANCE 1'!$F:$F, AI$5))</f>
        <v/>
      </c>
      <c r="AJ15" s="64" t="str">
        <f ca="1">IF(COUNTIFS('SEANCE 1'!$B:$B, $B15, 'SEANCE 1'!$C:$C, AJ$2, 'SEANCE 1'!$F:$F, AJ$5)=0, "", COUNTIFS('SEANCE 1'!$B:$B, $B15, 'SEANCE 1'!$C:$C, AJ$2, 'SEANCE 1'!$F:$F, AJ$5))</f>
        <v/>
      </c>
      <c r="AK15" s="64" t="str">
        <f ca="1">IF(COUNTIFS('SEANCE 1'!$B:$B, $B15, 'SEANCE 1'!$C:$C, AK$2, 'SEANCE 1'!$F:$F, AK$5)=0, "", COUNTIFS('SEANCE 1'!$B:$B, $B15, 'SEANCE 1'!$C:$C, AK$2, 'SEANCE 1'!$F:$F, AK$5))</f>
        <v/>
      </c>
      <c r="AL15" s="64" t="str">
        <f ca="1">IF(COUNTIFS('SEANCE 1'!$B:$B, $B15, 'SEANCE 1'!$C:$C, AL$2, 'SEANCE 1'!$F:$F, AL$5)=0, "", COUNTIFS('SEANCE 1'!$B:$B, $B15, 'SEANCE 1'!$C:$C, AL$2, 'SEANCE 1'!$F:$F, AL$5))</f>
        <v/>
      </c>
      <c r="AM15" s="64" t="str">
        <f ca="1">IF(COUNTIFS('SEANCE 1'!$B:$B, $B15, 'SEANCE 1'!$C:$C, AM$2, 'SEANCE 1'!$F:$F, AM$5)=0, "", COUNTIFS('SEANCE 1'!$B:$B, $B15, 'SEANCE 1'!$C:$C, AM$2, 'SEANCE 1'!$F:$F, AM$5))</f>
        <v/>
      </c>
      <c r="AN15" s="64" t="str">
        <f ca="1">IF(COUNTIFS('SEANCE 1'!$B:$B, $B15, 'SEANCE 1'!$C:$C, AN$2, 'SEANCE 1'!$F:$F, AN$5)=0, "", COUNTIFS('SEANCE 1'!$B:$B, $B15, 'SEANCE 1'!$C:$C, AN$2, 'SEANCE 1'!$F:$F, AN$5))</f>
        <v/>
      </c>
      <c r="AO15" s="64" t="str">
        <f ca="1">IF(COUNTIFS('SEANCE 1'!$B:$B, $B15, 'SEANCE 1'!$C:$C, AO$2, 'SEANCE 1'!$F:$F, AO$5)=0, "", COUNTIFS('SEANCE 1'!$B:$B, $B15, 'SEANCE 1'!$C:$C, AO$2, 'SEANCE 1'!$F:$F, AO$5))</f>
        <v/>
      </c>
      <c r="AP15" s="64" t="str">
        <f ca="1">IF(COUNTIFS('SEANCE 1'!$B:$B, $B15, 'SEANCE 1'!$C:$C, AP$2, 'SEANCE 1'!$F:$F, AP$5)=0, "", COUNTIFS('SEANCE 1'!$B:$B, $B15, 'SEANCE 1'!$C:$C, AP$2, 'SEANCE 1'!$F:$F, AP$5))</f>
        <v/>
      </c>
      <c r="AQ15" s="64" t="str">
        <f ca="1">IF(COUNTIFS('SEANCE 1'!$B:$B, $B15, 'SEANCE 1'!$C:$C, AQ$2, 'SEANCE 1'!$F:$F, AQ$5)=0, "", COUNTIFS('SEANCE 1'!$B:$B, $B15, 'SEANCE 1'!$C:$C, AQ$2, 'SEANCE 1'!$F:$F, AQ$5))</f>
        <v/>
      </c>
      <c r="AR15" s="64" t="str">
        <f ca="1">IF(COUNTIFS('SEANCE 1'!$B:$B, $B15, 'SEANCE 1'!$C:$C, AR$2, 'SEANCE 1'!$F:$F, AR$5)=0, "", COUNTIFS('SEANCE 1'!$B:$B, $B15, 'SEANCE 1'!$C:$C, AR$2, 'SEANCE 1'!$F:$F, AR$5))</f>
        <v/>
      </c>
      <c r="AS15" s="64" t="str">
        <f ca="1">IF(COUNTIFS('SEANCE 1'!$B:$B, $B15, 'SEANCE 1'!$C:$C, AS$2, 'SEANCE 1'!$F:$F, AS$5)=0, "", COUNTIFS('SEANCE 1'!$B:$B, $B15, 'SEANCE 1'!$C:$C, AS$2, 'SEANCE 1'!$F:$F, AS$5))</f>
        <v/>
      </c>
      <c r="AT15" s="64" t="str">
        <f ca="1">IF(COUNTIFS('SEANCE 1'!$B:$B, $B15, 'SEANCE 1'!$C:$C, AT$2, 'SEANCE 1'!$F:$F, AT$5)=0, "", COUNTIFS('SEANCE 1'!$B:$B, $B15, 'SEANCE 1'!$C:$C, AT$2, 'SEANCE 1'!$F:$F, AT$5))</f>
        <v/>
      </c>
      <c r="AU15" s="64" t="str">
        <f ca="1">IF(COUNTIFS('SEANCE 1'!$B:$B, $B15, 'SEANCE 1'!$C:$C, AU$2, 'SEANCE 1'!$F:$F, AU$5)=0, "", COUNTIFS('SEANCE 1'!$B:$B, $B15, 'SEANCE 1'!$C:$C, AU$2, 'SEANCE 1'!$F:$F, AU$5))</f>
        <v/>
      </c>
      <c r="AV15" s="64" t="str">
        <f ca="1">IF(COUNTIFS('SEANCE 1'!$B:$B, $B15, 'SEANCE 1'!$C:$C, AV$2, 'SEANCE 1'!$F:$F, AV$5)=0, "", COUNTIFS('SEANCE 1'!$B:$B, $B15, 'SEANCE 1'!$C:$C, AV$2, 'SEANCE 1'!$F:$F, AV$5))</f>
        <v/>
      </c>
      <c r="AW15" s="64" t="str">
        <f ca="1">IF(COUNTIFS('SEANCE 1'!$B:$B, $B15, 'SEANCE 1'!$C:$C, AW$2, 'SEANCE 1'!$F:$F, AW$5)=0, "", COUNTIFS('SEANCE 1'!$B:$B, $B15, 'SEANCE 1'!$C:$C, AW$2, 'SEANCE 1'!$F:$F, AW$5))</f>
        <v/>
      </c>
      <c r="AX15" s="64" t="str">
        <f ca="1">IF(COUNTIFS('SEANCE 1'!$B:$B, $B15, 'SEANCE 1'!$C:$C, AX$2, 'SEANCE 1'!$F:$F, AX$5)=0, "", COUNTIFS('SEANCE 1'!$B:$B, $B15, 'SEANCE 1'!$C:$C, AX$2, 'SEANCE 1'!$F:$F, AX$5))</f>
        <v/>
      </c>
      <c r="AY15" s="64" t="str">
        <f ca="1">IF(COUNTIFS('SEANCE 1'!$B:$B, $B15, 'SEANCE 1'!$C:$C, AY$2, 'SEANCE 1'!$F:$F, AY$5)=0, "", COUNTIFS('SEANCE 1'!$B:$B, $B15, 'SEANCE 1'!$C:$C, AY$2, 'SEANCE 1'!$F:$F, AY$5))</f>
        <v/>
      </c>
      <c r="AZ15" s="32">
        <f t="shared" ca="1" si="0"/>
        <v>0</v>
      </c>
    </row>
    <row r="16" spans="1:52">
      <c r="A16" s="44" t="str">
        <f>IF('SEANCE 1'!$B12&lt;&gt;"",'SEANCE 1'!$A12,"")</f>
        <v/>
      </c>
      <c r="B16" s="44" t="str">
        <f t="array" aca="1" ref="B16" ca="1">IF(ISNA(INDEX(ListeB,MATCH(0,COUNTIF($B$5:B15,ListeB),0))),"",INDEX(ListeB,MATCH(0,COUNTIF($B$5:B15,ListeB),0)))</f>
        <v/>
      </c>
      <c r="C16" s="64" t="str">
        <f ca="1">IF(COUNTIFS('SEANCE 1'!$B:$B, $B16, 'SEANCE 1'!$C:$C, C$2, 'SEANCE 1'!$F:$F, C$5)=0, "", COUNTIFS('SEANCE 1'!$B:$B, $B16, 'SEANCE 1'!$C:$C, C$2, 'SEANCE 1'!$F:$F, C$5))</f>
        <v/>
      </c>
      <c r="D16" s="64" t="str">
        <f ca="1">IF(COUNTIFS('SEANCE 1'!$B:$B, $B16, 'SEANCE 1'!$C:$C, D$2, 'SEANCE 1'!$F:$F, D$5)=0, "", COUNTIFS('SEANCE 1'!$B:$B, $B16, 'SEANCE 1'!$C:$C, D$2, 'SEANCE 1'!$F:$F, D$5))</f>
        <v/>
      </c>
      <c r="E16" s="64" t="str">
        <f ca="1">IF(COUNTIFS('SEANCE 1'!$B:$B, $B16, 'SEANCE 1'!$C:$C, E$2, 'SEANCE 1'!$F:$F, E$5)=0, "", COUNTIFS('SEANCE 1'!$B:$B, $B16, 'SEANCE 1'!$C:$C, E$2, 'SEANCE 1'!$F:$F, E$5))</f>
        <v/>
      </c>
      <c r="F16" s="64" t="str">
        <f ca="1">IF(COUNTIFS('SEANCE 1'!$B:$B, $B16, 'SEANCE 1'!$C:$C, F$2, 'SEANCE 1'!$F:$F, F$5)=0, "", COUNTIFS('SEANCE 1'!$B:$B, $B16, 'SEANCE 1'!$C:$C, F$2, 'SEANCE 1'!$F:$F, F$5))</f>
        <v/>
      </c>
      <c r="G16" s="64" t="str">
        <f ca="1">IF(COUNTIFS('SEANCE 1'!$B:$B, $B16, 'SEANCE 1'!$C:$C, G$2, 'SEANCE 1'!$F:$F, G$5)=0, "", COUNTIFS('SEANCE 1'!$B:$B, $B16, 'SEANCE 1'!$C:$C, G$2, 'SEANCE 1'!$F:$F, G$5))</f>
        <v/>
      </c>
      <c r="H16" s="64" t="str">
        <f ca="1">IF(COUNTIFS('SEANCE 1'!$B:$B, $B16, 'SEANCE 1'!$C:$C, H$2, 'SEANCE 1'!$F:$F, H$5)=0, "", COUNTIFS('SEANCE 1'!$B:$B, $B16, 'SEANCE 1'!$C:$C, H$2, 'SEANCE 1'!$F:$F, H$5))</f>
        <v/>
      </c>
      <c r="I16" s="64" t="str">
        <f ca="1">IF(COUNTIFS('SEANCE 1'!$B:$B, $B16, 'SEANCE 1'!$C:$C, I$2, 'SEANCE 1'!$F:$F, I$5)=0, "", COUNTIFS('SEANCE 1'!$B:$B, $B16, 'SEANCE 1'!$C:$C, I$2, 'SEANCE 1'!$F:$F, I$5))</f>
        <v/>
      </c>
      <c r="J16" s="64" t="str">
        <f ca="1">IF(COUNTIFS('SEANCE 1'!$B:$B, $B16, 'SEANCE 1'!$C:$C, J$2, 'SEANCE 1'!$F:$F, J$5)=0, "", COUNTIFS('SEANCE 1'!$B:$B, $B16, 'SEANCE 1'!$C:$C, J$2, 'SEANCE 1'!$F:$F, J$5))</f>
        <v/>
      </c>
      <c r="K16" s="64" t="str">
        <f ca="1">IF(COUNTIFS('SEANCE 1'!$B:$B, $B16, 'SEANCE 1'!$C:$C, K$2, 'SEANCE 1'!$F:$F, K$5)=0, "", COUNTIFS('SEANCE 1'!$B:$B, $B16, 'SEANCE 1'!$C:$C, K$2, 'SEANCE 1'!$F:$F, K$5))</f>
        <v/>
      </c>
      <c r="L16" s="64" t="str">
        <f ca="1">IF(COUNTIFS('SEANCE 1'!$B:$B, $B16, 'SEANCE 1'!$C:$C, L$2, 'SEANCE 1'!$F:$F, L$5)=0, "", COUNTIFS('SEANCE 1'!$B:$B, $B16, 'SEANCE 1'!$C:$C, L$2, 'SEANCE 1'!$F:$F, L$5))</f>
        <v/>
      </c>
      <c r="M16" s="64" t="str">
        <f ca="1">IF(COUNTIFS('SEANCE 1'!$B:$B, $B16, 'SEANCE 1'!$C:$C, M$2, 'SEANCE 1'!$F:$F, M$5)=0, "", COUNTIFS('SEANCE 1'!$B:$B, $B16, 'SEANCE 1'!$C:$C, M$2, 'SEANCE 1'!$F:$F, M$5))</f>
        <v/>
      </c>
      <c r="N16" s="64" t="str">
        <f ca="1">IF(COUNTIFS('SEANCE 1'!$B:$B, $B16, 'SEANCE 1'!$C:$C, N$2, 'SEANCE 1'!$F:$F, N$5)=0, "", COUNTIFS('SEANCE 1'!$B:$B, $B16, 'SEANCE 1'!$C:$C, N$2, 'SEANCE 1'!$F:$F, N$5))</f>
        <v/>
      </c>
      <c r="O16" s="64" t="str">
        <f ca="1">IF(COUNTIFS('SEANCE 1'!$B:$B, $B16, 'SEANCE 1'!$C:$C, O$2, 'SEANCE 1'!$F:$F, O$5)=0, "", COUNTIFS('SEANCE 1'!$B:$B, $B16, 'SEANCE 1'!$C:$C, O$2, 'SEANCE 1'!$F:$F, O$5))</f>
        <v/>
      </c>
      <c r="P16" s="64" t="str">
        <f ca="1">IF(COUNTIFS('SEANCE 1'!$B:$B, $B16, 'SEANCE 1'!$C:$C, P$2, 'SEANCE 1'!$F:$F, P$5)=0, "", COUNTIFS('SEANCE 1'!$B:$B, $B16, 'SEANCE 1'!$C:$C, P$2, 'SEANCE 1'!$F:$F, P$5))</f>
        <v/>
      </c>
      <c r="Q16" s="64" t="str">
        <f ca="1">IF(COUNTIFS('SEANCE 1'!$B:$B, $B16, 'SEANCE 1'!$C:$C, Q$2, 'SEANCE 1'!$F:$F, Q$5)=0, "", COUNTIFS('SEANCE 1'!$B:$B, $B16, 'SEANCE 1'!$C:$C, Q$2, 'SEANCE 1'!$F:$F, Q$5))</f>
        <v/>
      </c>
      <c r="R16" s="64" t="str">
        <f ca="1">IF(COUNTIFS('SEANCE 1'!$B:$B, $B16, 'SEANCE 1'!$C:$C, R$2, 'SEANCE 1'!$F:$F, R$5)=0, "", COUNTIFS('SEANCE 1'!$B:$B, $B16, 'SEANCE 1'!$C:$C, R$2, 'SEANCE 1'!$F:$F, R$5))</f>
        <v/>
      </c>
      <c r="S16" s="64" t="str">
        <f ca="1">IF(COUNTIFS('SEANCE 1'!$B:$B, $B16, 'SEANCE 1'!$C:$C, S$2, 'SEANCE 1'!$F:$F, S$5)=0, "", COUNTIFS('SEANCE 1'!$B:$B, $B16, 'SEANCE 1'!$C:$C, S$2, 'SEANCE 1'!$F:$F, S$5))</f>
        <v/>
      </c>
      <c r="T16" s="64" t="str">
        <f ca="1">IF(COUNTIFS('SEANCE 1'!$B:$B, $B16, 'SEANCE 1'!$C:$C, T$2, 'SEANCE 1'!$F:$F, T$5)=0, "", COUNTIFS('SEANCE 1'!$B:$B, $B16, 'SEANCE 1'!$C:$C, T$2, 'SEANCE 1'!$F:$F, T$5))</f>
        <v/>
      </c>
      <c r="U16" s="64" t="str">
        <f ca="1">IF(COUNTIFS('SEANCE 1'!$B:$B, $B16, 'SEANCE 1'!$C:$C, U$2, 'SEANCE 1'!$F:$F, U$5)=0, "", COUNTIFS('SEANCE 1'!$B:$B, $B16, 'SEANCE 1'!$C:$C, U$2, 'SEANCE 1'!$F:$F, U$5))</f>
        <v/>
      </c>
      <c r="V16" s="64" t="str">
        <f ca="1">IF(COUNTIFS('SEANCE 1'!$B:$B, $B16, 'SEANCE 1'!$C:$C, V$2, 'SEANCE 1'!$F:$F, V$5)=0, "", COUNTIFS('SEANCE 1'!$B:$B, $B16, 'SEANCE 1'!$C:$C, V$2, 'SEANCE 1'!$F:$F, V$5))</f>
        <v/>
      </c>
      <c r="W16" s="64" t="str">
        <f ca="1">IF(COUNTIFS('SEANCE 1'!$B:$B, $B16, 'SEANCE 1'!$C:$C, W$2, 'SEANCE 1'!$F:$F, W$5)=0, "", COUNTIFS('SEANCE 1'!$B:$B, $B16, 'SEANCE 1'!$C:$C, W$2, 'SEANCE 1'!$F:$F, W$5))</f>
        <v/>
      </c>
      <c r="X16" s="64" t="str">
        <f ca="1">IF(COUNTIFS('SEANCE 1'!$B:$B, $B16, 'SEANCE 1'!$C:$C, X$2, 'SEANCE 1'!$F:$F, X$5)=0, "", COUNTIFS('SEANCE 1'!$B:$B, $B16, 'SEANCE 1'!$C:$C, X$2, 'SEANCE 1'!$F:$F, X$5))</f>
        <v/>
      </c>
      <c r="Y16" s="64" t="str">
        <f ca="1">IF(COUNTIFS('SEANCE 1'!$B:$B, $B16, 'SEANCE 1'!$C:$C, Y$2, 'SEANCE 1'!$F:$F, Y$5)=0, "", COUNTIFS('SEANCE 1'!$B:$B, $B16, 'SEANCE 1'!$C:$C, Y$2, 'SEANCE 1'!$F:$F, Y$5))</f>
        <v/>
      </c>
      <c r="Z16" s="64" t="str">
        <f ca="1">IF(COUNTIFS('SEANCE 1'!$B:$B, $B16, 'SEANCE 1'!$C:$C, Z$2, 'SEANCE 1'!$F:$F, Z$5)=0, "", COUNTIFS('SEANCE 1'!$B:$B, $B16, 'SEANCE 1'!$C:$C, Z$2, 'SEANCE 1'!$F:$F, Z$5))</f>
        <v/>
      </c>
      <c r="AA16" s="64" t="str">
        <f ca="1">IF(COUNTIFS('SEANCE 1'!$B:$B, $B16, 'SEANCE 1'!$C:$C, AA$2, 'SEANCE 1'!$F:$F, AA$5)=0, "", COUNTIFS('SEANCE 1'!$B:$B, $B16, 'SEANCE 1'!$C:$C, AA$2, 'SEANCE 1'!$F:$F, AA$5))</f>
        <v/>
      </c>
      <c r="AB16" s="64" t="str">
        <f ca="1">IF(COUNTIFS('SEANCE 1'!$B:$B, $B16, 'SEANCE 1'!$C:$C, AB$2, 'SEANCE 1'!$F:$F, AB$5)=0, "", COUNTIFS('SEANCE 1'!$B:$B, $B16, 'SEANCE 1'!$C:$C, AB$2, 'SEANCE 1'!$F:$F, AB$5))</f>
        <v/>
      </c>
      <c r="AC16" s="64" t="str">
        <f ca="1">IF(COUNTIFS('SEANCE 1'!$B:$B, $B16, 'SEANCE 1'!$C:$C, AC$2, 'SEANCE 1'!$F:$F, AC$5)=0, "", COUNTIFS('SEANCE 1'!$B:$B, $B16, 'SEANCE 1'!$C:$C, AC$2, 'SEANCE 1'!$F:$F, AC$5))</f>
        <v/>
      </c>
      <c r="AD16" s="64" t="str">
        <f ca="1">IF(COUNTIFS('SEANCE 1'!$B:$B, $B16, 'SEANCE 1'!$C:$C, AD$2, 'SEANCE 1'!$F:$F, AD$5)=0, "", COUNTIFS('SEANCE 1'!$B:$B, $B16, 'SEANCE 1'!$C:$C, AD$2, 'SEANCE 1'!$F:$F, AD$5))</f>
        <v/>
      </c>
      <c r="AE16" s="64" t="str">
        <f ca="1">IF(COUNTIFS('SEANCE 1'!$B:$B, $B16, 'SEANCE 1'!$C:$C, AE$2, 'SEANCE 1'!$F:$F, AE$5)=0, "", COUNTIFS('SEANCE 1'!$B:$B, $B16, 'SEANCE 1'!$C:$C, AE$2, 'SEANCE 1'!$F:$F, AE$5))</f>
        <v/>
      </c>
      <c r="AF16" s="64" t="str">
        <f ca="1">IF(COUNTIFS('SEANCE 1'!$B:$B, $B16, 'SEANCE 1'!$C:$C, AF$2, 'SEANCE 1'!$F:$F, AF$5)=0, "", COUNTIFS('SEANCE 1'!$B:$B, $B16, 'SEANCE 1'!$C:$C, AF$2, 'SEANCE 1'!$F:$F, AF$5))</f>
        <v/>
      </c>
      <c r="AG16" s="64" t="str">
        <f ca="1">IF(COUNTIFS('SEANCE 1'!$B:$B, $B16, 'SEANCE 1'!$C:$C, AG$2, 'SEANCE 1'!$F:$F, AG$5)=0, "", COUNTIFS('SEANCE 1'!$B:$B, $B16, 'SEANCE 1'!$C:$C, AG$2, 'SEANCE 1'!$F:$F, AG$5))</f>
        <v/>
      </c>
      <c r="AH16" s="64" t="str">
        <f ca="1">IF(COUNTIFS('SEANCE 1'!$B:$B, $B16, 'SEANCE 1'!$C:$C, AH$2, 'SEANCE 1'!$F:$F, AH$5)=0, "", COUNTIFS('SEANCE 1'!$B:$B, $B16, 'SEANCE 1'!$C:$C, AH$2, 'SEANCE 1'!$F:$F, AH$5))</f>
        <v/>
      </c>
      <c r="AI16" s="64" t="str">
        <f ca="1">IF(COUNTIFS('SEANCE 1'!$B:$B, $B16, 'SEANCE 1'!$C:$C, AI$2, 'SEANCE 1'!$F:$F, AI$5)=0, "", COUNTIFS('SEANCE 1'!$B:$B, $B16, 'SEANCE 1'!$C:$C, AI$2, 'SEANCE 1'!$F:$F, AI$5))</f>
        <v/>
      </c>
      <c r="AJ16" s="64" t="str">
        <f ca="1">IF(COUNTIFS('SEANCE 1'!$B:$B, $B16, 'SEANCE 1'!$C:$C, AJ$2, 'SEANCE 1'!$F:$F, AJ$5)=0, "", COUNTIFS('SEANCE 1'!$B:$B, $B16, 'SEANCE 1'!$C:$C, AJ$2, 'SEANCE 1'!$F:$F, AJ$5))</f>
        <v/>
      </c>
      <c r="AK16" s="64" t="str">
        <f ca="1">IF(COUNTIFS('SEANCE 1'!$B:$B, $B16, 'SEANCE 1'!$C:$C, AK$2, 'SEANCE 1'!$F:$F, AK$5)=0, "", COUNTIFS('SEANCE 1'!$B:$B, $B16, 'SEANCE 1'!$C:$C, AK$2, 'SEANCE 1'!$F:$F, AK$5))</f>
        <v/>
      </c>
      <c r="AL16" s="64" t="str">
        <f ca="1">IF(COUNTIFS('SEANCE 1'!$B:$B, $B16, 'SEANCE 1'!$C:$C, AL$2, 'SEANCE 1'!$F:$F, AL$5)=0, "", COUNTIFS('SEANCE 1'!$B:$B, $B16, 'SEANCE 1'!$C:$C, AL$2, 'SEANCE 1'!$F:$F, AL$5))</f>
        <v/>
      </c>
      <c r="AM16" s="64" t="str">
        <f ca="1">IF(COUNTIFS('SEANCE 1'!$B:$B, $B16, 'SEANCE 1'!$C:$C, AM$2, 'SEANCE 1'!$F:$F, AM$5)=0, "", COUNTIFS('SEANCE 1'!$B:$B, $B16, 'SEANCE 1'!$C:$C, AM$2, 'SEANCE 1'!$F:$F, AM$5))</f>
        <v/>
      </c>
      <c r="AN16" s="64" t="str">
        <f ca="1">IF(COUNTIFS('SEANCE 1'!$B:$B, $B16, 'SEANCE 1'!$C:$C, AN$2, 'SEANCE 1'!$F:$F, AN$5)=0, "", COUNTIFS('SEANCE 1'!$B:$B, $B16, 'SEANCE 1'!$C:$C, AN$2, 'SEANCE 1'!$F:$F, AN$5))</f>
        <v/>
      </c>
      <c r="AO16" s="64" t="str">
        <f ca="1">IF(COUNTIFS('SEANCE 1'!$B:$B, $B16, 'SEANCE 1'!$C:$C, AO$2, 'SEANCE 1'!$F:$F, AO$5)=0, "", COUNTIFS('SEANCE 1'!$B:$B, $B16, 'SEANCE 1'!$C:$C, AO$2, 'SEANCE 1'!$F:$F, AO$5))</f>
        <v/>
      </c>
      <c r="AP16" s="64" t="str">
        <f ca="1">IF(COUNTIFS('SEANCE 1'!$B:$B, $B16, 'SEANCE 1'!$C:$C, AP$2, 'SEANCE 1'!$F:$F, AP$5)=0, "", COUNTIFS('SEANCE 1'!$B:$B, $B16, 'SEANCE 1'!$C:$C, AP$2, 'SEANCE 1'!$F:$F, AP$5))</f>
        <v/>
      </c>
      <c r="AQ16" s="64" t="str">
        <f ca="1">IF(COUNTIFS('SEANCE 1'!$B:$B, $B16, 'SEANCE 1'!$C:$C, AQ$2, 'SEANCE 1'!$F:$F, AQ$5)=0, "", COUNTIFS('SEANCE 1'!$B:$B, $B16, 'SEANCE 1'!$C:$C, AQ$2, 'SEANCE 1'!$F:$F, AQ$5))</f>
        <v/>
      </c>
      <c r="AR16" s="64" t="str">
        <f ca="1">IF(COUNTIFS('SEANCE 1'!$B:$B, $B16, 'SEANCE 1'!$C:$C, AR$2, 'SEANCE 1'!$F:$F, AR$5)=0, "", COUNTIFS('SEANCE 1'!$B:$B, $B16, 'SEANCE 1'!$C:$C, AR$2, 'SEANCE 1'!$F:$F, AR$5))</f>
        <v/>
      </c>
      <c r="AS16" s="64" t="str">
        <f ca="1">IF(COUNTIFS('SEANCE 1'!$B:$B, $B16, 'SEANCE 1'!$C:$C, AS$2, 'SEANCE 1'!$F:$F, AS$5)=0, "", COUNTIFS('SEANCE 1'!$B:$B, $B16, 'SEANCE 1'!$C:$C, AS$2, 'SEANCE 1'!$F:$F, AS$5))</f>
        <v/>
      </c>
      <c r="AT16" s="64" t="str">
        <f ca="1">IF(COUNTIFS('SEANCE 1'!$B:$B, $B16, 'SEANCE 1'!$C:$C, AT$2, 'SEANCE 1'!$F:$F, AT$5)=0, "", COUNTIFS('SEANCE 1'!$B:$B, $B16, 'SEANCE 1'!$C:$C, AT$2, 'SEANCE 1'!$F:$F, AT$5))</f>
        <v/>
      </c>
      <c r="AU16" s="64" t="str">
        <f ca="1">IF(COUNTIFS('SEANCE 1'!$B:$B, $B16, 'SEANCE 1'!$C:$C, AU$2, 'SEANCE 1'!$F:$F, AU$5)=0, "", COUNTIFS('SEANCE 1'!$B:$B, $B16, 'SEANCE 1'!$C:$C, AU$2, 'SEANCE 1'!$F:$F, AU$5))</f>
        <v/>
      </c>
      <c r="AV16" s="64" t="str">
        <f ca="1">IF(COUNTIFS('SEANCE 1'!$B:$B, $B16, 'SEANCE 1'!$C:$C, AV$2, 'SEANCE 1'!$F:$F, AV$5)=0, "", COUNTIFS('SEANCE 1'!$B:$B, $B16, 'SEANCE 1'!$C:$C, AV$2, 'SEANCE 1'!$F:$F, AV$5))</f>
        <v/>
      </c>
      <c r="AW16" s="64" t="str">
        <f ca="1">IF(COUNTIFS('SEANCE 1'!$B:$B, $B16, 'SEANCE 1'!$C:$C, AW$2, 'SEANCE 1'!$F:$F, AW$5)=0, "", COUNTIFS('SEANCE 1'!$B:$B, $B16, 'SEANCE 1'!$C:$C, AW$2, 'SEANCE 1'!$F:$F, AW$5))</f>
        <v/>
      </c>
      <c r="AX16" s="64" t="str">
        <f ca="1">IF(COUNTIFS('SEANCE 1'!$B:$B, $B16, 'SEANCE 1'!$C:$C, AX$2, 'SEANCE 1'!$F:$F, AX$5)=0, "", COUNTIFS('SEANCE 1'!$B:$B, $B16, 'SEANCE 1'!$C:$C, AX$2, 'SEANCE 1'!$F:$F, AX$5))</f>
        <v/>
      </c>
      <c r="AY16" s="64" t="str">
        <f ca="1">IF(COUNTIFS('SEANCE 1'!$B:$B, $B16, 'SEANCE 1'!$C:$C, AY$2, 'SEANCE 1'!$F:$F, AY$5)=0, "", COUNTIFS('SEANCE 1'!$B:$B, $B16, 'SEANCE 1'!$C:$C, AY$2, 'SEANCE 1'!$F:$F, AY$5))</f>
        <v/>
      </c>
      <c r="AZ16" s="32">
        <f t="shared" ca="1" si="0"/>
        <v>0</v>
      </c>
    </row>
    <row r="17" spans="1:52">
      <c r="A17" s="44" t="str">
        <f>IF('SEANCE 1'!$B13&lt;&gt;"",'SEANCE 1'!$A13,"")</f>
        <v/>
      </c>
      <c r="B17" s="44" t="str">
        <f t="array" aca="1" ref="B17" ca="1">IF(ISNA(INDEX(ListeB,MATCH(0,COUNTIF($B$5:B16,ListeB),0))),"",INDEX(ListeB,MATCH(0,COUNTIF($B$5:B16,ListeB),0)))</f>
        <v/>
      </c>
      <c r="C17" s="64" t="str">
        <f ca="1">IF(COUNTIFS('SEANCE 1'!$B:$B, $B17, 'SEANCE 1'!$C:$C, C$2, 'SEANCE 1'!$F:$F, C$5)=0, "", COUNTIFS('SEANCE 1'!$B:$B, $B17, 'SEANCE 1'!$C:$C, C$2, 'SEANCE 1'!$F:$F, C$5))</f>
        <v/>
      </c>
      <c r="D17" s="64" t="str">
        <f ca="1">IF(COUNTIFS('SEANCE 1'!$B:$B, $B17, 'SEANCE 1'!$C:$C, D$2, 'SEANCE 1'!$F:$F, D$5)=0, "", COUNTIFS('SEANCE 1'!$B:$B, $B17, 'SEANCE 1'!$C:$C, D$2, 'SEANCE 1'!$F:$F, D$5))</f>
        <v/>
      </c>
      <c r="E17" s="64" t="str">
        <f ca="1">IF(COUNTIFS('SEANCE 1'!$B:$B, $B17, 'SEANCE 1'!$C:$C, E$2, 'SEANCE 1'!$F:$F, E$5)=0, "", COUNTIFS('SEANCE 1'!$B:$B, $B17, 'SEANCE 1'!$C:$C, E$2, 'SEANCE 1'!$F:$F, E$5))</f>
        <v/>
      </c>
      <c r="F17" s="64" t="str">
        <f ca="1">IF(COUNTIFS('SEANCE 1'!$B:$B, $B17, 'SEANCE 1'!$C:$C, F$2, 'SEANCE 1'!$F:$F, F$5)=0, "", COUNTIFS('SEANCE 1'!$B:$B, $B17, 'SEANCE 1'!$C:$C, F$2, 'SEANCE 1'!$F:$F, F$5))</f>
        <v/>
      </c>
      <c r="G17" s="64" t="str">
        <f ca="1">IF(COUNTIFS('SEANCE 1'!$B:$B, $B17, 'SEANCE 1'!$C:$C, G$2, 'SEANCE 1'!$F:$F, G$5)=0, "", COUNTIFS('SEANCE 1'!$B:$B, $B17, 'SEANCE 1'!$C:$C, G$2, 'SEANCE 1'!$F:$F, G$5))</f>
        <v/>
      </c>
      <c r="H17" s="64" t="str">
        <f ca="1">IF(COUNTIFS('SEANCE 1'!$B:$B, $B17, 'SEANCE 1'!$C:$C, H$2, 'SEANCE 1'!$F:$F, H$5)=0, "", COUNTIFS('SEANCE 1'!$B:$B, $B17, 'SEANCE 1'!$C:$C, H$2, 'SEANCE 1'!$F:$F, H$5))</f>
        <v/>
      </c>
      <c r="I17" s="64" t="str">
        <f ca="1">IF(COUNTIFS('SEANCE 1'!$B:$B, $B17, 'SEANCE 1'!$C:$C, I$2, 'SEANCE 1'!$F:$F, I$5)=0, "", COUNTIFS('SEANCE 1'!$B:$B, $B17, 'SEANCE 1'!$C:$C, I$2, 'SEANCE 1'!$F:$F, I$5))</f>
        <v/>
      </c>
      <c r="J17" s="64" t="str">
        <f ca="1">IF(COUNTIFS('SEANCE 1'!$B:$B, $B17, 'SEANCE 1'!$C:$C, J$2, 'SEANCE 1'!$F:$F, J$5)=0, "", COUNTIFS('SEANCE 1'!$B:$B, $B17, 'SEANCE 1'!$C:$C, J$2, 'SEANCE 1'!$F:$F, J$5))</f>
        <v/>
      </c>
      <c r="K17" s="64" t="str">
        <f ca="1">IF(COUNTIFS('SEANCE 1'!$B:$B, $B17, 'SEANCE 1'!$C:$C, K$2, 'SEANCE 1'!$F:$F, K$5)=0, "", COUNTIFS('SEANCE 1'!$B:$B, $B17, 'SEANCE 1'!$C:$C, K$2, 'SEANCE 1'!$F:$F, K$5))</f>
        <v/>
      </c>
      <c r="L17" s="64" t="str">
        <f ca="1">IF(COUNTIFS('SEANCE 1'!$B:$B, $B17, 'SEANCE 1'!$C:$C, L$2, 'SEANCE 1'!$F:$F, L$5)=0, "", COUNTIFS('SEANCE 1'!$B:$B, $B17, 'SEANCE 1'!$C:$C, L$2, 'SEANCE 1'!$F:$F, L$5))</f>
        <v/>
      </c>
      <c r="M17" s="64" t="str">
        <f ca="1">IF(COUNTIFS('SEANCE 1'!$B:$B, $B17, 'SEANCE 1'!$C:$C, M$2, 'SEANCE 1'!$F:$F, M$5)=0, "", COUNTIFS('SEANCE 1'!$B:$B, $B17, 'SEANCE 1'!$C:$C, M$2, 'SEANCE 1'!$F:$F, M$5))</f>
        <v/>
      </c>
      <c r="N17" s="64" t="str">
        <f ca="1">IF(COUNTIFS('SEANCE 1'!$B:$B, $B17, 'SEANCE 1'!$C:$C, N$2, 'SEANCE 1'!$F:$F, N$5)=0, "", COUNTIFS('SEANCE 1'!$B:$B, $B17, 'SEANCE 1'!$C:$C, N$2, 'SEANCE 1'!$F:$F, N$5))</f>
        <v/>
      </c>
      <c r="O17" s="64" t="str">
        <f ca="1">IF(COUNTIFS('SEANCE 1'!$B:$B, $B17, 'SEANCE 1'!$C:$C, O$2, 'SEANCE 1'!$F:$F, O$5)=0, "", COUNTIFS('SEANCE 1'!$B:$B, $B17, 'SEANCE 1'!$C:$C, O$2, 'SEANCE 1'!$F:$F, O$5))</f>
        <v/>
      </c>
      <c r="P17" s="64" t="str">
        <f ca="1">IF(COUNTIFS('SEANCE 1'!$B:$B, $B17, 'SEANCE 1'!$C:$C, P$2, 'SEANCE 1'!$F:$F, P$5)=0, "", COUNTIFS('SEANCE 1'!$B:$B, $B17, 'SEANCE 1'!$C:$C, P$2, 'SEANCE 1'!$F:$F, P$5))</f>
        <v/>
      </c>
      <c r="Q17" s="64" t="str">
        <f ca="1">IF(COUNTIFS('SEANCE 1'!$B:$B, $B17, 'SEANCE 1'!$C:$C, Q$2, 'SEANCE 1'!$F:$F, Q$5)=0, "", COUNTIFS('SEANCE 1'!$B:$B, $B17, 'SEANCE 1'!$C:$C, Q$2, 'SEANCE 1'!$F:$F, Q$5))</f>
        <v/>
      </c>
      <c r="R17" s="64" t="str">
        <f ca="1">IF(COUNTIFS('SEANCE 1'!$B:$B, $B17, 'SEANCE 1'!$C:$C, R$2, 'SEANCE 1'!$F:$F, R$5)=0, "", COUNTIFS('SEANCE 1'!$B:$B, $B17, 'SEANCE 1'!$C:$C, R$2, 'SEANCE 1'!$F:$F, R$5))</f>
        <v/>
      </c>
      <c r="S17" s="64" t="str">
        <f ca="1">IF(COUNTIFS('SEANCE 1'!$B:$B, $B17, 'SEANCE 1'!$C:$C, S$2, 'SEANCE 1'!$F:$F, S$5)=0, "", COUNTIFS('SEANCE 1'!$B:$B, $B17, 'SEANCE 1'!$C:$C, S$2, 'SEANCE 1'!$F:$F, S$5))</f>
        <v/>
      </c>
      <c r="T17" s="64" t="str">
        <f ca="1">IF(COUNTIFS('SEANCE 1'!$B:$B, $B17, 'SEANCE 1'!$C:$C, T$2, 'SEANCE 1'!$F:$F, T$5)=0, "", COUNTIFS('SEANCE 1'!$B:$B, $B17, 'SEANCE 1'!$C:$C, T$2, 'SEANCE 1'!$F:$F, T$5))</f>
        <v/>
      </c>
      <c r="U17" s="64" t="str">
        <f ca="1">IF(COUNTIFS('SEANCE 1'!$B:$B, $B17, 'SEANCE 1'!$C:$C, U$2, 'SEANCE 1'!$F:$F, U$5)=0, "", COUNTIFS('SEANCE 1'!$B:$B, $B17, 'SEANCE 1'!$C:$C, U$2, 'SEANCE 1'!$F:$F, U$5))</f>
        <v/>
      </c>
      <c r="V17" s="64" t="str">
        <f ca="1">IF(COUNTIFS('SEANCE 1'!$B:$B, $B17, 'SEANCE 1'!$C:$C, V$2, 'SEANCE 1'!$F:$F, V$5)=0, "", COUNTIFS('SEANCE 1'!$B:$B, $B17, 'SEANCE 1'!$C:$C, V$2, 'SEANCE 1'!$F:$F, V$5))</f>
        <v/>
      </c>
      <c r="W17" s="64" t="str">
        <f ca="1">IF(COUNTIFS('SEANCE 1'!$B:$B, $B17, 'SEANCE 1'!$C:$C, W$2, 'SEANCE 1'!$F:$F, W$5)=0, "", COUNTIFS('SEANCE 1'!$B:$B, $B17, 'SEANCE 1'!$C:$C, W$2, 'SEANCE 1'!$F:$F, W$5))</f>
        <v/>
      </c>
      <c r="X17" s="64" t="str">
        <f ca="1">IF(COUNTIFS('SEANCE 1'!$B:$B, $B17, 'SEANCE 1'!$C:$C, X$2, 'SEANCE 1'!$F:$F, X$5)=0, "", COUNTIFS('SEANCE 1'!$B:$B, $B17, 'SEANCE 1'!$C:$C, X$2, 'SEANCE 1'!$F:$F, X$5))</f>
        <v/>
      </c>
      <c r="Y17" s="64" t="str">
        <f ca="1">IF(COUNTIFS('SEANCE 1'!$B:$B, $B17, 'SEANCE 1'!$C:$C, Y$2, 'SEANCE 1'!$F:$F, Y$5)=0, "", COUNTIFS('SEANCE 1'!$B:$B, $B17, 'SEANCE 1'!$C:$C, Y$2, 'SEANCE 1'!$F:$F, Y$5))</f>
        <v/>
      </c>
      <c r="Z17" s="64" t="str">
        <f ca="1">IF(COUNTIFS('SEANCE 1'!$B:$B, $B17, 'SEANCE 1'!$C:$C, Z$2, 'SEANCE 1'!$F:$F, Z$5)=0, "", COUNTIFS('SEANCE 1'!$B:$B, $B17, 'SEANCE 1'!$C:$C, Z$2, 'SEANCE 1'!$F:$F, Z$5))</f>
        <v/>
      </c>
      <c r="AA17" s="64" t="str">
        <f ca="1">IF(COUNTIFS('SEANCE 1'!$B:$B, $B17, 'SEANCE 1'!$C:$C, AA$2, 'SEANCE 1'!$F:$F, AA$5)=0, "", COUNTIFS('SEANCE 1'!$B:$B, $B17, 'SEANCE 1'!$C:$C, AA$2, 'SEANCE 1'!$F:$F, AA$5))</f>
        <v/>
      </c>
      <c r="AB17" s="64" t="str">
        <f ca="1">IF(COUNTIFS('SEANCE 1'!$B:$B, $B17, 'SEANCE 1'!$C:$C, AB$2, 'SEANCE 1'!$F:$F, AB$5)=0, "", COUNTIFS('SEANCE 1'!$B:$B, $B17, 'SEANCE 1'!$C:$C, AB$2, 'SEANCE 1'!$F:$F, AB$5))</f>
        <v/>
      </c>
      <c r="AC17" s="64" t="str">
        <f ca="1">IF(COUNTIFS('SEANCE 1'!$B:$B, $B17, 'SEANCE 1'!$C:$C, AC$2, 'SEANCE 1'!$F:$F, AC$5)=0, "", COUNTIFS('SEANCE 1'!$B:$B, $B17, 'SEANCE 1'!$C:$C, AC$2, 'SEANCE 1'!$F:$F, AC$5))</f>
        <v/>
      </c>
      <c r="AD17" s="64" t="str">
        <f ca="1">IF(COUNTIFS('SEANCE 1'!$B:$B, $B17, 'SEANCE 1'!$C:$C, AD$2, 'SEANCE 1'!$F:$F, AD$5)=0, "", COUNTIFS('SEANCE 1'!$B:$B, $B17, 'SEANCE 1'!$C:$C, AD$2, 'SEANCE 1'!$F:$F, AD$5))</f>
        <v/>
      </c>
      <c r="AE17" s="64" t="str">
        <f ca="1">IF(COUNTIFS('SEANCE 1'!$B:$B, $B17, 'SEANCE 1'!$C:$C, AE$2, 'SEANCE 1'!$F:$F, AE$5)=0, "", COUNTIFS('SEANCE 1'!$B:$B, $B17, 'SEANCE 1'!$C:$C, AE$2, 'SEANCE 1'!$F:$F, AE$5))</f>
        <v/>
      </c>
      <c r="AF17" s="64" t="str">
        <f ca="1">IF(COUNTIFS('SEANCE 1'!$B:$B, $B17, 'SEANCE 1'!$C:$C, AF$2, 'SEANCE 1'!$F:$F, AF$5)=0, "", COUNTIFS('SEANCE 1'!$B:$B, $B17, 'SEANCE 1'!$C:$C, AF$2, 'SEANCE 1'!$F:$F, AF$5))</f>
        <v/>
      </c>
      <c r="AG17" s="64" t="str">
        <f ca="1">IF(COUNTIFS('SEANCE 1'!$B:$B, $B17, 'SEANCE 1'!$C:$C, AG$2, 'SEANCE 1'!$F:$F, AG$5)=0, "", COUNTIFS('SEANCE 1'!$B:$B, $B17, 'SEANCE 1'!$C:$C, AG$2, 'SEANCE 1'!$F:$F, AG$5))</f>
        <v/>
      </c>
      <c r="AH17" s="64" t="str">
        <f ca="1">IF(COUNTIFS('SEANCE 1'!$B:$B, $B17, 'SEANCE 1'!$C:$C, AH$2, 'SEANCE 1'!$F:$F, AH$5)=0, "", COUNTIFS('SEANCE 1'!$B:$B, $B17, 'SEANCE 1'!$C:$C, AH$2, 'SEANCE 1'!$F:$F, AH$5))</f>
        <v/>
      </c>
      <c r="AI17" s="64" t="str">
        <f ca="1">IF(COUNTIFS('SEANCE 1'!$B:$B, $B17, 'SEANCE 1'!$C:$C, AI$2, 'SEANCE 1'!$F:$F, AI$5)=0, "", COUNTIFS('SEANCE 1'!$B:$B, $B17, 'SEANCE 1'!$C:$C, AI$2, 'SEANCE 1'!$F:$F, AI$5))</f>
        <v/>
      </c>
      <c r="AJ17" s="64" t="str">
        <f ca="1">IF(COUNTIFS('SEANCE 1'!$B:$B, $B17, 'SEANCE 1'!$C:$C, AJ$2, 'SEANCE 1'!$F:$F, AJ$5)=0, "", COUNTIFS('SEANCE 1'!$B:$B, $B17, 'SEANCE 1'!$C:$C, AJ$2, 'SEANCE 1'!$F:$F, AJ$5))</f>
        <v/>
      </c>
      <c r="AK17" s="64" t="str">
        <f ca="1">IF(COUNTIFS('SEANCE 1'!$B:$B, $B17, 'SEANCE 1'!$C:$C, AK$2, 'SEANCE 1'!$F:$F, AK$5)=0, "", COUNTIFS('SEANCE 1'!$B:$B, $B17, 'SEANCE 1'!$C:$C, AK$2, 'SEANCE 1'!$F:$F, AK$5))</f>
        <v/>
      </c>
      <c r="AL17" s="64" t="str">
        <f ca="1">IF(COUNTIFS('SEANCE 1'!$B:$B, $B17, 'SEANCE 1'!$C:$C, AL$2, 'SEANCE 1'!$F:$F, AL$5)=0, "", COUNTIFS('SEANCE 1'!$B:$B, $B17, 'SEANCE 1'!$C:$C, AL$2, 'SEANCE 1'!$F:$F, AL$5))</f>
        <v/>
      </c>
      <c r="AM17" s="64" t="str">
        <f ca="1">IF(COUNTIFS('SEANCE 1'!$B:$B, $B17, 'SEANCE 1'!$C:$C, AM$2, 'SEANCE 1'!$F:$F, AM$5)=0, "", COUNTIFS('SEANCE 1'!$B:$B, $B17, 'SEANCE 1'!$C:$C, AM$2, 'SEANCE 1'!$F:$F, AM$5))</f>
        <v/>
      </c>
      <c r="AN17" s="64" t="str">
        <f ca="1">IF(COUNTIFS('SEANCE 1'!$B:$B, $B17, 'SEANCE 1'!$C:$C, AN$2, 'SEANCE 1'!$F:$F, AN$5)=0, "", COUNTIFS('SEANCE 1'!$B:$B, $B17, 'SEANCE 1'!$C:$C, AN$2, 'SEANCE 1'!$F:$F, AN$5))</f>
        <v/>
      </c>
      <c r="AO17" s="64" t="str">
        <f ca="1">IF(COUNTIFS('SEANCE 1'!$B:$B, $B17, 'SEANCE 1'!$C:$C, AO$2, 'SEANCE 1'!$F:$F, AO$5)=0, "", COUNTIFS('SEANCE 1'!$B:$B, $B17, 'SEANCE 1'!$C:$C, AO$2, 'SEANCE 1'!$F:$F, AO$5))</f>
        <v/>
      </c>
      <c r="AP17" s="64" t="str">
        <f ca="1">IF(COUNTIFS('SEANCE 1'!$B:$B, $B17, 'SEANCE 1'!$C:$C, AP$2, 'SEANCE 1'!$F:$F, AP$5)=0, "", COUNTIFS('SEANCE 1'!$B:$B, $B17, 'SEANCE 1'!$C:$C, AP$2, 'SEANCE 1'!$F:$F, AP$5))</f>
        <v/>
      </c>
      <c r="AQ17" s="64" t="str">
        <f ca="1">IF(COUNTIFS('SEANCE 1'!$B:$B, $B17, 'SEANCE 1'!$C:$C, AQ$2, 'SEANCE 1'!$F:$F, AQ$5)=0, "", COUNTIFS('SEANCE 1'!$B:$B, $B17, 'SEANCE 1'!$C:$C, AQ$2, 'SEANCE 1'!$F:$F, AQ$5))</f>
        <v/>
      </c>
      <c r="AR17" s="64" t="str">
        <f ca="1">IF(COUNTIFS('SEANCE 1'!$B:$B, $B17, 'SEANCE 1'!$C:$C, AR$2, 'SEANCE 1'!$F:$F, AR$5)=0, "", COUNTIFS('SEANCE 1'!$B:$B, $B17, 'SEANCE 1'!$C:$C, AR$2, 'SEANCE 1'!$F:$F, AR$5))</f>
        <v/>
      </c>
      <c r="AS17" s="64" t="str">
        <f ca="1">IF(COUNTIFS('SEANCE 1'!$B:$B, $B17, 'SEANCE 1'!$C:$C, AS$2, 'SEANCE 1'!$F:$F, AS$5)=0, "", COUNTIFS('SEANCE 1'!$B:$B, $B17, 'SEANCE 1'!$C:$C, AS$2, 'SEANCE 1'!$F:$F, AS$5))</f>
        <v/>
      </c>
      <c r="AT17" s="64" t="str">
        <f ca="1">IF(COUNTIFS('SEANCE 1'!$B:$B, $B17, 'SEANCE 1'!$C:$C, AT$2, 'SEANCE 1'!$F:$F, AT$5)=0, "", COUNTIFS('SEANCE 1'!$B:$B, $B17, 'SEANCE 1'!$C:$C, AT$2, 'SEANCE 1'!$F:$F, AT$5))</f>
        <v/>
      </c>
      <c r="AU17" s="64" t="str">
        <f ca="1">IF(COUNTIFS('SEANCE 1'!$B:$B, $B17, 'SEANCE 1'!$C:$C, AU$2, 'SEANCE 1'!$F:$F, AU$5)=0, "", COUNTIFS('SEANCE 1'!$B:$B, $B17, 'SEANCE 1'!$C:$C, AU$2, 'SEANCE 1'!$F:$F, AU$5))</f>
        <v/>
      </c>
      <c r="AV17" s="64" t="str">
        <f ca="1">IF(COUNTIFS('SEANCE 1'!$B:$B, $B17, 'SEANCE 1'!$C:$C, AV$2, 'SEANCE 1'!$F:$F, AV$5)=0, "", COUNTIFS('SEANCE 1'!$B:$B, $B17, 'SEANCE 1'!$C:$C, AV$2, 'SEANCE 1'!$F:$F, AV$5))</f>
        <v/>
      </c>
      <c r="AW17" s="64" t="str">
        <f ca="1">IF(COUNTIFS('SEANCE 1'!$B:$B, $B17, 'SEANCE 1'!$C:$C, AW$2, 'SEANCE 1'!$F:$F, AW$5)=0, "", COUNTIFS('SEANCE 1'!$B:$B, $B17, 'SEANCE 1'!$C:$C, AW$2, 'SEANCE 1'!$F:$F, AW$5))</f>
        <v/>
      </c>
      <c r="AX17" s="64" t="str">
        <f ca="1">IF(COUNTIFS('SEANCE 1'!$B:$B, $B17, 'SEANCE 1'!$C:$C, AX$2, 'SEANCE 1'!$F:$F, AX$5)=0, "", COUNTIFS('SEANCE 1'!$B:$B, $B17, 'SEANCE 1'!$C:$C, AX$2, 'SEANCE 1'!$F:$F, AX$5))</f>
        <v/>
      </c>
      <c r="AY17" s="64" t="str">
        <f ca="1">IF(COUNTIFS('SEANCE 1'!$B:$B, $B17, 'SEANCE 1'!$C:$C, AY$2, 'SEANCE 1'!$F:$F, AY$5)=0, "", COUNTIFS('SEANCE 1'!$B:$B, $B17, 'SEANCE 1'!$C:$C, AY$2, 'SEANCE 1'!$F:$F, AY$5))</f>
        <v/>
      </c>
      <c r="AZ17" s="32">
        <f t="shared" ca="1" si="0"/>
        <v>0</v>
      </c>
    </row>
    <row r="18" spans="1:52">
      <c r="A18" s="44" t="str">
        <f>IF('SEANCE 1'!$B14&lt;&gt;"",'SEANCE 1'!$A14,"")</f>
        <v/>
      </c>
      <c r="B18" s="44" t="str">
        <f t="array" aca="1" ref="B18" ca="1">IF(ISNA(INDEX(ListeB,MATCH(0,COUNTIF($B$5:B17,ListeB),0))),"",INDEX(ListeB,MATCH(0,COUNTIF($B$5:B17,ListeB),0)))</f>
        <v/>
      </c>
      <c r="C18" s="64" t="str">
        <f ca="1">IF(COUNTIFS('SEANCE 1'!$B:$B, $B18, 'SEANCE 1'!$C:$C, C$2, 'SEANCE 1'!$F:$F, C$5)=0, "", COUNTIFS('SEANCE 1'!$B:$B, $B18, 'SEANCE 1'!$C:$C, C$2, 'SEANCE 1'!$F:$F, C$5))</f>
        <v/>
      </c>
      <c r="D18" s="64" t="str">
        <f ca="1">IF(COUNTIFS('SEANCE 1'!$B:$B, $B18, 'SEANCE 1'!$C:$C, D$2, 'SEANCE 1'!$F:$F, D$5)=0, "", COUNTIFS('SEANCE 1'!$B:$B, $B18, 'SEANCE 1'!$C:$C, D$2, 'SEANCE 1'!$F:$F, D$5))</f>
        <v/>
      </c>
      <c r="E18" s="64" t="str">
        <f ca="1">IF(COUNTIFS('SEANCE 1'!$B:$B, $B18, 'SEANCE 1'!$C:$C, E$2, 'SEANCE 1'!$F:$F, E$5)=0, "", COUNTIFS('SEANCE 1'!$B:$B, $B18, 'SEANCE 1'!$C:$C, E$2, 'SEANCE 1'!$F:$F, E$5))</f>
        <v/>
      </c>
      <c r="F18" s="64" t="str">
        <f ca="1">IF(COUNTIFS('SEANCE 1'!$B:$B, $B18, 'SEANCE 1'!$C:$C, F$2, 'SEANCE 1'!$F:$F, F$5)=0, "", COUNTIFS('SEANCE 1'!$B:$B, $B18, 'SEANCE 1'!$C:$C, F$2, 'SEANCE 1'!$F:$F, F$5))</f>
        <v/>
      </c>
      <c r="G18" s="64" t="str">
        <f ca="1">IF(COUNTIFS('SEANCE 1'!$B:$B, $B18, 'SEANCE 1'!$C:$C, G$2, 'SEANCE 1'!$F:$F, G$5)=0, "", COUNTIFS('SEANCE 1'!$B:$B, $B18, 'SEANCE 1'!$C:$C, G$2, 'SEANCE 1'!$F:$F, G$5))</f>
        <v/>
      </c>
      <c r="H18" s="64" t="str">
        <f ca="1">IF(COUNTIFS('SEANCE 1'!$B:$B, $B18, 'SEANCE 1'!$C:$C, H$2, 'SEANCE 1'!$F:$F, H$5)=0, "", COUNTIFS('SEANCE 1'!$B:$B, $B18, 'SEANCE 1'!$C:$C, H$2, 'SEANCE 1'!$F:$F, H$5))</f>
        <v/>
      </c>
      <c r="I18" s="64" t="str">
        <f ca="1">IF(COUNTIFS('SEANCE 1'!$B:$B, $B18, 'SEANCE 1'!$C:$C, I$2, 'SEANCE 1'!$F:$F, I$5)=0, "", COUNTIFS('SEANCE 1'!$B:$B, $B18, 'SEANCE 1'!$C:$C, I$2, 'SEANCE 1'!$F:$F, I$5))</f>
        <v/>
      </c>
      <c r="J18" s="64" t="str">
        <f ca="1">IF(COUNTIFS('SEANCE 1'!$B:$B, $B18, 'SEANCE 1'!$C:$C, J$2, 'SEANCE 1'!$F:$F, J$5)=0, "", COUNTIFS('SEANCE 1'!$B:$B, $B18, 'SEANCE 1'!$C:$C, J$2, 'SEANCE 1'!$F:$F, J$5))</f>
        <v/>
      </c>
      <c r="K18" s="64" t="str">
        <f ca="1">IF(COUNTIFS('SEANCE 1'!$B:$B, $B18, 'SEANCE 1'!$C:$C, K$2, 'SEANCE 1'!$F:$F, K$5)=0, "", COUNTIFS('SEANCE 1'!$B:$B, $B18, 'SEANCE 1'!$C:$C, K$2, 'SEANCE 1'!$F:$F, K$5))</f>
        <v/>
      </c>
      <c r="L18" s="64" t="str">
        <f ca="1">IF(COUNTIFS('SEANCE 1'!$B:$B, $B18, 'SEANCE 1'!$C:$C, L$2, 'SEANCE 1'!$F:$F, L$5)=0, "", COUNTIFS('SEANCE 1'!$B:$B, $B18, 'SEANCE 1'!$C:$C, L$2, 'SEANCE 1'!$F:$F, L$5))</f>
        <v/>
      </c>
      <c r="M18" s="64" t="str">
        <f ca="1">IF(COUNTIFS('SEANCE 1'!$B:$B, $B18, 'SEANCE 1'!$C:$C, M$2, 'SEANCE 1'!$F:$F, M$5)=0, "", COUNTIFS('SEANCE 1'!$B:$B, $B18, 'SEANCE 1'!$C:$C, M$2, 'SEANCE 1'!$F:$F, M$5))</f>
        <v/>
      </c>
      <c r="N18" s="64" t="str">
        <f ca="1">IF(COUNTIFS('SEANCE 1'!$B:$B, $B18, 'SEANCE 1'!$C:$C, N$2, 'SEANCE 1'!$F:$F, N$5)=0, "", COUNTIFS('SEANCE 1'!$B:$B, $B18, 'SEANCE 1'!$C:$C, N$2, 'SEANCE 1'!$F:$F, N$5))</f>
        <v/>
      </c>
      <c r="O18" s="64" t="str">
        <f ca="1">IF(COUNTIFS('SEANCE 1'!$B:$B, $B18, 'SEANCE 1'!$C:$C, O$2, 'SEANCE 1'!$F:$F, O$5)=0, "", COUNTIFS('SEANCE 1'!$B:$B, $B18, 'SEANCE 1'!$C:$C, O$2, 'SEANCE 1'!$F:$F, O$5))</f>
        <v/>
      </c>
      <c r="P18" s="64" t="str">
        <f ca="1">IF(COUNTIFS('SEANCE 1'!$B:$B, $B18, 'SEANCE 1'!$C:$C, P$2, 'SEANCE 1'!$F:$F, P$5)=0, "", COUNTIFS('SEANCE 1'!$B:$B, $B18, 'SEANCE 1'!$C:$C, P$2, 'SEANCE 1'!$F:$F, P$5))</f>
        <v/>
      </c>
      <c r="Q18" s="64" t="str">
        <f ca="1">IF(COUNTIFS('SEANCE 1'!$B:$B, $B18, 'SEANCE 1'!$C:$C, Q$2, 'SEANCE 1'!$F:$F, Q$5)=0, "", COUNTIFS('SEANCE 1'!$B:$B, $B18, 'SEANCE 1'!$C:$C, Q$2, 'SEANCE 1'!$F:$F, Q$5))</f>
        <v/>
      </c>
      <c r="R18" s="64" t="str">
        <f ca="1">IF(COUNTIFS('SEANCE 1'!$B:$B, $B18, 'SEANCE 1'!$C:$C, R$2, 'SEANCE 1'!$F:$F, R$5)=0, "", COUNTIFS('SEANCE 1'!$B:$B, $B18, 'SEANCE 1'!$C:$C, R$2, 'SEANCE 1'!$F:$F, R$5))</f>
        <v/>
      </c>
      <c r="S18" s="64" t="str">
        <f ca="1">IF(COUNTIFS('SEANCE 1'!$B:$B, $B18, 'SEANCE 1'!$C:$C, S$2, 'SEANCE 1'!$F:$F, S$5)=0, "", COUNTIFS('SEANCE 1'!$B:$B, $B18, 'SEANCE 1'!$C:$C, S$2, 'SEANCE 1'!$F:$F, S$5))</f>
        <v/>
      </c>
      <c r="T18" s="64" t="str">
        <f ca="1">IF(COUNTIFS('SEANCE 1'!$B:$B, $B18, 'SEANCE 1'!$C:$C, T$2, 'SEANCE 1'!$F:$F, T$5)=0, "", COUNTIFS('SEANCE 1'!$B:$B, $B18, 'SEANCE 1'!$C:$C, T$2, 'SEANCE 1'!$F:$F, T$5))</f>
        <v/>
      </c>
      <c r="U18" s="64" t="str">
        <f ca="1">IF(COUNTIFS('SEANCE 1'!$B:$B, $B18, 'SEANCE 1'!$C:$C, U$2, 'SEANCE 1'!$F:$F, U$5)=0, "", COUNTIFS('SEANCE 1'!$B:$B, $B18, 'SEANCE 1'!$C:$C, U$2, 'SEANCE 1'!$F:$F, U$5))</f>
        <v/>
      </c>
      <c r="V18" s="64" t="str">
        <f ca="1">IF(COUNTIFS('SEANCE 1'!$B:$B, $B18, 'SEANCE 1'!$C:$C, V$2, 'SEANCE 1'!$F:$F, V$5)=0, "", COUNTIFS('SEANCE 1'!$B:$B, $B18, 'SEANCE 1'!$C:$C, V$2, 'SEANCE 1'!$F:$F, V$5))</f>
        <v/>
      </c>
      <c r="W18" s="64" t="str">
        <f ca="1">IF(COUNTIFS('SEANCE 1'!$B:$B, $B18, 'SEANCE 1'!$C:$C, W$2, 'SEANCE 1'!$F:$F, W$5)=0, "", COUNTIFS('SEANCE 1'!$B:$B, $B18, 'SEANCE 1'!$C:$C, W$2, 'SEANCE 1'!$F:$F, W$5))</f>
        <v/>
      </c>
      <c r="X18" s="64" t="str">
        <f ca="1">IF(COUNTIFS('SEANCE 1'!$B:$B, $B18, 'SEANCE 1'!$C:$C, X$2, 'SEANCE 1'!$F:$F, X$5)=0, "", COUNTIFS('SEANCE 1'!$B:$B, $B18, 'SEANCE 1'!$C:$C, X$2, 'SEANCE 1'!$F:$F, X$5))</f>
        <v/>
      </c>
      <c r="Y18" s="64" t="str">
        <f ca="1">IF(COUNTIFS('SEANCE 1'!$B:$B, $B18, 'SEANCE 1'!$C:$C, Y$2, 'SEANCE 1'!$F:$F, Y$5)=0, "", COUNTIFS('SEANCE 1'!$B:$B, $B18, 'SEANCE 1'!$C:$C, Y$2, 'SEANCE 1'!$F:$F, Y$5))</f>
        <v/>
      </c>
      <c r="Z18" s="64" t="str">
        <f ca="1">IF(COUNTIFS('SEANCE 1'!$B:$B, $B18, 'SEANCE 1'!$C:$C, Z$2, 'SEANCE 1'!$F:$F, Z$5)=0, "", COUNTIFS('SEANCE 1'!$B:$B, $B18, 'SEANCE 1'!$C:$C, Z$2, 'SEANCE 1'!$F:$F, Z$5))</f>
        <v/>
      </c>
      <c r="AA18" s="64" t="str">
        <f ca="1">IF(COUNTIFS('SEANCE 1'!$B:$B, $B18, 'SEANCE 1'!$C:$C, AA$2, 'SEANCE 1'!$F:$F, AA$5)=0, "", COUNTIFS('SEANCE 1'!$B:$B, $B18, 'SEANCE 1'!$C:$C, AA$2, 'SEANCE 1'!$F:$F, AA$5))</f>
        <v/>
      </c>
      <c r="AB18" s="64" t="str">
        <f ca="1">IF(COUNTIFS('SEANCE 1'!$B:$B, $B18, 'SEANCE 1'!$C:$C, AB$2, 'SEANCE 1'!$F:$F, AB$5)=0, "", COUNTIFS('SEANCE 1'!$B:$B, $B18, 'SEANCE 1'!$C:$C, AB$2, 'SEANCE 1'!$F:$F, AB$5))</f>
        <v/>
      </c>
      <c r="AC18" s="64" t="str">
        <f ca="1">IF(COUNTIFS('SEANCE 1'!$B:$B, $B18, 'SEANCE 1'!$C:$C, AC$2, 'SEANCE 1'!$F:$F, AC$5)=0, "", COUNTIFS('SEANCE 1'!$B:$B, $B18, 'SEANCE 1'!$C:$C, AC$2, 'SEANCE 1'!$F:$F, AC$5))</f>
        <v/>
      </c>
      <c r="AD18" s="64" t="str">
        <f ca="1">IF(COUNTIFS('SEANCE 1'!$B:$B, $B18, 'SEANCE 1'!$C:$C, AD$2, 'SEANCE 1'!$F:$F, AD$5)=0, "", COUNTIFS('SEANCE 1'!$B:$B, $B18, 'SEANCE 1'!$C:$C, AD$2, 'SEANCE 1'!$F:$F, AD$5))</f>
        <v/>
      </c>
      <c r="AE18" s="64" t="str">
        <f ca="1">IF(COUNTIFS('SEANCE 1'!$B:$B, $B18, 'SEANCE 1'!$C:$C, AE$2, 'SEANCE 1'!$F:$F, AE$5)=0, "", COUNTIFS('SEANCE 1'!$B:$B, $B18, 'SEANCE 1'!$C:$C, AE$2, 'SEANCE 1'!$F:$F, AE$5))</f>
        <v/>
      </c>
      <c r="AF18" s="64" t="str">
        <f ca="1">IF(COUNTIFS('SEANCE 1'!$B:$B, $B18, 'SEANCE 1'!$C:$C, AF$2, 'SEANCE 1'!$F:$F, AF$5)=0, "", COUNTIFS('SEANCE 1'!$B:$B, $B18, 'SEANCE 1'!$C:$C, AF$2, 'SEANCE 1'!$F:$F, AF$5))</f>
        <v/>
      </c>
      <c r="AG18" s="64" t="str">
        <f ca="1">IF(COUNTIFS('SEANCE 1'!$B:$B, $B18, 'SEANCE 1'!$C:$C, AG$2, 'SEANCE 1'!$F:$F, AG$5)=0, "", COUNTIFS('SEANCE 1'!$B:$B, $B18, 'SEANCE 1'!$C:$C, AG$2, 'SEANCE 1'!$F:$F, AG$5))</f>
        <v/>
      </c>
      <c r="AH18" s="64" t="str">
        <f ca="1">IF(COUNTIFS('SEANCE 1'!$B:$B, $B18, 'SEANCE 1'!$C:$C, AH$2, 'SEANCE 1'!$F:$F, AH$5)=0, "", COUNTIFS('SEANCE 1'!$B:$B, $B18, 'SEANCE 1'!$C:$C, AH$2, 'SEANCE 1'!$F:$F, AH$5))</f>
        <v/>
      </c>
      <c r="AI18" s="64" t="str">
        <f ca="1">IF(COUNTIFS('SEANCE 1'!$B:$B, $B18, 'SEANCE 1'!$C:$C, AI$2, 'SEANCE 1'!$F:$F, AI$5)=0, "", COUNTIFS('SEANCE 1'!$B:$B, $B18, 'SEANCE 1'!$C:$C, AI$2, 'SEANCE 1'!$F:$F, AI$5))</f>
        <v/>
      </c>
      <c r="AJ18" s="64" t="str">
        <f ca="1">IF(COUNTIFS('SEANCE 1'!$B:$B, $B18, 'SEANCE 1'!$C:$C, AJ$2, 'SEANCE 1'!$F:$F, AJ$5)=0, "", COUNTIFS('SEANCE 1'!$B:$B, $B18, 'SEANCE 1'!$C:$C, AJ$2, 'SEANCE 1'!$F:$F, AJ$5))</f>
        <v/>
      </c>
      <c r="AK18" s="64" t="str">
        <f ca="1">IF(COUNTIFS('SEANCE 1'!$B:$B, $B18, 'SEANCE 1'!$C:$C, AK$2, 'SEANCE 1'!$F:$F, AK$5)=0, "", COUNTIFS('SEANCE 1'!$B:$B, $B18, 'SEANCE 1'!$C:$C, AK$2, 'SEANCE 1'!$F:$F, AK$5))</f>
        <v/>
      </c>
      <c r="AL18" s="64" t="str">
        <f ca="1">IF(COUNTIFS('SEANCE 1'!$B:$B, $B18, 'SEANCE 1'!$C:$C, AL$2, 'SEANCE 1'!$F:$F, AL$5)=0, "", COUNTIFS('SEANCE 1'!$B:$B, $B18, 'SEANCE 1'!$C:$C, AL$2, 'SEANCE 1'!$F:$F, AL$5))</f>
        <v/>
      </c>
      <c r="AM18" s="64" t="str">
        <f ca="1">IF(COUNTIFS('SEANCE 1'!$B:$B, $B18, 'SEANCE 1'!$C:$C, AM$2, 'SEANCE 1'!$F:$F, AM$5)=0, "", COUNTIFS('SEANCE 1'!$B:$B, $B18, 'SEANCE 1'!$C:$C, AM$2, 'SEANCE 1'!$F:$F, AM$5))</f>
        <v/>
      </c>
      <c r="AN18" s="64" t="str">
        <f ca="1">IF(COUNTIFS('SEANCE 1'!$B:$B, $B18, 'SEANCE 1'!$C:$C, AN$2, 'SEANCE 1'!$F:$F, AN$5)=0, "", COUNTIFS('SEANCE 1'!$B:$B, $B18, 'SEANCE 1'!$C:$C, AN$2, 'SEANCE 1'!$F:$F, AN$5))</f>
        <v/>
      </c>
      <c r="AO18" s="64" t="str">
        <f ca="1">IF(COUNTIFS('SEANCE 1'!$B:$B, $B18, 'SEANCE 1'!$C:$C, AO$2, 'SEANCE 1'!$F:$F, AO$5)=0, "", COUNTIFS('SEANCE 1'!$B:$B, $B18, 'SEANCE 1'!$C:$C, AO$2, 'SEANCE 1'!$F:$F, AO$5))</f>
        <v/>
      </c>
      <c r="AP18" s="64" t="str">
        <f ca="1">IF(COUNTIFS('SEANCE 1'!$B:$B, $B18, 'SEANCE 1'!$C:$C, AP$2, 'SEANCE 1'!$F:$F, AP$5)=0, "", COUNTIFS('SEANCE 1'!$B:$B, $B18, 'SEANCE 1'!$C:$C, AP$2, 'SEANCE 1'!$F:$F, AP$5))</f>
        <v/>
      </c>
      <c r="AQ18" s="64" t="str">
        <f ca="1">IF(COUNTIFS('SEANCE 1'!$B:$B, $B18, 'SEANCE 1'!$C:$C, AQ$2, 'SEANCE 1'!$F:$F, AQ$5)=0, "", COUNTIFS('SEANCE 1'!$B:$B, $B18, 'SEANCE 1'!$C:$C, AQ$2, 'SEANCE 1'!$F:$F, AQ$5))</f>
        <v/>
      </c>
      <c r="AR18" s="64" t="str">
        <f ca="1">IF(COUNTIFS('SEANCE 1'!$B:$B, $B18, 'SEANCE 1'!$C:$C, AR$2, 'SEANCE 1'!$F:$F, AR$5)=0, "", COUNTIFS('SEANCE 1'!$B:$B, $B18, 'SEANCE 1'!$C:$C, AR$2, 'SEANCE 1'!$F:$F, AR$5))</f>
        <v/>
      </c>
      <c r="AS18" s="64" t="str">
        <f ca="1">IF(COUNTIFS('SEANCE 1'!$B:$B, $B18, 'SEANCE 1'!$C:$C, AS$2, 'SEANCE 1'!$F:$F, AS$5)=0, "", COUNTIFS('SEANCE 1'!$B:$B, $B18, 'SEANCE 1'!$C:$C, AS$2, 'SEANCE 1'!$F:$F, AS$5))</f>
        <v/>
      </c>
      <c r="AT18" s="64" t="str">
        <f ca="1">IF(COUNTIFS('SEANCE 1'!$B:$B, $B18, 'SEANCE 1'!$C:$C, AT$2, 'SEANCE 1'!$F:$F, AT$5)=0, "", COUNTIFS('SEANCE 1'!$B:$B, $B18, 'SEANCE 1'!$C:$C, AT$2, 'SEANCE 1'!$F:$F, AT$5))</f>
        <v/>
      </c>
      <c r="AU18" s="64" t="str">
        <f ca="1">IF(COUNTIFS('SEANCE 1'!$B:$B, $B18, 'SEANCE 1'!$C:$C, AU$2, 'SEANCE 1'!$F:$F, AU$5)=0, "", COUNTIFS('SEANCE 1'!$B:$B, $B18, 'SEANCE 1'!$C:$C, AU$2, 'SEANCE 1'!$F:$F, AU$5))</f>
        <v/>
      </c>
      <c r="AV18" s="64" t="str">
        <f ca="1">IF(COUNTIFS('SEANCE 1'!$B:$B, $B18, 'SEANCE 1'!$C:$C, AV$2, 'SEANCE 1'!$F:$F, AV$5)=0, "", COUNTIFS('SEANCE 1'!$B:$B, $B18, 'SEANCE 1'!$C:$C, AV$2, 'SEANCE 1'!$F:$F, AV$5))</f>
        <v/>
      </c>
      <c r="AW18" s="64" t="str">
        <f ca="1">IF(COUNTIFS('SEANCE 1'!$B:$B, $B18, 'SEANCE 1'!$C:$C, AW$2, 'SEANCE 1'!$F:$F, AW$5)=0, "", COUNTIFS('SEANCE 1'!$B:$B, $B18, 'SEANCE 1'!$C:$C, AW$2, 'SEANCE 1'!$F:$F, AW$5))</f>
        <v/>
      </c>
      <c r="AX18" s="64" t="str">
        <f ca="1">IF(COUNTIFS('SEANCE 1'!$B:$B, $B18, 'SEANCE 1'!$C:$C, AX$2, 'SEANCE 1'!$F:$F, AX$5)=0, "", COUNTIFS('SEANCE 1'!$B:$B, $B18, 'SEANCE 1'!$C:$C, AX$2, 'SEANCE 1'!$F:$F, AX$5))</f>
        <v/>
      </c>
      <c r="AY18" s="64" t="str">
        <f ca="1">IF(COUNTIFS('SEANCE 1'!$B:$B, $B18, 'SEANCE 1'!$C:$C, AY$2, 'SEANCE 1'!$F:$F, AY$5)=0, "", COUNTIFS('SEANCE 1'!$B:$B, $B18, 'SEANCE 1'!$C:$C, AY$2, 'SEANCE 1'!$F:$F, AY$5))</f>
        <v/>
      </c>
      <c r="AZ18" s="32">
        <f t="shared" ca="1" si="0"/>
        <v>0</v>
      </c>
    </row>
    <row r="19" spans="1:52">
      <c r="A19" s="44" t="str">
        <f>IF('SEANCE 1'!$B15&lt;&gt;"",'SEANCE 1'!$A15,"")</f>
        <v/>
      </c>
      <c r="B19" s="44" t="str">
        <f t="array" aca="1" ref="B19" ca="1">IF(ISNA(INDEX(ListeB,MATCH(0,COUNTIF($B$5:B18,ListeB),0))),"",INDEX(ListeB,MATCH(0,COUNTIF($B$5:B18,ListeB),0)))</f>
        <v/>
      </c>
      <c r="C19" s="64" t="str">
        <f ca="1">IF(COUNTIFS('SEANCE 1'!$B:$B, $B19, 'SEANCE 1'!$C:$C, C$2, 'SEANCE 1'!$F:$F, C$5)=0, "", COUNTIFS('SEANCE 1'!$B:$B, $B19, 'SEANCE 1'!$C:$C, C$2, 'SEANCE 1'!$F:$F, C$5))</f>
        <v/>
      </c>
      <c r="D19" s="64" t="str">
        <f ca="1">IF(COUNTIFS('SEANCE 1'!$B:$B, $B19, 'SEANCE 1'!$C:$C, D$2, 'SEANCE 1'!$F:$F, D$5)=0, "", COUNTIFS('SEANCE 1'!$B:$B, $B19, 'SEANCE 1'!$C:$C, D$2, 'SEANCE 1'!$F:$F, D$5))</f>
        <v/>
      </c>
      <c r="E19" s="64" t="str">
        <f ca="1">IF(COUNTIFS('SEANCE 1'!$B:$B, $B19, 'SEANCE 1'!$C:$C, E$2, 'SEANCE 1'!$F:$F, E$5)=0, "", COUNTIFS('SEANCE 1'!$B:$B, $B19, 'SEANCE 1'!$C:$C, E$2, 'SEANCE 1'!$F:$F, E$5))</f>
        <v/>
      </c>
      <c r="F19" s="64" t="str">
        <f ca="1">IF(COUNTIFS('SEANCE 1'!$B:$B, $B19, 'SEANCE 1'!$C:$C, F$2, 'SEANCE 1'!$F:$F, F$5)=0, "", COUNTIFS('SEANCE 1'!$B:$B, $B19, 'SEANCE 1'!$C:$C, F$2, 'SEANCE 1'!$F:$F, F$5))</f>
        <v/>
      </c>
      <c r="G19" s="64" t="str">
        <f ca="1">IF(COUNTIFS('SEANCE 1'!$B:$B, $B19, 'SEANCE 1'!$C:$C, G$2, 'SEANCE 1'!$F:$F, G$5)=0, "", COUNTIFS('SEANCE 1'!$B:$B, $B19, 'SEANCE 1'!$C:$C, G$2, 'SEANCE 1'!$F:$F, G$5))</f>
        <v/>
      </c>
      <c r="H19" s="64" t="str">
        <f ca="1">IF(COUNTIFS('SEANCE 1'!$B:$B, $B19, 'SEANCE 1'!$C:$C, H$2, 'SEANCE 1'!$F:$F, H$5)=0, "", COUNTIFS('SEANCE 1'!$B:$B, $B19, 'SEANCE 1'!$C:$C, H$2, 'SEANCE 1'!$F:$F, H$5))</f>
        <v/>
      </c>
      <c r="I19" s="64" t="str">
        <f ca="1">IF(COUNTIFS('SEANCE 1'!$B:$B, $B19, 'SEANCE 1'!$C:$C, I$2, 'SEANCE 1'!$F:$F, I$5)=0, "", COUNTIFS('SEANCE 1'!$B:$B, $B19, 'SEANCE 1'!$C:$C, I$2, 'SEANCE 1'!$F:$F, I$5))</f>
        <v/>
      </c>
      <c r="J19" s="64" t="str">
        <f ca="1">IF(COUNTIFS('SEANCE 1'!$B:$B, $B19, 'SEANCE 1'!$C:$C, J$2, 'SEANCE 1'!$F:$F, J$5)=0, "", COUNTIFS('SEANCE 1'!$B:$B, $B19, 'SEANCE 1'!$C:$C, J$2, 'SEANCE 1'!$F:$F, J$5))</f>
        <v/>
      </c>
      <c r="K19" s="64" t="str">
        <f ca="1">IF(COUNTIFS('SEANCE 1'!$B:$B, $B19, 'SEANCE 1'!$C:$C, K$2, 'SEANCE 1'!$F:$F, K$5)=0, "", COUNTIFS('SEANCE 1'!$B:$B, $B19, 'SEANCE 1'!$C:$C, K$2, 'SEANCE 1'!$F:$F, K$5))</f>
        <v/>
      </c>
      <c r="L19" s="64" t="str">
        <f ca="1">IF(COUNTIFS('SEANCE 1'!$B:$B, $B19, 'SEANCE 1'!$C:$C, L$2, 'SEANCE 1'!$F:$F, L$5)=0, "", COUNTIFS('SEANCE 1'!$B:$B, $B19, 'SEANCE 1'!$C:$C, L$2, 'SEANCE 1'!$F:$F, L$5))</f>
        <v/>
      </c>
      <c r="M19" s="64" t="str">
        <f ca="1">IF(COUNTIFS('SEANCE 1'!$B:$B, $B19, 'SEANCE 1'!$C:$C, M$2, 'SEANCE 1'!$F:$F, M$5)=0, "", COUNTIFS('SEANCE 1'!$B:$B, $B19, 'SEANCE 1'!$C:$C, M$2, 'SEANCE 1'!$F:$F, M$5))</f>
        <v/>
      </c>
      <c r="N19" s="64" t="str">
        <f ca="1">IF(COUNTIFS('SEANCE 1'!$B:$B, $B19, 'SEANCE 1'!$C:$C, N$2, 'SEANCE 1'!$F:$F, N$5)=0, "", COUNTIFS('SEANCE 1'!$B:$B, $B19, 'SEANCE 1'!$C:$C, N$2, 'SEANCE 1'!$F:$F, N$5))</f>
        <v/>
      </c>
      <c r="O19" s="64" t="str">
        <f ca="1">IF(COUNTIFS('SEANCE 1'!$B:$B, $B19, 'SEANCE 1'!$C:$C, O$2, 'SEANCE 1'!$F:$F, O$5)=0, "", COUNTIFS('SEANCE 1'!$B:$B, $B19, 'SEANCE 1'!$C:$C, O$2, 'SEANCE 1'!$F:$F, O$5))</f>
        <v/>
      </c>
      <c r="P19" s="64" t="str">
        <f ca="1">IF(COUNTIFS('SEANCE 1'!$B:$B, $B19, 'SEANCE 1'!$C:$C, P$2, 'SEANCE 1'!$F:$F, P$5)=0, "", COUNTIFS('SEANCE 1'!$B:$B, $B19, 'SEANCE 1'!$C:$C, P$2, 'SEANCE 1'!$F:$F, P$5))</f>
        <v/>
      </c>
      <c r="Q19" s="64" t="str">
        <f ca="1">IF(COUNTIFS('SEANCE 1'!$B:$B, $B19, 'SEANCE 1'!$C:$C, Q$2, 'SEANCE 1'!$F:$F, Q$5)=0, "", COUNTIFS('SEANCE 1'!$B:$B, $B19, 'SEANCE 1'!$C:$C, Q$2, 'SEANCE 1'!$F:$F, Q$5))</f>
        <v/>
      </c>
      <c r="R19" s="64" t="str">
        <f ca="1">IF(COUNTIFS('SEANCE 1'!$B:$B, $B19, 'SEANCE 1'!$C:$C, R$2, 'SEANCE 1'!$F:$F, R$5)=0, "", COUNTIFS('SEANCE 1'!$B:$B, $B19, 'SEANCE 1'!$C:$C, R$2, 'SEANCE 1'!$F:$F, R$5))</f>
        <v/>
      </c>
      <c r="S19" s="64" t="str">
        <f ca="1">IF(COUNTIFS('SEANCE 1'!$B:$B, $B19, 'SEANCE 1'!$C:$C, S$2, 'SEANCE 1'!$F:$F, S$5)=0, "", COUNTIFS('SEANCE 1'!$B:$B, $B19, 'SEANCE 1'!$C:$C, S$2, 'SEANCE 1'!$F:$F, S$5))</f>
        <v/>
      </c>
      <c r="T19" s="64" t="str">
        <f ca="1">IF(COUNTIFS('SEANCE 1'!$B:$B, $B19, 'SEANCE 1'!$C:$C, T$2, 'SEANCE 1'!$F:$F, T$5)=0, "", COUNTIFS('SEANCE 1'!$B:$B, $B19, 'SEANCE 1'!$C:$C, T$2, 'SEANCE 1'!$F:$F, T$5))</f>
        <v/>
      </c>
      <c r="U19" s="64" t="str">
        <f ca="1">IF(COUNTIFS('SEANCE 1'!$B:$B, $B19, 'SEANCE 1'!$C:$C, U$2, 'SEANCE 1'!$F:$F, U$5)=0, "", COUNTIFS('SEANCE 1'!$B:$B, $B19, 'SEANCE 1'!$C:$C, U$2, 'SEANCE 1'!$F:$F, U$5))</f>
        <v/>
      </c>
      <c r="V19" s="64" t="str">
        <f ca="1">IF(COUNTIFS('SEANCE 1'!$B:$B, $B19, 'SEANCE 1'!$C:$C, V$2, 'SEANCE 1'!$F:$F, V$5)=0, "", COUNTIFS('SEANCE 1'!$B:$B, $B19, 'SEANCE 1'!$C:$C, V$2, 'SEANCE 1'!$F:$F, V$5))</f>
        <v/>
      </c>
      <c r="W19" s="64" t="str">
        <f ca="1">IF(COUNTIFS('SEANCE 1'!$B:$B, $B19, 'SEANCE 1'!$C:$C, W$2, 'SEANCE 1'!$F:$F, W$5)=0, "", COUNTIFS('SEANCE 1'!$B:$B, $B19, 'SEANCE 1'!$C:$C, W$2, 'SEANCE 1'!$F:$F, W$5))</f>
        <v/>
      </c>
      <c r="X19" s="64" t="str">
        <f ca="1">IF(COUNTIFS('SEANCE 1'!$B:$B, $B19, 'SEANCE 1'!$C:$C, X$2, 'SEANCE 1'!$F:$F, X$5)=0, "", COUNTIFS('SEANCE 1'!$B:$B, $B19, 'SEANCE 1'!$C:$C, X$2, 'SEANCE 1'!$F:$F, X$5))</f>
        <v/>
      </c>
      <c r="Y19" s="64" t="str">
        <f ca="1">IF(COUNTIFS('SEANCE 1'!$B:$B, $B19, 'SEANCE 1'!$C:$C, Y$2, 'SEANCE 1'!$F:$F, Y$5)=0, "", COUNTIFS('SEANCE 1'!$B:$B, $B19, 'SEANCE 1'!$C:$C, Y$2, 'SEANCE 1'!$F:$F, Y$5))</f>
        <v/>
      </c>
      <c r="Z19" s="64" t="str">
        <f ca="1">IF(COUNTIFS('SEANCE 1'!$B:$B, $B19, 'SEANCE 1'!$C:$C, Z$2, 'SEANCE 1'!$F:$F, Z$5)=0, "", COUNTIFS('SEANCE 1'!$B:$B, $B19, 'SEANCE 1'!$C:$C, Z$2, 'SEANCE 1'!$F:$F, Z$5))</f>
        <v/>
      </c>
      <c r="AA19" s="64" t="str">
        <f ca="1">IF(COUNTIFS('SEANCE 1'!$B:$B, $B19, 'SEANCE 1'!$C:$C, AA$2, 'SEANCE 1'!$F:$F, AA$5)=0, "", COUNTIFS('SEANCE 1'!$B:$B, $B19, 'SEANCE 1'!$C:$C, AA$2, 'SEANCE 1'!$F:$F, AA$5))</f>
        <v/>
      </c>
      <c r="AB19" s="64" t="str">
        <f ca="1">IF(COUNTIFS('SEANCE 1'!$B:$B, $B19, 'SEANCE 1'!$C:$C, AB$2, 'SEANCE 1'!$F:$F, AB$5)=0, "", COUNTIFS('SEANCE 1'!$B:$B, $B19, 'SEANCE 1'!$C:$C, AB$2, 'SEANCE 1'!$F:$F, AB$5))</f>
        <v/>
      </c>
      <c r="AC19" s="64" t="str">
        <f ca="1">IF(COUNTIFS('SEANCE 1'!$B:$B, $B19, 'SEANCE 1'!$C:$C, AC$2, 'SEANCE 1'!$F:$F, AC$5)=0, "", COUNTIFS('SEANCE 1'!$B:$B, $B19, 'SEANCE 1'!$C:$C, AC$2, 'SEANCE 1'!$F:$F, AC$5))</f>
        <v/>
      </c>
      <c r="AD19" s="64" t="str">
        <f ca="1">IF(COUNTIFS('SEANCE 1'!$B:$B, $B19, 'SEANCE 1'!$C:$C, AD$2, 'SEANCE 1'!$F:$F, AD$5)=0, "", COUNTIFS('SEANCE 1'!$B:$B, $B19, 'SEANCE 1'!$C:$C, AD$2, 'SEANCE 1'!$F:$F, AD$5))</f>
        <v/>
      </c>
      <c r="AE19" s="64" t="str">
        <f ca="1">IF(COUNTIFS('SEANCE 1'!$B:$B, $B19, 'SEANCE 1'!$C:$C, AE$2, 'SEANCE 1'!$F:$F, AE$5)=0, "", COUNTIFS('SEANCE 1'!$B:$B, $B19, 'SEANCE 1'!$C:$C, AE$2, 'SEANCE 1'!$F:$F, AE$5))</f>
        <v/>
      </c>
      <c r="AF19" s="64" t="str">
        <f ca="1">IF(COUNTIFS('SEANCE 1'!$B:$B, $B19, 'SEANCE 1'!$C:$C, AF$2, 'SEANCE 1'!$F:$F, AF$5)=0, "", COUNTIFS('SEANCE 1'!$B:$B, $B19, 'SEANCE 1'!$C:$C, AF$2, 'SEANCE 1'!$F:$F, AF$5))</f>
        <v/>
      </c>
      <c r="AG19" s="64" t="str">
        <f ca="1">IF(COUNTIFS('SEANCE 1'!$B:$B, $B19, 'SEANCE 1'!$C:$C, AG$2, 'SEANCE 1'!$F:$F, AG$5)=0, "", COUNTIFS('SEANCE 1'!$B:$B, $B19, 'SEANCE 1'!$C:$C, AG$2, 'SEANCE 1'!$F:$F, AG$5))</f>
        <v/>
      </c>
      <c r="AH19" s="64" t="str">
        <f ca="1">IF(COUNTIFS('SEANCE 1'!$B:$B, $B19, 'SEANCE 1'!$C:$C, AH$2, 'SEANCE 1'!$F:$F, AH$5)=0, "", COUNTIFS('SEANCE 1'!$B:$B, $B19, 'SEANCE 1'!$C:$C, AH$2, 'SEANCE 1'!$F:$F, AH$5))</f>
        <v/>
      </c>
      <c r="AI19" s="64" t="str">
        <f ca="1">IF(COUNTIFS('SEANCE 1'!$B:$B, $B19, 'SEANCE 1'!$C:$C, AI$2, 'SEANCE 1'!$F:$F, AI$5)=0, "", COUNTIFS('SEANCE 1'!$B:$B, $B19, 'SEANCE 1'!$C:$C, AI$2, 'SEANCE 1'!$F:$F, AI$5))</f>
        <v/>
      </c>
      <c r="AJ19" s="64" t="str">
        <f ca="1">IF(COUNTIFS('SEANCE 1'!$B:$B, $B19, 'SEANCE 1'!$C:$C, AJ$2, 'SEANCE 1'!$F:$F, AJ$5)=0, "", COUNTIFS('SEANCE 1'!$B:$B, $B19, 'SEANCE 1'!$C:$C, AJ$2, 'SEANCE 1'!$F:$F, AJ$5))</f>
        <v/>
      </c>
      <c r="AK19" s="64" t="str">
        <f ca="1">IF(COUNTIFS('SEANCE 1'!$B:$B, $B19, 'SEANCE 1'!$C:$C, AK$2, 'SEANCE 1'!$F:$F, AK$5)=0, "", COUNTIFS('SEANCE 1'!$B:$B, $B19, 'SEANCE 1'!$C:$C, AK$2, 'SEANCE 1'!$F:$F, AK$5))</f>
        <v/>
      </c>
      <c r="AL19" s="64" t="str">
        <f ca="1">IF(COUNTIFS('SEANCE 1'!$B:$B, $B19, 'SEANCE 1'!$C:$C, AL$2, 'SEANCE 1'!$F:$F, AL$5)=0, "", COUNTIFS('SEANCE 1'!$B:$B, $B19, 'SEANCE 1'!$C:$C, AL$2, 'SEANCE 1'!$F:$F, AL$5))</f>
        <v/>
      </c>
      <c r="AM19" s="64" t="str">
        <f ca="1">IF(COUNTIFS('SEANCE 1'!$B:$B, $B19, 'SEANCE 1'!$C:$C, AM$2, 'SEANCE 1'!$F:$F, AM$5)=0, "", COUNTIFS('SEANCE 1'!$B:$B, $B19, 'SEANCE 1'!$C:$C, AM$2, 'SEANCE 1'!$F:$F, AM$5))</f>
        <v/>
      </c>
      <c r="AN19" s="64" t="str">
        <f ca="1">IF(COUNTIFS('SEANCE 1'!$B:$B, $B19, 'SEANCE 1'!$C:$C, AN$2, 'SEANCE 1'!$F:$F, AN$5)=0, "", COUNTIFS('SEANCE 1'!$B:$B, $B19, 'SEANCE 1'!$C:$C, AN$2, 'SEANCE 1'!$F:$F, AN$5))</f>
        <v/>
      </c>
      <c r="AO19" s="64" t="str">
        <f ca="1">IF(COUNTIFS('SEANCE 1'!$B:$B, $B19, 'SEANCE 1'!$C:$C, AO$2, 'SEANCE 1'!$F:$F, AO$5)=0, "", COUNTIFS('SEANCE 1'!$B:$B, $B19, 'SEANCE 1'!$C:$C, AO$2, 'SEANCE 1'!$F:$F, AO$5))</f>
        <v/>
      </c>
      <c r="AP19" s="64" t="str">
        <f ca="1">IF(COUNTIFS('SEANCE 1'!$B:$B, $B19, 'SEANCE 1'!$C:$C, AP$2, 'SEANCE 1'!$F:$F, AP$5)=0, "", COUNTIFS('SEANCE 1'!$B:$B, $B19, 'SEANCE 1'!$C:$C, AP$2, 'SEANCE 1'!$F:$F, AP$5))</f>
        <v/>
      </c>
      <c r="AQ19" s="64" t="str">
        <f ca="1">IF(COUNTIFS('SEANCE 1'!$B:$B, $B19, 'SEANCE 1'!$C:$C, AQ$2, 'SEANCE 1'!$F:$F, AQ$5)=0, "", COUNTIFS('SEANCE 1'!$B:$B, $B19, 'SEANCE 1'!$C:$C, AQ$2, 'SEANCE 1'!$F:$F, AQ$5))</f>
        <v/>
      </c>
      <c r="AR19" s="64" t="str">
        <f ca="1">IF(COUNTIFS('SEANCE 1'!$B:$B, $B19, 'SEANCE 1'!$C:$C, AR$2, 'SEANCE 1'!$F:$F, AR$5)=0, "", COUNTIFS('SEANCE 1'!$B:$B, $B19, 'SEANCE 1'!$C:$C, AR$2, 'SEANCE 1'!$F:$F, AR$5))</f>
        <v/>
      </c>
      <c r="AS19" s="64" t="str">
        <f ca="1">IF(COUNTIFS('SEANCE 1'!$B:$B, $B19, 'SEANCE 1'!$C:$C, AS$2, 'SEANCE 1'!$F:$F, AS$5)=0, "", COUNTIFS('SEANCE 1'!$B:$B, $B19, 'SEANCE 1'!$C:$C, AS$2, 'SEANCE 1'!$F:$F, AS$5))</f>
        <v/>
      </c>
      <c r="AT19" s="64" t="str">
        <f ca="1">IF(COUNTIFS('SEANCE 1'!$B:$B, $B19, 'SEANCE 1'!$C:$C, AT$2, 'SEANCE 1'!$F:$F, AT$5)=0, "", COUNTIFS('SEANCE 1'!$B:$B, $B19, 'SEANCE 1'!$C:$C, AT$2, 'SEANCE 1'!$F:$F, AT$5))</f>
        <v/>
      </c>
      <c r="AU19" s="64" t="str">
        <f ca="1">IF(COUNTIFS('SEANCE 1'!$B:$B, $B19, 'SEANCE 1'!$C:$C, AU$2, 'SEANCE 1'!$F:$F, AU$5)=0, "", COUNTIFS('SEANCE 1'!$B:$B, $B19, 'SEANCE 1'!$C:$C, AU$2, 'SEANCE 1'!$F:$F, AU$5))</f>
        <v/>
      </c>
      <c r="AV19" s="64" t="str">
        <f ca="1">IF(COUNTIFS('SEANCE 1'!$B:$B, $B19, 'SEANCE 1'!$C:$C, AV$2, 'SEANCE 1'!$F:$F, AV$5)=0, "", COUNTIFS('SEANCE 1'!$B:$B, $B19, 'SEANCE 1'!$C:$C, AV$2, 'SEANCE 1'!$F:$F, AV$5))</f>
        <v/>
      </c>
      <c r="AW19" s="64" t="str">
        <f ca="1">IF(COUNTIFS('SEANCE 1'!$B:$B, $B19, 'SEANCE 1'!$C:$C, AW$2, 'SEANCE 1'!$F:$F, AW$5)=0, "", COUNTIFS('SEANCE 1'!$B:$B, $B19, 'SEANCE 1'!$C:$C, AW$2, 'SEANCE 1'!$F:$F, AW$5))</f>
        <v/>
      </c>
      <c r="AX19" s="64" t="str">
        <f ca="1">IF(COUNTIFS('SEANCE 1'!$B:$B, $B19, 'SEANCE 1'!$C:$C, AX$2, 'SEANCE 1'!$F:$F, AX$5)=0, "", COUNTIFS('SEANCE 1'!$B:$B, $B19, 'SEANCE 1'!$C:$C, AX$2, 'SEANCE 1'!$F:$F, AX$5))</f>
        <v/>
      </c>
      <c r="AY19" s="64" t="str">
        <f ca="1">IF(COUNTIFS('SEANCE 1'!$B:$B, $B19, 'SEANCE 1'!$C:$C, AY$2, 'SEANCE 1'!$F:$F, AY$5)=0, "", COUNTIFS('SEANCE 1'!$B:$B, $B19, 'SEANCE 1'!$C:$C, AY$2, 'SEANCE 1'!$F:$F, AY$5))</f>
        <v/>
      </c>
      <c r="AZ19" s="32">
        <f t="shared" ca="1" si="0"/>
        <v>0</v>
      </c>
    </row>
    <row r="20" spans="1:52">
      <c r="A20" s="44" t="str">
        <f>IF('SEANCE 1'!$B16&lt;&gt;"",'SEANCE 1'!$A16,"")</f>
        <v/>
      </c>
      <c r="B20" s="44" t="str">
        <f t="array" aca="1" ref="B20" ca="1">IF(ISNA(INDEX(ListeB,MATCH(0,COUNTIF($B$5:B19,ListeB),0))),"",INDEX(ListeB,MATCH(0,COUNTIF($B$5:B19,ListeB),0)))</f>
        <v/>
      </c>
      <c r="C20" s="64" t="str">
        <f ca="1">IF(COUNTIFS('SEANCE 1'!$B:$B, $B20, 'SEANCE 1'!$C:$C, C$2, 'SEANCE 1'!$F:$F, C$5)=0, "", COUNTIFS('SEANCE 1'!$B:$B, $B20, 'SEANCE 1'!$C:$C, C$2, 'SEANCE 1'!$F:$F, C$5))</f>
        <v/>
      </c>
      <c r="D20" s="64" t="str">
        <f ca="1">IF(COUNTIFS('SEANCE 1'!$B:$B, $B20, 'SEANCE 1'!$C:$C, D$2, 'SEANCE 1'!$F:$F, D$5)=0, "", COUNTIFS('SEANCE 1'!$B:$B, $B20, 'SEANCE 1'!$C:$C, D$2, 'SEANCE 1'!$F:$F, D$5))</f>
        <v/>
      </c>
      <c r="E20" s="64" t="str">
        <f ca="1">IF(COUNTIFS('SEANCE 1'!$B:$B, $B20, 'SEANCE 1'!$C:$C, E$2, 'SEANCE 1'!$F:$F, E$5)=0, "", COUNTIFS('SEANCE 1'!$B:$B, $B20, 'SEANCE 1'!$C:$C, E$2, 'SEANCE 1'!$F:$F, E$5))</f>
        <v/>
      </c>
      <c r="F20" s="64" t="str">
        <f ca="1">IF(COUNTIFS('SEANCE 1'!$B:$B, $B20, 'SEANCE 1'!$C:$C, F$2, 'SEANCE 1'!$F:$F, F$5)=0, "", COUNTIFS('SEANCE 1'!$B:$B, $B20, 'SEANCE 1'!$C:$C, F$2, 'SEANCE 1'!$F:$F, F$5))</f>
        <v/>
      </c>
      <c r="G20" s="64" t="str">
        <f ca="1">IF(COUNTIFS('SEANCE 1'!$B:$B, $B20, 'SEANCE 1'!$C:$C, G$2, 'SEANCE 1'!$F:$F, G$5)=0, "", COUNTIFS('SEANCE 1'!$B:$B, $B20, 'SEANCE 1'!$C:$C, G$2, 'SEANCE 1'!$F:$F, G$5))</f>
        <v/>
      </c>
      <c r="H20" s="64" t="str">
        <f ca="1">IF(COUNTIFS('SEANCE 1'!$B:$B, $B20, 'SEANCE 1'!$C:$C, H$2, 'SEANCE 1'!$F:$F, H$5)=0, "", COUNTIFS('SEANCE 1'!$B:$B, $B20, 'SEANCE 1'!$C:$C, H$2, 'SEANCE 1'!$F:$F, H$5))</f>
        <v/>
      </c>
      <c r="I20" s="64" t="str">
        <f ca="1">IF(COUNTIFS('SEANCE 1'!$B:$B, $B20, 'SEANCE 1'!$C:$C, I$2, 'SEANCE 1'!$F:$F, I$5)=0, "", COUNTIFS('SEANCE 1'!$B:$B, $B20, 'SEANCE 1'!$C:$C, I$2, 'SEANCE 1'!$F:$F, I$5))</f>
        <v/>
      </c>
      <c r="J20" s="64" t="str">
        <f ca="1">IF(COUNTIFS('SEANCE 1'!$B:$B, $B20, 'SEANCE 1'!$C:$C, J$2, 'SEANCE 1'!$F:$F, J$5)=0, "", COUNTIFS('SEANCE 1'!$B:$B, $B20, 'SEANCE 1'!$C:$C, J$2, 'SEANCE 1'!$F:$F, J$5))</f>
        <v/>
      </c>
      <c r="K20" s="64" t="str">
        <f ca="1">IF(COUNTIFS('SEANCE 1'!$B:$B, $B20, 'SEANCE 1'!$C:$C, K$2, 'SEANCE 1'!$F:$F, K$5)=0, "", COUNTIFS('SEANCE 1'!$B:$B, $B20, 'SEANCE 1'!$C:$C, K$2, 'SEANCE 1'!$F:$F, K$5))</f>
        <v/>
      </c>
      <c r="L20" s="64" t="str">
        <f ca="1">IF(COUNTIFS('SEANCE 1'!$B:$B, $B20, 'SEANCE 1'!$C:$C, L$2, 'SEANCE 1'!$F:$F, L$5)=0, "", COUNTIFS('SEANCE 1'!$B:$B, $B20, 'SEANCE 1'!$C:$C, L$2, 'SEANCE 1'!$F:$F, L$5))</f>
        <v/>
      </c>
      <c r="M20" s="64" t="str">
        <f ca="1">IF(COUNTIFS('SEANCE 1'!$B:$B, $B20, 'SEANCE 1'!$C:$C, M$2, 'SEANCE 1'!$F:$F, M$5)=0, "", COUNTIFS('SEANCE 1'!$B:$B, $B20, 'SEANCE 1'!$C:$C, M$2, 'SEANCE 1'!$F:$F, M$5))</f>
        <v/>
      </c>
      <c r="N20" s="64" t="str">
        <f ca="1">IF(COUNTIFS('SEANCE 1'!$B:$B, $B20, 'SEANCE 1'!$C:$C, N$2, 'SEANCE 1'!$F:$F, N$5)=0, "", COUNTIFS('SEANCE 1'!$B:$B, $B20, 'SEANCE 1'!$C:$C, N$2, 'SEANCE 1'!$F:$F, N$5))</f>
        <v/>
      </c>
      <c r="O20" s="64" t="str">
        <f ca="1">IF(COUNTIFS('SEANCE 1'!$B:$B, $B20, 'SEANCE 1'!$C:$C, O$2, 'SEANCE 1'!$F:$F, O$5)=0, "", COUNTIFS('SEANCE 1'!$B:$B, $B20, 'SEANCE 1'!$C:$C, O$2, 'SEANCE 1'!$F:$F, O$5))</f>
        <v/>
      </c>
      <c r="P20" s="64" t="str">
        <f ca="1">IF(COUNTIFS('SEANCE 1'!$B:$B, $B20, 'SEANCE 1'!$C:$C, P$2, 'SEANCE 1'!$F:$F, P$5)=0, "", COUNTIFS('SEANCE 1'!$B:$B, $B20, 'SEANCE 1'!$C:$C, P$2, 'SEANCE 1'!$F:$F, P$5))</f>
        <v/>
      </c>
      <c r="Q20" s="64" t="str">
        <f ca="1">IF(COUNTIFS('SEANCE 1'!$B:$B, $B20, 'SEANCE 1'!$C:$C, Q$2, 'SEANCE 1'!$F:$F, Q$5)=0, "", COUNTIFS('SEANCE 1'!$B:$B, $B20, 'SEANCE 1'!$C:$C, Q$2, 'SEANCE 1'!$F:$F, Q$5))</f>
        <v/>
      </c>
      <c r="R20" s="64" t="str">
        <f ca="1">IF(COUNTIFS('SEANCE 1'!$B:$B, $B20, 'SEANCE 1'!$C:$C, R$2, 'SEANCE 1'!$F:$F, R$5)=0, "", COUNTIFS('SEANCE 1'!$B:$B, $B20, 'SEANCE 1'!$C:$C, R$2, 'SEANCE 1'!$F:$F, R$5))</f>
        <v/>
      </c>
      <c r="S20" s="64" t="str">
        <f ca="1">IF(COUNTIFS('SEANCE 1'!$B:$B, $B20, 'SEANCE 1'!$C:$C, S$2, 'SEANCE 1'!$F:$F, S$5)=0, "", COUNTIFS('SEANCE 1'!$B:$B, $B20, 'SEANCE 1'!$C:$C, S$2, 'SEANCE 1'!$F:$F, S$5))</f>
        <v/>
      </c>
      <c r="T20" s="64" t="str">
        <f ca="1">IF(COUNTIFS('SEANCE 1'!$B:$B, $B20, 'SEANCE 1'!$C:$C, T$2, 'SEANCE 1'!$F:$F, T$5)=0, "", COUNTIFS('SEANCE 1'!$B:$B, $B20, 'SEANCE 1'!$C:$C, T$2, 'SEANCE 1'!$F:$F, T$5))</f>
        <v/>
      </c>
      <c r="U20" s="64" t="str">
        <f ca="1">IF(COUNTIFS('SEANCE 1'!$B:$B, $B20, 'SEANCE 1'!$C:$C, U$2, 'SEANCE 1'!$F:$F, U$5)=0, "", COUNTIFS('SEANCE 1'!$B:$B, $B20, 'SEANCE 1'!$C:$C, U$2, 'SEANCE 1'!$F:$F, U$5))</f>
        <v/>
      </c>
      <c r="V20" s="64" t="str">
        <f ca="1">IF(COUNTIFS('SEANCE 1'!$B:$B, $B20, 'SEANCE 1'!$C:$C, V$2, 'SEANCE 1'!$F:$F, V$5)=0, "", COUNTIFS('SEANCE 1'!$B:$B, $B20, 'SEANCE 1'!$C:$C, V$2, 'SEANCE 1'!$F:$F, V$5))</f>
        <v/>
      </c>
      <c r="W20" s="64" t="str">
        <f ca="1">IF(COUNTIFS('SEANCE 1'!$B:$B, $B20, 'SEANCE 1'!$C:$C, W$2, 'SEANCE 1'!$F:$F, W$5)=0, "", COUNTIFS('SEANCE 1'!$B:$B, $B20, 'SEANCE 1'!$C:$C, W$2, 'SEANCE 1'!$F:$F, W$5))</f>
        <v/>
      </c>
      <c r="X20" s="64" t="str">
        <f ca="1">IF(COUNTIFS('SEANCE 1'!$B:$B, $B20, 'SEANCE 1'!$C:$C, X$2, 'SEANCE 1'!$F:$F, X$5)=0, "", COUNTIFS('SEANCE 1'!$B:$B, $B20, 'SEANCE 1'!$C:$C, X$2, 'SEANCE 1'!$F:$F, X$5))</f>
        <v/>
      </c>
      <c r="Y20" s="64" t="str">
        <f ca="1">IF(COUNTIFS('SEANCE 1'!$B:$B, $B20, 'SEANCE 1'!$C:$C, Y$2, 'SEANCE 1'!$F:$F, Y$5)=0, "", COUNTIFS('SEANCE 1'!$B:$B, $B20, 'SEANCE 1'!$C:$C, Y$2, 'SEANCE 1'!$F:$F, Y$5))</f>
        <v/>
      </c>
      <c r="Z20" s="64" t="str">
        <f ca="1">IF(COUNTIFS('SEANCE 1'!$B:$B, $B20, 'SEANCE 1'!$C:$C, Z$2, 'SEANCE 1'!$F:$F, Z$5)=0, "", COUNTIFS('SEANCE 1'!$B:$B, $B20, 'SEANCE 1'!$C:$C, Z$2, 'SEANCE 1'!$F:$F, Z$5))</f>
        <v/>
      </c>
      <c r="AA20" s="64" t="str">
        <f ca="1">IF(COUNTIFS('SEANCE 1'!$B:$B, $B20, 'SEANCE 1'!$C:$C, AA$2, 'SEANCE 1'!$F:$F, AA$5)=0, "", COUNTIFS('SEANCE 1'!$B:$B, $B20, 'SEANCE 1'!$C:$C, AA$2, 'SEANCE 1'!$F:$F, AA$5))</f>
        <v/>
      </c>
      <c r="AB20" s="64" t="str">
        <f ca="1">IF(COUNTIFS('SEANCE 1'!$B:$B, $B20, 'SEANCE 1'!$C:$C, AB$2, 'SEANCE 1'!$F:$F, AB$5)=0, "", COUNTIFS('SEANCE 1'!$B:$B, $B20, 'SEANCE 1'!$C:$C, AB$2, 'SEANCE 1'!$F:$F, AB$5))</f>
        <v/>
      </c>
      <c r="AC20" s="64" t="str">
        <f ca="1">IF(COUNTIFS('SEANCE 1'!$B:$B, $B20, 'SEANCE 1'!$C:$C, AC$2, 'SEANCE 1'!$F:$F, AC$5)=0, "", COUNTIFS('SEANCE 1'!$B:$B, $B20, 'SEANCE 1'!$C:$C, AC$2, 'SEANCE 1'!$F:$F, AC$5))</f>
        <v/>
      </c>
      <c r="AD20" s="64" t="str">
        <f ca="1">IF(COUNTIFS('SEANCE 1'!$B:$B, $B20, 'SEANCE 1'!$C:$C, AD$2, 'SEANCE 1'!$F:$F, AD$5)=0, "", COUNTIFS('SEANCE 1'!$B:$B, $B20, 'SEANCE 1'!$C:$C, AD$2, 'SEANCE 1'!$F:$F, AD$5))</f>
        <v/>
      </c>
      <c r="AE20" s="64" t="str">
        <f ca="1">IF(COUNTIFS('SEANCE 1'!$B:$B, $B20, 'SEANCE 1'!$C:$C, AE$2, 'SEANCE 1'!$F:$F, AE$5)=0, "", COUNTIFS('SEANCE 1'!$B:$B, $B20, 'SEANCE 1'!$C:$C, AE$2, 'SEANCE 1'!$F:$F, AE$5))</f>
        <v/>
      </c>
      <c r="AF20" s="64" t="str">
        <f ca="1">IF(COUNTIFS('SEANCE 1'!$B:$B, $B20, 'SEANCE 1'!$C:$C, AF$2, 'SEANCE 1'!$F:$F, AF$5)=0, "", COUNTIFS('SEANCE 1'!$B:$B, $B20, 'SEANCE 1'!$C:$C, AF$2, 'SEANCE 1'!$F:$F, AF$5))</f>
        <v/>
      </c>
      <c r="AG20" s="64" t="str">
        <f ca="1">IF(COUNTIFS('SEANCE 1'!$B:$B, $B20, 'SEANCE 1'!$C:$C, AG$2, 'SEANCE 1'!$F:$F, AG$5)=0, "", COUNTIFS('SEANCE 1'!$B:$B, $B20, 'SEANCE 1'!$C:$C, AG$2, 'SEANCE 1'!$F:$F, AG$5))</f>
        <v/>
      </c>
      <c r="AH20" s="64" t="str">
        <f ca="1">IF(COUNTIFS('SEANCE 1'!$B:$B, $B20, 'SEANCE 1'!$C:$C, AH$2, 'SEANCE 1'!$F:$F, AH$5)=0, "", COUNTIFS('SEANCE 1'!$B:$B, $B20, 'SEANCE 1'!$C:$C, AH$2, 'SEANCE 1'!$F:$F, AH$5))</f>
        <v/>
      </c>
      <c r="AI20" s="64" t="str">
        <f ca="1">IF(COUNTIFS('SEANCE 1'!$B:$B, $B20, 'SEANCE 1'!$C:$C, AI$2, 'SEANCE 1'!$F:$F, AI$5)=0, "", COUNTIFS('SEANCE 1'!$B:$B, $B20, 'SEANCE 1'!$C:$C, AI$2, 'SEANCE 1'!$F:$F, AI$5))</f>
        <v/>
      </c>
      <c r="AJ20" s="64" t="str">
        <f ca="1">IF(COUNTIFS('SEANCE 1'!$B:$B, $B20, 'SEANCE 1'!$C:$C, AJ$2, 'SEANCE 1'!$F:$F, AJ$5)=0, "", COUNTIFS('SEANCE 1'!$B:$B, $B20, 'SEANCE 1'!$C:$C, AJ$2, 'SEANCE 1'!$F:$F, AJ$5))</f>
        <v/>
      </c>
      <c r="AK20" s="64" t="str">
        <f ca="1">IF(COUNTIFS('SEANCE 1'!$B:$B, $B20, 'SEANCE 1'!$C:$C, AK$2, 'SEANCE 1'!$F:$F, AK$5)=0, "", COUNTIFS('SEANCE 1'!$B:$B, $B20, 'SEANCE 1'!$C:$C, AK$2, 'SEANCE 1'!$F:$F, AK$5))</f>
        <v/>
      </c>
      <c r="AL20" s="64" t="str">
        <f ca="1">IF(COUNTIFS('SEANCE 1'!$B:$B, $B20, 'SEANCE 1'!$C:$C, AL$2, 'SEANCE 1'!$F:$F, AL$5)=0, "", COUNTIFS('SEANCE 1'!$B:$B, $B20, 'SEANCE 1'!$C:$C, AL$2, 'SEANCE 1'!$F:$F, AL$5))</f>
        <v/>
      </c>
      <c r="AM20" s="64" t="str">
        <f ca="1">IF(COUNTIFS('SEANCE 1'!$B:$B, $B20, 'SEANCE 1'!$C:$C, AM$2, 'SEANCE 1'!$F:$F, AM$5)=0, "", COUNTIFS('SEANCE 1'!$B:$B, $B20, 'SEANCE 1'!$C:$C, AM$2, 'SEANCE 1'!$F:$F, AM$5))</f>
        <v/>
      </c>
      <c r="AN20" s="64" t="str">
        <f ca="1">IF(COUNTIFS('SEANCE 1'!$B:$B, $B20, 'SEANCE 1'!$C:$C, AN$2, 'SEANCE 1'!$F:$F, AN$5)=0, "", COUNTIFS('SEANCE 1'!$B:$B, $B20, 'SEANCE 1'!$C:$C, AN$2, 'SEANCE 1'!$F:$F, AN$5))</f>
        <v/>
      </c>
      <c r="AO20" s="64" t="str">
        <f ca="1">IF(COUNTIFS('SEANCE 1'!$B:$B, $B20, 'SEANCE 1'!$C:$C, AO$2, 'SEANCE 1'!$F:$F, AO$5)=0, "", COUNTIFS('SEANCE 1'!$B:$B, $B20, 'SEANCE 1'!$C:$C, AO$2, 'SEANCE 1'!$F:$F, AO$5))</f>
        <v/>
      </c>
      <c r="AP20" s="64" t="str">
        <f ca="1">IF(COUNTIFS('SEANCE 1'!$B:$B, $B20, 'SEANCE 1'!$C:$C, AP$2, 'SEANCE 1'!$F:$F, AP$5)=0, "", COUNTIFS('SEANCE 1'!$B:$B, $B20, 'SEANCE 1'!$C:$C, AP$2, 'SEANCE 1'!$F:$F, AP$5))</f>
        <v/>
      </c>
      <c r="AQ20" s="64" t="str">
        <f ca="1">IF(COUNTIFS('SEANCE 1'!$B:$B, $B20, 'SEANCE 1'!$C:$C, AQ$2, 'SEANCE 1'!$F:$F, AQ$5)=0, "", COUNTIFS('SEANCE 1'!$B:$B, $B20, 'SEANCE 1'!$C:$C, AQ$2, 'SEANCE 1'!$F:$F, AQ$5))</f>
        <v/>
      </c>
      <c r="AR20" s="64" t="str">
        <f ca="1">IF(COUNTIFS('SEANCE 1'!$B:$B, $B20, 'SEANCE 1'!$C:$C, AR$2, 'SEANCE 1'!$F:$F, AR$5)=0, "", COUNTIFS('SEANCE 1'!$B:$B, $B20, 'SEANCE 1'!$C:$C, AR$2, 'SEANCE 1'!$F:$F, AR$5))</f>
        <v/>
      </c>
      <c r="AS20" s="64" t="str">
        <f ca="1">IF(COUNTIFS('SEANCE 1'!$B:$B, $B20, 'SEANCE 1'!$C:$C, AS$2, 'SEANCE 1'!$F:$F, AS$5)=0, "", COUNTIFS('SEANCE 1'!$B:$B, $B20, 'SEANCE 1'!$C:$C, AS$2, 'SEANCE 1'!$F:$F, AS$5))</f>
        <v/>
      </c>
      <c r="AT20" s="64" t="str">
        <f ca="1">IF(COUNTIFS('SEANCE 1'!$B:$B, $B20, 'SEANCE 1'!$C:$C, AT$2, 'SEANCE 1'!$F:$F, AT$5)=0, "", COUNTIFS('SEANCE 1'!$B:$B, $B20, 'SEANCE 1'!$C:$C, AT$2, 'SEANCE 1'!$F:$F, AT$5))</f>
        <v/>
      </c>
      <c r="AU20" s="64" t="str">
        <f ca="1">IF(COUNTIFS('SEANCE 1'!$B:$B, $B20, 'SEANCE 1'!$C:$C, AU$2, 'SEANCE 1'!$F:$F, AU$5)=0, "", COUNTIFS('SEANCE 1'!$B:$B, $B20, 'SEANCE 1'!$C:$C, AU$2, 'SEANCE 1'!$F:$F, AU$5))</f>
        <v/>
      </c>
      <c r="AV20" s="64" t="str">
        <f ca="1">IF(COUNTIFS('SEANCE 1'!$B:$B, $B20, 'SEANCE 1'!$C:$C, AV$2, 'SEANCE 1'!$F:$F, AV$5)=0, "", COUNTIFS('SEANCE 1'!$B:$B, $B20, 'SEANCE 1'!$C:$C, AV$2, 'SEANCE 1'!$F:$F, AV$5))</f>
        <v/>
      </c>
      <c r="AW20" s="64" t="str">
        <f ca="1">IF(COUNTIFS('SEANCE 1'!$B:$B, $B20, 'SEANCE 1'!$C:$C, AW$2, 'SEANCE 1'!$F:$F, AW$5)=0, "", COUNTIFS('SEANCE 1'!$B:$B, $B20, 'SEANCE 1'!$C:$C, AW$2, 'SEANCE 1'!$F:$F, AW$5))</f>
        <v/>
      </c>
      <c r="AX20" s="64" t="str">
        <f ca="1">IF(COUNTIFS('SEANCE 1'!$B:$B, $B20, 'SEANCE 1'!$C:$C, AX$2, 'SEANCE 1'!$F:$F, AX$5)=0, "", COUNTIFS('SEANCE 1'!$B:$B, $B20, 'SEANCE 1'!$C:$C, AX$2, 'SEANCE 1'!$F:$F, AX$5))</f>
        <v/>
      </c>
      <c r="AY20" s="64" t="str">
        <f ca="1">IF(COUNTIFS('SEANCE 1'!$B:$B, $B20, 'SEANCE 1'!$C:$C, AY$2, 'SEANCE 1'!$F:$F, AY$5)=0, "", COUNTIFS('SEANCE 1'!$B:$B, $B20, 'SEANCE 1'!$C:$C, AY$2, 'SEANCE 1'!$F:$F, AY$5))</f>
        <v/>
      </c>
      <c r="AZ20" s="32">
        <f t="shared" ca="1" si="0"/>
        <v>0</v>
      </c>
    </row>
    <row r="21" spans="1:52">
      <c r="A21" s="44" t="str">
        <f>IF('SEANCE 1'!$B17&lt;&gt;"",'SEANCE 1'!$A17,"")</f>
        <v/>
      </c>
      <c r="B21" s="44" t="str">
        <f t="array" aca="1" ref="B21" ca="1">IF(ISNA(INDEX(ListeB,MATCH(0,COUNTIF($B$5:B20,ListeB),0))),"",INDEX(ListeB,MATCH(0,COUNTIF($B$5:B20,ListeB),0)))</f>
        <v/>
      </c>
      <c r="C21" s="64" t="str">
        <f ca="1">IF(COUNTIFS('SEANCE 1'!$B:$B, $B21, 'SEANCE 1'!$C:$C, C$2, 'SEANCE 1'!$F:$F, C$5)=0, "", COUNTIFS('SEANCE 1'!$B:$B, $B21, 'SEANCE 1'!$C:$C, C$2, 'SEANCE 1'!$F:$F, C$5))</f>
        <v/>
      </c>
      <c r="D21" s="64" t="str">
        <f ca="1">IF(COUNTIFS('SEANCE 1'!$B:$B, $B21, 'SEANCE 1'!$C:$C, D$2, 'SEANCE 1'!$F:$F, D$5)=0, "", COUNTIFS('SEANCE 1'!$B:$B, $B21, 'SEANCE 1'!$C:$C, D$2, 'SEANCE 1'!$F:$F, D$5))</f>
        <v/>
      </c>
      <c r="E21" s="64" t="str">
        <f ca="1">IF(COUNTIFS('SEANCE 1'!$B:$B, $B21, 'SEANCE 1'!$C:$C, E$2, 'SEANCE 1'!$F:$F, E$5)=0, "", COUNTIFS('SEANCE 1'!$B:$B, $B21, 'SEANCE 1'!$C:$C, E$2, 'SEANCE 1'!$F:$F, E$5))</f>
        <v/>
      </c>
      <c r="F21" s="64" t="str">
        <f ca="1">IF(COUNTIFS('SEANCE 1'!$B:$B, $B21, 'SEANCE 1'!$C:$C, F$2, 'SEANCE 1'!$F:$F, F$5)=0, "", COUNTIFS('SEANCE 1'!$B:$B, $B21, 'SEANCE 1'!$C:$C, F$2, 'SEANCE 1'!$F:$F, F$5))</f>
        <v/>
      </c>
      <c r="G21" s="64" t="str">
        <f ca="1">IF(COUNTIFS('SEANCE 1'!$B:$B, $B21, 'SEANCE 1'!$C:$C, G$2, 'SEANCE 1'!$F:$F, G$5)=0, "", COUNTIFS('SEANCE 1'!$B:$B, $B21, 'SEANCE 1'!$C:$C, G$2, 'SEANCE 1'!$F:$F, G$5))</f>
        <v/>
      </c>
      <c r="H21" s="64" t="str">
        <f ca="1">IF(COUNTIFS('SEANCE 1'!$B:$B, $B21, 'SEANCE 1'!$C:$C, H$2, 'SEANCE 1'!$F:$F, H$5)=0, "", COUNTIFS('SEANCE 1'!$B:$B, $B21, 'SEANCE 1'!$C:$C, H$2, 'SEANCE 1'!$F:$F, H$5))</f>
        <v/>
      </c>
      <c r="I21" s="64" t="str">
        <f ca="1">IF(COUNTIFS('SEANCE 1'!$B:$B, $B21, 'SEANCE 1'!$C:$C, I$2, 'SEANCE 1'!$F:$F, I$5)=0, "", COUNTIFS('SEANCE 1'!$B:$B, $B21, 'SEANCE 1'!$C:$C, I$2, 'SEANCE 1'!$F:$F, I$5))</f>
        <v/>
      </c>
      <c r="J21" s="64" t="str">
        <f ca="1">IF(COUNTIFS('SEANCE 1'!$B:$B, $B21, 'SEANCE 1'!$C:$C, J$2, 'SEANCE 1'!$F:$F, J$5)=0, "", COUNTIFS('SEANCE 1'!$B:$B, $B21, 'SEANCE 1'!$C:$C, J$2, 'SEANCE 1'!$F:$F, J$5))</f>
        <v/>
      </c>
      <c r="K21" s="64" t="str">
        <f ca="1">IF(COUNTIFS('SEANCE 1'!$B:$B, $B21, 'SEANCE 1'!$C:$C, K$2, 'SEANCE 1'!$F:$F, K$5)=0, "", COUNTIFS('SEANCE 1'!$B:$B, $B21, 'SEANCE 1'!$C:$C, K$2, 'SEANCE 1'!$F:$F, K$5))</f>
        <v/>
      </c>
      <c r="L21" s="64" t="str">
        <f ca="1">IF(COUNTIFS('SEANCE 1'!$B:$B, $B21, 'SEANCE 1'!$C:$C, L$2, 'SEANCE 1'!$F:$F, L$5)=0, "", COUNTIFS('SEANCE 1'!$B:$B, $B21, 'SEANCE 1'!$C:$C, L$2, 'SEANCE 1'!$F:$F, L$5))</f>
        <v/>
      </c>
      <c r="M21" s="64" t="str">
        <f ca="1">IF(COUNTIFS('SEANCE 1'!$B:$B, $B21, 'SEANCE 1'!$C:$C, M$2, 'SEANCE 1'!$F:$F, M$5)=0, "", COUNTIFS('SEANCE 1'!$B:$B, $B21, 'SEANCE 1'!$C:$C, M$2, 'SEANCE 1'!$F:$F, M$5))</f>
        <v/>
      </c>
      <c r="N21" s="64" t="str">
        <f ca="1">IF(COUNTIFS('SEANCE 1'!$B:$B, $B21, 'SEANCE 1'!$C:$C, N$2, 'SEANCE 1'!$F:$F, N$5)=0, "", COUNTIFS('SEANCE 1'!$B:$B, $B21, 'SEANCE 1'!$C:$C, N$2, 'SEANCE 1'!$F:$F, N$5))</f>
        <v/>
      </c>
      <c r="O21" s="64" t="str">
        <f ca="1">IF(COUNTIFS('SEANCE 1'!$B:$B, $B21, 'SEANCE 1'!$C:$C, O$2, 'SEANCE 1'!$F:$F, O$5)=0, "", COUNTIFS('SEANCE 1'!$B:$B, $B21, 'SEANCE 1'!$C:$C, O$2, 'SEANCE 1'!$F:$F, O$5))</f>
        <v/>
      </c>
      <c r="P21" s="64" t="str">
        <f ca="1">IF(COUNTIFS('SEANCE 1'!$B:$B, $B21, 'SEANCE 1'!$C:$C, P$2, 'SEANCE 1'!$F:$F, P$5)=0, "", COUNTIFS('SEANCE 1'!$B:$B, $B21, 'SEANCE 1'!$C:$C, P$2, 'SEANCE 1'!$F:$F, P$5))</f>
        <v/>
      </c>
      <c r="Q21" s="64" t="str">
        <f ca="1">IF(COUNTIFS('SEANCE 1'!$B:$B, $B21, 'SEANCE 1'!$C:$C, Q$2, 'SEANCE 1'!$F:$F, Q$5)=0, "", COUNTIFS('SEANCE 1'!$B:$B, $B21, 'SEANCE 1'!$C:$C, Q$2, 'SEANCE 1'!$F:$F, Q$5))</f>
        <v/>
      </c>
      <c r="R21" s="64" t="str">
        <f ca="1">IF(COUNTIFS('SEANCE 1'!$B:$B, $B21, 'SEANCE 1'!$C:$C, R$2, 'SEANCE 1'!$F:$F, R$5)=0, "", COUNTIFS('SEANCE 1'!$B:$B, $B21, 'SEANCE 1'!$C:$C, R$2, 'SEANCE 1'!$F:$F, R$5))</f>
        <v/>
      </c>
      <c r="S21" s="64" t="str">
        <f ca="1">IF(COUNTIFS('SEANCE 1'!$B:$B, $B21, 'SEANCE 1'!$C:$C, S$2, 'SEANCE 1'!$F:$F, S$5)=0, "", COUNTIFS('SEANCE 1'!$B:$B, $B21, 'SEANCE 1'!$C:$C, S$2, 'SEANCE 1'!$F:$F, S$5))</f>
        <v/>
      </c>
      <c r="T21" s="64" t="str">
        <f ca="1">IF(COUNTIFS('SEANCE 1'!$B:$B, $B21, 'SEANCE 1'!$C:$C, T$2, 'SEANCE 1'!$F:$F, T$5)=0, "", COUNTIFS('SEANCE 1'!$B:$B, $B21, 'SEANCE 1'!$C:$C, T$2, 'SEANCE 1'!$F:$F, T$5))</f>
        <v/>
      </c>
      <c r="U21" s="64" t="str">
        <f ca="1">IF(COUNTIFS('SEANCE 1'!$B:$B, $B21, 'SEANCE 1'!$C:$C, U$2, 'SEANCE 1'!$F:$F, U$5)=0, "", COUNTIFS('SEANCE 1'!$B:$B, $B21, 'SEANCE 1'!$C:$C, U$2, 'SEANCE 1'!$F:$F, U$5))</f>
        <v/>
      </c>
      <c r="V21" s="64" t="str">
        <f ca="1">IF(COUNTIFS('SEANCE 1'!$B:$B, $B21, 'SEANCE 1'!$C:$C, V$2, 'SEANCE 1'!$F:$F, V$5)=0, "", COUNTIFS('SEANCE 1'!$B:$B, $B21, 'SEANCE 1'!$C:$C, V$2, 'SEANCE 1'!$F:$F, V$5))</f>
        <v/>
      </c>
      <c r="W21" s="64" t="str">
        <f ca="1">IF(COUNTIFS('SEANCE 1'!$B:$B, $B21, 'SEANCE 1'!$C:$C, W$2, 'SEANCE 1'!$F:$F, W$5)=0, "", COUNTIFS('SEANCE 1'!$B:$B, $B21, 'SEANCE 1'!$C:$C, W$2, 'SEANCE 1'!$F:$F, W$5))</f>
        <v/>
      </c>
      <c r="X21" s="64" t="str">
        <f ca="1">IF(COUNTIFS('SEANCE 1'!$B:$B, $B21, 'SEANCE 1'!$C:$C, X$2, 'SEANCE 1'!$F:$F, X$5)=0, "", COUNTIFS('SEANCE 1'!$B:$B, $B21, 'SEANCE 1'!$C:$C, X$2, 'SEANCE 1'!$F:$F, X$5))</f>
        <v/>
      </c>
      <c r="Y21" s="64" t="str">
        <f ca="1">IF(COUNTIFS('SEANCE 1'!$B:$B, $B21, 'SEANCE 1'!$C:$C, Y$2, 'SEANCE 1'!$F:$F, Y$5)=0, "", COUNTIFS('SEANCE 1'!$B:$B, $B21, 'SEANCE 1'!$C:$C, Y$2, 'SEANCE 1'!$F:$F, Y$5))</f>
        <v/>
      </c>
      <c r="Z21" s="64" t="str">
        <f ca="1">IF(COUNTIFS('SEANCE 1'!$B:$B, $B21, 'SEANCE 1'!$C:$C, Z$2, 'SEANCE 1'!$F:$F, Z$5)=0, "", COUNTIFS('SEANCE 1'!$B:$B, $B21, 'SEANCE 1'!$C:$C, Z$2, 'SEANCE 1'!$F:$F, Z$5))</f>
        <v/>
      </c>
      <c r="AA21" s="64" t="str">
        <f ca="1">IF(COUNTIFS('SEANCE 1'!$B:$B, $B21, 'SEANCE 1'!$C:$C, AA$2, 'SEANCE 1'!$F:$F, AA$5)=0, "", COUNTIFS('SEANCE 1'!$B:$B, $B21, 'SEANCE 1'!$C:$C, AA$2, 'SEANCE 1'!$F:$F, AA$5))</f>
        <v/>
      </c>
      <c r="AB21" s="64" t="str">
        <f ca="1">IF(COUNTIFS('SEANCE 1'!$B:$B, $B21, 'SEANCE 1'!$C:$C, AB$2, 'SEANCE 1'!$F:$F, AB$5)=0, "", COUNTIFS('SEANCE 1'!$B:$B, $B21, 'SEANCE 1'!$C:$C, AB$2, 'SEANCE 1'!$F:$F, AB$5))</f>
        <v/>
      </c>
      <c r="AC21" s="64" t="str">
        <f ca="1">IF(COUNTIFS('SEANCE 1'!$B:$B, $B21, 'SEANCE 1'!$C:$C, AC$2, 'SEANCE 1'!$F:$F, AC$5)=0, "", COUNTIFS('SEANCE 1'!$B:$B, $B21, 'SEANCE 1'!$C:$C, AC$2, 'SEANCE 1'!$F:$F, AC$5))</f>
        <v/>
      </c>
      <c r="AD21" s="64" t="str">
        <f ca="1">IF(COUNTIFS('SEANCE 1'!$B:$B, $B21, 'SEANCE 1'!$C:$C, AD$2, 'SEANCE 1'!$F:$F, AD$5)=0, "", COUNTIFS('SEANCE 1'!$B:$B, $B21, 'SEANCE 1'!$C:$C, AD$2, 'SEANCE 1'!$F:$F, AD$5))</f>
        <v/>
      </c>
      <c r="AE21" s="64" t="str">
        <f ca="1">IF(COUNTIFS('SEANCE 1'!$B:$B, $B21, 'SEANCE 1'!$C:$C, AE$2, 'SEANCE 1'!$F:$F, AE$5)=0, "", COUNTIFS('SEANCE 1'!$B:$B, $B21, 'SEANCE 1'!$C:$C, AE$2, 'SEANCE 1'!$F:$F, AE$5))</f>
        <v/>
      </c>
      <c r="AF21" s="64" t="str">
        <f ca="1">IF(COUNTIFS('SEANCE 1'!$B:$B, $B21, 'SEANCE 1'!$C:$C, AF$2, 'SEANCE 1'!$F:$F, AF$5)=0, "", COUNTIFS('SEANCE 1'!$B:$B, $B21, 'SEANCE 1'!$C:$C, AF$2, 'SEANCE 1'!$F:$F, AF$5))</f>
        <v/>
      </c>
      <c r="AG21" s="64" t="str">
        <f ca="1">IF(COUNTIFS('SEANCE 1'!$B:$B, $B21, 'SEANCE 1'!$C:$C, AG$2, 'SEANCE 1'!$F:$F, AG$5)=0, "", COUNTIFS('SEANCE 1'!$B:$B, $B21, 'SEANCE 1'!$C:$C, AG$2, 'SEANCE 1'!$F:$F, AG$5))</f>
        <v/>
      </c>
      <c r="AH21" s="64" t="str">
        <f ca="1">IF(COUNTIFS('SEANCE 1'!$B:$B, $B21, 'SEANCE 1'!$C:$C, AH$2, 'SEANCE 1'!$F:$F, AH$5)=0, "", COUNTIFS('SEANCE 1'!$B:$B, $B21, 'SEANCE 1'!$C:$C, AH$2, 'SEANCE 1'!$F:$F, AH$5))</f>
        <v/>
      </c>
      <c r="AI21" s="64" t="str">
        <f ca="1">IF(COUNTIFS('SEANCE 1'!$B:$B, $B21, 'SEANCE 1'!$C:$C, AI$2, 'SEANCE 1'!$F:$F, AI$5)=0, "", COUNTIFS('SEANCE 1'!$B:$B, $B21, 'SEANCE 1'!$C:$C, AI$2, 'SEANCE 1'!$F:$F, AI$5))</f>
        <v/>
      </c>
      <c r="AJ21" s="64" t="str">
        <f ca="1">IF(COUNTIFS('SEANCE 1'!$B:$B, $B21, 'SEANCE 1'!$C:$C, AJ$2, 'SEANCE 1'!$F:$F, AJ$5)=0, "", COUNTIFS('SEANCE 1'!$B:$B, $B21, 'SEANCE 1'!$C:$C, AJ$2, 'SEANCE 1'!$F:$F, AJ$5))</f>
        <v/>
      </c>
      <c r="AK21" s="64" t="str">
        <f ca="1">IF(COUNTIFS('SEANCE 1'!$B:$B, $B21, 'SEANCE 1'!$C:$C, AK$2, 'SEANCE 1'!$F:$F, AK$5)=0, "", COUNTIFS('SEANCE 1'!$B:$B, $B21, 'SEANCE 1'!$C:$C, AK$2, 'SEANCE 1'!$F:$F, AK$5))</f>
        <v/>
      </c>
      <c r="AL21" s="64" t="str">
        <f ca="1">IF(COUNTIFS('SEANCE 1'!$B:$B, $B21, 'SEANCE 1'!$C:$C, AL$2, 'SEANCE 1'!$F:$F, AL$5)=0, "", COUNTIFS('SEANCE 1'!$B:$B, $B21, 'SEANCE 1'!$C:$C, AL$2, 'SEANCE 1'!$F:$F, AL$5))</f>
        <v/>
      </c>
      <c r="AM21" s="64" t="str">
        <f ca="1">IF(COUNTIFS('SEANCE 1'!$B:$B, $B21, 'SEANCE 1'!$C:$C, AM$2, 'SEANCE 1'!$F:$F, AM$5)=0, "", COUNTIFS('SEANCE 1'!$B:$B, $B21, 'SEANCE 1'!$C:$C, AM$2, 'SEANCE 1'!$F:$F, AM$5))</f>
        <v/>
      </c>
      <c r="AN21" s="64" t="str">
        <f ca="1">IF(COUNTIFS('SEANCE 1'!$B:$B, $B21, 'SEANCE 1'!$C:$C, AN$2, 'SEANCE 1'!$F:$F, AN$5)=0, "", COUNTIFS('SEANCE 1'!$B:$B, $B21, 'SEANCE 1'!$C:$C, AN$2, 'SEANCE 1'!$F:$F, AN$5))</f>
        <v/>
      </c>
      <c r="AO21" s="64" t="str">
        <f ca="1">IF(COUNTIFS('SEANCE 1'!$B:$B, $B21, 'SEANCE 1'!$C:$C, AO$2, 'SEANCE 1'!$F:$F, AO$5)=0, "", COUNTIFS('SEANCE 1'!$B:$B, $B21, 'SEANCE 1'!$C:$C, AO$2, 'SEANCE 1'!$F:$F, AO$5))</f>
        <v/>
      </c>
      <c r="AP21" s="64" t="str">
        <f ca="1">IF(COUNTIFS('SEANCE 1'!$B:$B, $B21, 'SEANCE 1'!$C:$C, AP$2, 'SEANCE 1'!$F:$F, AP$5)=0, "", COUNTIFS('SEANCE 1'!$B:$B, $B21, 'SEANCE 1'!$C:$C, AP$2, 'SEANCE 1'!$F:$F, AP$5))</f>
        <v/>
      </c>
      <c r="AQ21" s="64" t="str">
        <f ca="1">IF(COUNTIFS('SEANCE 1'!$B:$B, $B21, 'SEANCE 1'!$C:$C, AQ$2, 'SEANCE 1'!$F:$F, AQ$5)=0, "", COUNTIFS('SEANCE 1'!$B:$B, $B21, 'SEANCE 1'!$C:$C, AQ$2, 'SEANCE 1'!$F:$F, AQ$5))</f>
        <v/>
      </c>
      <c r="AR21" s="64" t="str">
        <f ca="1">IF(COUNTIFS('SEANCE 1'!$B:$B, $B21, 'SEANCE 1'!$C:$C, AR$2, 'SEANCE 1'!$F:$F, AR$5)=0, "", COUNTIFS('SEANCE 1'!$B:$B, $B21, 'SEANCE 1'!$C:$C, AR$2, 'SEANCE 1'!$F:$F, AR$5))</f>
        <v/>
      </c>
      <c r="AS21" s="64" t="str">
        <f ca="1">IF(COUNTIFS('SEANCE 1'!$B:$B, $B21, 'SEANCE 1'!$C:$C, AS$2, 'SEANCE 1'!$F:$F, AS$5)=0, "", COUNTIFS('SEANCE 1'!$B:$B, $B21, 'SEANCE 1'!$C:$C, AS$2, 'SEANCE 1'!$F:$F, AS$5))</f>
        <v/>
      </c>
      <c r="AT21" s="64" t="str">
        <f ca="1">IF(COUNTIFS('SEANCE 1'!$B:$B, $B21, 'SEANCE 1'!$C:$C, AT$2, 'SEANCE 1'!$F:$F, AT$5)=0, "", COUNTIFS('SEANCE 1'!$B:$B, $B21, 'SEANCE 1'!$C:$C, AT$2, 'SEANCE 1'!$F:$F, AT$5))</f>
        <v/>
      </c>
      <c r="AU21" s="64" t="str">
        <f ca="1">IF(COUNTIFS('SEANCE 1'!$B:$B, $B21, 'SEANCE 1'!$C:$C, AU$2, 'SEANCE 1'!$F:$F, AU$5)=0, "", COUNTIFS('SEANCE 1'!$B:$B, $B21, 'SEANCE 1'!$C:$C, AU$2, 'SEANCE 1'!$F:$F, AU$5))</f>
        <v/>
      </c>
      <c r="AV21" s="64" t="str">
        <f ca="1">IF(COUNTIFS('SEANCE 1'!$B:$B, $B21, 'SEANCE 1'!$C:$C, AV$2, 'SEANCE 1'!$F:$F, AV$5)=0, "", COUNTIFS('SEANCE 1'!$B:$B, $B21, 'SEANCE 1'!$C:$C, AV$2, 'SEANCE 1'!$F:$F, AV$5))</f>
        <v/>
      </c>
      <c r="AW21" s="64" t="str">
        <f ca="1">IF(COUNTIFS('SEANCE 1'!$B:$B, $B21, 'SEANCE 1'!$C:$C, AW$2, 'SEANCE 1'!$F:$F, AW$5)=0, "", COUNTIFS('SEANCE 1'!$B:$B, $B21, 'SEANCE 1'!$C:$C, AW$2, 'SEANCE 1'!$F:$F, AW$5))</f>
        <v/>
      </c>
      <c r="AX21" s="64" t="str">
        <f ca="1">IF(COUNTIFS('SEANCE 1'!$B:$B, $B21, 'SEANCE 1'!$C:$C, AX$2, 'SEANCE 1'!$F:$F, AX$5)=0, "", COUNTIFS('SEANCE 1'!$B:$B, $B21, 'SEANCE 1'!$C:$C, AX$2, 'SEANCE 1'!$F:$F, AX$5))</f>
        <v/>
      </c>
      <c r="AY21" s="64" t="str">
        <f ca="1">IF(COUNTIFS('SEANCE 1'!$B:$B, $B21, 'SEANCE 1'!$C:$C, AY$2, 'SEANCE 1'!$F:$F, AY$5)=0, "", COUNTIFS('SEANCE 1'!$B:$B, $B21, 'SEANCE 1'!$C:$C, AY$2, 'SEANCE 1'!$F:$F, AY$5))</f>
        <v/>
      </c>
      <c r="AZ21" s="32">
        <f t="shared" ca="1" si="0"/>
        <v>0</v>
      </c>
    </row>
    <row r="22" spans="1:52">
      <c r="A22" s="44" t="str">
        <f>IF('SEANCE 1'!$B18&lt;&gt;"",'SEANCE 1'!$A18,"")</f>
        <v/>
      </c>
      <c r="B22" s="44" t="str">
        <f t="array" aca="1" ref="B22" ca="1">IF(ISNA(INDEX(ListeB,MATCH(0,COUNTIF($B$5:B21,ListeB),0))),"",INDEX(ListeB,MATCH(0,COUNTIF($B$5:B21,ListeB),0)))</f>
        <v/>
      </c>
      <c r="C22" s="64" t="str">
        <f ca="1">IF(COUNTIFS('SEANCE 1'!$B:$B, $B22, 'SEANCE 1'!$C:$C, C$2, 'SEANCE 1'!$F:$F, C$5)=0, "", COUNTIFS('SEANCE 1'!$B:$B, $B22, 'SEANCE 1'!$C:$C, C$2, 'SEANCE 1'!$F:$F, C$5))</f>
        <v/>
      </c>
      <c r="D22" s="64" t="str">
        <f ca="1">IF(COUNTIFS('SEANCE 1'!$B:$B, $B22, 'SEANCE 1'!$C:$C, D$2, 'SEANCE 1'!$F:$F, D$5)=0, "", COUNTIFS('SEANCE 1'!$B:$B, $B22, 'SEANCE 1'!$C:$C, D$2, 'SEANCE 1'!$F:$F, D$5))</f>
        <v/>
      </c>
      <c r="E22" s="64" t="str">
        <f ca="1">IF(COUNTIFS('SEANCE 1'!$B:$B, $B22, 'SEANCE 1'!$C:$C, E$2, 'SEANCE 1'!$F:$F, E$5)=0, "", COUNTIFS('SEANCE 1'!$B:$B, $B22, 'SEANCE 1'!$C:$C, E$2, 'SEANCE 1'!$F:$F, E$5))</f>
        <v/>
      </c>
      <c r="F22" s="64" t="str">
        <f ca="1">IF(COUNTIFS('SEANCE 1'!$B:$B, $B22, 'SEANCE 1'!$C:$C, F$2, 'SEANCE 1'!$F:$F, F$5)=0, "", COUNTIFS('SEANCE 1'!$B:$B, $B22, 'SEANCE 1'!$C:$C, F$2, 'SEANCE 1'!$F:$F, F$5))</f>
        <v/>
      </c>
      <c r="G22" s="64" t="str">
        <f ca="1">IF(COUNTIFS('SEANCE 1'!$B:$B, $B22, 'SEANCE 1'!$C:$C, G$2, 'SEANCE 1'!$F:$F, G$5)=0, "", COUNTIFS('SEANCE 1'!$B:$B, $B22, 'SEANCE 1'!$C:$C, G$2, 'SEANCE 1'!$F:$F, G$5))</f>
        <v/>
      </c>
      <c r="H22" s="64" t="str">
        <f ca="1">IF(COUNTIFS('SEANCE 1'!$B:$B, $B22, 'SEANCE 1'!$C:$C, H$2, 'SEANCE 1'!$F:$F, H$5)=0, "", COUNTIFS('SEANCE 1'!$B:$B, $B22, 'SEANCE 1'!$C:$C, H$2, 'SEANCE 1'!$F:$F, H$5))</f>
        <v/>
      </c>
      <c r="I22" s="64" t="str">
        <f ca="1">IF(COUNTIFS('SEANCE 1'!$B:$B, $B22, 'SEANCE 1'!$C:$C, I$2, 'SEANCE 1'!$F:$F, I$5)=0, "", COUNTIFS('SEANCE 1'!$B:$B, $B22, 'SEANCE 1'!$C:$C, I$2, 'SEANCE 1'!$F:$F, I$5))</f>
        <v/>
      </c>
      <c r="J22" s="64" t="str">
        <f ca="1">IF(COUNTIFS('SEANCE 1'!$B:$B, $B22, 'SEANCE 1'!$C:$C, J$2, 'SEANCE 1'!$F:$F, J$5)=0, "", COUNTIFS('SEANCE 1'!$B:$B, $B22, 'SEANCE 1'!$C:$C, J$2, 'SEANCE 1'!$F:$F, J$5))</f>
        <v/>
      </c>
      <c r="K22" s="64" t="str">
        <f ca="1">IF(COUNTIFS('SEANCE 1'!$B:$B, $B22, 'SEANCE 1'!$C:$C, K$2, 'SEANCE 1'!$F:$F, K$5)=0, "", COUNTIFS('SEANCE 1'!$B:$B, $B22, 'SEANCE 1'!$C:$C, K$2, 'SEANCE 1'!$F:$F, K$5))</f>
        <v/>
      </c>
      <c r="L22" s="64" t="str">
        <f ca="1">IF(COUNTIFS('SEANCE 1'!$B:$B, $B22, 'SEANCE 1'!$C:$C, L$2, 'SEANCE 1'!$F:$F, L$5)=0, "", COUNTIFS('SEANCE 1'!$B:$B, $B22, 'SEANCE 1'!$C:$C, L$2, 'SEANCE 1'!$F:$F, L$5))</f>
        <v/>
      </c>
      <c r="M22" s="64" t="str">
        <f ca="1">IF(COUNTIFS('SEANCE 1'!$B:$B, $B22, 'SEANCE 1'!$C:$C, M$2, 'SEANCE 1'!$F:$F, M$5)=0, "", COUNTIFS('SEANCE 1'!$B:$B, $B22, 'SEANCE 1'!$C:$C, M$2, 'SEANCE 1'!$F:$F, M$5))</f>
        <v/>
      </c>
      <c r="N22" s="64" t="str">
        <f ca="1">IF(COUNTIFS('SEANCE 1'!$B:$B, $B22, 'SEANCE 1'!$C:$C, N$2, 'SEANCE 1'!$F:$F, N$5)=0, "", COUNTIFS('SEANCE 1'!$B:$B, $B22, 'SEANCE 1'!$C:$C, N$2, 'SEANCE 1'!$F:$F, N$5))</f>
        <v/>
      </c>
      <c r="O22" s="64" t="str">
        <f ca="1">IF(COUNTIFS('SEANCE 1'!$B:$B, $B22, 'SEANCE 1'!$C:$C, O$2, 'SEANCE 1'!$F:$F, O$5)=0, "", COUNTIFS('SEANCE 1'!$B:$B, $B22, 'SEANCE 1'!$C:$C, O$2, 'SEANCE 1'!$F:$F, O$5))</f>
        <v/>
      </c>
      <c r="P22" s="64" t="str">
        <f ca="1">IF(COUNTIFS('SEANCE 1'!$B:$B, $B22, 'SEANCE 1'!$C:$C, P$2, 'SEANCE 1'!$F:$F, P$5)=0, "", COUNTIFS('SEANCE 1'!$B:$B, $B22, 'SEANCE 1'!$C:$C, P$2, 'SEANCE 1'!$F:$F, P$5))</f>
        <v/>
      </c>
      <c r="Q22" s="64" t="str">
        <f ca="1">IF(COUNTIFS('SEANCE 1'!$B:$B, $B22, 'SEANCE 1'!$C:$C, Q$2, 'SEANCE 1'!$F:$F, Q$5)=0, "", COUNTIFS('SEANCE 1'!$B:$B, $B22, 'SEANCE 1'!$C:$C, Q$2, 'SEANCE 1'!$F:$F, Q$5))</f>
        <v/>
      </c>
      <c r="R22" s="64" t="str">
        <f ca="1">IF(COUNTIFS('SEANCE 1'!$B:$B, $B22, 'SEANCE 1'!$C:$C, R$2, 'SEANCE 1'!$F:$F, R$5)=0, "", COUNTIFS('SEANCE 1'!$B:$B, $B22, 'SEANCE 1'!$C:$C, R$2, 'SEANCE 1'!$F:$F, R$5))</f>
        <v/>
      </c>
      <c r="S22" s="64" t="str">
        <f ca="1">IF(COUNTIFS('SEANCE 1'!$B:$B, $B22, 'SEANCE 1'!$C:$C, S$2, 'SEANCE 1'!$F:$F, S$5)=0, "", COUNTIFS('SEANCE 1'!$B:$B, $B22, 'SEANCE 1'!$C:$C, S$2, 'SEANCE 1'!$F:$F, S$5))</f>
        <v/>
      </c>
      <c r="T22" s="64" t="str">
        <f ca="1">IF(COUNTIFS('SEANCE 1'!$B:$B, $B22, 'SEANCE 1'!$C:$C, T$2, 'SEANCE 1'!$F:$F, T$5)=0, "", COUNTIFS('SEANCE 1'!$B:$B, $B22, 'SEANCE 1'!$C:$C, T$2, 'SEANCE 1'!$F:$F, T$5))</f>
        <v/>
      </c>
      <c r="U22" s="64" t="str">
        <f ca="1">IF(COUNTIFS('SEANCE 1'!$B:$B, $B22, 'SEANCE 1'!$C:$C, U$2, 'SEANCE 1'!$F:$F, U$5)=0, "", COUNTIFS('SEANCE 1'!$B:$B, $B22, 'SEANCE 1'!$C:$C, U$2, 'SEANCE 1'!$F:$F, U$5))</f>
        <v/>
      </c>
      <c r="V22" s="64" t="str">
        <f ca="1">IF(COUNTIFS('SEANCE 1'!$B:$B, $B22, 'SEANCE 1'!$C:$C, V$2, 'SEANCE 1'!$F:$F, V$5)=0, "", COUNTIFS('SEANCE 1'!$B:$B, $B22, 'SEANCE 1'!$C:$C, V$2, 'SEANCE 1'!$F:$F, V$5))</f>
        <v/>
      </c>
      <c r="W22" s="64" t="str">
        <f ca="1">IF(COUNTIFS('SEANCE 1'!$B:$B, $B22, 'SEANCE 1'!$C:$C, W$2, 'SEANCE 1'!$F:$F, W$5)=0, "", COUNTIFS('SEANCE 1'!$B:$B, $B22, 'SEANCE 1'!$C:$C, W$2, 'SEANCE 1'!$F:$F, W$5))</f>
        <v/>
      </c>
      <c r="X22" s="64" t="str">
        <f ca="1">IF(COUNTIFS('SEANCE 1'!$B:$B, $B22, 'SEANCE 1'!$C:$C, X$2, 'SEANCE 1'!$F:$F, X$5)=0, "", COUNTIFS('SEANCE 1'!$B:$B, $B22, 'SEANCE 1'!$C:$C, X$2, 'SEANCE 1'!$F:$F, X$5))</f>
        <v/>
      </c>
      <c r="Y22" s="64" t="str">
        <f ca="1">IF(COUNTIFS('SEANCE 1'!$B:$B, $B22, 'SEANCE 1'!$C:$C, Y$2, 'SEANCE 1'!$F:$F, Y$5)=0, "", COUNTIFS('SEANCE 1'!$B:$B, $B22, 'SEANCE 1'!$C:$C, Y$2, 'SEANCE 1'!$F:$F, Y$5))</f>
        <v/>
      </c>
      <c r="Z22" s="64" t="str">
        <f ca="1">IF(COUNTIFS('SEANCE 1'!$B:$B, $B22, 'SEANCE 1'!$C:$C, Z$2, 'SEANCE 1'!$F:$F, Z$5)=0, "", COUNTIFS('SEANCE 1'!$B:$B, $B22, 'SEANCE 1'!$C:$C, Z$2, 'SEANCE 1'!$F:$F, Z$5))</f>
        <v/>
      </c>
      <c r="AA22" s="64" t="str">
        <f ca="1">IF(COUNTIFS('SEANCE 1'!$B:$B, $B22, 'SEANCE 1'!$C:$C, AA$2, 'SEANCE 1'!$F:$F, AA$5)=0, "", COUNTIFS('SEANCE 1'!$B:$B, $B22, 'SEANCE 1'!$C:$C, AA$2, 'SEANCE 1'!$F:$F, AA$5))</f>
        <v/>
      </c>
      <c r="AB22" s="64" t="str">
        <f ca="1">IF(COUNTIFS('SEANCE 1'!$B:$B, $B22, 'SEANCE 1'!$C:$C, AB$2, 'SEANCE 1'!$F:$F, AB$5)=0, "", COUNTIFS('SEANCE 1'!$B:$B, $B22, 'SEANCE 1'!$C:$C, AB$2, 'SEANCE 1'!$F:$F, AB$5))</f>
        <v/>
      </c>
      <c r="AC22" s="64" t="str">
        <f ca="1">IF(COUNTIFS('SEANCE 1'!$B:$B, $B22, 'SEANCE 1'!$C:$C, AC$2, 'SEANCE 1'!$F:$F, AC$5)=0, "", COUNTIFS('SEANCE 1'!$B:$B, $B22, 'SEANCE 1'!$C:$C, AC$2, 'SEANCE 1'!$F:$F, AC$5))</f>
        <v/>
      </c>
      <c r="AD22" s="64" t="str">
        <f ca="1">IF(COUNTIFS('SEANCE 1'!$B:$B, $B22, 'SEANCE 1'!$C:$C, AD$2, 'SEANCE 1'!$F:$F, AD$5)=0, "", COUNTIFS('SEANCE 1'!$B:$B, $B22, 'SEANCE 1'!$C:$C, AD$2, 'SEANCE 1'!$F:$F, AD$5))</f>
        <v/>
      </c>
      <c r="AE22" s="64" t="str">
        <f ca="1">IF(COUNTIFS('SEANCE 1'!$B:$B, $B22, 'SEANCE 1'!$C:$C, AE$2, 'SEANCE 1'!$F:$F, AE$5)=0, "", COUNTIFS('SEANCE 1'!$B:$B, $B22, 'SEANCE 1'!$C:$C, AE$2, 'SEANCE 1'!$F:$F, AE$5))</f>
        <v/>
      </c>
      <c r="AF22" s="64" t="str">
        <f ca="1">IF(COUNTIFS('SEANCE 1'!$B:$B, $B22, 'SEANCE 1'!$C:$C, AF$2, 'SEANCE 1'!$F:$F, AF$5)=0, "", COUNTIFS('SEANCE 1'!$B:$B, $B22, 'SEANCE 1'!$C:$C, AF$2, 'SEANCE 1'!$F:$F, AF$5))</f>
        <v/>
      </c>
      <c r="AG22" s="64" t="str">
        <f ca="1">IF(COUNTIFS('SEANCE 1'!$B:$B, $B22, 'SEANCE 1'!$C:$C, AG$2, 'SEANCE 1'!$F:$F, AG$5)=0, "", COUNTIFS('SEANCE 1'!$B:$B, $B22, 'SEANCE 1'!$C:$C, AG$2, 'SEANCE 1'!$F:$F, AG$5))</f>
        <v/>
      </c>
      <c r="AH22" s="64" t="str">
        <f ca="1">IF(COUNTIFS('SEANCE 1'!$B:$B, $B22, 'SEANCE 1'!$C:$C, AH$2, 'SEANCE 1'!$F:$F, AH$5)=0, "", COUNTIFS('SEANCE 1'!$B:$B, $B22, 'SEANCE 1'!$C:$C, AH$2, 'SEANCE 1'!$F:$F, AH$5))</f>
        <v/>
      </c>
      <c r="AI22" s="64" t="str">
        <f ca="1">IF(COUNTIFS('SEANCE 1'!$B:$B, $B22, 'SEANCE 1'!$C:$C, AI$2, 'SEANCE 1'!$F:$F, AI$5)=0, "", COUNTIFS('SEANCE 1'!$B:$B, $B22, 'SEANCE 1'!$C:$C, AI$2, 'SEANCE 1'!$F:$F, AI$5))</f>
        <v/>
      </c>
      <c r="AJ22" s="64" t="str">
        <f ca="1">IF(COUNTIFS('SEANCE 1'!$B:$B, $B22, 'SEANCE 1'!$C:$C, AJ$2, 'SEANCE 1'!$F:$F, AJ$5)=0, "", COUNTIFS('SEANCE 1'!$B:$B, $B22, 'SEANCE 1'!$C:$C, AJ$2, 'SEANCE 1'!$F:$F, AJ$5))</f>
        <v/>
      </c>
      <c r="AK22" s="64" t="str">
        <f ca="1">IF(COUNTIFS('SEANCE 1'!$B:$B, $B22, 'SEANCE 1'!$C:$C, AK$2, 'SEANCE 1'!$F:$F, AK$5)=0, "", COUNTIFS('SEANCE 1'!$B:$B, $B22, 'SEANCE 1'!$C:$C, AK$2, 'SEANCE 1'!$F:$F, AK$5))</f>
        <v/>
      </c>
      <c r="AL22" s="64" t="str">
        <f ca="1">IF(COUNTIFS('SEANCE 1'!$B:$B, $B22, 'SEANCE 1'!$C:$C, AL$2, 'SEANCE 1'!$F:$F, AL$5)=0, "", COUNTIFS('SEANCE 1'!$B:$B, $B22, 'SEANCE 1'!$C:$C, AL$2, 'SEANCE 1'!$F:$F, AL$5))</f>
        <v/>
      </c>
      <c r="AM22" s="64" t="str">
        <f ca="1">IF(COUNTIFS('SEANCE 1'!$B:$B, $B22, 'SEANCE 1'!$C:$C, AM$2, 'SEANCE 1'!$F:$F, AM$5)=0, "", COUNTIFS('SEANCE 1'!$B:$B, $B22, 'SEANCE 1'!$C:$C, AM$2, 'SEANCE 1'!$F:$F, AM$5))</f>
        <v/>
      </c>
      <c r="AN22" s="64" t="str">
        <f ca="1">IF(COUNTIFS('SEANCE 1'!$B:$B, $B22, 'SEANCE 1'!$C:$C, AN$2, 'SEANCE 1'!$F:$F, AN$5)=0, "", COUNTIFS('SEANCE 1'!$B:$B, $B22, 'SEANCE 1'!$C:$C, AN$2, 'SEANCE 1'!$F:$F, AN$5))</f>
        <v/>
      </c>
      <c r="AO22" s="64" t="str">
        <f ca="1">IF(COUNTIFS('SEANCE 1'!$B:$B, $B22, 'SEANCE 1'!$C:$C, AO$2, 'SEANCE 1'!$F:$F, AO$5)=0, "", COUNTIFS('SEANCE 1'!$B:$B, $B22, 'SEANCE 1'!$C:$C, AO$2, 'SEANCE 1'!$F:$F, AO$5))</f>
        <v/>
      </c>
      <c r="AP22" s="64" t="str">
        <f ca="1">IF(COUNTIFS('SEANCE 1'!$B:$B, $B22, 'SEANCE 1'!$C:$C, AP$2, 'SEANCE 1'!$F:$F, AP$5)=0, "", COUNTIFS('SEANCE 1'!$B:$B, $B22, 'SEANCE 1'!$C:$C, AP$2, 'SEANCE 1'!$F:$F, AP$5))</f>
        <v/>
      </c>
      <c r="AQ22" s="64" t="str">
        <f ca="1">IF(COUNTIFS('SEANCE 1'!$B:$B, $B22, 'SEANCE 1'!$C:$C, AQ$2, 'SEANCE 1'!$F:$F, AQ$5)=0, "", COUNTIFS('SEANCE 1'!$B:$B, $B22, 'SEANCE 1'!$C:$C, AQ$2, 'SEANCE 1'!$F:$F, AQ$5))</f>
        <v/>
      </c>
      <c r="AR22" s="64" t="str">
        <f ca="1">IF(COUNTIFS('SEANCE 1'!$B:$B, $B22, 'SEANCE 1'!$C:$C, AR$2, 'SEANCE 1'!$F:$F, AR$5)=0, "", COUNTIFS('SEANCE 1'!$B:$B, $B22, 'SEANCE 1'!$C:$C, AR$2, 'SEANCE 1'!$F:$F, AR$5))</f>
        <v/>
      </c>
      <c r="AS22" s="64" t="str">
        <f ca="1">IF(COUNTIFS('SEANCE 1'!$B:$B, $B22, 'SEANCE 1'!$C:$C, AS$2, 'SEANCE 1'!$F:$F, AS$5)=0, "", COUNTIFS('SEANCE 1'!$B:$B, $B22, 'SEANCE 1'!$C:$C, AS$2, 'SEANCE 1'!$F:$F, AS$5))</f>
        <v/>
      </c>
      <c r="AT22" s="64" t="str">
        <f ca="1">IF(COUNTIFS('SEANCE 1'!$B:$B, $B22, 'SEANCE 1'!$C:$C, AT$2, 'SEANCE 1'!$F:$F, AT$5)=0, "", COUNTIFS('SEANCE 1'!$B:$B, $B22, 'SEANCE 1'!$C:$C, AT$2, 'SEANCE 1'!$F:$F, AT$5))</f>
        <v/>
      </c>
      <c r="AU22" s="64" t="str">
        <f ca="1">IF(COUNTIFS('SEANCE 1'!$B:$B, $B22, 'SEANCE 1'!$C:$C, AU$2, 'SEANCE 1'!$F:$F, AU$5)=0, "", COUNTIFS('SEANCE 1'!$B:$B, $B22, 'SEANCE 1'!$C:$C, AU$2, 'SEANCE 1'!$F:$F, AU$5))</f>
        <v/>
      </c>
      <c r="AV22" s="64" t="str">
        <f ca="1">IF(COUNTIFS('SEANCE 1'!$B:$B, $B22, 'SEANCE 1'!$C:$C, AV$2, 'SEANCE 1'!$F:$F, AV$5)=0, "", COUNTIFS('SEANCE 1'!$B:$B, $B22, 'SEANCE 1'!$C:$C, AV$2, 'SEANCE 1'!$F:$F, AV$5))</f>
        <v/>
      </c>
      <c r="AW22" s="64" t="str">
        <f ca="1">IF(COUNTIFS('SEANCE 1'!$B:$B, $B22, 'SEANCE 1'!$C:$C, AW$2, 'SEANCE 1'!$F:$F, AW$5)=0, "", COUNTIFS('SEANCE 1'!$B:$B, $B22, 'SEANCE 1'!$C:$C, AW$2, 'SEANCE 1'!$F:$F, AW$5))</f>
        <v/>
      </c>
      <c r="AX22" s="64" t="str">
        <f ca="1">IF(COUNTIFS('SEANCE 1'!$B:$B, $B22, 'SEANCE 1'!$C:$C, AX$2, 'SEANCE 1'!$F:$F, AX$5)=0, "", COUNTIFS('SEANCE 1'!$B:$B, $B22, 'SEANCE 1'!$C:$C, AX$2, 'SEANCE 1'!$F:$F, AX$5))</f>
        <v/>
      </c>
      <c r="AY22" s="64" t="str">
        <f ca="1">IF(COUNTIFS('SEANCE 1'!$B:$B, $B22, 'SEANCE 1'!$C:$C, AY$2, 'SEANCE 1'!$F:$F, AY$5)=0, "", COUNTIFS('SEANCE 1'!$B:$B, $B22, 'SEANCE 1'!$C:$C, AY$2, 'SEANCE 1'!$F:$F, AY$5))</f>
        <v/>
      </c>
      <c r="AZ22" s="32">
        <f t="shared" ca="1" si="0"/>
        <v>0</v>
      </c>
    </row>
    <row r="23" spans="1:52">
      <c r="A23" s="44" t="str">
        <f>IF('SEANCE 1'!$B19&lt;&gt;"",'SEANCE 1'!$A19,"")</f>
        <v/>
      </c>
      <c r="B23" s="44" t="str">
        <f t="array" aca="1" ref="B23" ca="1">IF(ISNA(INDEX(ListeB,MATCH(0,COUNTIF($B$5:B22,ListeB),0))),"",INDEX(ListeB,MATCH(0,COUNTIF($B$5:B22,ListeB),0)))</f>
        <v/>
      </c>
      <c r="C23" s="64" t="str">
        <f ca="1">IF(COUNTIFS('SEANCE 1'!$B:$B, $B23, 'SEANCE 1'!$C:$C, C$2, 'SEANCE 1'!$F:$F, C$5)=0, "", COUNTIFS('SEANCE 1'!$B:$B, $B23, 'SEANCE 1'!$C:$C, C$2, 'SEANCE 1'!$F:$F, C$5))</f>
        <v/>
      </c>
      <c r="D23" s="64" t="str">
        <f ca="1">IF(COUNTIFS('SEANCE 1'!$B:$B, $B23, 'SEANCE 1'!$C:$C, D$2, 'SEANCE 1'!$F:$F, D$5)=0, "", COUNTIFS('SEANCE 1'!$B:$B, $B23, 'SEANCE 1'!$C:$C, D$2, 'SEANCE 1'!$F:$F, D$5))</f>
        <v/>
      </c>
      <c r="E23" s="64" t="str">
        <f ca="1">IF(COUNTIFS('SEANCE 1'!$B:$B, $B23, 'SEANCE 1'!$C:$C, E$2, 'SEANCE 1'!$F:$F, E$5)=0, "", COUNTIFS('SEANCE 1'!$B:$B, $B23, 'SEANCE 1'!$C:$C, E$2, 'SEANCE 1'!$F:$F, E$5))</f>
        <v/>
      </c>
      <c r="F23" s="64" t="str">
        <f ca="1">IF(COUNTIFS('SEANCE 1'!$B:$B, $B23, 'SEANCE 1'!$C:$C, F$2, 'SEANCE 1'!$F:$F, F$5)=0, "", COUNTIFS('SEANCE 1'!$B:$B, $B23, 'SEANCE 1'!$C:$C, F$2, 'SEANCE 1'!$F:$F, F$5))</f>
        <v/>
      </c>
      <c r="G23" s="64" t="str">
        <f ca="1">IF(COUNTIFS('SEANCE 1'!$B:$B, $B23, 'SEANCE 1'!$C:$C, G$2, 'SEANCE 1'!$F:$F, G$5)=0, "", COUNTIFS('SEANCE 1'!$B:$B, $B23, 'SEANCE 1'!$C:$C, G$2, 'SEANCE 1'!$F:$F, G$5))</f>
        <v/>
      </c>
      <c r="H23" s="64" t="str">
        <f ca="1">IF(COUNTIFS('SEANCE 1'!$B:$B, $B23, 'SEANCE 1'!$C:$C, H$2, 'SEANCE 1'!$F:$F, H$5)=0, "", COUNTIFS('SEANCE 1'!$B:$B, $B23, 'SEANCE 1'!$C:$C, H$2, 'SEANCE 1'!$F:$F, H$5))</f>
        <v/>
      </c>
      <c r="I23" s="64" t="str">
        <f ca="1">IF(COUNTIFS('SEANCE 1'!$B:$B, $B23, 'SEANCE 1'!$C:$C, I$2, 'SEANCE 1'!$F:$F, I$5)=0, "", COUNTIFS('SEANCE 1'!$B:$B, $B23, 'SEANCE 1'!$C:$C, I$2, 'SEANCE 1'!$F:$F, I$5))</f>
        <v/>
      </c>
      <c r="J23" s="64" t="str">
        <f ca="1">IF(COUNTIFS('SEANCE 1'!$B:$B, $B23, 'SEANCE 1'!$C:$C, J$2, 'SEANCE 1'!$F:$F, J$5)=0, "", COUNTIFS('SEANCE 1'!$B:$B, $B23, 'SEANCE 1'!$C:$C, J$2, 'SEANCE 1'!$F:$F, J$5))</f>
        <v/>
      </c>
      <c r="K23" s="64" t="str">
        <f ca="1">IF(COUNTIFS('SEANCE 1'!$B:$B, $B23, 'SEANCE 1'!$C:$C, K$2, 'SEANCE 1'!$F:$F, K$5)=0, "", COUNTIFS('SEANCE 1'!$B:$B, $B23, 'SEANCE 1'!$C:$C, K$2, 'SEANCE 1'!$F:$F, K$5))</f>
        <v/>
      </c>
      <c r="L23" s="64" t="str">
        <f ca="1">IF(COUNTIFS('SEANCE 1'!$B:$B, $B23, 'SEANCE 1'!$C:$C, L$2, 'SEANCE 1'!$F:$F, L$5)=0, "", COUNTIFS('SEANCE 1'!$B:$B, $B23, 'SEANCE 1'!$C:$C, L$2, 'SEANCE 1'!$F:$F, L$5))</f>
        <v/>
      </c>
      <c r="M23" s="64" t="str">
        <f ca="1">IF(COUNTIFS('SEANCE 1'!$B:$B, $B23, 'SEANCE 1'!$C:$C, M$2, 'SEANCE 1'!$F:$F, M$5)=0, "", COUNTIFS('SEANCE 1'!$B:$B, $B23, 'SEANCE 1'!$C:$C, M$2, 'SEANCE 1'!$F:$F, M$5))</f>
        <v/>
      </c>
      <c r="N23" s="64" t="str">
        <f ca="1">IF(COUNTIFS('SEANCE 1'!$B:$B, $B23, 'SEANCE 1'!$C:$C, N$2, 'SEANCE 1'!$F:$F, N$5)=0, "", COUNTIFS('SEANCE 1'!$B:$B, $B23, 'SEANCE 1'!$C:$C, N$2, 'SEANCE 1'!$F:$F, N$5))</f>
        <v/>
      </c>
      <c r="O23" s="64" t="str">
        <f ca="1">IF(COUNTIFS('SEANCE 1'!$B:$B, $B23, 'SEANCE 1'!$C:$C, O$2, 'SEANCE 1'!$F:$F, O$5)=0, "", COUNTIFS('SEANCE 1'!$B:$B, $B23, 'SEANCE 1'!$C:$C, O$2, 'SEANCE 1'!$F:$F, O$5))</f>
        <v/>
      </c>
      <c r="P23" s="64" t="str">
        <f ca="1">IF(COUNTIFS('SEANCE 1'!$B:$B, $B23, 'SEANCE 1'!$C:$C, P$2, 'SEANCE 1'!$F:$F, P$5)=0, "", COUNTIFS('SEANCE 1'!$B:$B, $B23, 'SEANCE 1'!$C:$C, P$2, 'SEANCE 1'!$F:$F, P$5))</f>
        <v/>
      </c>
      <c r="Q23" s="64" t="str">
        <f ca="1">IF(COUNTIFS('SEANCE 1'!$B:$B, $B23, 'SEANCE 1'!$C:$C, Q$2, 'SEANCE 1'!$F:$F, Q$5)=0, "", COUNTIFS('SEANCE 1'!$B:$B, $B23, 'SEANCE 1'!$C:$C, Q$2, 'SEANCE 1'!$F:$F, Q$5))</f>
        <v/>
      </c>
      <c r="R23" s="64" t="str">
        <f ca="1">IF(COUNTIFS('SEANCE 1'!$B:$B, $B23, 'SEANCE 1'!$C:$C, R$2, 'SEANCE 1'!$F:$F, R$5)=0, "", COUNTIFS('SEANCE 1'!$B:$B, $B23, 'SEANCE 1'!$C:$C, R$2, 'SEANCE 1'!$F:$F, R$5))</f>
        <v/>
      </c>
      <c r="S23" s="64" t="str">
        <f ca="1">IF(COUNTIFS('SEANCE 1'!$B:$B, $B23, 'SEANCE 1'!$C:$C, S$2, 'SEANCE 1'!$F:$F, S$5)=0, "", COUNTIFS('SEANCE 1'!$B:$B, $B23, 'SEANCE 1'!$C:$C, S$2, 'SEANCE 1'!$F:$F, S$5))</f>
        <v/>
      </c>
      <c r="T23" s="64" t="str">
        <f ca="1">IF(COUNTIFS('SEANCE 1'!$B:$B, $B23, 'SEANCE 1'!$C:$C, T$2, 'SEANCE 1'!$F:$F, T$5)=0, "", COUNTIFS('SEANCE 1'!$B:$B, $B23, 'SEANCE 1'!$C:$C, T$2, 'SEANCE 1'!$F:$F, T$5))</f>
        <v/>
      </c>
      <c r="U23" s="64" t="str">
        <f ca="1">IF(COUNTIFS('SEANCE 1'!$B:$B, $B23, 'SEANCE 1'!$C:$C, U$2, 'SEANCE 1'!$F:$F, U$5)=0, "", COUNTIFS('SEANCE 1'!$B:$B, $B23, 'SEANCE 1'!$C:$C, U$2, 'SEANCE 1'!$F:$F, U$5))</f>
        <v/>
      </c>
      <c r="V23" s="64" t="str">
        <f ca="1">IF(COUNTIFS('SEANCE 1'!$B:$B, $B23, 'SEANCE 1'!$C:$C, V$2, 'SEANCE 1'!$F:$F, V$5)=0, "", COUNTIFS('SEANCE 1'!$B:$B, $B23, 'SEANCE 1'!$C:$C, V$2, 'SEANCE 1'!$F:$F, V$5))</f>
        <v/>
      </c>
      <c r="W23" s="64" t="str">
        <f ca="1">IF(COUNTIFS('SEANCE 1'!$B:$B, $B23, 'SEANCE 1'!$C:$C, W$2, 'SEANCE 1'!$F:$F, W$5)=0, "", COUNTIFS('SEANCE 1'!$B:$B, $B23, 'SEANCE 1'!$C:$C, W$2, 'SEANCE 1'!$F:$F, W$5))</f>
        <v/>
      </c>
      <c r="X23" s="64" t="str">
        <f ca="1">IF(COUNTIFS('SEANCE 1'!$B:$B, $B23, 'SEANCE 1'!$C:$C, X$2, 'SEANCE 1'!$F:$F, X$5)=0, "", COUNTIFS('SEANCE 1'!$B:$B, $B23, 'SEANCE 1'!$C:$C, X$2, 'SEANCE 1'!$F:$F, X$5))</f>
        <v/>
      </c>
      <c r="Y23" s="64" t="str">
        <f ca="1">IF(COUNTIFS('SEANCE 1'!$B:$B, $B23, 'SEANCE 1'!$C:$C, Y$2, 'SEANCE 1'!$F:$F, Y$5)=0, "", COUNTIFS('SEANCE 1'!$B:$B, $B23, 'SEANCE 1'!$C:$C, Y$2, 'SEANCE 1'!$F:$F, Y$5))</f>
        <v/>
      </c>
      <c r="Z23" s="64" t="str">
        <f ca="1">IF(COUNTIFS('SEANCE 1'!$B:$B, $B23, 'SEANCE 1'!$C:$C, Z$2, 'SEANCE 1'!$F:$F, Z$5)=0, "", COUNTIFS('SEANCE 1'!$B:$B, $B23, 'SEANCE 1'!$C:$C, Z$2, 'SEANCE 1'!$F:$F, Z$5))</f>
        <v/>
      </c>
      <c r="AA23" s="64" t="str">
        <f ca="1">IF(COUNTIFS('SEANCE 1'!$B:$B, $B23, 'SEANCE 1'!$C:$C, AA$2, 'SEANCE 1'!$F:$F, AA$5)=0, "", COUNTIFS('SEANCE 1'!$B:$B, $B23, 'SEANCE 1'!$C:$C, AA$2, 'SEANCE 1'!$F:$F, AA$5))</f>
        <v/>
      </c>
      <c r="AB23" s="64" t="str">
        <f ca="1">IF(COUNTIFS('SEANCE 1'!$B:$B, $B23, 'SEANCE 1'!$C:$C, AB$2, 'SEANCE 1'!$F:$F, AB$5)=0, "", COUNTIFS('SEANCE 1'!$B:$B, $B23, 'SEANCE 1'!$C:$C, AB$2, 'SEANCE 1'!$F:$F, AB$5))</f>
        <v/>
      </c>
      <c r="AC23" s="64" t="str">
        <f ca="1">IF(COUNTIFS('SEANCE 1'!$B:$B, $B23, 'SEANCE 1'!$C:$C, AC$2, 'SEANCE 1'!$F:$F, AC$5)=0, "", COUNTIFS('SEANCE 1'!$B:$B, $B23, 'SEANCE 1'!$C:$C, AC$2, 'SEANCE 1'!$F:$F, AC$5))</f>
        <v/>
      </c>
      <c r="AD23" s="64" t="str">
        <f ca="1">IF(COUNTIFS('SEANCE 1'!$B:$B, $B23, 'SEANCE 1'!$C:$C, AD$2, 'SEANCE 1'!$F:$F, AD$5)=0, "", COUNTIFS('SEANCE 1'!$B:$B, $B23, 'SEANCE 1'!$C:$C, AD$2, 'SEANCE 1'!$F:$F, AD$5))</f>
        <v/>
      </c>
      <c r="AE23" s="64" t="str">
        <f ca="1">IF(COUNTIFS('SEANCE 1'!$B:$B, $B23, 'SEANCE 1'!$C:$C, AE$2, 'SEANCE 1'!$F:$F, AE$5)=0, "", COUNTIFS('SEANCE 1'!$B:$B, $B23, 'SEANCE 1'!$C:$C, AE$2, 'SEANCE 1'!$F:$F, AE$5))</f>
        <v/>
      </c>
      <c r="AF23" s="64" t="str">
        <f ca="1">IF(COUNTIFS('SEANCE 1'!$B:$B, $B23, 'SEANCE 1'!$C:$C, AF$2, 'SEANCE 1'!$F:$F, AF$5)=0, "", COUNTIFS('SEANCE 1'!$B:$B, $B23, 'SEANCE 1'!$C:$C, AF$2, 'SEANCE 1'!$F:$F, AF$5))</f>
        <v/>
      </c>
      <c r="AG23" s="64" t="str">
        <f ca="1">IF(COUNTIFS('SEANCE 1'!$B:$B, $B23, 'SEANCE 1'!$C:$C, AG$2, 'SEANCE 1'!$F:$F, AG$5)=0, "", COUNTIFS('SEANCE 1'!$B:$B, $B23, 'SEANCE 1'!$C:$C, AG$2, 'SEANCE 1'!$F:$F, AG$5))</f>
        <v/>
      </c>
      <c r="AH23" s="64" t="str">
        <f ca="1">IF(COUNTIFS('SEANCE 1'!$B:$B, $B23, 'SEANCE 1'!$C:$C, AH$2, 'SEANCE 1'!$F:$F, AH$5)=0, "", COUNTIFS('SEANCE 1'!$B:$B, $B23, 'SEANCE 1'!$C:$C, AH$2, 'SEANCE 1'!$F:$F, AH$5))</f>
        <v/>
      </c>
      <c r="AI23" s="64" t="str">
        <f ca="1">IF(COUNTIFS('SEANCE 1'!$B:$B, $B23, 'SEANCE 1'!$C:$C, AI$2, 'SEANCE 1'!$F:$F, AI$5)=0, "", COUNTIFS('SEANCE 1'!$B:$B, $B23, 'SEANCE 1'!$C:$C, AI$2, 'SEANCE 1'!$F:$F, AI$5))</f>
        <v/>
      </c>
      <c r="AJ23" s="64" t="str">
        <f ca="1">IF(COUNTIFS('SEANCE 1'!$B:$B, $B23, 'SEANCE 1'!$C:$C, AJ$2, 'SEANCE 1'!$F:$F, AJ$5)=0, "", COUNTIFS('SEANCE 1'!$B:$B, $B23, 'SEANCE 1'!$C:$C, AJ$2, 'SEANCE 1'!$F:$F, AJ$5))</f>
        <v/>
      </c>
      <c r="AK23" s="64" t="str">
        <f ca="1">IF(COUNTIFS('SEANCE 1'!$B:$B, $B23, 'SEANCE 1'!$C:$C, AK$2, 'SEANCE 1'!$F:$F, AK$5)=0, "", COUNTIFS('SEANCE 1'!$B:$B, $B23, 'SEANCE 1'!$C:$C, AK$2, 'SEANCE 1'!$F:$F, AK$5))</f>
        <v/>
      </c>
      <c r="AL23" s="64" t="str">
        <f ca="1">IF(COUNTIFS('SEANCE 1'!$B:$B, $B23, 'SEANCE 1'!$C:$C, AL$2, 'SEANCE 1'!$F:$F, AL$5)=0, "", COUNTIFS('SEANCE 1'!$B:$B, $B23, 'SEANCE 1'!$C:$C, AL$2, 'SEANCE 1'!$F:$F, AL$5))</f>
        <v/>
      </c>
      <c r="AM23" s="64" t="str">
        <f ca="1">IF(COUNTIFS('SEANCE 1'!$B:$B, $B23, 'SEANCE 1'!$C:$C, AM$2, 'SEANCE 1'!$F:$F, AM$5)=0, "", COUNTIFS('SEANCE 1'!$B:$B, $B23, 'SEANCE 1'!$C:$C, AM$2, 'SEANCE 1'!$F:$F, AM$5))</f>
        <v/>
      </c>
      <c r="AN23" s="64" t="str">
        <f ca="1">IF(COUNTIFS('SEANCE 1'!$B:$B, $B23, 'SEANCE 1'!$C:$C, AN$2, 'SEANCE 1'!$F:$F, AN$5)=0, "", COUNTIFS('SEANCE 1'!$B:$B, $B23, 'SEANCE 1'!$C:$C, AN$2, 'SEANCE 1'!$F:$F, AN$5))</f>
        <v/>
      </c>
      <c r="AO23" s="64" t="str">
        <f ca="1">IF(COUNTIFS('SEANCE 1'!$B:$B, $B23, 'SEANCE 1'!$C:$C, AO$2, 'SEANCE 1'!$F:$F, AO$5)=0, "", COUNTIFS('SEANCE 1'!$B:$B, $B23, 'SEANCE 1'!$C:$C, AO$2, 'SEANCE 1'!$F:$F, AO$5))</f>
        <v/>
      </c>
      <c r="AP23" s="64" t="str">
        <f ca="1">IF(COUNTIFS('SEANCE 1'!$B:$B, $B23, 'SEANCE 1'!$C:$C, AP$2, 'SEANCE 1'!$F:$F, AP$5)=0, "", COUNTIFS('SEANCE 1'!$B:$B, $B23, 'SEANCE 1'!$C:$C, AP$2, 'SEANCE 1'!$F:$F, AP$5))</f>
        <v/>
      </c>
      <c r="AQ23" s="64" t="str">
        <f ca="1">IF(COUNTIFS('SEANCE 1'!$B:$B, $B23, 'SEANCE 1'!$C:$C, AQ$2, 'SEANCE 1'!$F:$F, AQ$5)=0, "", COUNTIFS('SEANCE 1'!$B:$B, $B23, 'SEANCE 1'!$C:$C, AQ$2, 'SEANCE 1'!$F:$F, AQ$5))</f>
        <v/>
      </c>
      <c r="AR23" s="64" t="str">
        <f ca="1">IF(COUNTIFS('SEANCE 1'!$B:$B, $B23, 'SEANCE 1'!$C:$C, AR$2, 'SEANCE 1'!$F:$F, AR$5)=0, "", COUNTIFS('SEANCE 1'!$B:$B, $B23, 'SEANCE 1'!$C:$C, AR$2, 'SEANCE 1'!$F:$F, AR$5))</f>
        <v/>
      </c>
      <c r="AS23" s="64" t="str">
        <f ca="1">IF(COUNTIFS('SEANCE 1'!$B:$B, $B23, 'SEANCE 1'!$C:$C, AS$2, 'SEANCE 1'!$F:$F, AS$5)=0, "", COUNTIFS('SEANCE 1'!$B:$B, $B23, 'SEANCE 1'!$C:$C, AS$2, 'SEANCE 1'!$F:$F, AS$5))</f>
        <v/>
      </c>
      <c r="AT23" s="64" t="str">
        <f ca="1">IF(COUNTIFS('SEANCE 1'!$B:$B, $B23, 'SEANCE 1'!$C:$C, AT$2, 'SEANCE 1'!$F:$F, AT$5)=0, "", COUNTIFS('SEANCE 1'!$B:$B, $B23, 'SEANCE 1'!$C:$C, AT$2, 'SEANCE 1'!$F:$F, AT$5))</f>
        <v/>
      </c>
      <c r="AU23" s="64" t="str">
        <f ca="1">IF(COUNTIFS('SEANCE 1'!$B:$B, $B23, 'SEANCE 1'!$C:$C, AU$2, 'SEANCE 1'!$F:$F, AU$5)=0, "", COUNTIFS('SEANCE 1'!$B:$B, $B23, 'SEANCE 1'!$C:$C, AU$2, 'SEANCE 1'!$F:$F, AU$5))</f>
        <v/>
      </c>
      <c r="AV23" s="64" t="str">
        <f ca="1">IF(COUNTIFS('SEANCE 1'!$B:$B, $B23, 'SEANCE 1'!$C:$C, AV$2, 'SEANCE 1'!$F:$F, AV$5)=0, "", COUNTIFS('SEANCE 1'!$B:$B, $B23, 'SEANCE 1'!$C:$C, AV$2, 'SEANCE 1'!$F:$F, AV$5))</f>
        <v/>
      </c>
      <c r="AW23" s="64" t="str">
        <f ca="1">IF(COUNTIFS('SEANCE 1'!$B:$B, $B23, 'SEANCE 1'!$C:$C, AW$2, 'SEANCE 1'!$F:$F, AW$5)=0, "", COUNTIFS('SEANCE 1'!$B:$B, $B23, 'SEANCE 1'!$C:$C, AW$2, 'SEANCE 1'!$F:$F, AW$5))</f>
        <v/>
      </c>
      <c r="AX23" s="64" t="str">
        <f ca="1">IF(COUNTIFS('SEANCE 1'!$B:$B, $B23, 'SEANCE 1'!$C:$C, AX$2, 'SEANCE 1'!$F:$F, AX$5)=0, "", COUNTIFS('SEANCE 1'!$B:$B, $B23, 'SEANCE 1'!$C:$C, AX$2, 'SEANCE 1'!$F:$F, AX$5))</f>
        <v/>
      </c>
      <c r="AY23" s="64" t="str">
        <f ca="1">IF(COUNTIFS('SEANCE 1'!$B:$B, $B23, 'SEANCE 1'!$C:$C, AY$2, 'SEANCE 1'!$F:$F, AY$5)=0, "", COUNTIFS('SEANCE 1'!$B:$B, $B23, 'SEANCE 1'!$C:$C, AY$2, 'SEANCE 1'!$F:$F, AY$5))</f>
        <v/>
      </c>
      <c r="AZ23" s="32">
        <f t="shared" ca="1" si="0"/>
        <v>0</v>
      </c>
    </row>
    <row r="24" spans="1:52">
      <c r="A24" s="44" t="str">
        <f>IF('SEANCE 1'!$B20&lt;&gt;"",'SEANCE 1'!$A20,"")</f>
        <v/>
      </c>
      <c r="B24" s="44" t="str">
        <f t="array" aca="1" ref="B24" ca="1">IF(ISNA(INDEX(ListeB,MATCH(0,COUNTIF($B$5:B23,ListeB),0))),"",INDEX(ListeB,MATCH(0,COUNTIF($B$5:B23,ListeB),0)))</f>
        <v/>
      </c>
      <c r="C24" s="64" t="str">
        <f ca="1">IF(COUNTIFS('SEANCE 1'!$B:$B, $B24, 'SEANCE 1'!$C:$C, C$2, 'SEANCE 1'!$F:$F, C$5)=0, "", COUNTIFS('SEANCE 1'!$B:$B, $B24, 'SEANCE 1'!$C:$C, C$2, 'SEANCE 1'!$F:$F, C$5))</f>
        <v/>
      </c>
      <c r="D24" s="64" t="str">
        <f ca="1">IF(COUNTIFS('SEANCE 1'!$B:$B, $B24, 'SEANCE 1'!$C:$C, D$2, 'SEANCE 1'!$F:$F, D$5)=0, "", COUNTIFS('SEANCE 1'!$B:$B, $B24, 'SEANCE 1'!$C:$C, D$2, 'SEANCE 1'!$F:$F, D$5))</f>
        <v/>
      </c>
      <c r="E24" s="64" t="str">
        <f ca="1">IF(COUNTIFS('SEANCE 1'!$B:$B, $B24, 'SEANCE 1'!$C:$C, E$2, 'SEANCE 1'!$F:$F, E$5)=0, "", COUNTIFS('SEANCE 1'!$B:$B, $B24, 'SEANCE 1'!$C:$C, E$2, 'SEANCE 1'!$F:$F, E$5))</f>
        <v/>
      </c>
      <c r="F24" s="64" t="str">
        <f ca="1">IF(COUNTIFS('SEANCE 1'!$B:$B, $B24, 'SEANCE 1'!$C:$C, F$2, 'SEANCE 1'!$F:$F, F$5)=0, "", COUNTIFS('SEANCE 1'!$B:$B, $B24, 'SEANCE 1'!$C:$C, F$2, 'SEANCE 1'!$F:$F, F$5))</f>
        <v/>
      </c>
      <c r="G24" s="64" t="str">
        <f ca="1">IF(COUNTIFS('SEANCE 1'!$B:$B, $B24, 'SEANCE 1'!$C:$C, G$2, 'SEANCE 1'!$F:$F, G$5)=0, "", COUNTIFS('SEANCE 1'!$B:$B, $B24, 'SEANCE 1'!$C:$C, G$2, 'SEANCE 1'!$F:$F, G$5))</f>
        <v/>
      </c>
      <c r="H24" s="64" t="str">
        <f ca="1">IF(COUNTIFS('SEANCE 1'!$B:$B, $B24, 'SEANCE 1'!$C:$C, H$2, 'SEANCE 1'!$F:$F, H$5)=0, "", COUNTIFS('SEANCE 1'!$B:$B, $B24, 'SEANCE 1'!$C:$C, H$2, 'SEANCE 1'!$F:$F, H$5))</f>
        <v/>
      </c>
      <c r="I24" s="64" t="str">
        <f ca="1">IF(COUNTIFS('SEANCE 1'!$B:$B, $B24, 'SEANCE 1'!$C:$C, I$2, 'SEANCE 1'!$F:$F, I$5)=0, "", COUNTIFS('SEANCE 1'!$B:$B, $B24, 'SEANCE 1'!$C:$C, I$2, 'SEANCE 1'!$F:$F, I$5))</f>
        <v/>
      </c>
      <c r="J24" s="64" t="str">
        <f ca="1">IF(COUNTIFS('SEANCE 1'!$B:$B, $B24, 'SEANCE 1'!$C:$C, J$2, 'SEANCE 1'!$F:$F, J$5)=0, "", COUNTIFS('SEANCE 1'!$B:$B, $B24, 'SEANCE 1'!$C:$C, J$2, 'SEANCE 1'!$F:$F, J$5))</f>
        <v/>
      </c>
      <c r="K24" s="64" t="str">
        <f ca="1">IF(COUNTIFS('SEANCE 1'!$B:$B, $B24, 'SEANCE 1'!$C:$C, K$2, 'SEANCE 1'!$F:$F, K$5)=0, "", COUNTIFS('SEANCE 1'!$B:$B, $B24, 'SEANCE 1'!$C:$C, K$2, 'SEANCE 1'!$F:$F, K$5))</f>
        <v/>
      </c>
      <c r="L24" s="64" t="str">
        <f ca="1">IF(COUNTIFS('SEANCE 1'!$B:$B, $B24, 'SEANCE 1'!$C:$C, L$2, 'SEANCE 1'!$F:$F, L$5)=0, "", COUNTIFS('SEANCE 1'!$B:$B, $B24, 'SEANCE 1'!$C:$C, L$2, 'SEANCE 1'!$F:$F, L$5))</f>
        <v/>
      </c>
      <c r="M24" s="64" t="str">
        <f ca="1">IF(COUNTIFS('SEANCE 1'!$B:$B, $B24, 'SEANCE 1'!$C:$C, M$2, 'SEANCE 1'!$F:$F, M$5)=0, "", COUNTIFS('SEANCE 1'!$B:$B, $B24, 'SEANCE 1'!$C:$C, M$2, 'SEANCE 1'!$F:$F, M$5))</f>
        <v/>
      </c>
      <c r="N24" s="64" t="str">
        <f ca="1">IF(COUNTIFS('SEANCE 1'!$B:$B, $B24, 'SEANCE 1'!$C:$C, N$2, 'SEANCE 1'!$F:$F, N$5)=0, "", COUNTIFS('SEANCE 1'!$B:$B, $B24, 'SEANCE 1'!$C:$C, N$2, 'SEANCE 1'!$F:$F, N$5))</f>
        <v/>
      </c>
      <c r="O24" s="64" t="str">
        <f ca="1">IF(COUNTIFS('SEANCE 1'!$B:$B, $B24, 'SEANCE 1'!$C:$C, O$2, 'SEANCE 1'!$F:$F, O$5)=0, "", COUNTIFS('SEANCE 1'!$B:$B, $B24, 'SEANCE 1'!$C:$C, O$2, 'SEANCE 1'!$F:$F, O$5))</f>
        <v/>
      </c>
      <c r="P24" s="64" t="str">
        <f ca="1">IF(COUNTIFS('SEANCE 1'!$B:$B, $B24, 'SEANCE 1'!$C:$C, P$2, 'SEANCE 1'!$F:$F, P$5)=0, "", COUNTIFS('SEANCE 1'!$B:$B, $B24, 'SEANCE 1'!$C:$C, P$2, 'SEANCE 1'!$F:$F, P$5))</f>
        <v/>
      </c>
      <c r="Q24" s="64" t="str">
        <f ca="1">IF(COUNTIFS('SEANCE 1'!$B:$B, $B24, 'SEANCE 1'!$C:$C, Q$2, 'SEANCE 1'!$F:$F, Q$5)=0, "", COUNTIFS('SEANCE 1'!$B:$B, $B24, 'SEANCE 1'!$C:$C, Q$2, 'SEANCE 1'!$F:$F, Q$5))</f>
        <v/>
      </c>
      <c r="R24" s="64" t="str">
        <f ca="1">IF(COUNTIFS('SEANCE 1'!$B:$B, $B24, 'SEANCE 1'!$C:$C, R$2, 'SEANCE 1'!$F:$F, R$5)=0, "", COUNTIFS('SEANCE 1'!$B:$B, $B24, 'SEANCE 1'!$C:$C, R$2, 'SEANCE 1'!$F:$F, R$5))</f>
        <v/>
      </c>
      <c r="S24" s="64" t="str">
        <f ca="1">IF(COUNTIFS('SEANCE 1'!$B:$B, $B24, 'SEANCE 1'!$C:$C, S$2, 'SEANCE 1'!$F:$F, S$5)=0, "", COUNTIFS('SEANCE 1'!$B:$B, $B24, 'SEANCE 1'!$C:$C, S$2, 'SEANCE 1'!$F:$F, S$5))</f>
        <v/>
      </c>
      <c r="T24" s="64" t="str">
        <f ca="1">IF(COUNTIFS('SEANCE 1'!$B:$B, $B24, 'SEANCE 1'!$C:$C, T$2, 'SEANCE 1'!$F:$F, T$5)=0, "", COUNTIFS('SEANCE 1'!$B:$B, $B24, 'SEANCE 1'!$C:$C, T$2, 'SEANCE 1'!$F:$F, T$5))</f>
        <v/>
      </c>
      <c r="U24" s="64" t="str">
        <f ca="1">IF(COUNTIFS('SEANCE 1'!$B:$B, $B24, 'SEANCE 1'!$C:$C, U$2, 'SEANCE 1'!$F:$F, U$5)=0, "", COUNTIFS('SEANCE 1'!$B:$B, $B24, 'SEANCE 1'!$C:$C, U$2, 'SEANCE 1'!$F:$F, U$5))</f>
        <v/>
      </c>
      <c r="V24" s="64" t="str">
        <f ca="1">IF(COUNTIFS('SEANCE 1'!$B:$B, $B24, 'SEANCE 1'!$C:$C, V$2, 'SEANCE 1'!$F:$F, V$5)=0, "", COUNTIFS('SEANCE 1'!$B:$B, $B24, 'SEANCE 1'!$C:$C, V$2, 'SEANCE 1'!$F:$F, V$5))</f>
        <v/>
      </c>
      <c r="W24" s="64" t="str">
        <f ca="1">IF(COUNTIFS('SEANCE 1'!$B:$B, $B24, 'SEANCE 1'!$C:$C, W$2, 'SEANCE 1'!$F:$F, W$5)=0, "", COUNTIFS('SEANCE 1'!$B:$B, $B24, 'SEANCE 1'!$C:$C, W$2, 'SEANCE 1'!$F:$F, W$5))</f>
        <v/>
      </c>
      <c r="X24" s="64" t="str">
        <f ca="1">IF(COUNTIFS('SEANCE 1'!$B:$B, $B24, 'SEANCE 1'!$C:$C, X$2, 'SEANCE 1'!$F:$F, X$5)=0, "", COUNTIFS('SEANCE 1'!$B:$B, $B24, 'SEANCE 1'!$C:$C, X$2, 'SEANCE 1'!$F:$F, X$5))</f>
        <v/>
      </c>
      <c r="Y24" s="64" t="str">
        <f ca="1">IF(COUNTIFS('SEANCE 1'!$B:$B, $B24, 'SEANCE 1'!$C:$C, Y$2, 'SEANCE 1'!$F:$F, Y$5)=0, "", COUNTIFS('SEANCE 1'!$B:$B, $B24, 'SEANCE 1'!$C:$C, Y$2, 'SEANCE 1'!$F:$F, Y$5))</f>
        <v/>
      </c>
      <c r="Z24" s="64" t="str">
        <f ca="1">IF(COUNTIFS('SEANCE 1'!$B:$B, $B24, 'SEANCE 1'!$C:$C, Z$2, 'SEANCE 1'!$F:$F, Z$5)=0, "", COUNTIFS('SEANCE 1'!$B:$B, $B24, 'SEANCE 1'!$C:$C, Z$2, 'SEANCE 1'!$F:$F, Z$5))</f>
        <v/>
      </c>
      <c r="AA24" s="64" t="str">
        <f ca="1">IF(COUNTIFS('SEANCE 1'!$B:$B, $B24, 'SEANCE 1'!$C:$C, AA$2, 'SEANCE 1'!$F:$F, AA$5)=0, "", COUNTIFS('SEANCE 1'!$B:$B, $B24, 'SEANCE 1'!$C:$C, AA$2, 'SEANCE 1'!$F:$F, AA$5))</f>
        <v/>
      </c>
      <c r="AB24" s="64" t="str">
        <f ca="1">IF(COUNTIFS('SEANCE 1'!$B:$B, $B24, 'SEANCE 1'!$C:$C, AB$2, 'SEANCE 1'!$F:$F, AB$5)=0, "", COUNTIFS('SEANCE 1'!$B:$B, $B24, 'SEANCE 1'!$C:$C, AB$2, 'SEANCE 1'!$F:$F, AB$5))</f>
        <v/>
      </c>
      <c r="AC24" s="64" t="str">
        <f ca="1">IF(COUNTIFS('SEANCE 1'!$B:$B, $B24, 'SEANCE 1'!$C:$C, AC$2, 'SEANCE 1'!$F:$F, AC$5)=0, "", COUNTIFS('SEANCE 1'!$B:$B, $B24, 'SEANCE 1'!$C:$C, AC$2, 'SEANCE 1'!$F:$F, AC$5))</f>
        <v/>
      </c>
      <c r="AD24" s="64" t="str">
        <f ca="1">IF(COUNTIFS('SEANCE 1'!$B:$B, $B24, 'SEANCE 1'!$C:$C, AD$2, 'SEANCE 1'!$F:$F, AD$5)=0, "", COUNTIFS('SEANCE 1'!$B:$B, $B24, 'SEANCE 1'!$C:$C, AD$2, 'SEANCE 1'!$F:$F, AD$5))</f>
        <v/>
      </c>
      <c r="AE24" s="64" t="str">
        <f ca="1">IF(COUNTIFS('SEANCE 1'!$B:$B, $B24, 'SEANCE 1'!$C:$C, AE$2, 'SEANCE 1'!$F:$F, AE$5)=0, "", COUNTIFS('SEANCE 1'!$B:$B, $B24, 'SEANCE 1'!$C:$C, AE$2, 'SEANCE 1'!$F:$F, AE$5))</f>
        <v/>
      </c>
      <c r="AF24" s="64" t="str">
        <f ca="1">IF(COUNTIFS('SEANCE 1'!$B:$B, $B24, 'SEANCE 1'!$C:$C, AF$2, 'SEANCE 1'!$F:$F, AF$5)=0, "", COUNTIFS('SEANCE 1'!$B:$B, $B24, 'SEANCE 1'!$C:$C, AF$2, 'SEANCE 1'!$F:$F, AF$5))</f>
        <v/>
      </c>
      <c r="AG24" s="64" t="str">
        <f ca="1">IF(COUNTIFS('SEANCE 1'!$B:$B, $B24, 'SEANCE 1'!$C:$C, AG$2, 'SEANCE 1'!$F:$F, AG$5)=0, "", COUNTIFS('SEANCE 1'!$B:$B, $B24, 'SEANCE 1'!$C:$C, AG$2, 'SEANCE 1'!$F:$F, AG$5))</f>
        <v/>
      </c>
      <c r="AH24" s="64" t="str">
        <f ca="1">IF(COUNTIFS('SEANCE 1'!$B:$B, $B24, 'SEANCE 1'!$C:$C, AH$2, 'SEANCE 1'!$F:$F, AH$5)=0, "", COUNTIFS('SEANCE 1'!$B:$B, $B24, 'SEANCE 1'!$C:$C, AH$2, 'SEANCE 1'!$F:$F, AH$5))</f>
        <v/>
      </c>
      <c r="AI24" s="64" t="str">
        <f ca="1">IF(COUNTIFS('SEANCE 1'!$B:$B, $B24, 'SEANCE 1'!$C:$C, AI$2, 'SEANCE 1'!$F:$F, AI$5)=0, "", COUNTIFS('SEANCE 1'!$B:$B, $B24, 'SEANCE 1'!$C:$C, AI$2, 'SEANCE 1'!$F:$F, AI$5))</f>
        <v/>
      </c>
      <c r="AJ24" s="64" t="str">
        <f ca="1">IF(COUNTIFS('SEANCE 1'!$B:$B, $B24, 'SEANCE 1'!$C:$C, AJ$2, 'SEANCE 1'!$F:$F, AJ$5)=0, "", COUNTIFS('SEANCE 1'!$B:$B, $B24, 'SEANCE 1'!$C:$C, AJ$2, 'SEANCE 1'!$F:$F, AJ$5))</f>
        <v/>
      </c>
      <c r="AK24" s="64" t="str">
        <f ca="1">IF(COUNTIFS('SEANCE 1'!$B:$B, $B24, 'SEANCE 1'!$C:$C, AK$2, 'SEANCE 1'!$F:$F, AK$5)=0, "", COUNTIFS('SEANCE 1'!$B:$B, $B24, 'SEANCE 1'!$C:$C, AK$2, 'SEANCE 1'!$F:$F, AK$5))</f>
        <v/>
      </c>
      <c r="AL24" s="64" t="str">
        <f ca="1">IF(COUNTIFS('SEANCE 1'!$B:$B, $B24, 'SEANCE 1'!$C:$C, AL$2, 'SEANCE 1'!$F:$F, AL$5)=0, "", COUNTIFS('SEANCE 1'!$B:$B, $B24, 'SEANCE 1'!$C:$C, AL$2, 'SEANCE 1'!$F:$F, AL$5))</f>
        <v/>
      </c>
      <c r="AM24" s="64" t="str">
        <f ca="1">IF(COUNTIFS('SEANCE 1'!$B:$B, $B24, 'SEANCE 1'!$C:$C, AM$2, 'SEANCE 1'!$F:$F, AM$5)=0, "", COUNTIFS('SEANCE 1'!$B:$B, $B24, 'SEANCE 1'!$C:$C, AM$2, 'SEANCE 1'!$F:$F, AM$5))</f>
        <v/>
      </c>
      <c r="AN24" s="64" t="str">
        <f ca="1">IF(COUNTIFS('SEANCE 1'!$B:$B, $B24, 'SEANCE 1'!$C:$C, AN$2, 'SEANCE 1'!$F:$F, AN$5)=0, "", COUNTIFS('SEANCE 1'!$B:$B, $B24, 'SEANCE 1'!$C:$C, AN$2, 'SEANCE 1'!$F:$F, AN$5))</f>
        <v/>
      </c>
      <c r="AO24" s="64" t="str">
        <f ca="1">IF(COUNTIFS('SEANCE 1'!$B:$B, $B24, 'SEANCE 1'!$C:$C, AO$2, 'SEANCE 1'!$F:$F, AO$5)=0, "", COUNTIFS('SEANCE 1'!$B:$B, $B24, 'SEANCE 1'!$C:$C, AO$2, 'SEANCE 1'!$F:$F, AO$5))</f>
        <v/>
      </c>
      <c r="AP24" s="64" t="str">
        <f ca="1">IF(COUNTIFS('SEANCE 1'!$B:$B, $B24, 'SEANCE 1'!$C:$C, AP$2, 'SEANCE 1'!$F:$F, AP$5)=0, "", COUNTIFS('SEANCE 1'!$B:$B, $B24, 'SEANCE 1'!$C:$C, AP$2, 'SEANCE 1'!$F:$F, AP$5))</f>
        <v/>
      </c>
      <c r="AQ24" s="64" t="str">
        <f ca="1">IF(COUNTIFS('SEANCE 1'!$B:$B, $B24, 'SEANCE 1'!$C:$C, AQ$2, 'SEANCE 1'!$F:$F, AQ$5)=0, "", COUNTIFS('SEANCE 1'!$B:$B, $B24, 'SEANCE 1'!$C:$C, AQ$2, 'SEANCE 1'!$F:$F, AQ$5))</f>
        <v/>
      </c>
      <c r="AR24" s="64" t="str">
        <f ca="1">IF(COUNTIFS('SEANCE 1'!$B:$B, $B24, 'SEANCE 1'!$C:$C, AR$2, 'SEANCE 1'!$F:$F, AR$5)=0, "", COUNTIFS('SEANCE 1'!$B:$B, $B24, 'SEANCE 1'!$C:$C, AR$2, 'SEANCE 1'!$F:$F, AR$5))</f>
        <v/>
      </c>
      <c r="AS24" s="64" t="str">
        <f ca="1">IF(COUNTIFS('SEANCE 1'!$B:$B, $B24, 'SEANCE 1'!$C:$C, AS$2, 'SEANCE 1'!$F:$F, AS$5)=0, "", COUNTIFS('SEANCE 1'!$B:$B, $B24, 'SEANCE 1'!$C:$C, AS$2, 'SEANCE 1'!$F:$F, AS$5))</f>
        <v/>
      </c>
      <c r="AT24" s="64" t="str">
        <f ca="1">IF(COUNTIFS('SEANCE 1'!$B:$B, $B24, 'SEANCE 1'!$C:$C, AT$2, 'SEANCE 1'!$F:$F, AT$5)=0, "", COUNTIFS('SEANCE 1'!$B:$B, $B24, 'SEANCE 1'!$C:$C, AT$2, 'SEANCE 1'!$F:$F, AT$5))</f>
        <v/>
      </c>
      <c r="AU24" s="64" t="str">
        <f ca="1">IF(COUNTIFS('SEANCE 1'!$B:$B, $B24, 'SEANCE 1'!$C:$C, AU$2, 'SEANCE 1'!$F:$F, AU$5)=0, "", COUNTIFS('SEANCE 1'!$B:$B, $B24, 'SEANCE 1'!$C:$C, AU$2, 'SEANCE 1'!$F:$F, AU$5))</f>
        <v/>
      </c>
      <c r="AV24" s="64" t="str">
        <f ca="1">IF(COUNTIFS('SEANCE 1'!$B:$B, $B24, 'SEANCE 1'!$C:$C, AV$2, 'SEANCE 1'!$F:$F, AV$5)=0, "", COUNTIFS('SEANCE 1'!$B:$B, $B24, 'SEANCE 1'!$C:$C, AV$2, 'SEANCE 1'!$F:$F, AV$5))</f>
        <v/>
      </c>
      <c r="AW24" s="64" t="str">
        <f ca="1">IF(COUNTIFS('SEANCE 1'!$B:$B, $B24, 'SEANCE 1'!$C:$C, AW$2, 'SEANCE 1'!$F:$F, AW$5)=0, "", COUNTIFS('SEANCE 1'!$B:$B, $B24, 'SEANCE 1'!$C:$C, AW$2, 'SEANCE 1'!$F:$F, AW$5))</f>
        <v/>
      </c>
      <c r="AX24" s="64" t="str">
        <f ca="1">IF(COUNTIFS('SEANCE 1'!$B:$B, $B24, 'SEANCE 1'!$C:$C, AX$2, 'SEANCE 1'!$F:$F, AX$5)=0, "", COUNTIFS('SEANCE 1'!$B:$B, $B24, 'SEANCE 1'!$C:$C, AX$2, 'SEANCE 1'!$F:$F, AX$5))</f>
        <v/>
      </c>
      <c r="AY24" s="64" t="str">
        <f ca="1">IF(COUNTIFS('SEANCE 1'!$B:$B, $B24, 'SEANCE 1'!$C:$C, AY$2, 'SEANCE 1'!$F:$F, AY$5)=0, "", COUNTIFS('SEANCE 1'!$B:$B, $B24, 'SEANCE 1'!$C:$C, AY$2, 'SEANCE 1'!$F:$F, AY$5))</f>
        <v/>
      </c>
      <c r="AZ24" s="32">
        <f t="shared" ca="1" si="0"/>
        <v>0</v>
      </c>
    </row>
    <row r="25" spans="1:52">
      <c r="A25" s="44" t="str">
        <f>IF('SEANCE 1'!$B21&lt;&gt;"",'SEANCE 1'!$A21,"")</f>
        <v/>
      </c>
      <c r="B25" s="44" t="str">
        <f t="array" aca="1" ref="B25" ca="1">IF(ISNA(INDEX(ListeB,MATCH(0,COUNTIF($B$5:B24,ListeB),0))),"",INDEX(ListeB,MATCH(0,COUNTIF($B$5:B24,ListeB),0)))</f>
        <v/>
      </c>
      <c r="C25" s="64" t="str">
        <f ca="1">IF(COUNTIFS('SEANCE 1'!$B:$B, $B25, 'SEANCE 1'!$C:$C, C$2, 'SEANCE 1'!$F:$F, C$5)=0, "", COUNTIFS('SEANCE 1'!$B:$B, $B25, 'SEANCE 1'!$C:$C, C$2, 'SEANCE 1'!$F:$F, C$5))</f>
        <v/>
      </c>
      <c r="D25" s="64" t="str">
        <f ca="1">IF(COUNTIFS('SEANCE 1'!$B:$B, $B25, 'SEANCE 1'!$C:$C, D$2, 'SEANCE 1'!$F:$F, D$5)=0, "", COUNTIFS('SEANCE 1'!$B:$B, $B25, 'SEANCE 1'!$C:$C, D$2, 'SEANCE 1'!$F:$F, D$5))</f>
        <v/>
      </c>
      <c r="E25" s="64" t="str">
        <f ca="1">IF(COUNTIFS('SEANCE 1'!$B:$B, $B25, 'SEANCE 1'!$C:$C, E$2, 'SEANCE 1'!$F:$F, E$5)=0, "", COUNTIFS('SEANCE 1'!$B:$B, $B25, 'SEANCE 1'!$C:$C, E$2, 'SEANCE 1'!$F:$F, E$5))</f>
        <v/>
      </c>
      <c r="F25" s="64" t="str">
        <f ca="1">IF(COUNTIFS('SEANCE 1'!$B:$B, $B25, 'SEANCE 1'!$C:$C, F$2, 'SEANCE 1'!$F:$F, F$5)=0, "", COUNTIFS('SEANCE 1'!$B:$B, $B25, 'SEANCE 1'!$C:$C, F$2, 'SEANCE 1'!$F:$F, F$5))</f>
        <v/>
      </c>
      <c r="G25" s="64" t="str">
        <f ca="1">IF(COUNTIFS('SEANCE 1'!$B:$B, $B25, 'SEANCE 1'!$C:$C, G$2, 'SEANCE 1'!$F:$F, G$5)=0, "", COUNTIFS('SEANCE 1'!$B:$B, $B25, 'SEANCE 1'!$C:$C, G$2, 'SEANCE 1'!$F:$F, G$5))</f>
        <v/>
      </c>
      <c r="H25" s="64" t="str">
        <f ca="1">IF(COUNTIFS('SEANCE 1'!$B:$B, $B25, 'SEANCE 1'!$C:$C, H$2, 'SEANCE 1'!$F:$F, H$5)=0, "", COUNTIFS('SEANCE 1'!$B:$B, $B25, 'SEANCE 1'!$C:$C, H$2, 'SEANCE 1'!$F:$F, H$5))</f>
        <v/>
      </c>
      <c r="I25" s="64" t="str">
        <f ca="1">IF(COUNTIFS('SEANCE 1'!$B:$B, $B25, 'SEANCE 1'!$C:$C, I$2, 'SEANCE 1'!$F:$F, I$5)=0, "", COUNTIFS('SEANCE 1'!$B:$B, $B25, 'SEANCE 1'!$C:$C, I$2, 'SEANCE 1'!$F:$F, I$5))</f>
        <v/>
      </c>
      <c r="J25" s="64" t="str">
        <f ca="1">IF(COUNTIFS('SEANCE 1'!$B:$B, $B25, 'SEANCE 1'!$C:$C, J$2, 'SEANCE 1'!$F:$F, J$5)=0, "", COUNTIFS('SEANCE 1'!$B:$B, $B25, 'SEANCE 1'!$C:$C, J$2, 'SEANCE 1'!$F:$F, J$5))</f>
        <v/>
      </c>
      <c r="K25" s="64" t="str">
        <f ca="1">IF(COUNTIFS('SEANCE 1'!$B:$B, $B25, 'SEANCE 1'!$C:$C, K$2, 'SEANCE 1'!$F:$F, K$5)=0, "", COUNTIFS('SEANCE 1'!$B:$B, $B25, 'SEANCE 1'!$C:$C, K$2, 'SEANCE 1'!$F:$F, K$5))</f>
        <v/>
      </c>
      <c r="L25" s="64" t="str">
        <f ca="1">IF(COUNTIFS('SEANCE 1'!$B:$B, $B25, 'SEANCE 1'!$C:$C, L$2, 'SEANCE 1'!$F:$F, L$5)=0, "", COUNTIFS('SEANCE 1'!$B:$B, $B25, 'SEANCE 1'!$C:$C, L$2, 'SEANCE 1'!$F:$F, L$5))</f>
        <v/>
      </c>
      <c r="M25" s="64" t="str">
        <f ca="1">IF(COUNTIFS('SEANCE 1'!$B:$B, $B25, 'SEANCE 1'!$C:$C, M$2, 'SEANCE 1'!$F:$F, M$5)=0, "", COUNTIFS('SEANCE 1'!$B:$B, $B25, 'SEANCE 1'!$C:$C, M$2, 'SEANCE 1'!$F:$F, M$5))</f>
        <v/>
      </c>
      <c r="N25" s="64" t="str">
        <f ca="1">IF(COUNTIFS('SEANCE 1'!$B:$B, $B25, 'SEANCE 1'!$C:$C, N$2, 'SEANCE 1'!$F:$F, N$5)=0, "", COUNTIFS('SEANCE 1'!$B:$B, $B25, 'SEANCE 1'!$C:$C, N$2, 'SEANCE 1'!$F:$F, N$5))</f>
        <v/>
      </c>
      <c r="O25" s="64" t="str">
        <f ca="1">IF(COUNTIFS('SEANCE 1'!$B:$B, $B25, 'SEANCE 1'!$C:$C, O$2, 'SEANCE 1'!$F:$F, O$5)=0, "", COUNTIFS('SEANCE 1'!$B:$B, $B25, 'SEANCE 1'!$C:$C, O$2, 'SEANCE 1'!$F:$F, O$5))</f>
        <v/>
      </c>
      <c r="P25" s="64" t="str">
        <f ca="1">IF(COUNTIFS('SEANCE 1'!$B:$B, $B25, 'SEANCE 1'!$C:$C, P$2, 'SEANCE 1'!$F:$F, P$5)=0, "", COUNTIFS('SEANCE 1'!$B:$B, $B25, 'SEANCE 1'!$C:$C, P$2, 'SEANCE 1'!$F:$F, P$5))</f>
        <v/>
      </c>
      <c r="Q25" s="64" t="str">
        <f ca="1">IF(COUNTIFS('SEANCE 1'!$B:$B, $B25, 'SEANCE 1'!$C:$C, Q$2, 'SEANCE 1'!$F:$F, Q$5)=0, "", COUNTIFS('SEANCE 1'!$B:$B, $B25, 'SEANCE 1'!$C:$C, Q$2, 'SEANCE 1'!$F:$F, Q$5))</f>
        <v/>
      </c>
      <c r="R25" s="64" t="str">
        <f ca="1">IF(COUNTIFS('SEANCE 1'!$B:$B, $B25, 'SEANCE 1'!$C:$C, R$2, 'SEANCE 1'!$F:$F, R$5)=0, "", COUNTIFS('SEANCE 1'!$B:$B, $B25, 'SEANCE 1'!$C:$C, R$2, 'SEANCE 1'!$F:$F, R$5))</f>
        <v/>
      </c>
      <c r="S25" s="64" t="str">
        <f ca="1">IF(COUNTIFS('SEANCE 1'!$B:$B, $B25, 'SEANCE 1'!$C:$C, S$2, 'SEANCE 1'!$F:$F, S$5)=0, "", COUNTIFS('SEANCE 1'!$B:$B, $B25, 'SEANCE 1'!$C:$C, S$2, 'SEANCE 1'!$F:$F, S$5))</f>
        <v/>
      </c>
      <c r="T25" s="64" t="str">
        <f ca="1">IF(COUNTIFS('SEANCE 1'!$B:$B, $B25, 'SEANCE 1'!$C:$C, T$2, 'SEANCE 1'!$F:$F, T$5)=0, "", COUNTIFS('SEANCE 1'!$B:$B, $B25, 'SEANCE 1'!$C:$C, T$2, 'SEANCE 1'!$F:$F, T$5))</f>
        <v/>
      </c>
      <c r="U25" s="64" t="str">
        <f ca="1">IF(COUNTIFS('SEANCE 1'!$B:$B, $B25, 'SEANCE 1'!$C:$C, U$2, 'SEANCE 1'!$F:$F, U$5)=0, "", COUNTIFS('SEANCE 1'!$B:$B, $B25, 'SEANCE 1'!$C:$C, U$2, 'SEANCE 1'!$F:$F, U$5))</f>
        <v/>
      </c>
      <c r="V25" s="64" t="str">
        <f ca="1">IF(COUNTIFS('SEANCE 1'!$B:$B, $B25, 'SEANCE 1'!$C:$C, V$2, 'SEANCE 1'!$F:$F, V$5)=0, "", COUNTIFS('SEANCE 1'!$B:$B, $B25, 'SEANCE 1'!$C:$C, V$2, 'SEANCE 1'!$F:$F, V$5))</f>
        <v/>
      </c>
      <c r="W25" s="64" t="str">
        <f ca="1">IF(COUNTIFS('SEANCE 1'!$B:$B, $B25, 'SEANCE 1'!$C:$C, W$2, 'SEANCE 1'!$F:$F, W$5)=0, "", COUNTIFS('SEANCE 1'!$B:$B, $B25, 'SEANCE 1'!$C:$C, W$2, 'SEANCE 1'!$F:$F, W$5))</f>
        <v/>
      </c>
      <c r="X25" s="64" t="str">
        <f ca="1">IF(COUNTIFS('SEANCE 1'!$B:$B, $B25, 'SEANCE 1'!$C:$C, X$2, 'SEANCE 1'!$F:$F, X$5)=0, "", COUNTIFS('SEANCE 1'!$B:$B, $B25, 'SEANCE 1'!$C:$C, X$2, 'SEANCE 1'!$F:$F, X$5))</f>
        <v/>
      </c>
      <c r="Y25" s="64" t="str">
        <f ca="1">IF(COUNTIFS('SEANCE 1'!$B:$B, $B25, 'SEANCE 1'!$C:$C, Y$2, 'SEANCE 1'!$F:$F, Y$5)=0, "", COUNTIFS('SEANCE 1'!$B:$B, $B25, 'SEANCE 1'!$C:$C, Y$2, 'SEANCE 1'!$F:$F, Y$5))</f>
        <v/>
      </c>
      <c r="Z25" s="64" t="str">
        <f ca="1">IF(COUNTIFS('SEANCE 1'!$B:$B, $B25, 'SEANCE 1'!$C:$C, Z$2, 'SEANCE 1'!$F:$F, Z$5)=0, "", COUNTIFS('SEANCE 1'!$B:$B, $B25, 'SEANCE 1'!$C:$C, Z$2, 'SEANCE 1'!$F:$F, Z$5))</f>
        <v/>
      </c>
      <c r="AA25" s="64" t="str">
        <f ca="1">IF(COUNTIFS('SEANCE 1'!$B:$B, $B25, 'SEANCE 1'!$C:$C, AA$2, 'SEANCE 1'!$F:$F, AA$5)=0, "", COUNTIFS('SEANCE 1'!$B:$B, $B25, 'SEANCE 1'!$C:$C, AA$2, 'SEANCE 1'!$F:$F, AA$5))</f>
        <v/>
      </c>
      <c r="AB25" s="64" t="str">
        <f ca="1">IF(COUNTIFS('SEANCE 1'!$B:$B, $B25, 'SEANCE 1'!$C:$C, AB$2, 'SEANCE 1'!$F:$F, AB$5)=0, "", COUNTIFS('SEANCE 1'!$B:$B, $B25, 'SEANCE 1'!$C:$C, AB$2, 'SEANCE 1'!$F:$F, AB$5))</f>
        <v/>
      </c>
      <c r="AC25" s="64" t="str">
        <f ca="1">IF(COUNTIFS('SEANCE 1'!$B:$B, $B25, 'SEANCE 1'!$C:$C, AC$2, 'SEANCE 1'!$F:$F, AC$5)=0, "", COUNTIFS('SEANCE 1'!$B:$B, $B25, 'SEANCE 1'!$C:$C, AC$2, 'SEANCE 1'!$F:$F, AC$5))</f>
        <v/>
      </c>
      <c r="AD25" s="64" t="str">
        <f ca="1">IF(COUNTIFS('SEANCE 1'!$B:$B, $B25, 'SEANCE 1'!$C:$C, AD$2, 'SEANCE 1'!$F:$F, AD$5)=0, "", COUNTIFS('SEANCE 1'!$B:$B, $B25, 'SEANCE 1'!$C:$C, AD$2, 'SEANCE 1'!$F:$F, AD$5))</f>
        <v/>
      </c>
      <c r="AE25" s="64" t="str">
        <f ca="1">IF(COUNTIFS('SEANCE 1'!$B:$B, $B25, 'SEANCE 1'!$C:$C, AE$2, 'SEANCE 1'!$F:$F, AE$5)=0, "", COUNTIFS('SEANCE 1'!$B:$B, $B25, 'SEANCE 1'!$C:$C, AE$2, 'SEANCE 1'!$F:$F, AE$5))</f>
        <v/>
      </c>
      <c r="AF25" s="64" t="str">
        <f ca="1">IF(COUNTIFS('SEANCE 1'!$B:$B, $B25, 'SEANCE 1'!$C:$C, AF$2, 'SEANCE 1'!$F:$F, AF$5)=0, "", COUNTIFS('SEANCE 1'!$B:$B, $B25, 'SEANCE 1'!$C:$C, AF$2, 'SEANCE 1'!$F:$F, AF$5))</f>
        <v/>
      </c>
      <c r="AG25" s="64" t="str">
        <f ca="1">IF(COUNTIFS('SEANCE 1'!$B:$B, $B25, 'SEANCE 1'!$C:$C, AG$2, 'SEANCE 1'!$F:$F, AG$5)=0, "", COUNTIFS('SEANCE 1'!$B:$B, $B25, 'SEANCE 1'!$C:$C, AG$2, 'SEANCE 1'!$F:$F, AG$5))</f>
        <v/>
      </c>
      <c r="AH25" s="64" t="str">
        <f ca="1">IF(COUNTIFS('SEANCE 1'!$B:$B, $B25, 'SEANCE 1'!$C:$C, AH$2, 'SEANCE 1'!$F:$F, AH$5)=0, "", COUNTIFS('SEANCE 1'!$B:$B, $B25, 'SEANCE 1'!$C:$C, AH$2, 'SEANCE 1'!$F:$F, AH$5))</f>
        <v/>
      </c>
      <c r="AI25" s="64" t="str">
        <f ca="1">IF(COUNTIFS('SEANCE 1'!$B:$B, $B25, 'SEANCE 1'!$C:$C, AI$2, 'SEANCE 1'!$F:$F, AI$5)=0, "", COUNTIFS('SEANCE 1'!$B:$B, $B25, 'SEANCE 1'!$C:$C, AI$2, 'SEANCE 1'!$F:$F, AI$5))</f>
        <v/>
      </c>
      <c r="AJ25" s="64" t="str">
        <f ca="1">IF(COUNTIFS('SEANCE 1'!$B:$B, $B25, 'SEANCE 1'!$C:$C, AJ$2, 'SEANCE 1'!$F:$F, AJ$5)=0, "", COUNTIFS('SEANCE 1'!$B:$B, $B25, 'SEANCE 1'!$C:$C, AJ$2, 'SEANCE 1'!$F:$F, AJ$5))</f>
        <v/>
      </c>
      <c r="AK25" s="64" t="str">
        <f ca="1">IF(COUNTIFS('SEANCE 1'!$B:$B, $B25, 'SEANCE 1'!$C:$C, AK$2, 'SEANCE 1'!$F:$F, AK$5)=0, "", COUNTIFS('SEANCE 1'!$B:$B, $B25, 'SEANCE 1'!$C:$C, AK$2, 'SEANCE 1'!$F:$F, AK$5))</f>
        <v/>
      </c>
      <c r="AL25" s="64" t="str">
        <f ca="1">IF(COUNTIFS('SEANCE 1'!$B:$B, $B25, 'SEANCE 1'!$C:$C, AL$2, 'SEANCE 1'!$F:$F, AL$5)=0, "", COUNTIFS('SEANCE 1'!$B:$B, $B25, 'SEANCE 1'!$C:$C, AL$2, 'SEANCE 1'!$F:$F, AL$5))</f>
        <v/>
      </c>
      <c r="AM25" s="64" t="str">
        <f ca="1">IF(COUNTIFS('SEANCE 1'!$B:$B, $B25, 'SEANCE 1'!$C:$C, AM$2, 'SEANCE 1'!$F:$F, AM$5)=0, "", COUNTIFS('SEANCE 1'!$B:$B, $B25, 'SEANCE 1'!$C:$C, AM$2, 'SEANCE 1'!$F:$F, AM$5))</f>
        <v/>
      </c>
      <c r="AN25" s="64" t="str">
        <f ca="1">IF(COUNTIFS('SEANCE 1'!$B:$B, $B25, 'SEANCE 1'!$C:$C, AN$2, 'SEANCE 1'!$F:$F, AN$5)=0, "", COUNTIFS('SEANCE 1'!$B:$B, $B25, 'SEANCE 1'!$C:$C, AN$2, 'SEANCE 1'!$F:$F, AN$5))</f>
        <v/>
      </c>
      <c r="AO25" s="64" t="str">
        <f ca="1">IF(COUNTIFS('SEANCE 1'!$B:$B, $B25, 'SEANCE 1'!$C:$C, AO$2, 'SEANCE 1'!$F:$F, AO$5)=0, "", COUNTIFS('SEANCE 1'!$B:$B, $B25, 'SEANCE 1'!$C:$C, AO$2, 'SEANCE 1'!$F:$F, AO$5))</f>
        <v/>
      </c>
      <c r="AP25" s="64" t="str">
        <f ca="1">IF(COUNTIFS('SEANCE 1'!$B:$B, $B25, 'SEANCE 1'!$C:$C, AP$2, 'SEANCE 1'!$F:$F, AP$5)=0, "", COUNTIFS('SEANCE 1'!$B:$B, $B25, 'SEANCE 1'!$C:$C, AP$2, 'SEANCE 1'!$F:$F, AP$5))</f>
        <v/>
      </c>
      <c r="AQ25" s="64" t="str">
        <f ca="1">IF(COUNTIFS('SEANCE 1'!$B:$B, $B25, 'SEANCE 1'!$C:$C, AQ$2, 'SEANCE 1'!$F:$F, AQ$5)=0, "", COUNTIFS('SEANCE 1'!$B:$B, $B25, 'SEANCE 1'!$C:$C, AQ$2, 'SEANCE 1'!$F:$F, AQ$5))</f>
        <v/>
      </c>
      <c r="AR25" s="64" t="str">
        <f ca="1">IF(COUNTIFS('SEANCE 1'!$B:$B, $B25, 'SEANCE 1'!$C:$C, AR$2, 'SEANCE 1'!$F:$F, AR$5)=0, "", COUNTIFS('SEANCE 1'!$B:$B, $B25, 'SEANCE 1'!$C:$C, AR$2, 'SEANCE 1'!$F:$F, AR$5))</f>
        <v/>
      </c>
      <c r="AS25" s="64" t="str">
        <f ca="1">IF(COUNTIFS('SEANCE 1'!$B:$B, $B25, 'SEANCE 1'!$C:$C, AS$2, 'SEANCE 1'!$F:$F, AS$5)=0, "", COUNTIFS('SEANCE 1'!$B:$B, $B25, 'SEANCE 1'!$C:$C, AS$2, 'SEANCE 1'!$F:$F, AS$5))</f>
        <v/>
      </c>
      <c r="AT25" s="64" t="str">
        <f ca="1">IF(COUNTIFS('SEANCE 1'!$B:$B, $B25, 'SEANCE 1'!$C:$C, AT$2, 'SEANCE 1'!$F:$F, AT$5)=0, "", COUNTIFS('SEANCE 1'!$B:$B, $B25, 'SEANCE 1'!$C:$C, AT$2, 'SEANCE 1'!$F:$F, AT$5))</f>
        <v/>
      </c>
      <c r="AU25" s="64" t="str">
        <f ca="1">IF(COUNTIFS('SEANCE 1'!$B:$B, $B25, 'SEANCE 1'!$C:$C, AU$2, 'SEANCE 1'!$F:$F, AU$5)=0, "", COUNTIFS('SEANCE 1'!$B:$B, $B25, 'SEANCE 1'!$C:$C, AU$2, 'SEANCE 1'!$F:$F, AU$5))</f>
        <v/>
      </c>
      <c r="AV25" s="64" t="str">
        <f ca="1">IF(COUNTIFS('SEANCE 1'!$B:$B, $B25, 'SEANCE 1'!$C:$C, AV$2, 'SEANCE 1'!$F:$F, AV$5)=0, "", COUNTIFS('SEANCE 1'!$B:$B, $B25, 'SEANCE 1'!$C:$C, AV$2, 'SEANCE 1'!$F:$F, AV$5))</f>
        <v/>
      </c>
      <c r="AW25" s="64" t="str">
        <f ca="1">IF(COUNTIFS('SEANCE 1'!$B:$B, $B25, 'SEANCE 1'!$C:$C, AW$2, 'SEANCE 1'!$F:$F, AW$5)=0, "", COUNTIFS('SEANCE 1'!$B:$B, $B25, 'SEANCE 1'!$C:$C, AW$2, 'SEANCE 1'!$F:$F, AW$5))</f>
        <v/>
      </c>
      <c r="AX25" s="64" t="str">
        <f ca="1">IF(COUNTIFS('SEANCE 1'!$B:$B, $B25, 'SEANCE 1'!$C:$C, AX$2, 'SEANCE 1'!$F:$F, AX$5)=0, "", COUNTIFS('SEANCE 1'!$B:$B, $B25, 'SEANCE 1'!$C:$C, AX$2, 'SEANCE 1'!$F:$F, AX$5))</f>
        <v/>
      </c>
      <c r="AY25" s="64" t="str">
        <f ca="1">IF(COUNTIFS('SEANCE 1'!$B:$B, $B25, 'SEANCE 1'!$C:$C, AY$2, 'SEANCE 1'!$F:$F, AY$5)=0, "", COUNTIFS('SEANCE 1'!$B:$B, $B25, 'SEANCE 1'!$C:$C, AY$2, 'SEANCE 1'!$F:$F, AY$5))</f>
        <v/>
      </c>
      <c r="AZ25" s="32">
        <f t="shared" ca="1" si="0"/>
        <v>0</v>
      </c>
    </row>
    <row r="26" spans="1:52">
      <c r="A26" s="44" t="str">
        <f>IF('SEANCE 1'!$B22&lt;&gt;"",'SEANCE 1'!$A22,"")</f>
        <v/>
      </c>
      <c r="B26" s="44" t="str">
        <f t="array" aca="1" ref="B26" ca="1">IF(ISNA(INDEX(ListeB,MATCH(0,COUNTIF($B$5:B25,ListeB),0))),"",INDEX(ListeB,MATCH(0,COUNTIF($B$5:B25,ListeB),0)))</f>
        <v/>
      </c>
      <c r="C26" s="64" t="str">
        <f ca="1">IF(COUNTIFS('SEANCE 1'!$B:$B, $B26, 'SEANCE 1'!$C:$C, C$2, 'SEANCE 1'!$F:$F, C$5)=0, "", COUNTIFS('SEANCE 1'!$B:$B, $B26, 'SEANCE 1'!$C:$C, C$2, 'SEANCE 1'!$F:$F, C$5))</f>
        <v/>
      </c>
      <c r="D26" s="64" t="str">
        <f ca="1">IF(COUNTIFS('SEANCE 1'!$B:$B, $B26, 'SEANCE 1'!$C:$C, D$2, 'SEANCE 1'!$F:$F, D$5)=0, "", COUNTIFS('SEANCE 1'!$B:$B, $B26, 'SEANCE 1'!$C:$C, D$2, 'SEANCE 1'!$F:$F, D$5))</f>
        <v/>
      </c>
      <c r="E26" s="64" t="str">
        <f ca="1">IF(COUNTIFS('SEANCE 1'!$B:$B, $B26, 'SEANCE 1'!$C:$C, E$2, 'SEANCE 1'!$F:$F, E$5)=0, "", COUNTIFS('SEANCE 1'!$B:$B, $B26, 'SEANCE 1'!$C:$C, E$2, 'SEANCE 1'!$F:$F, E$5))</f>
        <v/>
      </c>
      <c r="F26" s="64" t="str">
        <f ca="1">IF(COUNTIFS('SEANCE 1'!$B:$B, $B26, 'SEANCE 1'!$C:$C, F$2, 'SEANCE 1'!$F:$F, F$5)=0, "", COUNTIFS('SEANCE 1'!$B:$B, $B26, 'SEANCE 1'!$C:$C, F$2, 'SEANCE 1'!$F:$F, F$5))</f>
        <v/>
      </c>
      <c r="G26" s="64" t="str">
        <f ca="1">IF(COUNTIFS('SEANCE 1'!$B:$B, $B26, 'SEANCE 1'!$C:$C, G$2, 'SEANCE 1'!$F:$F, G$5)=0, "", COUNTIFS('SEANCE 1'!$B:$B, $B26, 'SEANCE 1'!$C:$C, G$2, 'SEANCE 1'!$F:$F, G$5))</f>
        <v/>
      </c>
      <c r="H26" s="64" t="str">
        <f ca="1">IF(COUNTIFS('SEANCE 1'!$B:$B, $B26, 'SEANCE 1'!$C:$C, H$2, 'SEANCE 1'!$F:$F, H$5)=0, "", COUNTIFS('SEANCE 1'!$B:$B, $B26, 'SEANCE 1'!$C:$C, H$2, 'SEANCE 1'!$F:$F, H$5))</f>
        <v/>
      </c>
      <c r="I26" s="64" t="str">
        <f ca="1">IF(COUNTIFS('SEANCE 1'!$B:$B, $B26, 'SEANCE 1'!$C:$C, I$2, 'SEANCE 1'!$F:$F, I$5)=0, "", COUNTIFS('SEANCE 1'!$B:$B, $B26, 'SEANCE 1'!$C:$C, I$2, 'SEANCE 1'!$F:$F, I$5))</f>
        <v/>
      </c>
      <c r="J26" s="64" t="str">
        <f ca="1">IF(COUNTIFS('SEANCE 1'!$B:$B, $B26, 'SEANCE 1'!$C:$C, J$2, 'SEANCE 1'!$F:$F, J$5)=0, "", COUNTIFS('SEANCE 1'!$B:$B, $B26, 'SEANCE 1'!$C:$C, J$2, 'SEANCE 1'!$F:$F, J$5))</f>
        <v/>
      </c>
      <c r="K26" s="64" t="str">
        <f ca="1">IF(COUNTIFS('SEANCE 1'!$B:$B, $B26, 'SEANCE 1'!$C:$C, K$2, 'SEANCE 1'!$F:$F, K$5)=0, "", COUNTIFS('SEANCE 1'!$B:$B, $B26, 'SEANCE 1'!$C:$C, K$2, 'SEANCE 1'!$F:$F, K$5))</f>
        <v/>
      </c>
      <c r="L26" s="64" t="str">
        <f ca="1">IF(COUNTIFS('SEANCE 1'!$B:$B, $B26, 'SEANCE 1'!$C:$C, L$2, 'SEANCE 1'!$F:$F, L$5)=0, "", COUNTIFS('SEANCE 1'!$B:$B, $B26, 'SEANCE 1'!$C:$C, L$2, 'SEANCE 1'!$F:$F, L$5))</f>
        <v/>
      </c>
      <c r="M26" s="64" t="str">
        <f ca="1">IF(COUNTIFS('SEANCE 1'!$B:$B, $B26, 'SEANCE 1'!$C:$C, M$2, 'SEANCE 1'!$F:$F, M$5)=0, "", COUNTIFS('SEANCE 1'!$B:$B, $B26, 'SEANCE 1'!$C:$C, M$2, 'SEANCE 1'!$F:$F, M$5))</f>
        <v/>
      </c>
      <c r="N26" s="64" t="str">
        <f ca="1">IF(COUNTIFS('SEANCE 1'!$B:$B, $B26, 'SEANCE 1'!$C:$C, N$2, 'SEANCE 1'!$F:$F, N$5)=0, "", COUNTIFS('SEANCE 1'!$B:$B, $B26, 'SEANCE 1'!$C:$C, N$2, 'SEANCE 1'!$F:$F, N$5))</f>
        <v/>
      </c>
      <c r="O26" s="64" t="str">
        <f ca="1">IF(COUNTIFS('SEANCE 1'!$B:$B, $B26, 'SEANCE 1'!$C:$C, O$2, 'SEANCE 1'!$F:$F, O$5)=0, "", COUNTIFS('SEANCE 1'!$B:$B, $B26, 'SEANCE 1'!$C:$C, O$2, 'SEANCE 1'!$F:$F, O$5))</f>
        <v/>
      </c>
      <c r="P26" s="64" t="str">
        <f ca="1">IF(COUNTIFS('SEANCE 1'!$B:$B, $B26, 'SEANCE 1'!$C:$C, P$2, 'SEANCE 1'!$F:$F, P$5)=0, "", COUNTIFS('SEANCE 1'!$B:$B, $B26, 'SEANCE 1'!$C:$C, P$2, 'SEANCE 1'!$F:$F, P$5))</f>
        <v/>
      </c>
      <c r="Q26" s="64" t="str">
        <f ca="1">IF(COUNTIFS('SEANCE 1'!$B:$B, $B26, 'SEANCE 1'!$C:$C, Q$2, 'SEANCE 1'!$F:$F, Q$5)=0, "", COUNTIFS('SEANCE 1'!$B:$B, $B26, 'SEANCE 1'!$C:$C, Q$2, 'SEANCE 1'!$F:$F, Q$5))</f>
        <v/>
      </c>
      <c r="R26" s="64" t="str">
        <f ca="1">IF(COUNTIFS('SEANCE 1'!$B:$B, $B26, 'SEANCE 1'!$C:$C, R$2, 'SEANCE 1'!$F:$F, R$5)=0, "", COUNTIFS('SEANCE 1'!$B:$B, $B26, 'SEANCE 1'!$C:$C, R$2, 'SEANCE 1'!$F:$F, R$5))</f>
        <v/>
      </c>
      <c r="S26" s="64" t="str">
        <f ca="1">IF(COUNTIFS('SEANCE 1'!$B:$B, $B26, 'SEANCE 1'!$C:$C, S$2, 'SEANCE 1'!$F:$F, S$5)=0, "", COUNTIFS('SEANCE 1'!$B:$B, $B26, 'SEANCE 1'!$C:$C, S$2, 'SEANCE 1'!$F:$F, S$5))</f>
        <v/>
      </c>
      <c r="T26" s="64" t="str">
        <f ca="1">IF(COUNTIFS('SEANCE 1'!$B:$B, $B26, 'SEANCE 1'!$C:$C, T$2, 'SEANCE 1'!$F:$F, T$5)=0, "", COUNTIFS('SEANCE 1'!$B:$B, $B26, 'SEANCE 1'!$C:$C, T$2, 'SEANCE 1'!$F:$F, T$5))</f>
        <v/>
      </c>
      <c r="U26" s="64" t="str">
        <f ca="1">IF(COUNTIFS('SEANCE 1'!$B:$B, $B26, 'SEANCE 1'!$C:$C, U$2, 'SEANCE 1'!$F:$F, U$5)=0, "", COUNTIFS('SEANCE 1'!$B:$B, $B26, 'SEANCE 1'!$C:$C, U$2, 'SEANCE 1'!$F:$F, U$5))</f>
        <v/>
      </c>
      <c r="V26" s="64" t="str">
        <f ca="1">IF(COUNTIFS('SEANCE 1'!$B:$B, $B26, 'SEANCE 1'!$C:$C, V$2, 'SEANCE 1'!$F:$F, V$5)=0, "", COUNTIFS('SEANCE 1'!$B:$B, $B26, 'SEANCE 1'!$C:$C, V$2, 'SEANCE 1'!$F:$F, V$5))</f>
        <v/>
      </c>
      <c r="W26" s="64" t="str">
        <f ca="1">IF(COUNTIFS('SEANCE 1'!$B:$B, $B26, 'SEANCE 1'!$C:$C, W$2, 'SEANCE 1'!$F:$F, W$5)=0, "", COUNTIFS('SEANCE 1'!$B:$B, $B26, 'SEANCE 1'!$C:$C, W$2, 'SEANCE 1'!$F:$F, W$5))</f>
        <v/>
      </c>
      <c r="X26" s="64" t="str">
        <f ca="1">IF(COUNTIFS('SEANCE 1'!$B:$B, $B26, 'SEANCE 1'!$C:$C, X$2, 'SEANCE 1'!$F:$F, X$5)=0, "", COUNTIFS('SEANCE 1'!$B:$B, $B26, 'SEANCE 1'!$C:$C, X$2, 'SEANCE 1'!$F:$F, X$5))</f>
        <v/>
      </c>
      <c r="Y26" s="64" t="str">
        <f ca="1">IF(COUNTIFS('SEANCE 1'!$B:$B, $B26, 'SEANCE 1'!$C:$C, Y$2, 'SEANCE 1'!$F:$F, Y$5)=0, "", COUNTIFS('SEANCE 1'!$B:$B, $B26, 'SEANCE 1'!$C:$C, Y$2, 'SEANCE 1'!$F:$F, Y$5))</f>
        <v/>
      </c>
      <c r="Z26" s="64" t="str">
        <f ca="1">IF(COUNTIFS('SEANCE 1'!$B:$B, $B26, 'SEANCE 1'!$C:$C, Z$2, 'SEANCE 1'!$F:$F, Z$5)=0, "", COUNTIFS('SEANCE 1'!$B:$B, $B26, 'SEANCE 1'!$C:$C, Z$2, 'SEANCE 1'!$F:$F, Z$5))</f>
        <v/>
      </c>
      <c r="AA26" s="64" t="str">
        <f ca="1">IF(COUNTIFS('SEANCE 1'!$B:$B, $B26, 'SEANCE 1'!$C:$C, AA$2, 'SEANCE 1'!$F:$F, AA$5)=0, "", COUNTIFS('SEANCE 1'!$B:$B, $B26, 'SEANCE 1'!$C:$C, AA$2, 'SEANCE 1'!$F:$F, AA$5))</f>
        <v/>
      </c>
      <c r="AB26" s="64" t="str">
        <f ca="1">IF(COUNTIFS('SEANCE 1'!$B:$B, $B26, 'SEANCE 1'!$C:$C, AB$2, 'SEANCE 1'!$F:$F, AB$5)=0, "", COUNTIFS('SEANCE 1'!$B:$B, $B26, 'SEANCE 1'!$C:$C, AB$2, 'SEANCE 1'!$F:$F, AB$5))</f>
        <v/>
      </c>
      <c r="AC26" s="64" t="str">
        <f ca="1">IF(COUNTIFS('SEANCE 1'!$B:$B, $B26, 'SEANCE 1'!$C:$C, AC$2, 'SEANCE 1'!$F:$F, AC$5)=0, "", COUNTIFS('SEANCE 1'!$B:$B, $B26, 'SEANCE 1'!$C:$C, AC$2, 'SEANCE 1'!$F:$F, AC$5))</f>
        <v/>
      </c>
      <c r="AD26" s="64" t="str">
        <f ca="1">IF(COUNTIFS('SEANCE 1'!$B:$B, $B26, 'SEANCE 1'!$C:$C, AD$2, 'SEANCE 1'!$F:$F, AD$5)=0, "", COUNTIFS('SEANCE 1'!$B:$B, $B26, 'SEANCE 1'!$C:$C, AD$2, 'SEANCE 1'!$F:$F, AD$5))</f>
        <v/>
      </c>
      <c r="AE26" s="64" t="str">
        <f ca="1">IF(COUNTIFS('SEANCE 1'!$B:$B, $B26, 'SEANCE 1'!$C:$C, AE$2, 'SEANCE 1'!$F:$F, AE$5)=0, "", COUNTIFS('SEANCE 1'!$B:$B, $B26, 'SEANCE 1'!$C:$C, AE$2, 'SEANCE 1'!$F:$F, AE$5))</f>
        <v/>
      </c>
      <c r="AF26" s="64" t="str">
        <f ca="1">IF(COUNTIFS('SEANCE 1'!$B:$B, $B26, 'SEANCE 1'!$C:$C, AF$2, 'SEANCE 1'!$F:$F, AF$5)=0, "", COUNTIFS('SEANCE 1'!$B:$B, $B26, 'SEANCE 1'!$C:$C, AF$2, 'SEANCE 1'!$F:$F, AF$5))</f>
        <v/>
      </c>
      <c r="AG26" s="64" t="str">
        <f ca="1">IF(COUNTIFS('SEANCE 1'!$B:$B, $B26, 'SEANCE 1'!$C:$C, AG$2, 'SEANCE 1'!$F:$F, AG$5)=0, "", COUNTIFS('SEANCE 1'!$B:$B, $B26, 'SEANCE 1'!$C:$C, AG$2, 'SEANCE 1'!$F:$F, AG$5))</f>
        <v/>
      </c>
      <c r="AH26" s="64" t="str">
        <f ca="1">IF(COUNTIFS('SEANCE 1'!$B:$B, $B26, 'SEANCE 1'!$C:$C, AH$2, 'SEANCE 1'!$F:$F, AH$5)=0, "", COUNTIFS('SEANCE 1'!$B:$B, $B26, 'SEANCE 1'!$C:$C, AH$2, 'SEANCE 1'!$F:$F, AH$5))</f>
        <v/>
      </c>
      <c r="AI26" s="64" t="str">
        <f ca="1">IF(COUNTIFS('SEANCE 1'!$B:$B, $B26, 'SEANCE 1'!$C:$C, AI$2, 'SEANCE 1'!$F:$F, AI$5)=0, "", COUNTIFS('SEANCE 1'!$B:$B, $B26, 'SEANCE 1'!$C:$C, AI$2, 'SEANCE 1'!$F:$F, AI$5))</f>
        <v/>
      </c>
      <c r="AJ26" s="64" t="str">
        <f ca="1">IF(COUNTIFS('SEANCE 1'!$B:$B, $B26, 'SEANCE 1'!$C:$C, AJ$2, 'SEANCE 1'!$F:$F, AJ$5)=0, "", COUNTIFS('SEANCE 1'!$B:$B, $B26, 'SEANCE 1'!$C:$C, AJ$2, 'SEANCE 1'!$F:$F, AJ$5))</f>
        <v/>
      </c>
      <c r="AK26" s="64" t="str">
        <f ca="1">IF(COUNTIFS('SEANCE 1'!$B:$B, $B26, 'SEANCE 1'!$C:$C, AK$2, 'SEANCE 1'!$F:$F, AK$5)=0, "", COUNTIFS('SEANCE 1'!$B:$B, $B26, 'SEANCE 1'!$C:$C, AK$2, 'SEANCE 1'!$F:$F, AK$5))</f>
        <v/>
      </c>
      <c r="AL26" s="64" t="str">
        <f ca="1">IF(COUNTIFS('SEANCE 1'!$B:$B, $B26, 'SEANCE 1'!$C:$C, AL$2, 'SEANCE 1'!$F:$F, AL$5)=0, "", COUNTIFS('SEANCE 1'!$B:$B, $B26, 'SEANCE 1'!$C:$C, AL$2, 'SEANCE 1'!$F:$F, AL$5))</f>
        <v/>
      </c>
      <c r="AM26" s="64" t="str">
        <f ca="1">IF(COUNTIFS('SEANCE 1'!$B:$B, $B26, 'SEANCE 1'!$C:$C, AM$2, 'SEANCE 1'!$F:$F, AM$5)=0, "", COUNTIFS('SEANCE 1'!$B:$B, $B26, 'SEANCE 1'!$C:$C, AM$2, 'SEANCE 1'!$F:$F, AM$5))</f>
        <v/>
      </c>
      <c r="AN26" s="64" t="str">
        <f ca="1">IF(COUNTIFS('SEANCE 1'!$B:$B, $B26, 'SEANCE 1'!$C:$C, AN$2, 'SEANCE 1'!$F:$F, AN$5)=0, "", COUNTIFS('SEANCE 1'!$B:$B, $B26, 'SEANCE 1'!$C:$C, AN$2, 'SEANCE 1'!$F:$F, AN$5))</f>
        <v/>
      </c>
      <c r="AO26" s="64" t="str">
        <f ca="1">IF(COUNTIFS('SEANCE 1'!$B:$B, $B26, 'SEANCE 1'!$C:$C, AO$2, 'SEANCE 1'!$F:$F, AO$5)=0, "", COUNTIFS('SEANCE 1'!$B:$B, $B26, 'SEANCE 1'!$C:$C, AO$2, 'SEANCE 1'!$F:$F, AO$5))</f>
        <v/>
      </c>
      <c r="AP26" s="64" t="str">
        <f ca="1">IF(COUNTIFS('SEANCE 1'!$B:$B, $B26, 'SEANCE 1'!$C:$C, AP$2, 'SEANCE 1'!$F:$F, AP$5)=0, "", COUNTIFS('SEANCE 1'!$B:$B, $B26, 'SEANCE 1'!$C:$C, AP$2, 'SEANCE 1'!$F:$F, AP$5))</f>
        <v/>
      </c>
      <c r="AQ26" s="64" t="str">
        <f ca="1">IF(COUNTIFS('SEANCE 1'!$B:$B, $B26, 'SEANCE 1'!$C:$C, AQ$2, 'SEANCE 1'!$F:$F, AQ$5)=0, "", COUNTIFS('SEANCE 1'!$B:$B, $B26, 'SEANCE 1'!$C:$C, AQ$2, 'SEANCE 1'!$F:$F, AQ$5))</f>
        <v/>
      </c>
      <c r="AR26" s="64" t="str">
        <f ca="1">IF(COUNTIFS('SEANCE 1'!$B:$B, $B26, 'SEANCE 1'!$C:$C, AR$2, 'SEANCE 1'!$F:$F, AR$5)=0, "", COUNTIFS('SEANCE 1'!$B:$B, $B26, 'SEANCE 1'!$C:$C, AR$2, 'SEANCE 1'!$F:$F, AR$5))</f>
        <v/>
      </c>
      <c r="AS26" s="64" t="str">
        <f ca="1">IF(COUNTIFS('SEANCE 1'!$B:$B, $B26, 'SEANCE 1'!$C:$C, AS$2, 'SEANCE 1'!$F:$F, AS$5)=0, "", COUNTIFS('SEANCE 1'!$B:$B, $B26, 'SEANCE 1'!$C:$C, AS$2, 'SEANCE 1'!$F:$F, AS$5))</f>
        <v/>
      </c>
      <c r="AT26" s="64" t="str">
        <f ca="1">IF(COUNTIFS('SEANCE 1'!$B:$B, $B26, 'SEANCE 1'!$C:$C, AT$2, 'SEANCE 1'!$F:$F, AT$5)=0, "", COUNTIFS('SEANCE 1'!$B:$B, $B26, 'SEANCE 1'!$C:$C, AT$2, 'SEANCE 1'!$F:$F, AT$5))</f>
        <v/>
      </c>
      <c r="AU26" s="64" t="str">
        <f ca="1">IF(COUNTIFS('SEANCE 1'!$B:$B, $B26, 'SEANCE 1'!$C:$C, AU$2, 'SEANCE 1'!$F:$F, AU$5)=0, "", COUNTIFS('SEANCE 1'!$B:$B, $B26, 'SEANCE 1'!$C:$C, AU$2, 'SEANCE 1'!$F:$F, AU$5))</f>
        <v/>
      </c>
      <c r="AV26" s="64" t="str">
        <f ca="1">IF(COUNTIFS('SEANCE 1'!$B:$B, $B26, 'SEANCE 1'!$C:$C, AV$2, 'SEANCE 1'!$F:$F, AV$5)=0, "", COUNTIFS('SEANCE 1'!$B:$B, $B26, 'SEANCE 1'!$C:$C, AV$2, 'SEANCE 1'!$F:$F, AV$5))</f>
        <v/>
      </c>
      <c r="AW26" s="64" t="str">
        <f ca="1">IF(COUNTIFS('SEANCE 1'!$B:$B, $B26, 'SEANCE 1'!$C:$C, AW$2, 'SEANCE 1'!$F:$F, AW$5)=0, "", COUNTIFS('SEANCE 1'!$B:$B, $B26, 'SEANCE 1'!$C:$C, AW$2, 'SEANCE 1'!$F:$F, AW$5))</f>
        <v/>
      </c>
      <c r="AX26" s="64" t="str">
        <f ca="1">IF(COUNTIFS('SEANCE 1'!$B:$B, $B26, 'SEANCE 1'!$C:$C, AX$2, 'SEANCE 1'!$F:$F, AX$5)=0, "", COUNTIFS('SEANCE 1'!$B:$B, $B26, 'SEANCE 1'!$C:$C, AX$2, 'SEANCE 1'!$F:$F, AX$5))</f>
        <v/>
      </c>
      <c r="AY26" s="64" t="str">
        <f ca="1">IF(COUNTIFS('SEANCE 1'!$B:$B, $B26, 'SEANCE 1'!$C:$C, AY$2, 'SEANCE 1'!$F:$F, AY$5)=0, "", COUNTIFS('SEANCE 1'!$B:$B, $B26, 'SEANCE 1'!$C:$C, AY$2, 'SEANCE 1'!$F:$F, AY$5))</f>
        <v/>
      </c>
      <c r="AZ26" s="32">
        <f t="shared" ca="1" si="0"/>
        <v>0</v>
      </c>
    </row>
    <row r="27" spans="1:52">
      <c r="A27" s="44" t="str">
        <f>IF('SEANCE 1'!$B23&lt;&gt;"",'SEANCE 1'!$A23,"")</f>
        <v/>
      </c>
      <c r="B27" s="44" t="str">
        <f t="array" aca="1" ref="B27" ca="1">IF(ISNA(INDEX(ListeB,MATCH(0,COUNTIF($B$5:B26,ListeB),0))),"",INDEX(ListeB,MATCH(0,COUNTIF($B$5:B26,ListeB),0)))</f>
        <v/>
      </c>
      <c r="C27" s="64" t="str">
        <f ca="1">IF(COUNTIFS('SEANCE 1'!$B:$B, $B27, 'SEANCE 1'!$C:$C, C$2, 'SEANCE 1'!$F:$F, C$5)=0, "", COUNTIFS('SEANCE 1'!$B:$B, $B27, 'SEANCE 1'!$C:$C, C$2, 'SEANCE 1'!$F:$F, C$5))</f>
        <v/>
      </c>
      <c r="D27" s="64" t="str">
        <f ca="1">IF(COUNTIFS('SEANCE 1'!$B:$B, $B27, 'SEANCE 1'!$C:$C, D$2, 'SEANCE 1'!$F:$F, D$5)=0, "", COUNTIFS('SEANCE 1'!$B:$B, $B27, 'SEANCE 1'!$C:$C, D$2, 'SEANCE 1'!$F:$F, D$5))</f>
        <v/>
      </c>
      <c r="E27" s="64" t="str">
        <f ca="1">IF(COUNTIFS('SEANCE 1'!$B:$B, $B27, 'SEANCE 1'!$C:$C, E$2, 'SEANCE 1'!$F:$F, E$5)=0, "", COUNTIFS('SEANCE 1'!$B:$B, $B27, 'SEANCE 1'!$C:$C, E$2, 'SEANCE 1'!$F:$F, E$5))</f>
        <v/>
      </c>
      <c r="F27" s="64" t="str">
        <f ca="1">IF(COUNTIFS('SEANCE 1'!$B:$B, $B27, 'SEANCE 1'!$C:$C, F$2, 'SEANCE 1'!$F:$F, F$5)=0, "", COUNTIFS('SEANCE 1'!$B:$B, $B27, 'SEANCE 1'!$C:$C, F$2, 'SEANCE 1'!$F:$F, F$5))</f>
        <v/>
      </c>
      <c r="G27" s="64" t="str">
        <f ca="1">IF(COUNTIFS('SEANCE 1'!$B:$B, $B27, 'SEANCE 1'!$C:$C, G$2, 'SEANCE 1'!$F:$F, G$5)=0, "", COUNTIFS('SEANCE 1'!$B:$B, $B27, 'SEANCE 1'!$C:$C, G$2, 'SEANCE 1'!$F:$F, G$5))</f>
        <v/>
      </c>
      <c r="H27" s="64" t="str">
        <f ca="1">IF(COUNTIFS('SEANCE 1'!$B:$B, $B27, 'SEANCE 1'!$C:$C, H$2, 'SEANCE 1'!$F:$F, H$5)=0, "", COUNTIFS('SEANCE 1'!$B:$B, $B27, 'SEANCE 1'!$C:$C, H$2, 'SEANCE 1'!$F:$F, H$5))</f>
        <v/>
      </c>
      <c r="I27" s="64" t="str">
        <f ca="1">IF(COUNTIFS('SEANCE 1'!$B:$B, $B27, 'SEANCE 1'!$C:$C, I$2, 'SEANCE 1'!$F:$F, I$5)=0, "", COUNTIFS('SEANCE 1'!$B:$B, $B27, 'SEANCE 1'!$C:$C, I$2, 'SEANCE 1'!$F:$F, I$5))</f>
        <v/>
      </c>
      <c r="J27" s="64" t="str">
        <f ca="1">IF(COUNTIFS('SEANCE 1'!$B:$B, $B27, 'SEANCE 1'!$C:$C, J$2, 'SEANCE 1'!$F:$F, J$5)=0, "", COUNTIFS('SEANCE 1'!$B:$B, $B27, 'SEANCE 1'!$C:$C, J$2, 'SEANCE 1'!$F:$F, J$5))</f>
        <v/>
      </c>
      <c r="K27" s="64" t="str">
        <f ca="1">IF(COUNTIFS('SEANCE 1'!$B:$B, $B27, 'SEANCE 1'!$C:$C, K$2, 'SEANCE 1'!$F:$F, K$5)=0, "", COUNTIFS('SEANCE 1'!$B:$B, $B27, 'SEANCE 1'!$C:$C, K$2, 'SEANCE 1'!$F:$F, K$5))</f>
        <v/>
      </c>
      <c r="L27" s="64" t="str">
        <f ca="1">IF(COUNTIFS('SEANCE 1'!$B:$B, $B27, 'SEANCE 1'!$C:$C, L$2, 'SEANCE 1'!$F:$F, L$5)=0, "", COUNTIFS('SEANCE 1'!$B:$B, $B27, 'SEANCE 1'!$C:$C, L$2, 'SEANCE 1'!$F:$F, L$5))</f>
        <v/>
      </c>
      <c r="M27" s="64" t="str">
        <f ca="1">IF(COUNTIFS('SEANCE 1'!$B:$B, $B27, 'SEANCE 1'!$C:$C, M$2, 'SEANCE 1'!$F:$F, M$5)=0, "", COUNTIFS('SEANCE 1'!$B:$B, $B27, 'SEANCE 1'!$C:$C, M$2, 'SEANCE 1'!$F:$F, M$5))</f>
        <v/>
      </c>
      <c r="N27" s="64" t="str">
        <f ca="1">IF(COUNTIFS('SEANCE 1'!$B:$B, $B27, 'SEANCE 1'!$C:$C, N$2, 'SEANCE 1'!$F:$F, N$5)=0, "", COUNTIFS('SEANCE 1'!$B:$B, $B27, 'SEANCE 1'!$C:$C, N$2, 'SEANCE 1'!$F:$F, N$5))</f>
        <v/>
      </c>
      <c r="O27" s="64" t="str">
        <f ca="1">IF(COUNTIFS('SEANCE 1'!$B:$B, $B27, 'SEANCE 1'!$C:$C, O$2, 'SEANCE 1'!$F:$F, O$5)=0, "", COUNTIFS('SEANCE 1'!$B:$B, $B27, 'SEANCE 1'!$C:$C, O$2, 'SEANCE 1'!$F:$F, O$5))</f>
        <v/>
      </c>
      <c r="P27" s="64" t="str">
        <f ca="1">IF(COUNTIFS('SEANCE 1'!$B:$B, $B27, 'SEANCE 1'!$C:$C, P$2, 'SEANCE 1'!$F:$F, P$5)=0, "", COUNTIFS('SEANCE 1'!$B:$B, $B27, 'SEANCE 1'!$C:$C, P$2, 'SEANCE 1'!$F:$F, P$5))</f>
        <v/>
      </c>
      <c r="Q27" s="64" t="str">
        <f ca="1">IF(COUNTIFS('SEANCE 1'!$B:$B, $B27, 'SEANCE 1'!$C:$C, Q$2, 'SEANCE 1'!$F:$F, Q$5)=0, "", COUNTIFS('SEANCE 1'!$B:$B, $B27, 'SEANCE 1'!$C:$C, Q$2, 'SEANCE 1'!$F:$F, Q$5))</f>
        <v/>
      </c>
      <c r="R27" s="64" t="str">
        <f ca="1">IF(COUNTIFS('SEANCE 1'!$B:$B, $B27, 'SEANCE 1'!$C:$C, R$2, 'SEANCE 1'!$F:$F, R$5)=0, "", COUNTIFS('SEANCE 1'!$B:$B, $B27, 'SEANCE 1'!$C:$C, R$2, 'SEANCE 1'!$F:$F, R$5))</f>
        <v/>
      </c>
      <c r="S27" s="64" t="str">
        <f ca="1">IF(COUNTIFS('SEANCE 1'!$B:$B, $B27, 'SEANCE 1'!$C:$C, S$2, 'SEANCE 1'!$F:$F, S$5)=0, "", COUNTIFS('SEANCE 1'!$B:$B, $B27, 'SEANCE 1'!$C:$C, S$2, 'SEANCE 1'!$F:$F, S$5))</f>
        <v/>
      </c>
      <c r="T27" s="64" t="str">
        <f ca="1">IF(COUNTIFS('SEANCE 1'!$B:$B, $B27, 'SEANCE 1'!$C:$C, T$2, 'SEANCE 1'!$F:$F, T$5)=0, "", COUNTIFS('SEANCE 1'!$B:$B, $B27, 'SEANCE 1'!$C:$C, T$2, 'SEANCE 1'!$F:$F, T$5))</f>
        <v/>
      </c>
      <c r="U27" s="64" t="str">
        <f ca="1">IF(COUNTIFS('SEANCE 1'!$B:$B, $B27, 'SEANCE 1'!$C:$C, U$2, 'SEANCE 1'!$F:$F, U$5)=0, "", COUNTIFS('SEANCE 1'!$B:$B, $B27, 'SEANCE 1'!$C:$C, U$2, 'SEANCE 1'!$F:$F, U$5))</f>
        <v/>
      </c>
      <c r="V27" s="64" t="str">
        <f ca="1">IF(COUNTIFS('SEANCE 1'!$B:$B, $B27, 'SEANCE 1'!$C:$C, V$2, 'SEANCE 1'!$F:$F, V$5)=0, "", COUNTIFS('SEANCE 1'!$B:$B, $B27, 'SEANCE 1'!$C:$C, V$2, 'SEANCE 1'!$F:$F, V$5))</f>
        <v/>
      </c>
      <c r="W27" s="64" t="str">
        <f ca="1">IF(COUNTIFS('SEANCE 1'!$B:$B, $B27, 'SEANCE 1'!$C:$C, W$2, 'SEANCE 1'!$F:$F, W$5)=0, "", COUNTIFS('SEANCE 1'!$B:$B, $B27, 'SEANCE 1'!$C:$C, W$2, 'SEANCE 1'!$F:$F, W$5))</f>
        <v/>
      </c>
      <c r="X27" s="64" t="str">
        <f ca="1">IF(COUNTIFS('SEANCE 1'!$B:$B, $B27, 'SEANCE 1'!$C:$C, X$2, 'SEANCE 1'!$F:$F, X$5)=0, "", COUNTIFS('SEANCE 1'!$B:$B, $B27, 'SEANCE 1'!$C:$C, X$2, 'SEANCE 1'!$F:$F, X$5))</f>
        <v/>
      </c>
      <c r="Y27" s="64" t="str">
        <f ca="1">IF(COUNTIFS('SEANCE 1'!$B:$B, $B27, 'SEANCE 1'!$C:$C, Y$2, 'SEANCE 1'!$F:$F, Y$5)=0, "", COUNTIFS('SEANCE 1'!$B:$B, $B27, 'SEANCE 1'!$C:$C, Y$2, 'SEANCE 1'!$F:$F, Y$5))</f>
        <v/>
      </c>
      <c r="Z27" s="64" t="str">
        <f ca="1">IF(COUNTIFS('SEANCE 1'!$B:$B, $B27, 'SEANCE 1'!$C:$C, Z$2, 'SEANCE 1'!$F:$F, Z$5)=0, "", COUNTIFS('SEANCE 1'!$B:$B, $B27, 'SEANCE 1'!$C:$C, Z$2, 'SEANCE 1'!$F:$F, Z$5))</f>
        <v/>
      </c>
      <c r="AA27" s="64" t="str">
        <f ca="1">IF(COUNTIFS('SEANCE 1'!$B:$B, $B27, 'SEANCE 1'!$C:$C, AA$2, 'SEANCE 1'!$F:$F, AA$5)=0, "", COUNTIFS('SEANCE 1'!$B:$B, $B27, 'SEANCE 1'!$C:$C, AA$2, 'SEANCE 1'!$F:$F, AA$5))</f>
        <v/>
      </c>
      <c r="AB27" s="64" t="str">
        <f ca="1">IF(COUNTIFS('SEANCE 1'!$B:$B, $B27, 'SEANCE 1'!$C:$C, AB$2, 'SEANCE 1'!$F:$F, AB$5)=0, "", COUNTIFS('SEANCE 1'!$B:$B, $B27, 'SEANCE 1'!$C:$C, AB$2, 'SEANCE 1'!$F:$F, AB$5))</f>
        <v/>
      </c>
      <c r="AC27" s="64" t="str">
        <f ca="1">IF(COUNTIFS('SEANCE 1'!$B:$B, $B27, 'SEANCE 1'!$C:$C, AC$2, 'SEANCE 1'!$F:$F, AC$5)=0, "", COUNTIFS('SEANCE 1'!$B:$B, $B27, 'SEANCE 1'!$C:$C, AC$2, 'SEANCE 1'!$F:$F, AC$5))</f>
        <v/>
      </c>
      <c r="AD27" s="64" t="str">
        <f ca="1">IF(COUNTIFS('SEANCE 1'!$B:$B, $B27, 'SEANCE 1'!$C:$C, AD$2, 'SEANCE 1'!$F:$F, AD$5)=0, "", COUNTIFS('SEANCE 1'!$B:$B, $B27, 'SEANCE 1'!$C:$C, AD$2, 'SEANCE 1'!$F:$F, AD$5))</f>
        <v/>
      </c>
      <c r="AE27" s="64" t="str">
        <f ca="1">IF(COUNTIFS('SEANCE 1'!$B:$B, $B27, 'SEANCE 1'!$C:$C, AE$2, 'SEANCE 1'!$F:$F, AE$5)=0, "", COUNTIFS('SEANCE 1'!$B:$B, $B27, 'SEANCE 1'!$C:$C, AE$2, 'SEANCE 1'!$F:$F, AE$5))</f>
        <v/>
      </c>
      <c r="AF27" s="64" t="str">
        <f ca="1">IF(COUNTIFS('SEANCE 1'!$B:$B, $B27, 'SEANCE 1'!$C:$C, AF$2, 'SEANCE 1'!$F:$F, AF$5)=0, "", COUNTIFS('SEANCE 1'!$B:$B, $B27, 'SEANCE 1'!$C:$C, AF$2, 'SEANCE 1'!$F:$F, AF$5))</f>
        <v/>
      </c>
      <c r="AG27" s="64" t="str">
        <f ca="1">IF(COUNTIFS('SEANCE 1'!$B:$B, $B27, 'SEANCE 1'!$C:$C, AG$2, 'SEANCE 1'!$F:$F, AG$5)=0, "", COUNTIFS('SEANCE 1'!$B:$B, $B27, 'SEANCE 1'!$C:$C, AG$2, 'SEANCE 1'!$F:$F, AG$5))</f>
        <v/>
      </c>
      <c r="AH27" s="64" t="str">
        <f ca="1">IF(COUNTIFS('SEANCE 1'!$B:$B, $B27, 'SEANCE 1'!$C:$C, AH$2, 'SEANCE 1'!$F:$F, AH$5)=0, "", COUNTIFS('SEANCE 1'!$B:$B, $B27, 'SEANCE 1'!$C:$C, AH$2, 'SEANCE 1'!$F:$F, AH$5))</f>
        <v/>
      </c>
      <c r="AI27" s="64" t="str">
        <f ca="1">IF(COUNTIFS('SEANCE 1'!$B:$B, $B27, 'SEANCE 1'!$C:$C, AI$2, 'SEANCE 1'!$F:$F, AI$5)=0, "", COUNTIFS('SEANCE 1'!$B:$B, $B27, 'SEANCE 1'!$C:$C, AI$2, 'SEANCE 1'!$F:$F, AI$5))</f>
        <v/>
      </c>
      <c r="AJ27" s="64" t="str">
        <f ca="1">IF(COUNTIFS('SEANCE 1'!$B:$B, $B27, 'SEANCE 1'!$C:$C, AJ$2, 'SEANCE 1'!$F:$F, AJ$5)=0, "", COUNTIFS('SEANCE 1'!$B:$B, $B27, 'SEANCE 1'!$C:$C, AJ$2, 'SEANCE 1'!$F:$F, AJ$5))</f>
        <v/>
      </c>
      <c r="AK27" s="64" t="str">
        <f ca="1">IF(COUNTIFS('SEANCE 1'!$B:$B, $B27, 'SEANCE 1'!$C:$C, AK$2, 'SEANCE 1'!$F:$F, AK$5)=0, "", COUNTIFS('SEANCE 1'!$B:$B, $B27, 'SEANCE 1'!$C:$C, AK$2, 'SEANCE 1'!$F:$F, AK$5))</f>
        <v/>
      </c>
      <c r="AL27" s="64" t="str">
        <f ca="1">IF(COUNTIFS('SEANCE 1'!$B:$B, $B27, 'SEANCE 1'!$C:$C, AL$2, 'SEANCE 1'!$F:$F, AL$5)=0, "", COUNTIFS('SEANCE 1'!$B:$B, $B27, 'SEANCE 1'!$C:$C, AL$2, 'SEANCE 1'!$F:$F, AL$5))</f>
        <v/>
      </c>
      <c r="AM27" s="64" t="str">
        <f ca="1">IF(COUNTIFS('SEANCE 1'!$B:$B, $B27, 'SEANCE 1'!$C:$C, AM$2, 'SEANCE 1'!$F:$F, AM$5)=0, "", COUNTIFS('SEANCE 1'!$B:$B, $B27, 'SEANCE 1'!$C:$C, AM$2, 'SEANCE 1'!$F:$F, AM$5))</f>
        <v/>
      </c>
      <c r="AN27" s="64" t="str">
        <f ca="1">IF(COUNTIFS('SEANCE 1'!$B:$B, $B27, 'SEANCE 1'!$C:$C, AN$2, 'SEANCE 1'!$F:$F, AN$5)=0, "", COUNTIFS('SEANCE 1'!$B:$B, $B27, 'SEANCE 1'!$C:$C, AN$2, 'SEANCE 1'!$F:$F, AN$5))</f>
        <v/>
      </c>
      <c r="AO27" s="64" t="str">
        <f ca="1">IF(COUNTIFS('SEANCE 1'!$B:$B, $B27, 'SEANCE 1'!$C:$C, AO$2, 'SEANCE 1'!$F:$F, AO$5)=0, "", COUNTIFS('SEANCE 1'!$B:$B, $B27, 'SEANCE 1'!$C:$C, AO$2, 'SEANCE 1'!$F:$F, AO$5))</f>
        <v/>
      </c>
      <c r="AP27" s="64" t="str">
        <f ca="1">IF(COUNTIFS('SEANCE 1'!$B:$B, $B27, 'SEANCE 1'!$C:$C, AP$2, 'SEANCE 1'!$F:$F, AP$5)=0, "", COUNTIFS('SEANCE 1'!$B:$B, $B27, 'SEANCE 1'!$C:$C, AP$2, 'SEANCE 1'!$F:$F, AP$5))</f>
        <v/>
      </c>
      <c r="AQ27" s="64" t="str">
        <f ca="1">IF(COUNTIFS('SEANCE 1'!$B:$B, $B27, 'SEANCE 1'!$C:$C, AQ$2, 'SEANCE 1'!$F:$F, AQ$5)=0, "", COUNTIFS('SEANCE 1'!$B:$B, $B27, 'SEANCE 1'!$C:$C, AQ$2, 'SEANCE 1'!$F:$F, AQ$5))</f>
        <v/>
      </c>
      <c r="AR27" s="64" t="str">
        <f ca="1">IF(COUNTIFS('SEANCE 1'!$B:$B, $B27, 'SEANCE 1'!$C:$C, AR$2, 'SEANCE 1'!$F:$F, AR$5)=0, "", COUNTIFS('SEANCE 1'!$B:$B, $B27, 'SEANCE 1'!$C:$C, AR$2, 'SEANCE 1'!$F:$F, AR$5))</f>
        <v/>
      </c>
      <c r="AS27" s="64" t="str">
        <f ca="1">IF(COUNTIFS('SEANCE 1'!$B:$B, $B27, 'SEANCE 1'!$C:$C, AS$2, 'SEANCE 1'!$F:$F, AS$5)=0, "", COUNTIFS('SEANCE 1'!$B:$B, $B27, 'SEANCE 1'!$C:$C, AS$2, 'SEANCE 1'!$F:$F, AS$5))</f>
        <v/>
      </c>
      <c r="AT27" s="64" t="str">
        <f ca="1">IF(COUNTIFS('SEANCE 1'!$B:$B, $B27, 'SEANCE 1'!$C:$C, AT$2, 'SEANCE 1'!$F:$F, AT$5)=0, "", COUNTIFS('SEANCE 1'!$B:$B, $B27, 'SEANCE 1'!$C:$C, AT$2, 'SEANCE 1'!$F:$F, AT$5))</f>
        <v/>
      </c>
      <c r="AU27" s="64" t="str">
        <f ca="1">IF(COUNTIFS('SEANCE 1'!$B:$B, $B27, 'SEANCE 1'!$C:$C, AU$2, 'SEANCE 1'!$F:$F, AU$5)=0, "", COUNTIFS('SEANCE 1'!$B:$B, $B27, 'SEANCE 1'!$C:$C, AU$2, 'SEANCE 1'!$F:$F, AU$5))</f>
        <v/>
      </c>
      <c r="AV27" s="64" t="str">
        <f ca="1">IF(COUNTIFS('SEANCE 1'!$B:$B, $B27, 'SEANCE 1'!$C:$C, AV$2, 'SEANCE 1'!$F:$F, AV$5)=0, "", COUNTIFS('SEANCE 1'!$B:$B, $B27, 'SEANCE 1'!$C:$C, AV$2, 'SEANCE 1'!$F:$F, AV$5))</f>
        <v/>
      </c>
      <c r="AW27" s="64" t="str">
        <f ca="1">IF(COUNTIFS('SEANCE 1'!$B:$B, $B27, 'SEANCE 1'!$C:$C, AW$2, 'SEANCE 1'!$F:$F, AW$5)=0, "", COUNTIFS('SEANCE 1'!$B:$B, $B27, 'SEANCE 1'!$C:$C, AW$2, 'SEANCE 1'!$F:$F, AW$5))</f>
        <v/>
      </c>
      <c r="AX27" s="64" t="str">
        <f ca="1">IF(COUNTIFS('SEANCE 1'!$B:$B, $B27, 'SEANCE 1'!$C:$C, AX$2, 'SEANCE 1'!$F:$F, AX$5)=0, "", COUNTIFS('SEANCE 1'!$B:$B, $B27, 'SEANCE 1'!$C:$C, AX$2, 'SEANCE 1'!$F:$F, AX$5))</f>
        <v/>
      </c>
      <c r="AY27" s="64" t="str">
        <f ca="1">IF(COUNTIFS('SEANCE 1'!$B:$B, $B27, 'SEANCE 1'!$C:$C, AY$2, 'SEANCE 1'!$F:$F, AY$5)=0, "", COUNTIFS('SEANCE 1'!$B:$B, $B27, 'SEANCE 1'!$C:$C, AY$2, 'SEANCE 1'!$F:$F, AY$5))</f>
        <v/>
      </c>
      <c r="AZ27" s="32">
        <f t="shared" ca="1" si="0"/>
        <v>0</v>
      </c>
    </row>
    <row r="28" spans="1:52">
      <c r="A28" s="44" t="str">
        <f>IF('SEANCE 1'!$B24&lt;&gt;"",'SEANCE 1'!$A24,"")</f>
        <v/>
      </c>
      <c r="B28" s="44" t="str">
        <f t="array" aca="1" ref="B28" ca="1">IF(ISNA(INDEX(ListeB,MATCH(0,COUNTIF($B$5:B27,ListeB),0))),"",INDEX(ListeB,MATCH(0,COUNTIF($B$5:B27,ListeB),0)))</f>
        <v/>
      </c>
      <c r="C28" s="64" t="str">
        <f ca="1">IF(COUNTIFS('SEANCE 1'!$B:$B, $B28, 'SEANCE 1'!$C:$C, C$2, 'SEANCE 1'!$F:$F, C$5)=0, "", COUNTIFS('SEANCE 1'!$B:$B, $B28, 'SEANCE 1'!$C:$C, C$2, 'SEANCE 1'!$F:$F, C$5))</f>
        <v/>
      </c>
      <c r="D28" s="64" t="str">
        <f ca="1">IF(COUNTIFS('SEANCE 1'!$B:$B, $B28, 'SEANCE 1'!$C:$C, D$2, 'SEANCE 1'!$F:$F, D$5)=0, "", COUNTIFS('SEANCE 1'!$B:$B, $B28, 'SEANCE 1'!$C:$C, D$2, 'SEANCE 1'!$F:$F, D$5))</f>
        <v/>
      </c>
      <c r="E28" s="64" t="str">
        <f ca="1">IF(COUNTIFS('SEANCE 1'!$B:$B, $B28, 'SEANCE 1'!$C:$C, E$2, 'SEANCE 1'!$F:$F, E$5)=0, "", COUNTIFS('SEANCE 1'!$B:$B, $B28, 'SEANCE 1'!$C:$C, E$2, 'SEANCE 1'!$F:$F, E$5))</f>
        <v/>
      </c>
      <c r="F28" s="64" t="str">
        <f ca="1">IF(COUNTIFS('SEANCE 1'!$B:$B, $B28, 'SEANCE 1'!$C:$C, F$2, 'SEANCE 1'!$F:$F, F$5)=0, "", COUNTIFS('SEANCE 1'!$B:$B, $B28, 'SEANCE 1'!$C:$C, F$2, 'SEANCE 1'!$F:$F, F$5))</f>
        <v/>
      </c>
      <c r="G28" s="64" t="str">
        <f ca="1">IF(COUNTIFS('SEANCE 1'!$B:$B, $B28, 'SEANCE 1'!$C:$C, G$2, 'SEANCE 1'!$F:$F, G$5)=0, "", COUNTIFS('SEANCE 1'!$B:$B, $B28, 'SEANCE 1'!$C:$C, G$2, 'SEANCE 1'!$F:$F, G$5))</f>
        <v/>
      </c>
      <c r="H28" s="64" t="str">
        <f ca="1">IF(COUNTIFS('SEANCE 1'!$B:$B, $B28, 'SEANCE 1'!$C:$C, H$2, 'SEANCE 1'!$F:$F, H$5)=0, "", COUNTIFS('SEANCE 1'!$B:$B, $B28, 'SEANCE 1'!$C:$C, H$2, 'SEANCE 1'!$F:$F, H$5))</f>
        <v/>
      </c>
      <c r="I28" s="64" t="str">
        <f ca="1">IF(COUNTIFS('SEANCE 1'!$B:$B, $B28, 'SEANCE 1'!$C:$C, I$2, 'SEANCE 1'!$F:$F, I$5)=0, "", COUNTIFS('SEANCE 1'!$B:$B, $B28, 'SEANCE 1'!$C:$C, I$2, 'SEANCE 1'!$F:$F, I$5))</f>
        <v/>
      </c>
      <c r="J28" s="64" t="str">
        <f ca="1">IF(COUNTIFS('SEANCE 1'!$B:$B, $B28, 'SEANCE 1'!$C:$C, J$2, 'SEANCE 1'!$F:$F, J$5)=0, "", COUNTIFS('SEANCE 1'!$B:$B, $B28, 'SEANCE 1'!$C:$C, J$2, 'SEANCE 1'!$F:$F, J$5))</f>
        <v/>
      </c>
      <c r="K28" s="64" t="str">
        <f ca="1">IF(COUNTIFS('SEANCE 1'!$B:$B, $B28, 'SEANCE 1'!$C:$C, K$2, 'SEANCE 1'!$F:$F, K$5)=0, "", COUNTIFS('SEANCE 1'!$B:$B, $B28, 'SEANCE 1'!$C:$C, K$2, 'SEANCE 1'!$F:$F, K$5))</f>
        <v/>
      </c>
      <c r="L28" s="64" t="str">
        <f ca="1">IF(COUNTIFS('SEANCE 1'!$B:$B, $B28, 'SEANCE 1'!$C:$C, L$2, 'SEANCE 1'!$F:$F, L$5)=0, "", COUNTIFS('SEANCE 1'!$B:$B, $B28, 'SEANCE 1'!$C:$C, L$2, 'SEANCE 1'!$F:$F, L$5))</f>
        <v/>
      </c>
      <c r="M28" s="64" t="str">
        <f ca="1">IF(COUNTIFS('SEANCE 1'!$B:$B, $B28, 'SEANCE 1'!$C:$C, M$2, 'SEANCE 1'!$F:$F, M$5)=0, "", COUNTIFS('SEANCE 1'!$B:$B, $B28, 'SEANCE 1'!$C:$C, M$2, 'SEANCE 1'!$F:$F, M$5))</f>
        <v/>
      </c>
      <c r="N28" s="64" t="str">
        <f ca="1">IF(COUNTIFS('SEANCE 1'!$B:$B, $B28, 'SEANCE 1'!$C:$C, N$2, 'SEANCE 1'!$F:$F, N$5)=0, "", COUNTIFS('SEANCE 1'!$B:$B, $B28, 'SEANCE 1'!$C:$C, N$2, 'SEANCE 1'!$F:$F, N$5))</f>
        <v/>
      </c>
      <c r="O28" s="64" t="str">
        <f ca="1">IF(COUNTIFS('SEANCE 1'!$B:$B, $B28, 'SEANCE 1'!$C:$C, O$2, 'SEANCE 1'!$F:$F, O$5)=0, "", COUNTIFS('SEANCE 1'!$B:$B, $B28, 'SEANCE 1'!$C:$C, O$2, 'SEANCE 1'!$F:$F, O$5))</f>
        <v/>
      </c>
      <c r="P28" s="64" t="str">
        <f ca="1">IF(COUNTIFS('SEANCE 1'!$B:$B, $B28, 'SEANCE 1'!$C:$C, P$2, 'SEANCE 1'!$F:$F, P$5)=0, "", COUNTIFS('SEANCE 1'!$B:$B, $B28, 'SEANCE 1'!$C:$C, P$2, 'SEANCE 1'!$F:$F, P$5))</f>
        <v/>
      </c>
      <c r="Q28" s="64" t="str">
        <f ca="1">IF(COUNTIFS('SEANCE 1'!$B:$B, $B28, 'SEANCE 1'!$C:$C, Q$2, 'SEANCE 1'!$F:$F, Q$5)=0, "", COUNTIFS('SEANCE 1'!$B:$B, $B28, 'SEANCE 1'!$C:$C, Q$2, 'SEANCE 1'!$F:$F, Q$5))</f>
        <v/>
      </c>
      <c r="R28" s="64" t="str">
        <f ca="1">IF(COUNTIFS('SEANCE 1'!$B:$B, $B28, 'SEANCE 1'!$C:$C, R$2, 'SEANCE 1'!$F:$F, R$5)=0, "", COUNTIFS('SEANCE 1'!$B:$B, $B28, 'SEANCE 1'!$C:$C, R$2, 'SEANCE 1'!$F:$F, R$5))</f>
        <v/>
      </c>
      <c r="S28" s="64" t="str">
        <f ca="1">IF(COUNTIFS('SEANCE 1'!$B:$B, $B28, 'SEANCE 1'!$C:$C, S$2, 'SEANCE 1'!$F:$F, S$5)=0, "", COUNTIFS('SEANCE 1'!$B:$B, $B28, 'SEANCE 1'!$C:$C, S$2, 'SEANCE 1'!$F:$F, S$5))</f>
        <v/>
      </c>
      <c r="T28" s="64" t="str">
        <f ca="1">IF(COUNTIFS('SEANCE 1'!$B:$B, $B28, 'SEANCE 1'!$C:$C, T$2, 'SEANCE 1'!$F:$F, T$5)=0, "", COUNTIFS('SEANCE 1'!$B:$B, $B28, 'SEANCE 1'!$C:$C, T$2, 'SEANCE 1'!$F:$F, T$5))</f>
        <v/>
      </c>
      <c r="U28" s="64" t="str">
        <f ca="1">IF(COUNTIFS('SEANCE 1'!$B:$B, $B28, 'SEANCE 1'!$C:$C, U$2, 'SEANCE 1'!$F:$F, U$5)=0, "", COUNTIFS('SEANCE 1'!$B:$B, $B28, 'SEANCE 1'!$C:$C, U$2, 'SEANCE 1'!$F:$F, U$5))</f>
        <v/>
      </c>
      <c r="V28" s="64" t="str">
        <f ca="1">IF(COUNTIFS('SEANCE 1'!$B:$B, $B28, 'SEANCE 1'!$C:$C, V$2, 'SEANCE 1'!$F:$F, V$5)=0, "", COUNTIFS('SEANCE 1'!$B:$B, $B28, 'SEANCE 1'!$C:$C, V$2, 'SEANCE 1'!$F:$F, V$5))</f>
        <v/>
      </c>
      <c r="W28" s="64" t="str">
        <f ca="1">IF(COUNTIFS('SEANCE 1'!$B:$B, $B28, 'SEANCE 1'!$C:$C, W$2, 'SEANCE 1'!$F:$F, W$5)=0, "", COUNTIFS('SEANCE 1'!$B:$B, $B28, 'SEANCE 1'!$C:$C, W$2, 'SEANCE 1'!$F:$F, W$5))</f>
        <v/>
      </c>
      <c r="X28" s="64" t="str">
        <f ca="1">IF(COUNTIFS('SEANCE 1'!$B:$B, $B28, 'SEANCE 1'!$C:$C, X$2, 'SEANCE 1'!$F:$F, X$5)=0, "", COUNTIFS('SEANCE 1'!$B:$B, $B28, 'SEANCE 1'!$C:$C, X$2, 'SEANCE 1'!$F:$F, X$5))</f>
        <v/>
      </c>
      <c r="Y28" s="64" t="str">
        <f ca="1">IF(COUNTIFS('SEANCE 1'!$B:$B, $B28, 'SEANCE 1'!$C:$C, Y$2, 'SEANCE 1'!$F:$F, Y$5)=0, "", COUNTIFS('SEANCE 1'!$B:$B, $B28, 'SEANCE 1'!$C:$C, Y$2, 'SEANCE 1'!$F:$F, Y$5))</f>
        <v/>
      </c>
      <c r="Z28" s="64" t="str">
        <f ca="1">IF(COUNTIFS('SEANCE 1'!$B:$B, $B28, 'SEANCE 1'!$C:$C, Z$2, 'SEANCE 1'!$F:$F, Z$5)=0, "", COUNTIFS('SEANCE 1'!$B:$B, $B28, 'SEANCE 1'!$C:$C, Z$2, 'SEANCE 1'!$F:$F, Z$5))</f>
        <v/>
      </c>
      <c r="AA28" s="64" t="str">
        <f ca="1">IF(COUNTIFS('SEANCE 1'!$B:$B, $B28, 'SEANCE 1'!$C:$C, AA$2, 'SEANCE 1'!$F:$F, AA$5)=0, "", COUNTIFS('SEANCE 1'!$B:$B, $B28, 'SEANCE 1'!$C:$C, AA$2, 'SEANCE 1'!$F:$F, AA$5))</f>
        <v/>
      </c>
      <c r="AB28" s="64" t="str">
        <f ca="1">IF(COUNTIFS('SEANCE 1'!$B:$B, $B28, 'SEANCE 1'!$C:$C, AB$2, 'SEANCE 1'!$F:$F, AB$5)=0, "", COUNTIFS('SEANCE 1'!$B:$B, $B28, 'SEANCE 1'!$C:$C, AB$2, 'SEANCE 1'!$F:$F, AB$5))</f>
        <v/>
      </c>
      <c r="AC28" s="64" t="str">
        <f ca="1">IF(COUNTIFS('SEANCE 1'!$B:$B, $B28, 'SEANCE 1'!$C:$C, AC$2, 'SEANCE 1'!$F:$F, AC$5)=0, "", COUNTIFS('SEANCE 1'!$B:$B, $B28, 'SEANCE 1'!$C:$C, AC$2, 'SEANCE 1'!$F:$F, AC$5))</f>
        <v/>
      </c>
      <c r="AD28" s="64" t="str">
        <f ca="1">IF(COUNTIFS('SEANCE 1'!$B:$B, $B28, 'SEANCE 1'!$C:$C, AD$2, 'SEANCE 1'!$F:$F, AD$5)=0, "", COUNTIFS('SEANCE 1'!$B:$B, $B28, 'SEANCE 1'!$C:$C, AD$2, 'SEANCE 1'!$F:$F, AD$5))</f>
        <v/>
      </c>
      <c r="AE28" s="64" t="str">
        <f ca="1">IF(COUNTIFS('SEANCE 1'!$B:$B, $B28, 'SEANCE 1'!$C:$C, AE$2, 'SEANCE 1'!$F:$F, AE$5)=0, "", COUNTIFS('SEANCE 1'!$B:$B, $B28, 'SEANCE 1'!$C:$C, AE$2, 'SEANCE 1'!$F:$F, AE$5))</f>
        <v/>
      </c>
      <c r="AF28" s="64" t="str">
        <f ca="1">IF(COUNTIFS('SEANCE 1'!$B:$B, $B28, 'SEANCE 1'!$C:$C, AF$2, 'SEANCE 1'!$F:$F, AF$5)=0, "", COUNTIFS('SEANCE 1'!$B:$B, $B28, 'SEANCE 1'!$C:$C, AF$2, 'SEANCE 1'!$F:$F, AF$5))</f>
        <v/>
      </c>
      <c r="AG28" s="64" t="str">
        <f ca="1">IF(COUNTIFS('SEANCE 1'!$B:$B, $B28, 'SEANCE 1'!$C:$C, AG$2, 'SEANCE 1'!$F:$F, AG$5)=0, "", COUNTIFS('SEANCE 1'!$B:$B, $B28, 'SEANCE 1'!$C:$C, AG$2, 'SEANCE 1'!$F:$F, AG$5))</f>
        <v/>
      </c>
      <c r="AH28" s="64" t="str">
        <f ca="1">IF(COUNTIFS('SEANCE 1'!$B:$B, $B28, 'SEANCE 1'!$C:$C, AH$2, 'SEANCE 1'!$F:$F, AH$5)=0, "", COUNTIFS('SEANCE 1'!$B:$B, $B28, 'SEANCE 1'!$C:$C, AH$2, 'SEANCE 1'!$F:$F, AH$5))</f>
        <v/>
      </c>
      <c r="AI28" s="64" t="str">
        <f ca="1">IF(COUNTIFS('SEANCE 1'!$B:$B, $B28, 'SEANCE 1'!$C:$C, AI$2, 'SEANCE 1'!$F:$F, AI$5)=0, "", COUNTIFS('SEANCE 1'!$B:$B, $B28, 'SEANCE 1'!$C:$C, AI$2, 'SEANCE 1'!$F:$F, AI$5))</f>
        <v/>
      </c>
      <c r="AJ28" s="64" t="str">
        <f ca="1">IF(COUNTIFS('SEANCE 1'!$B:$B, $B28, 'SEANCE 1'!$C:$C, AJ$2, 'SEANCE 1'!$F:$F, AJ$5)=0, "", COUNTIFS('SEANCE 1'!$B:$B, $B28, 'SEANCE 1'!$C:$C, AJ$2, 'SEANCE 1'!$F:$F, AJ$5))</f>
        <v/>
      </c>
      <c r="AK28" s="64" t="str">
        <f ca="1">IF(COUNTIFS('SEANCE 1'!$B:$B, $B28, 'SEANCE 1'!$C:$C, AK$2, 'SEANCE 1'!$F:$F, AK$5)=0, "", COUNTIFS('SEANCE 1'!$B:$B, $B28, 'SEANCE 1'!$C:$C, AK$2, 'SEANCE 1'!$F:$F, AK$5))</f>
        <v/>
      </c>
      <c r="AL28" s="64" t="str">
        <f ca="1">IF(COUNTIFS('SEANCE 1'!$B:$B, $B28, 'SEANCE 1'!$C:$C, AL$2, 'SEANCE 1'!$F:$F, AL$5)=0, "", COUNTIFS('SEANCE 1'!$B:$B, $B28, 'SEANCE 1'!$C:$C, AL$2, 'SEANCE 1'!$F:$F, AL$5))</f>
        <v/>
      </c>
      <c r="AM28" s="64" t="str">
        <f ca="1">IF(COUNTIFS('SEANCE 1'!$B:$B, $B28, 'SEANCE 1'!$C:$C, AM$2, 'SEANCE 1'!$F:$F, AM$5)=0, "", COUNTIFS('SEANCE 1'!$B:$B, $B28, 'SEANCE 1'!$C:$C, AM$2, 'SEANCE 1'!$F:$F, AM$5))</f>
        <v/>
      </c>
      <c r="AN28" s="64" t="str">
        <f ca="1">IF(COUNTIFS('SEANCE 1'!$B:$B, $B28, 'SEANCE 1'!$C:$C, AN$2, 'SEANCE 1'!$F:$F, AN$5)=0, "", COUNTIFS('SEANCE 1'!$B:$B, $B28, 'SEANCE 1'!$C:$C, AN$2, 'SEANCE 1'!$F:$F, AN$5))</f>
        <v/>
      </c>
      <c r="AO28" s="64" t="str">
        <f ca="1">IF(COUNTIFS('SEANCE 1'!$B:$B, $B28, 'SEANCE 1'!$C:$C, AO$2, 'SEANCE 1'!$F:$F, AO$5)=0, "", COUNTIFS('SEANCE 1'!$B:$B, $B28, 'SEANCE 1'!$C:$C, AO$2, 'SEANCE 1'!$F:$F, AO$5))</f>
        <v/>
      </c>
      <c r="AP28" s="64" t="str">
        <f ca="1">IF(COUNTIFS('SEANCE 1'!$B:$B, $B28, 'SEANCE 1'!$C:$C, AP$2, 'SEANCE 1'!$F:$F, AP$5)=0, "", COUNTIFS('SEANCE 1'!$B:$B, $B28, 'SEANCE 1'!$C:$C, AP$2, 'SEANCE 1'!$F:$F, AP$5))</f>
        <v/>
      </c>
      <c r="AQ28" s="64" t="str">
        <f ca="1">IF(COUNTIFS('SEANCE 1'!$B:$B, $B28, 'SEANCE 1'!$C:$C, AQ$2, 'SEANCE 1'!$F:$F, AQ$5)=0, "", COUNTIFS('SEANCE 1'!$B:$B, $B28, 'SEANCE 1'!$C:$C, AQ$2, 'SEANCE 1'!$F:$F, AQ$5))</f>
        <v/>
      </c>
      <c r="AR28" s="64" t="str">
        <f ca="1">IF(COUNTIFS('SEANCE 1'!$B:$B, $B28, 'SEANCE 1'!$C:$C, AR$2, 'SEANCE 1'!$F:$F, AR$5)=0, "", COUNTIFS('SEANCE 1'!$B:$B, $B28, 'SEANCE 1'!$C:$C, AR$2, 'SEANCE 1'!$F:$F, AR$5))</f>
        <v/>
      </c>
      <c r="AS28" s="64" t="str">
        <f ca="1">IF(COUNTIFS('SEANCE 1'!$B:$B, $B28, 'SEANCE 1'!$C:$C, AS$2, 'SEANCE 1'!$F:$F, AS$5)=0, "", COUNTIFS('SEANCE 1'!$B:$B, $B28, 'SEANCE 1'!$C:$C, AS$2, 'SEANCE 1'!$F:$F, AS$5))</f>
        <v/>
      </c>
      <c r="AT28" s="64" t="str">
        <f ca="1">IF(COUNTIFS('SEANCE 1'!$B:$B, $B28, 'SEANCE 1'!$C:$C, AT$2, 'SEANCE 1'!$F:$F, AT$5)=0, "", COUNTIFS('SEANCE 1'!$B:$B, $B28, 'SEANCE 1'!$C:$C, AT$2, 'SEANCE 1'!$F:$F, AT$5))</f>
        <v/>
      </c>
      <c r="AU28" s="64" t="str">
        <f ca="1">IF(COUNTIFS('SEANCE 1'!$B:$B, $B28, 'SEANCE 1'!$C:$C, AU$2, 'SEANCE 1'!$F:$F, AU$5)=0, "", COUNTIFS('SEANCE 1'!$B:$B, $B28, 'SEANCE 1'!$C:$C, AU$2, 'SEANCE 1'!$F:$F, AU$5))</f>
        <v/>
      </c>
      <c r="AV28" s="64" t="str">
        <f ca="1">IF(COUNTIFS('SEANCE 1'!$B:$B, $B28, 'SEANCE 1'!$C:$C, AV$2, 'SEANCE 1'!$F:$F, AV$5)=0, "", COUNTIFS('SEANCE 1'!$B:$B, $B28, 'SEANCE 1'!$C:$C, AV$2, 'SEANCE 1'!$F:$F, AV$5))</f>
        <v/>
      </c>
      <c r="AW28" s="64" t="str">
        <f ca="1">IF(COUNTIFS('SEANCE 1'!$B:$B, $B28, 'SEANCE 1'!$C:$C, AW$2, 'SEANCE 1'!$F:$F, AW$5)=0, "", COUNTIFS('SEANCE 1'!$B:$B, $B28, 'SEANCE 1'!$C:$C, AW$2, 'SEANCE 1'!$F:$F, AW$5))</f>
        <v/>
      </c>
      <c r="AX28" s="64" t="str">
        <f ca="1">IF(COUNTIFS('SEANCE 1'!$B:$B, $B28, 'SEANCE 1'!$C:$C, AX$2, 'SEANCE 1'!$F:$F, AX$5)=0, "", COUNTIFS('SEANCE 1'!$B:$B, $B28, 'SEANCE 1'!$C:$C, AX$2, 'SEANCE 1'!$F:$F, AX$5))</f>
        <v/>
      </c>
      <c r="AY28" s="64" t="str">
        <f ca="1">IF(COUNTIFS('SEANCE 1'!$B:$B, $B28, 'SEANCE 1'!$C:$C, AY$2, 'SEANCE 1'!$F:$F, AY$5)=0, "", COUNTIFS('SEANCE 1'!$B:$B, $B28, 'SEANCE 1'!$C:$C, AY$2, 'SEANCE 1'!$F:$F, AY$5))</f>
        <v/>
      </c>
      <c r="AZ28" s="32">
        <f t="shared" ca="1" si="0"/>
        <v>0</v>
      </c>
    </row>
    <row r="29" spans="1:52">
      <c r="A29" s="44" t="str">
        <f>IF('SEANCE 1'!$B25&lt;&gt;"",'SEANCE 1'!$A25,"")</f>
        <v/>
      </c>
      <c r="B29" s="44" t="str">
        <f t="array" aca="1" ref="B29" ca="1">IF(ISNA(INDEX(ListeB,MATCH(0,COUNTIF($B$5:B28,ListeB),0))),"",INDEX(ListeB,MATCH(0,COUNTIF($B$5:B28,ListeB),0)))</f>
        <v/>
      </c>
      <c r="C29" s="64" t="str">
        <f ca="1">IF(COUNTIFS('SEANCE 1'!$B:$B, $B29, 'SEANCE 1'!$C:$C, C$2, 'SEANCE 1'!$F:$F, C$5)=0, "", COUNTIFS('SEANCE 1'!$B:$B, $B29, 'SEANCE 1'!$C:$C, C$2, 'SEANCE 1'!$F:$F, C$5))</f>
        <v/>
      </c>
      <c r="D29" s="64" t="str">
        <f ca="1">IF(COUNTIFS('SEANCE 1'!$B:$B, $B29, 'SEANCE 1'!$C:$C, D$2, 'SEANCE 1'!$F:$F, D$5)=0, "", COUNTIFS('SEANCE 1'!$B:$B, $B29, 'SEANCE 1'!$C:$C, D$2, 'SEANCE 1'!$F:$F, D$5))</f>
        <v/>
      </c>
      <c r="E29" s="64" t="str">
        <f ca="1">IF(COUNTIFS('SEANCE 1'!$B:$B, $B29, 'SEANCE 1'!$C:$C, E$2, 'SEANCE 1'!$F:$F, E$5)=0, "", COUNTIFS('SEANCE 1'!$B:$B, $B29, 'SEANCE 1'!$C:$C, E$2, 'SEANCE 1'!$F:$F, E$5))</f>
        <v/>
      </c>
      <c r="F29" s="64" t="str">
        <f ca="1">IF(COUNTIFS('SEANCE 1'!$B:$B, $B29, 'SEANCE 1'!$C:$C, F$2, 'SEANCE 1'!$F:$F, F$5)=0, "", COUNTIFS('SEANCE 1'!$B:$B, $B29, 'SEANCE 1'!$C:$C, F$2, 'SEANCE 1'!$F:$F, F$5))</f>
        <v/>
      </c>
      <c r="G29" s="64" t="str">
        <f ca="1">IF(COUNTIFS('SEANCE 1'!$B:$B, $B29, 'SEANCE 1'!$C:$C, G$2, 'SEANCE 1'!$F:$F, G$5)=0, "", COUNTIFS('SEANCE 1'!$B:$B, $B29, 'SEANCE 1'!$C:$C, G$2, 'SEANCE 1'!$F:$F, G$5))</f>
        <v/>
      </c>
      <c r="H29" s="64" t="str">
        <f ca="1">IF(COUNTIFS('SEANCE 1'!$B:$B, $B29, 'SEANCE 1'!$C:$C, H$2, 'SEANCE 1'!$F:$F, H$5)=0, "", COUNTIFS('SEANCE 1'!$B:$B, $B29, 'SEANCE 1'!$C:$C, H$2, 'SEANCE 1'!$F:$F, H$5))</f>
        <v/>
      </c>
      <c r="I29" s="64" t="str">
        <f ca="1">IF(COUNTIFS('SEANCE 1'!$B:$B, $B29, 'SEANCE 1'!$C:$C, I$2, 'SEANCE 1'!$F:$F, I$5)=0, "", COUNTIFS('SEANCE 1'!$B:$B, $B29, 'SEANCE 1'!$C:$C, I$2, 'SEANCE 1'!$F:$F, I$5))</f>
        <v/>
      </c>
      <c r="J29" s="64" t="str">
        <f ca="1">IF(COUNTIFS('SEANCE 1'!$B:$B, $B29, 'SEANCE 1'!$C:$C, J$2, 'SEANCE 1'!$F:$F, J$5)=0, "", COUNTIFS('SEANCE 1'!$B:$B, $B29, 'SEANCE 1'!$C:$C, J$2, 'SEANCE 1'!$F:$F, J$5))</f>
        <v/>
      </c>
      <c r="K29" s="64" t="str">
        <f ca="1">IF(COUNTIFS('SEANCE 1'!$B:$B, $B29, 'SEANCE 1'!$C:$C, K$2, 'SEANCE 1'!$F:$F, K$5)=0, "", COUNTIFS('SEANCE 1'!$B:$B, $B29, 'SEANCE 1'!$C:$C, K$2, 'SEANCE 1'!$F:$F, K$5))</f>
        <v/>
      </c>
      <c r="L29" s="64" t="str">
        <f ca="1">IF(COUNTIFS('SEANCE 1'!$B:$B, $B29, 'SEANCE 1'!$C:$C, L$2, 'SEANCE 1'!$F:$F, L$5)=0, "", COUNTIFS('SEANCE 1'!$B:$B, $B29, 'SEANCE 1'!$C:$C, L$2, 'SEANCE 1'!$F:$F, L$5))</f>
        <v/>
      </c>
      <c r="M29" s="64" t="str">
        <f ca="1">IF(COUNTIFS('SEANCE 1'!$B:$B, $B29, 'SEANCE 1'!$C:$C, M$2, 'SEANCE 1'!$F:$F, M$5)=0, "", COUNTIFS('SEANCE 1'!$B:$B, $B29, 'SEANCE 1'!$C:$C, M$2, 'SEANCE 1'!$F:$F, M$5))</f>
        <v/>
      </c>
      <c r="N29" s="64" t="str">
        <f ca="1">IF(COUNTIFS('SEANCE 1'!$B:$B, $B29, 'SEANCE 1'!$C:$C, N$2, 'SEANCE 1'!$F:$F, N$5)=0, "", COUNTIFS('SEANCE 1'!$B:$B, $B29, 'SEANCE 1'!$C:$C, N$2, 'SEANCE 1'!$F:$F, N$5))</f>
        <v/>
      </c>
      <c r="O29" s="64" t="str">
        <f ca="1">IF(COUNTIFS('SEANCE 1'!$B:$B, $B29, 'SEANCE 1'!$C:$C, O$2, 'SEANCE 1'!$F:$F, O$5)=0, "", COUNTIFS('SEANCE 1'!$B:$B, $B29, 'SEANCE 1'!$C:$C, O$2, 'SEANCE 1'!$F:$F, O$5))</f>
        <v/>
      </c>
      <c r="P29" s="64" t="str">
        <f ca="1">IF(COUNTIFS('SEANCE 1'!$B:$B, $B29, 'SEANCE 1'!$C:$C, P$2, 'SEANCE 1'!$F:$F, P$5)=0, "", COUNTIFS('SEANCE 1'!$B:$B, $B29, 'SEANCE 1'!$C:$C, P$2, 'SEANCE 1'!$F:$F, P$5))</f>
        <v/>
      </c>
      <c r="Q29" s="64" t="str">
        <f ca="1">IF(COUNTIFS('SEANCE 1'!$B:$B, $B29, 'SEANCE 1'!$C:$C, Q$2, 'SEANCE 1'!$F:$F, Q$5)=0, "", COUNTIFS('SEANCE 1'!$B:$B, $B29, 'SEANCE 1'!$C:$C, Q$2, 'SEANCE 1'!$F:$F, Q$5))</f>
        <v/>
      </c>
      <c r="R29" s="64" t="str">
        <f ca="1">IF(COUNTIFS('SEANCE 1'!$B:$B, $B29, 'SEANCE 1'!$C:$C, R$2, 'SEANCE 1'!$F:$F, R$5)=0, "", COUNTIFS('SEANCE 1'!$B:$B, $B29, 'SEANCE 1'!$C:$C, R$2, 'SEANCE 1'!$F:$F, R$5))</f>
        <v/>
      </c>
      <c r="S29" s="64" t="str">
        <f ca="1">IF(COUNTIFS('SEANCE 1'!$B:$B, $B29, 'SEANCE 1'!$C:$C, S$2, 'SEANCE 1'!$F:$F, S$5)=0, "", COUNTIFS('SEANCE 1'!$B:$B, $B29, 'SEANCE 1'!$C:$C, S$2, 'SEANCE 1'!$F:$F, S$5))</f>
        <v/>
      </c>
      <c r="T29" s="64" t="str">
        <f ca="1">IF(COUNTIFS('SEANCE 1'!$B:$B, $B29, 'SEANCE 1'!$C:$C, T$2, 'SEANCE 1'!$F:$F, T$5)=0, "", COUNTIFS('SEANCE 1'!$B:$B, $B29, 'SEANCE 1'!$C:$C, T$2, 'SEANCE 1'!$F:$F, T$5))</f>
        <v/>
      </c>
      <c r="U29" s="64" t="str">
        <f ca="1">IF(COUNTIFS('SEANCE 1'!$B:$B, $B29, 'SEANCE 1'!$C:$C, U$2, 'SEANCE 1'!$F:$F, U$5)=0, "", COUNTIFS('SEANCE 1'!$B:$B, $B29, 'SEANCE 1'!$C:$C, U$2, 'SEANCE 1'!$F:$F, U$5))</f>
        <v/>
      </c>
      <c r="V29" s="64" t="str">
        <f ca="1">IF(COUNTIFS('SEANCE 1'!$B:$B, $B29, 'SEANCE 1'!$C:$C, V$2, 'SEANCE 1'!$F:$F, V$5)=0, "", COUNTIFS('SEANCE 1'!$B:$B, $B29, 'SEANCE 1'!$C:$C, V$2, 'SEANCE 1'!$F:$F, V$5))</f>
        <v/>
      </c>
      <c r="W29" s="64" t="str">
        <f ca="1">IF(COUNTIFS('SEANCE 1'!$B:$B, $B29, 'SEANCE 1'!$C:$C, W$2, 'SEANCE 1'!$F:$F, W$5)=0, "", COUNTIFS('SEANCE 1'!$B:$B, $B29, 'SEANCE 1'!$C:$C, W$2, 'SEANCE 1'!$F:$F, W$5))</f>
        <v/>
      </c>
      <c r="X29" s="64" t="str">
        <f ca="1">IF(COUNTIFS('SEANCE 1'!$B:$B, $B29, 'SEANCE 1'!$C:$C, X$2, 'SEANCE 1'!$F:$F, X$5)=0, "", COUNTIFS('SEANCE 1'!$B:$B, $B29, 'SEANCE 1'!$C:$C, X$2, 'SEANCE 1'!$F:$F, X$5))</f>
        <v/>
      </c>
      <c r="Y29" s="64" t="str">
        <f ca="1">IF(COUNTIFS('SEANCE 1'!$B:$B, $B29, 'SEANCE 1'!$C:$C, Y$2, 'SEANCE 1'!$F:$F, Y$5)=0, "", COUNTIFS('SEANCE 1'!$B:$B, $B29, 'SEANCE 1'!$C:$C, Y$2, 'SEANCE 1'!$F:$F, Y$5))</f>
        <v/>
      </c>
      <c r="Z29" s="64" t="str">
        <f ca="1">IF(COUNTIFS('SEANCE 1'!$B:$B, $B29, 'SEANCE 1'!$C:$C, Z$2, 'SEANCE 1'!$F:$F, Z$5)=0, "", COUNTIFS('SEANCE 1'!$B:$B, $B29, 'SEANCE 1'!$C:$C, Z$2, 'SEANCE 1'!$F:$F, Z$5))</f>
        <v/>
      </c>
      <c r="AA29" s="64" t="str">
        <f ca="1">IF(COUNTIFS('SEANCE 1'!$B:$B, $B29, 'SEANCE 1'!$C:$C, AA$2, 'SEANCE 1'!$F:$F, AA$5)=0, "", COUNTIFS('SEANCE 1'!$B:$B, $B29, 'SEANCE 1'!$C:$C, AA$2, 'SEANCE 1'!$F:$F, AA$5))</f>
        <v/>
      </c>
      <c r="AB29" s="64" t="str">
        <f ca="1">IF(COUNTIFS('SEANCE 1'!$B:$B, $B29, 'SEANCE 1'!$C:$C, AB$2, 'SEANCE 1'!$F:$F, AB$5)=0, "", COUNTIFS('SEANCE 1'!$B:$B, $B29, 'SEANCE 1'!$C:$C, AB$2, 'SEANCE 1'!$F:$F, AB$5))</f>
        <v/>
      </c>
      <c r="AC29" s="64" t="str">
        <f ca="1">IF(COUNTIFS('SEANCE 1'!$B:$B, $B29, 'SEANCE 1'!$C:$C, AC$2, 'SEANCE 1'!$F:$F, AC$5)=0, "", COUNTIFS('SEANCE 1'!$B:$B, $B29, 'SEANCE 1'!$C:$C, AC$2, 'SEANCE 1'!$F:$F, AC$5))</f>
        <v/>
      </c>
      <c r="AD29" s="64" t="str">
        <f ca="1">IF(COUNTIFS('SEANCE 1'!$B:$B, $B29, 'SEANCE 1'!$C:$C, AD$2, 'SEANCE 1'!$F:$F, AD$5)=0, "", COUNTIFS('SEANCE 1'!$B:$B, $B29, 'SEANCE 1'!$C:$C, AD$2, 'SEANCE 1'!$F:$F, AD$5))</f>
        <v/>
      </c>
      <c r="AE29" s="64" t="str">
        <f ca="1">IF(COUNTIFS('SEANCE 1'!$B:$B, $B29, 'SEANCE 1'!$C:$C, AE$2, 'SEANCE 1'!$F:$F, AE$5)=0, "", COUNTIFS('SEANCE 1'!$B:$B, $B29, 'SEANCE 1'!$C:$C, AE$2, 'SEANCE 1'!$F:$F, AE$5))</f>
        <v/>
      </c>
      <c r="AF29" s="64" t="str">
        <f ca="1">IF(COUNTIFS('SEANCE 1'!$B:$B, $B29, 'SEANCE 1'!$C:$C, AF$2, 'SEANCE 1'!$F:$F, AF$5)=0, "", COUNTIFS('SEANCE 1'!$B:$B, $B29, 'SEANCE 1'!$C:$C, AF$2, 'SEANCE 1'!$F:$F, AF$5))</f>
        <v/>
      </c>
      <c r="AG29" s="64" t="str">
        <f ca="1">IF(COUNTIFS('SEANCE 1'!$B:$B, $B29, 'SEANCE 1'!$C:$C, AG$2, 'SEANCE 1'!$F:$F, AG$5)=0, "", COUNTIFS('SEANCE 1'!$B:$B, $B29, 'SEANCE 1'!$C:$C, AG$2, 'SEANCE 1'!$F:$F, AG$5))</f>
        <v/>
      </c>
      <c r="AH29" s="64" t="str">
        <f ca="1">IF(COUNTIFS('SEANCE 1'!$B:$B, $B29, 'SEANCE 1'!$C:$C, AH$2, 'SEANCE 1'!$F:$F, AH$5)=0, "", COUNTIFS('SEANCE 1'!$B:$B, $B29, 'SEANCE 1'!$C:$C, AH$2, 'SEANCE 1'!$F:$F, AH$5))</f>
        <v/>
      </c>
      <c r="AI29" s="64" t="str">
        <f ca="1">IF(COUNTIFS('SEANCE 1'!$B:$B, $B29, 'SEANCE 1'!$C:$C, AI$2, 'SEANCE 1'!$F:$F, AI$5)=0, "", COUNTIFS('SEANCE 1'!$B:$B, $B29, 'SEANCE 1'!$C:$C, AI$2, 'SEANCE 1'!$F:$F, AI$5))</f>
        <v/>
      </c>
      <c r="AJ29" s="64" t="str">
        <f ca="1">IF(COUNTIFS('SEANCE 1'!$B:$B, $B29, 'SEANCE 1'!$C:$C, AJ$2, 'SEANCE 1'!$F:$F, AJ$5)=0, "", COUNTIFS('SEANCE 1'!$B:$B, $B29, 'SEANCE 1'!$C:$C, AJ$2, 'SEANCE 1'!$F:$F, AJ$5))</f>
        <v/>
      </c>
      <c r="AK29" s="64" t="str">
        <f ca="1">IF(COUNTIFS('SEANCE 1'!$B:$B, $B29, 'SEANCE 1'!$C:$C, AK$2, 'SEANCE 1'!$F:$F, AK$5)=0, "", COUNTIFS('SEANCE 1'!$B:$B, $B29, 'SEANCE 1'!$C:$C, AK$2, 'SEANCE 1'!$F:$F, AK$5))</f>
        <v/>
      </c>
      <c r="AL29" s="64" t="str">
        <f ca="1">IF(COUNTIFS('SEANCE 1'!$B:$B, $B29, 'SEANCE 1'!$C:$C, AL$2, 'SEANCE 1'!$F:$F, AL$5)=0, "", COUNTIFS('SEANCE 1'!$B:$B, $B29, 'SEANCE 1'!$C:$C, AL$2, 'SEANCE 1'!$F:$F, AL$5))</f>
        <v/>
      </c>
      <c r="AM29" s="64" t="str">
        <f ca="1">IF(COUNTIFS('SEANCE 1'!$B:$B, $B29, 'SEANCE 1'!$C:$C, AM$2, 'SEANCE 1'!$F:$F, AM$5)=0, "", COUNTIFS('SEANCE 1'!$B:$B, $B29, 'SEANCE 1'!$C:$C, AM$2, 'SEANCE 1'!$F:$F, AM$5))</f>
        <v/>
      </c>
      <c r="AN29" s="64" t="str">
        <f ca="1">IF(COUNTIFS('SEANCE 1'!$B:$B, $B29, 'SEANCE 1'!$C:$C, AN$2, 'SEANCE 1'!$F:$F, AN$5)=0, "", COUNTIFS('SEANCE 1'!$B:$B, $B29, 'SEANCE 1'!$C:$C, AN$2, 'SEANCE 1'!$F:$F, AN$5))</f>
        <v/>
      </c>
      <c r="AO29" s="64" t="str">
        <f ca="1">IF(COUNTIFS('SEANCE 1'!$B:$B, $B29, 'SEANCE 1'!$C:$C, AO$2, 'SEANCE 1'!$F:$F, AO$5)=0, "", COUNTIFS('SEANCE 1'!$B:$B, $B29, 'SEANCE 1'!$C:$C, AO$2, 'SEANCE 1'!$F:$F, AO$5))</f>
        <v/>
      </c>
      <c r="AP29" s="64" t="str">
        <f ca="1">IF(COUNTIFS('SEANCE 1'!$B:$B, $B29, 'SEANCE 1'!$C:$C, AP$2, 'SEANCE 1'!$F:$F, AP$5)=0, "", COUNTIFS('SEANCE 1'!$B:$B, $B29, 'SEANCE 1'!$C:$C, AP$2, 'SEANCE 1'!$F:$F, AP$5))</f>
        <v/>
      </c>
      <c r="AQ29" s="64" t="str">
        <f ca="1">IF(COUNTIFS('SEANCE 1'!$B:$B, $B29, 'SEANCE 1'!$C:$C, AQ$2, 'SEANCE 1'!$F:$F, AQ$5)=0, "", COUNTIFS('SEANCE 1'!$B:$B, $B29, 'SEANCE 1'!$C:$C, AQ$2, 'SEANCE 1'!$F:$F, AQ$5))</f>
        <v/>
      </c>
      <c r="AR29" s="64" t="str">
        <f ca="1">IF(COUNTIFS('SEANCE 1'!$B:$B, $B29, 'SEANCE 1'!$C:$C, AR$2, 'SEANCE 1'!$F:$F, AR$5)=0, "", COUNTIFS('SEANCE 1'!$B:$B, $B29, 'SEANCE 1'!$C:$C, AR$2, 'SEANCE 1'!$F:$F, AR$5))</f>
        <v/>
      </c>
      <c r="AS29" s="64" t="str">
        <f ca="1">IF(COUNTIFS('SEANCE 1'!$B:$B, $B29, 'SEANCE 1'!$C:$C, AS$2, 'SEANCE 1'!$F:$F, AS$5)=0, "", COUNTIFS('SEANCE 1'!$B:$B, $B29, 'SEANCE 1'!$C:$C, AS$2, 'SEANCE 1'!$F:$F, AS$5))</f>
        <v/>
      </c>
      <c r="AT29" s="64" t="str">
        <f ca="1">IF(COUNTIFS('SEANCE 1'!$B:$B, $B29, 'SEANCE 1'!$C:$C, AT$2, 'SEANCE 1'!$F:$F, AT$5)=0, "", COUNTIFS('SEANCE 1'!$B:$B, $B29, 'SEANCE 1'!$C:$C, AT$2, 'SEANCE 1'!$F:$F, AT$5))</f>
        <v/>
      </c>
      <c r="AU29" s="64" t="str">
        <f ca="1">IF(COUNTIFS('SEANCE 1'!$B:$B, $B29, 'SEANCE 1'!$C:$C, AU$2, 'SEANCE 1'!$F:$F, AU$5)=0, "", COUNTIFS('SEANCE 1'!$B:$B, $B29, 'SEANCE 1'!$C:$C, AU$2, 'SEANCE 1'!$F:$F, AU$5))</f>
        <v/>
      </c>
      <c r="AV29" s="64" t="str">
        <f ca="1">IF(COUNTIFS('SEANCE 1'!$B:$B, $B29, 'SEANCE 1'!$C:$C, AV$2, 'SEANCE 1'!$F:$F, AV$5)=0, "", COUNTIFS('SEANCE 1'!$B:$B, $B29, 'SEANCE 1'!$C:$C, AV$2, 'SEANCE 1'!$F:$F, AV$5))</f>
        <v/>
      </c>
      <c r="AW29" s="64" t="str">
        <f ca="1">IF(COUNTIFS('SEANCE 1'!$B:$B, $B29, 'SEANCE 1'!$C:$C, AW$2, 'SEANCE 1'!$F:$F, AW$5)=0, "", COUNTIFS('SEANCE 1'!$B:$B, $B29, 'SEANCE 1'!$C:$C, AW$2, 'SEANCE 1'!$F:$F, AW$5))</f>
        <v/>
      </c>
      <c r="AX29" s="64" t="str">
        <f ca="1">IF(COUNTIFS('SEANCE 1'!$B:$B, $B29, 'SEANCE 1'!$C:$C, AX$2, 'SEANCE 1'!$F:$F, AX$5)=0, "", COUNTIFS('SEANCE 1'!$B:$B, $B29, 'SEANCE 1'!$C:$C, AX$2, 'SEANCE 1'!$F:$F, AX$5))</f>
        <v/>
      </c>
      <c r="AY29" s="64" t="str">
        <f ca="1">IF(COUNTIFS('SEANCE 1'!$B:$B, $B29, 'SEANCE 1'!$C:$C, AY$2, 'SEANCE 1'!$F:$F, AY$5)=0, "", COUNTIFS('SEANCE 1'!$B:$B, $B29, 'SEANCE 1'!$C:$C, AY$2, 'SEANCE 1'!$F:$F, AY$5))</f>
        <v/>
      </c>
      <c r="AZ29" s="32">
        <f t="shared" ca="1" si="0"/>
        <v>0</v>
      </c>
    </row>
    <row r="30" spans="1:52">
      <c r="A30" s="44" t="str">
        <f>IF('SEANCE 1'!$B26&lt;&gt;"",'SEANCE 1'!$A26,"")</f>
        <v/>
      </c>
      <c r="B30" s="44" t="str">
        <f t="array" aca="1" ref="B30" ca="1">IF(ISNA(INDEX(ListeB,MATCH(0,COUNTIF($B$5:B29,ListeB),0))),"",INDEX(ListeB,MATCH(0,COUNTIF($B$5:B29,ListeB),0)))</f>
        <v/>
      </c>
      <c r="C30" s="64" t="str">
        <f ca="1">IF(COUNTIFS('SEANCE 1'!$B:$B, $B30, 'SEANCE 1'!$C:$C, C$2, 'SEANCE 1'!$F:$F, C$5)=0, "", COUNTIFS('SEANCE 1'!$B:$B, $B30, 'SEANCE 1'!$C:$C, C$2, 'SEANCE 1'!$F:$F, C$5))</f>
        <v/>
      </c>
      <c r="D30" s="64" t="str">
        <f ca="1">IF(COUNTIFS('SEANCE 1'!$B:$B, $B30, 'SEANCE 1'!$C:$C, D$2, 'SEANCE 1'!$F:$F, D$5)=0, "", COUNTIFS('SEANCE 1'!$B:$B, $B30, 'SEANCE 1'!$C:$C, D$2, 'SEANCE 1'!$F:$F, D$5))</f>
        <v/>
      </c>
      <c r="E30" s="64" t="str">
        <f ca="1">IF(COUNTIFS('SEANCE 1'!$B:$B, $B30, 'SEANCE 1'!$C:$C, E$2, 'SEANCE 1'!$F:$F, E$5)=0, "", COUNTIFS('SEANCE 1'!$B:$B, $B30, 'SEANCE 1'!$C:$C, E$2, 'SEANCE 1'!$F:$F, E$5))</f>
        <v/>
      </c>
      <c r="F30" s="64" t="str">
        <f ca="1">IF(COUNTIFS('SEANCE 1'!$B:$B, $B30, 'SEANCE 1'!$C:$C, F$2, 'SEANCE 1'!$F:$F, F$5)=0, "", COUNTIFS('SEANCE 1'!$B:$B, $B30, 'SEANCE 1'!$C:$C, F$2, 'SEANCE 1'!$F:$F, F$5))</f>
        <v/>
      </c>
      <c r="G30" s="64" t="str">
        <f ca="1">IF(COUNTIFS('SEANCE 1'!$B:$B, $B30, 'SEANCE 1'!$C:$C, G$2, 'SEANCE 1'!$F:$F, G$5)=0, "", COUNTIFS('SEANCE 1'!$B:$B, $B30, 'SEANCE 1'!$C:$C, G$2, 'SEANCE 1'!$F:$F, G$5))</f>
        <v/>
      </c>
      <c r="H30" s="64" t="str">
        <f ca="1">IF(COUNTIFS('SEANCE 1'!$B:$B, $B30, 'SEANCE 1'!$C:$C, H$2, 'SEANCE 1'!$F:$F, H$5)=0, "", COUNTIFS('SEANCE 1'!$B:$B, $B30, 'SEANCE 1'!$C:$C, H$2, 'SEANCE 1'!$F:$F, H$5))</f>
        <v/>
      </c>
      <c r="I30" s="64" t="str">
        <f ca="1">IF(COUNTIFS('SEANCE 1'!$B:$B, $B30, 'SEANCE 1'!$C:$C, I$2, 'SEANCE 1'!$F:$F, I$5)=0, "", COUNTIFS('SEANCE 1'!$B:$B, $B30, 'SEANCE 1'!$C:$C, I$2, 'SEANCE 1'!$F:$F, I$5))</f>
        <v/>
      </c>
      <c r="J30" s="64" t="str">
        <f ca="1">IF(COUNTIFS('SEANCE 1'!$B:$B, $B30, 'SEANCE 1'!$C:$C, J$2, 'SEANCE 1'!$F:$F, J$5)=0, "", COUNTIFS('SEANCE 1'!$B:$B, $B30, 'SEANCE 1'!$C:$C, J$2, 'SEANCE 1'!$F:$F, J$5))</f>
        <v/>
      </c>
      <c r="K30" s="64" t="str">
        <f ca="1">IF(COUNTIFS('SEANCE 1'!$B:$B, $B30, 'SEANCE 1'!$C:$C, K$2, 'SEANCE 1'!$F:$F, K$5)=0, "", COUNTIFS('SEANCE 1'!$B:$B, $B30, 'SEANCE 1'!$C:$C, K$2, 'SEANCE 1'!$F:$F, K$5))</f>
        <v/>
      </c>
      <c r="L30" s="64" t="str">
        <f ca="1">IF(COUNTIFS('SEANCE 1'!$B:$B, $B30, 'SEANCE 1'!$C:$C, L$2, 'SEANCE 1'!$F:$F, L$5)=0, "", COUNTIFS('SEANCE 1'!$B:$B, $B30, 'SEANCE 1'!$C:$C, L$2, 'SEANCE 1'!$F:$F, L$5))</f>
        <v/>
      </c>
      <c r="M30" s="64" t="str">
        <f ca="1">IF(COUNTIFS('SEANCE 1'!$B:$B, $B30, 'SEANCE 1'!$C:$C, M$2, 'SEANCE 1'!$F:$F, M$5)=0, "", COUNTIFS('SEANCE 1'!$B:$B, $B30, 'SEANCE 1'!$C:$C, M$2, 'SEANCE 1'!$F:$F, M$5))</f>
        <v/>
      </c>
      <c r="N30" s="64" t="str">
        <f ca="1">IF(COUNTIFS('SEANCE 1'!$B:$B, $B30, 'SEANCE 1'!$C:$C, N$2, 'SEANCE 1'!$F:$F, N$5)=0, "", COUNTIFS('SEANCE 1'!$B:$B, $B30, 'SEANCE 1'!$C:$C, N$2, 'SEANCE 1'!$F:$F, N$5))</f>
        <v/>
      </c>
      <c r="O30" s="64" t="str">
        <f ca="1">IF(COUNTIFS('SEANCE 1'!$B:$B, $B30, 'SEANCE 1'!$C:$C, O$2, 'SEANCE 1'!$F:$F, O$5)=0, "", COUNTIFS('SEANCE 1'!$B:$B, $B30, 'SEANCE 1'!$C:$C, O$2, 'SEANCE 1'!$F:$F, O$5))</f>
        <v/>
      </c>
      <c r="P30" s="64" t="str">
        <f ca="1">IF(COUNTIFS('SEANCE 1'!$B:$B, $B30, 'SEANCE 1'!$C:$C, P$2, 'SEANCE 1'!$F:$F, P$5)=0, "", COUNTIFS('SEANCE 1'!$B:$B, $B30, 'SEANCE 1'!$C:$C, P$2, 'SEANCE 1'!$F:$F, P$5))</f>
        <v/>
      </c>
      <c r="Q30" s="64" t="str">
        <f ca="1">IF(COUNTIFS('SEANCE 1'!$B:$B, $B30, 'SEANCE 1'!$C:$C, Q$2, 'SEANCE 1'!$F:$F, Q$5)=0, "", COUNTIFS('SEANCE 1'!$B:$B, $B30, 'SEANCE 1'!$C:$C, Q$2, 'SEANCE 1'!$F:$F, Q$5))</f>
        <v/>
      </c>
      <c r="R30" s="64" t="str">
        <f ca="1">IF(COUNTIFS('SEANCE 1'!$B:$B, $B30, 'SEANCE 1'!$C:$C, R$2, 'SEANCE 1'!$F:$F, R$5)=0, "", COUNTIFS('SEANCE 1'!$B:$B, $B30, 'SEANCE 1'!$C:$C, R$2, 'SEANCE 1'!$F:$F, R$5))</f>
        <v/>
      </c>
      <c r="S30" s="64" t="str">
        <f ca="1">IF(COUNTIFS('SEANCE 1'!$B:$B, $B30, 'SEANCE 1'!$C:$C, S$2, 'SEANCE 1'!$F:$F, S$5)=0, "", COUNTIFS('SEANCE 1'!$B:$B, $B30, 'SEANCE 1'!$C:$C, S$2, 'SEANCE 1'!$F:$F, S$5))</f>
        <v/>
      </c>
      <c r="T30" s="64" t="str">
        <f ca="1">IF(COUNTIFS('SEANCE 1'!$B:$B, $B30, 'SEANCE 1'!$C:$C, T$2, 'SEANCE 1'!$F:$F, T$5)=0, "", COUNTIFS('SEANCE 1'!$B:$B, $B30, 'SEANCE 1'!$C:$C, T$2, 'SEANCE 1'!$F:$F, T$5))</f>
        <v/>
      </c>
      <c r="U30" s="64" t="str">
        <f ca="1">IF(COUNTIFS('SEANCE 1'!$B:$B, $B30, 'SEANCE 1'!$C:$C, U$2, 'SEANCE 1'!$F:$F, U$5)=0, "", COUNTIFS('SEANCE 1'!$B:$B, $B30, 'SEANCE 1'!$C:$C, U$2, 'SEANCE 1'!$F:$F, U$5))</f>
        <v/>
      </c>
      <c r="V30" s="64" t="str">
        <f ca="1">IF(COUNTIFS('SEANCE 1'!$B:$B, $B30, 'SEANCE 1'!$C:$C, V$2, 'SEANCE 1'!$F:$F, V$5)=0, "", COUNTIFS('SEANCE 1'!$B:$B, $B30, 'SEANCE 1'!$C:$C, V$2, 'SEANCE 1'!$F:$F, V$5))</f>
        <v/>
      </c>
      <c r="W30" s="64" t="str">
        <f ca="1">IF(COUNTIFS('SEANCE 1'!$B:$B, $B30, 'SEANCE 1'!$C:$C, W$2, 'SEANCE 1'!$F:$F, W$5)=0, "", COUNTIFS('SEANCE 1'!$B:$B, $B30, 'SEANCE 1'!$C:$C, W$2, 'SEANCE 1'!$F:$F, W$5))</f>
        <v/>
      </c>
      <c r="X30" s="64" t="str">
        <f ca="1">IF(COUNTIFS('SEANCE 1'!$B:$B, $B30, 'SEANCE 1'!$C:$C, X$2, 'SEANCE 1'!$F:$F, X$5)=0, "", COUNTIFS('SEANCE 1'!$B:$B, $B30, 'SEANCE 1'!$C:$C, X$2, 'SEANCE 1'!$F:$F, X$5))</f>
        <v/>
      </c>
      <c r="Y30" s="64" t="str">
        <f ca="1">IF(COUNTIFS('SEANCE 1'!$B:$B, $B30, 'SEANCE 1'!$C:$C, Y$2, 'SEANCE 1'!$F:$F, Y$5)=0, "", COUNTIFS('SEANCE 1'!$B:$B, $B30, 'SEANCE 1'!$C:$C, Y$2, 'SEANCE 1'!$F:$F, Y$5))</f>
        <v/>
      </c>
      <c r="Z30" s="64" t="str">
        <f ca="1">IF(COUNTIFS('SEANCE 1'!$B:$B, $B30, 'SEANCE 1'!$C:$C, Z$2, 'SEANCE 1'!$F:$F, Z$5)=0, "", COUNTIFS('SEANCE 1'!$B:$B, $B30, 'SEANCE 1'!$C:$C, Z$2, 'SEANCE 1'!$F:$F, Z$5))</f>
        <v/>
      </c>
      <c r="AA30" s="64" t="str">
        <f ca="1">IF(COUNTIFS('SEANCE 1'!$B:$B, $B30, 'SEANCE 1'!$C:$C, AA$2, 'SEANCE 1'!$F:$F, AA$5)=0, "", COUNTIFS('SEANCE 1'!$B:$B, $B30, 'SEANCE 1'!$C:$C, AA$2, 'SEANCE 1'!$F:$F, AA$5))</f>
        <v/>
      </c>
      <c r="AB30" s="64" t="str">
        <f ca="1">IF(COUNTIFS('SEANCE 1'!$B:$B, $B30, 'SEANCE 1'!$C:$C, AB$2, 'SEANCE 1'!$F:$F, AB$5)=0, "", COUNTIFS('SEANCE 1'!$B:$B, $B30, 'SEANCE 1'!$C:$C, AB$2, 'SEANCE 1'!$F:$F, AB$5))</f>
        <v/>
      </c>
      <c r="AC30" s="64" t="str">
        <f ca="1">IF(COUNTIFS('SEANCE 1'!$B:$B, $B30, 'SEANCE 1'!$C:$C, AC$2, 'SEANCE 1'!$F:$F, AC$5)=0, "", COUNTIFS('SEANCE 1'!$B:$B, $B30, 'SEANCE 1'!$C:$C, AC$2, 'SEANCE 1'!$F:$F, AC$5))</f>
        <v/>
      </c>
      <c r="AD30" s="64" t="str">
        <f ca="1">IF(COUNTIFS('SEANCE 1'!$B:$B, $B30, 'SEANCE 1'!$C:$C, AD$2, 'SEANCE 1'!$F:$F, AD$5)=0, "", COUNTIFS('SEANCE 1'!$B:$B, $B30, 'SEANCE 1'!$C:$C, AD$2, 'SEANCE 1'!$F:$F, AD$5))</f>
        <v/>
      </c>
      <c r="AE30" s="64" t="str">
        <f ca="1">IF(COUNTIFS('SEANCE 1'!$B:$B, $B30, 'SEANCE 1'!$C:$C, AE$2, 'SEANCE 1'!$F:$F, AE$5)=0, "", COUNTIFS('SEANCE 1'!$B:$B, $B30, 'SEANCE 1'!$C:$C, AE$2, 'SEANCE 1'!$F:$F, AE$5))</f>
        <v/>
      </c>
      <c r="AF30" s="64" t="str">
        <f ca="1">IF(COUNTIFS('SEANCE 1'!$B:$B, $B30, 'SEANCE 1'!$C:$C, AF$2, 'SEANCE 1'!$F:$F, AF$5)=0, "", COUNTIFS('SEANCE 1'!$B:$B, $B30, 'SEANCE 1'!$C:$C, AF$2, 'SEANCE 1'!$F:$F, AF$5))</f>
        <v/>
      </c>
      <c r="AG30" s="64" t="str">
        <f ca="1">IF(COUNTIFS('SEANCE 1'!$B:$B, $B30, 'SEANCE 1'!$C:$C, AG$2, 'SEANCE 1'!$F:$F, AG$5)=0, "", COUNTIFS('SEANCE 1'!$B:$B, $B30, 'SEANCE 1'!$C:$C, AG$2, 'SEANCE 1'!$F:$F, AG$5))</f>
        <v/>
      </c>
      <c r="AH30" s="64" t="str">
        <f ca="1">IF(COUNTIFS('SEANCE 1'!$B:$B, $B30, 'SEANCE 1'!$C:$C, AH$2, 'SEANCE 1'!$F:$F, AH$5)=0, "", COUNTIFS('SEANCE 1'!$B:$B, $B30, 'SEANCE 1'!$C:$C, AH$2, 'SEANCE 1'!$F:$F, AH$5))</f>
        <v/>
      </c>
      <c r="AI30" s="64" t="str">
        <f ca="1">IF(COUNTIFS('SEANCE 1'!$B:$B, $B30, 'SEANCE 1'!$C:$C, AI$2, 'SEANCE 1'!$F:$F, AI$5)=0, "", COUNTIFS('SEANCE 1'!$B:$B, $B30, 'SEANCE 1'!$C:$C, AI$2, 'SEANCE 1'!$F:$F, AI$5))</f>
        <v/>
      </c>
      <c r="AJ30" s="64" t="str">
        <f ca="1">IF(COUNTIFS('SEANCE 1'!$B:$B, $B30, 'SEANCE 1'!$C:$C, AJ$2, 'SEANCE 1'!$F:$F, AJ$5)=0, "", COUNTIFS('SEANCE 1'!$B:$B, $B30, 'SEANCE 1'!$C:$C, AJ$2, 'SEANCE 1'!$F:$F, AJ$5))</f>
        <v/>
      </c>
      <c r="AK30" s="64" t="str">
        <f ca="1">IF(COUNTIFS('SEANCE 1'!$B:$B, $B30, 'SEANCE 1'!$C:$C, AK$2, 'SEANCE 1'!$F:$F, AK$5)=0, "", COUNTIFS('SEANCE 1'!$B:$B, $B30, 'SEANCE 1'!$C:$C, AK$2, 'SEANCE 1'!$F:$F, AK$5))</f>
        <v/>
      </c>
      <c r="AL30" s="64" t="str">
        <f ca="1">IF(COUNTIFS('SEANCE 1'!$B:$B, $B30, 'SEANCE 1'!$C:$C, AL$2, 'SEANCE 1'!$F:$F, AL$5)=0, "", COUNTIFS('SEANCE 1'!$B:$B, $B30, 'SEANCE 1'!$C:$C, AL$2, 'SEANCE 1'!$F:$F, AL$5))</f>
        <v/>
      </c>
      <c r="AM30" s="64" t="str">
        <f ca="1">IF(COUNTIFS('SEANCE 1'!$B:$B, $B30, 'SEANCE 1'!$C:$C, AM$2, 'SEANCE 1'!$F:$F, AM$5)=0, "", COUNTIFS('SEANCE 1'!$B:$B, $B30, 'SEANCE 1'!$C:$C, AM$2, 'SEANCE 1'!$F:$F, AM$5))</f>
        <v/>
      </c>
      <c r="AN30" s="64" t="str">
        <f ca="1">IF(COUNTIFS('SEANCE 1'!$B:$B, $B30, 'SEANCE 1'!$C:$C, AN$2, 'SEANCE 1'!$F:$F, AN$5)=0, "", COUNTIFS('SEANCE 1'!$B:$B, $B30, 'SEANCE 1'!$C:$C, AN$2, 'SEANCE 1'!$F:$F, AN$5))</f>
        <v/>
      </c>
      <c r="AO30" s="64" t="str">
        <f ca="1">IF(COUNTIFS('SEANCE 1'!$B:$B, $B30, 'SEANCE 1'!$C:$C, AO$2, 'SEANCE 1'!$F:$F, AO$5)=0, "", COUNTIFS('SEANCE 1'!$B:$B, $B30, 'SEANCE 1'!$C:$C, AO$2, 'SEANCE 1'!$F:$F, AO$5))</f>
        <v/>
      </c>
      <c r="AP30" s="64" t="str">
        <f ca="1">IF(COUNTIFS('SEANCE 1'!$B:$B, $B30, 'SEANCE 1'!$C:$C, AP$2, 'SEANCE 1'!$F:$F, AP$5)=0, "", COUNTIFS('SEANCE 1'!$B:$B, $B30, 'SEANCE 1'!$C:$C, AP$2, 'SEANCE 1'!$F:$F, AP$5))</f>
        <v/>
      </c>
      <c r="AQ30" s="64" t="str">
        <f ca="1">IF(COUNTIFS('SEANCE 1'!$B:$B, $B30, 'SEANCE 1'!$C:$C, AQ$2, 'SEANCE 1'!$F:$F, AQ$5)=0, "", COUNTIFS('SEANCE 1'!$B:$B, $B30, 'SEANCE 1'!$C:$C, AQ$2, 'SEANCE 1'!$F:$F, AQ$5))</f>
        <v/>
      </c>
      <c r="AR30" s="64" t="str">
        <f ca="1">IF(COUNTIFS('SEANCE 1'!$B:$B, $B30, 'SEANCE 1'!$C:$C, AR$2, 'SEANCE 1'!$F:$F, AR$5)=0, "", COUNTIFS('SEANCE 1'!$B:$B, $B30, 'SEANCE 1'!$C:$C, AR$2, 'SEANCE 1'!$F:$F, AR$5))</f>
        <v/>
      </c>
      <c r="AS30" s="64" t="str">
        <f ca="1">IF(COUNTIFS('SEANCE 1'!$B:$B, $B30, 'SEANCE 1'!$C:$C, AS$2, 'SEANCE 1'!$F:$F, AS$5)=0, "", COUNTIFS('SEANCE 1'!$B:$B, $B30, 'SEANCE 1'!$C:$C, AS$2, 'SEANCE 1'!$F:$F, AS$5))</f>
        <v/>
      </c>
      <c r="AT30" s="64" t="str">
        <f ca="1">IF(COUNTIFS('SEANCE 1'!$B:$B, $B30, 'SEANCE 1'!$C:$C, AT$2, 'SEANCE 1'!$F:$F, AT$5)=0, "", COUNTIFS('SEANCE 1'!$B:$B, $B30, 'SEANCE 1'!$C:$C, AT$2, 'SEANCE 1'!$F:$F, AT$5))</f>
        <v/>
      </c>
      <c r="AU30" s="64" t="str">
        <f ca="1">IF(COUNTIFS('SEANCE 1'!$B:$B, $B30, 'SEANCE 1'!$C:$C, AU$2, 'SEANCE 1'!$F:$F, AU$5)=0, "", COUNTIFS('SEANCE 1'!$B:$B, $B30, 'SEANCE 1'!$C:$C, AU$2, 'SEANCE 1'!$F:$F, AU$5))</f>
        <v/>
      </c>
      <c r="AV30" s="64" t="str">
        <f ca="1">IF(COUNTIFS('SEANCE 1'!$B:$B, $B30, 'SEANCE 1'!$C:$C, AV$2, 'SEANCE 1'!$F:$F, AV$5)=0, "", COUNTIFS('SEANCE 1'!$B:$B, $B30, 'SEANCE 1'!$C:$C, AV$2, 'SEANCE 1'!$F:$F, AV$5))</f>
        <v/>
      </c>
      <c r="AW30" s="64" t="str">
        <f ca="1">IF(COUNTIFS('SEANCE 1'!$B:$B, $B30, 'SEANCE 1'!$C:$C, AW$2, 'SEANCE 1'!$F:$F, AW$5)=0, "", COUNTIFS('SEANCE 1'!$B:$B, $B30, 'SEANCE 1'!$C:$C, AW$2, 'SEANCE 1'!$F:$F, AW$5))</f>
        <v/>
      </c>
      <c r="AX30" s="64" t="str">
        <f ca="1">IF(COUNTIFS('SEANCE 1'!$B:$B, $B30, 'SEANCE 1'!$C:$C, AX$2, 'SEANCE 1'!$F:$F, AX$5)=0, "", COUNTIFS('SEANCE 1'!$B:$B, $B30, 'SEANCE 1'!$C:$C, AX$2, 'SEANCE 1'!$F:$F, AX$5))</f>
        <v/>
      </c>
      <c r="AY30" s="64" t="str">
        <f ca="1">IF(COUNTIFS('SEANCE 1'!$B:$B, $B30, 'SEANCE 1'!$C:$C, AY$2, 'SEANCE 1'!$F:$F, AY$5)=0, "", COUNTIFS('SEANCE 1'!$B:$B, $B30, 'SEANCE 1'!$C:$C, AY$2, 'SEANCE 1'!$F:$F, AY$5))</f>
        <v/>
      </c>
      <c r="AZ30" s="32">
        <f t="shared" ca="1" si="0"/>
        <v>0</v>
      </c>
    </row>
    <row r="31" spans="1:52">
      <c r="A31" s="44" t="str">
        <f>IF('SEANCE 1'!$B27&lt;&gt;"",'SEANCE 1'!$A27,"")</f>
        <v/>
      </c>
      <c r="B31" s="44" t="str">
        <f t="array" aca="1" ref="B31" ca="1">IF(ISNA(INDEX(ListeB,MATCH(0,COUNTIF($B$5:B30,ListeB),0))),"",INDEX(ListeB,MATCH(0,COUNTIF($B$5:B30,ListeB),0)))</f>
        <v/>
      </c>
      <c r="C31" s="64" t="str">
        <f ca="1">IF(COUNTIFS('SEANCE 1'!$B:$B, $B31, 'SEANCE 1'!$C:$C, C$2, 'SEANCE 1'!$F:$F, C$5)=0, "", COUNTIFS('SEANCE 1'!$B:$B, $B31, 'SEANCE 1'!$C:$C, C$2, 'SEANCE 1'!$F:$F, C$5))</f>
        <v/>
      </c>
      <c r="D31" s="64" t="str">
        <f ca="1">IF(COUNTIFS('SEANCE 1'!$B:$B, $B31, 'SEANCE 1'!$C:$C, D$2, 'SEANCE 1'!$F:$F, D$5)=0, "", COUNTIFS('SEANCE 1'!$B:$B, $B31, 'SEANCE 1'!$C:$C, D$2, 'SEANCE 1'!$F:$F, D$5))</f>
        <v/>
      </c>
      <c r="E31" s="64" t="str">
        <f ca="1">IF(COUNTIFS('SEANCE 1'!$B:$B, $B31, 'SEANCE 1'!$C:$C, E$2, 'SEANCE 1'!$F:$F, E$5)=0, "", COUNTIFS('SEANCE 1'!$B:$B, $B31, 'SEANCE 1'!$C:$C, E$2, 'SEANCE 1'!$F:$F, E$5))</f>
        <v/>
      </c>
      <c r="F31" s="64" t="str">
        <f ca="1">IF(COUNTIFS('SEANCE 1'!$B:$B, $B31, 'SEANCE 1'!$C:$C, F$2, 'SEANCE 1'!$F:$F, F$5)=0, "", COUNTIFS('SEANCE 1'!$B:$B, $B31, 'SEANCE 1'!$C:$C, F$2, 'SEANCE 1'!$F:$F, F$5))</f>
        <v/>
      </c>
      <c r="G31" s="64" t="str">
        <f ca="1">IF(COUNTIFS('SEANCE 1'!$B:$B, $B31, 'SEANCE 1'!$C:$C, G$2, 'SEANCE 1'!$F:$F, G$5)=0, "", COUNTIFS('SEANCE 1'!$B:$B, $B31, 'SEANCE 1'!$C:$C, G$2, 'SEANCE 1'!$F:$F, G$5))</f>
        <v/>
      </c>
      <c r="H31" s="64" t="str">
        <f ca="1">IF(COUNTIFS('SEANCE 1'!$B:$B, $B31, 'SEANCE 1'!$C:$C, H$2, 'SEANCE 1'!$F:$F, H$5)=0, "", COUNTIFS('SEANCE 1'!$B:$B, $B31, 'SEANCE 1'!$C:$C, H$2, 'SEANCE 1'!$F:$F, H$5))</f>
        <v/>
      </c>
      <c r="I31" s="64" t="str">
        <f ca="1">IF(COUNTIFS('SEANCE 1'!$B:$B, $B31, 'SEANCE 1'!$C:$C, I$2, 'SEANCE 1'!$F:$F, I$5)=0, "", COUNTIFS('SEANCE 1'!$B:$B, $B31, 'SEANCE 1'!$C:$C, I$2, 'SEANCE 1'!$F:$F, I$5))</f>
        <v/>
      </c>
      <c r="J31" s="64" t="str">
        <f ca="1">IF(COUNTIFS('SEANCE 1'!$B:$B, $B31, 'SEANCE 1'!$C:$C, J$2, 'SEANCE 1'!$F:$F, J$5)=0, "", COUNTIFS('SEANCE 1'!$B:$B, $B31, 'SEANCE 1'!$C:$C, J$2, 'SEANCE 1'!$F:$F, J$5))</f>
        <v/>
      </c>
      <c r="K31" s="64" t="str">
        <f ca="1">IF(COUNTIFS('SEANCE 1'!$B:$B, $B31, 'SEANCE 1'!$C:$C, K$2, 'SEANCE 1'!$F:$F, K$5)=0, "", COUNTIFS('SEANCE 1'!$B:$B, $B31, 'SEANCE 1'!$C:$C, K$2, 'SEANCE 1'!$F:$F, K$5))</f>
        <v/>
      </c>
      <c r="L31" s="64" t="str">
        <f ca="1">IF(COUNTIFS('SEANCE 1'!$B:$B, $B31, 'SEANCE 1'!$C:$C, L$2, 'SEANCE 1'!$F:$F, L$5)=0, "", COUNTIFS('SEANCE 1'!$B:$B, $B31, 'SEANCE 1'!$C:$C, L$2, 'SEANCE 1'!$F:$F, L$5))</f>
        <v/>
      </c>
      <c r="M31" s="64" t="str">
        <f ca="1">IF(COUNTIFS('SEANCE 1'!$B:$B, $B31, 'SEANCE 1'!$C:$C, M$2, 'SEANCE 1'!$F:$F, M$5)=0, "", COUNTIFS('SEANCE 1'!$B:$B, $B31, 'SEANCE 1'!$C:$C, M$2, 'SEANCE 1'!$F:$F, M$5))</f>
        <v/>
      </c>
      <c r="N31" s="64" t="str">
        <f ca="1">IF(COUNTIFS('SEANCE 1'!$B:$B, $B31, 'SEANCE 1'!$C:$C, N$2, 'SEANCE 1'!$F:$F, N$5)=0, "", COUNTIFS('SEANCE 1'!$B:$B, $B31, 'SEANCE 1'!$C:$C, N$2, 'SEANCE 1'!$F:$F, N$5))</f>
        <v/>
      </c>
      <c r="O31" s="64" t="str">
        <f ca="1">IF(COUNTIFS('SEANCE 1'!$B:$B, $B31, 'SEANCE 1'!$C:$C, O$2, 'SEANCE 1'!$F:$F, O$5)=0, "", COUNTIFS('SEANCE 1'!$B:$B, $B31, 'SEANCE 1'!$C:$C, O$2, 'SEANCE 1'!$F:$F, O$5))</f>
        <v/>
      </c>
      <c r="P31" s="64" t="str">
        <f ca="1">IF(COUNTIFS('SEANCE 1'!$B:$B, $B31, 'SEANCE 1'!$C:$C, P$2, 'SEANCE 1'!$F:$F, P$5)=0, "", COUNTIFS('SEANCE 1'!$B:$B, $B31, 'SEANCE 1'!$C:$C, P$2, 'SEANCE 1'!$F:$F, P$5))</f>
        <v/>
      </c>
      <c r="Q31" s="64" t="str">
        <f ca="1">IF(COUNTIFS('SEANCE 1'!$B:$B, $B31, 'SEANCE 1'!$C:$C, Q$2, 'SEANCE 1'!$F:$F, Q$5)=0, "", COUNTIFS('SEANCE 1'!$B:$B, $B31, 'SEANCE 1'!$C:$C, Q$2, 'SEANCE 1'!$F:$F, Q$5))</f>
        <v/>
      </c>
      <c r="R31" s="64" t="str">
        <f ca="1">IF(COUNTIFS('SEANCE 1'!$B:$B, $B31, 'SEANCE 1'!$C:$C, R$2, 'SEANCE 1'!$F:$F, R$5)=0, "", COUNTIFS('SEANCE 1'!$B:$B, $B31, 'SEANCE 1'!$C:$C, R$2, 'SEANCE 1'!$F:$F, R$5))</f>
        <v/>
      </c>
      <c r="S31" s="64" t="str">
        <f ca="1">IF(COUNTIFS('SEANCE 1'!$B:$B, $B31, 'SEANCE 1'!$C:$C, S$2, 'SEANCE 1'!$F:$F, S$5)=0, "", COUNTIFS('SEANCE 1'!$B:$B, $B31, 'SEANCE 1'!$C:$C, S$2, 'SEANCE 1'!$F:$F, S$5))</f>
        <v/>
      </c>
      <c r="T31" s="64" t="str">
        <f ca="1">IF(COUNTIFS('SEANCE 1'!$B:$B, $B31, 'SEANCE 1'!$C:$C, T$2, 'SEANCE 1'!$F:$F, T$5)=0, "", COUNTIFS('SEANCE 1'!$B:$B, $B31, 'SEANCE 1'!$C:$C, T$2, 'SEANCE 1'!$F:$F, T$5))</f>
        <v/>
      </c>
      <c r="U31" s="64" t="str">
        <f ca="1">IF(COUNTIFS('SEANCE 1'!$B:$B, $B31, 'SEANCE 1'!$C:$C, U$2, 'SEANCE 1'!$F:$F, U$5)=0, "", COUNTIFS('SEANCE 1'!$B:$B, $B31, 'SEANCE 1'!$C:$C, U$2, 'SEANCE 1'!$F:$F, U$5))</f>
        <v/>
      </c>
      <c r="V31" s="64" t="str">
        <f ca="1">IF(COUNTIFS('SEANCE 1'!$B:$B, $B31, 'SEANCE 1'!$C:$C, V$2, 'SEANCE 1'!$F:$F, V$5)=0, "", COUNTIFS('SEANCE 1'!$B:$B, $B31, 'SEANCE 1'!$C:$C, V$2, 'SEANCE 1'!$F:$F, V$5))</f>
        <v/>
      </c>
      <c r="W31" s="64" t="str">
        <f ca="1">IF(COUNTIFS('SEANCE 1'!$B:$B, $B31, 'SEANCE 1'!$C:$C, W$2, 'SEANCE 1'!$F:$F, W$5)=0, "", COUNTIFS('SEANCE 1'!$B:$B, $B31, 'SEANCE 1'!$C:$C, W$2, 'SEANCE 1'!$F:$F, W$5))</f>
        <v/>
      </c>
      <c r="X31" s="64" t="str">
        <f ca="1">IF(COUNTIFS('SEANCE 1'!$B:$B, $B31, 'SEANCE 1'!$C:$C, X$2, 'SEANCE 1'!$F:$F, X$5)=0, "", COUNTIFS('SEANCE 1'!$B:$B, $B31, 'SEANCE 1'!$C:$C, X$2, 'SEANCE 1'!$F:$F, X$5))</f>
        <v/>
      </c>
      <c r="Y31" s="64" t="str">
        <f ca="1">IF(COUNTIFS('SEANCE 1'!$B:$B, $B31, 'SEANCE 1'!$C:$C, Y$2, 'SEANCE 1'!$F:$F, Y$5)=0, "", COUNTIFS('SEANCE 1'!$B:$B, $B31, 'SEANCE 1'!$C:$C, Y$2, 'SEANCE 1'!$F:$F, Y$5))</f>
        <v/>
      </c>
      <c r="Z31" s="64" t="str">
        <f ca="1">IF(COUNTIFS('SEANCE 1'!$B:$B, $B31, 'SEANCE 1'!$C:$C, Z$2, 'SEANCE 1'!$F:$F, Z$5)=0, "", COUNTIFS('SEANCE 1'!$B:$B, $B31, 'SEANCE 1'!$C:$C, Z$2, 'SEANCE 1'!$F:$F, Z$5))</f>
        <v/>
      </c>
      <c r="AA31" s="64" t="str">
        <f ca="1">IF(COUNTIFS('SEANCE 1'!$B:$B, $B31, 'SEANCE 1'!$C:$C, AA$2, 'SEANCE 1'!$F:$F, AA$5)=0, "", COUNTIFS('SEANCE 1'!$B:$B, $B31, 'SEANCE 1'!$C:$C, AA$2, 'SEANCE 1'!$F:$F, AA$5))</f>
        <v/>
      </c>
      <c r="AB31" s="64" t="str">
        <f ca="1">IF(COUNTIFS('SEANCE 1'!$B:$B, $B31, 'SEANCE 1'!$C:$C, AB$2, 'SEANCE 1'!$F:$F, AB$5)=0, "", COUNTIFS('SEANCE 1'!$B:$B, $B31, 'SEANCE 1'!$C:$C, AB$2, 'SEANCE 1'!$F:$F, AB$5))</f>
        <v/>
      </c>
      <c r="AC31" s="64" t="str">
        <f ca="1">IF(COUNTIFS('SEANCE 1'!$B:$B, $B31, 'SEANCE 1'!$C:$C, AC$2, 'SEANCE 1'!$F:$F, AC$5)=0, "", COUNTIFS('SEANCE 1'!$B:$B, $B31, 'SEANCE 1'!$C:$C, AC$2, 'SEANCE 1'!$F:$F, AC$5))</f>
        <v/>
      </c>
      <c r="AD31" s="64" t="str">
        <f ca="1">IF(COUNTIFS('SEANCE 1'!$B:$B, $B31, 'SEANCE 1'!$C:$C, AD$2, 'SEANCE 1'!$F:$F, AD$5)=0, "", COUNTIFS('SEANCE 1'!$B:$B, $B31, 'SEANCE 1'!$C:$C, AD$2, 'SEANCE 1'!$F:$F, AD$5))</f>
        <v/>
      </c>
      <c r="AE31" s="64" t="str">
        <f ca="1">IF(COUNTIFS('SEANCE 1'!$B:$B, $B31, 'SEANCE 1'!$C:$C, AE$2, 'SEANCE 1'!$F:$F, AE$5)=0, "", COUNTIFS('SEANCE 1'!$B:$B, $B31, 'SEANCE 1'!$C:$C, AE$2, 'SEANCE 1'!$F:$F, AE$5))</f>
        <v/>
      </c>
      <c r="AF31" s="64" t="str">
        <f ca="1">IF(COUNTIFS('SEANCE 1'!$B:$B, $B31, 'SEANCE 1'!$C:$C, AF$2, 'SEANCE 1'!$F:$F, AF$5)=0, "", COUNTIFS('SEANCE 1'!$B:$B, $B31, 'SEANCE 1'!$C:$C, AF$2, 'SEANCE 1'!$F:$F, AF$5))</f>
        <v/>
      </c>
      <c r="AG31" s="64" t="str">
        <f ca="1">IF(COUNTIFS('SEANCE 1'!$B:$B, $B31, 'SEANCE 1'!$C:$C, AG$2, 'SEANCE 1'!$F:$F, AG$5)=0, "", COUNTIFS('SEANCE 1'!$B:$B, $B31, 'SEANCE 1'!$C:$C, AG$2, 'SEANCE 1'!$F:$F, AG$5))</f>
        <v/>
      </c>
      <c r="AH31" s="64" t="str">
        <f ca="1">IF(COUNTIFS('SEANCE 1'!$B:$B, $B31, 'SEANCE 1'!$C:$C, AH$2, 'SEANCE 1'!$F:$F, AH$5)=0, "", COUNTIFS('SEANCE 1'!$B:$B, $B31, 'SEANCE 1'!$C:$C, AH$2, 'SEANCE 1'!$F:$F, AH$5))</f>
        <v/>
      </c>
      <c r="AI31" s="64" t="str">
        <f ca="1">IF(COUNTIFS('SEANCE 1'!$B:$B, $B31, 'SEANCE 1'!$C:$C, AI$2, 'SEANCE 1'!$F:$F, AI$5)=0, "", COUNTIFS('SEANCE 1'!$B:$B, $B31, 'SEANCE 1'!$C:$C, AI$2, 'SEANCE 1'!$F:$F, AI$5))</f>
        <v/>
      </c>
      <c r="AJ31" s="64" t="str">
        <f ca="1">IF(COUNTIFS('SEANCE 1'!$B:$B, $B31, 'SEANCE 1'!$C:$C, AJ$2, 'SEANCE 1'!$F:$F, AJ$5)=0, "", COUNTIFS('SEANCE 1'!$B:$B, $B31, 'SEANCE 1'!$C:$C, AJ$2, 'SEANCE 1'!$F:$F, AJ$5))</f>
        <v/>
      </c>
      <c r="AK31" s="64" t="str">
        <f ca="1">IF(COUNTIFS('SEANCE 1'!$B:$B, $B31, 'SEANCE 1'!$C:$C, AK$2, 'SEANCE 1'!$F:$F, AK$5)=0, "", COUNTIFS('SEANCE 1'!$B:$B, $B31, 'SEANCE 1'!$C:$C, AK$2, 'SEANCE 1'!$F:$F, AK$5))</f>
        <v/>
      </c>
      <c r="AL31" s="64" t="str">
        <f ca="1">IF(COUNTIFS('SEANCE 1'!$B:$B, $B31, 'SEANCE 1'!$C:$C, AL$2, 'SEANCE 1'!$F:$F, AL$5)=0, "", COUNTIFS('SEANCE 1'!$B:$B, $B31, 'SEANCE 1'!$C:$C, AL$2, 'SEANCE 1'!$F:$F, AL$5))</f>
        <v/>
      </c>
      <c r="AM31" s="64" t="str">
        <f ca="1">IF(COUNTIFS('SEANCE 1'!$B:$B, $B31, 'SEANCE 1'!$C:$C, AM$2, 'SEANCE 1'!$F:$F, AM$5)=0, "", COUNTIFS('SEANCE 1'!$B:$B, $B31, 'SEANCE 1'!$C:$C, AM$2, 'SEANCE 1'!$F:$F, AM$5))</f>
        <v/>
      </c>
      <c r="AN31" s="64" t="str">
        <f ca="1">IF(COUNTIFS('SEANCE 1'!$B:$B, $B31, 'SEANCE 1'!$C:$C, AN$2, 'SEANCE 1'!$F:$F, AN$5)=0, "", COUNTIFS('SEANCE 1'!$B:$B, $B31, 'SEANCE 1'!$C:$C, AN$2, 'SEANCE 1'!$F:$F, AN$5))</f>
        <v/>
      </c>
      <c r="AO31" s="64" t="str">
        <f ca="1">IF(COUNTIFS('SEANCE 1'!$B:$B, $B31, 'SEANCE 1'!$C:$C, AO$2, 'SEANCE 1'!$F:$F, AO$5)=0, "", COUNTIFS('SEANCE 1'!$B:$B, $B31, 'SEANCE 1'!$C:$C, AO$2, 'SEANCE 1'!$F:$F, AO$5))</f>
        <v/>
      </c>
      <c r="AP31" s="64" t="str">
        <f ca="1">IF(COUNTIFS('SEANCE 1'!$B:$B, $B31, 'SEANCE 1'!$C:$C, AP$2, 'SEANCE 1'!$F:$F, AP$5)=0, "", COUNTIFS('SEANCE 1'!$B:$B, $B31, 'SEANCE 1'!$C:$C, AP$2, 'SEANCE 1'!$F:$F, AP$5))</f>
        <v/>
      </c>
      <c r="AQ31" s="64" t="str">
        <f ca="1">IF(COUNTIFS('SEANCE 1'!$B:$B, $B31, 'SEANCE 1'!$C:$C, AQ$2, 'SEANCE 1'!$F:$F, AQ$5)=0, "", COUNTIFS('SEANCE 1'!$B:$B, $B31, 'SEANCE 1'!$C:$C, AQ$2, 'SEANCE 1'!$F:$F, AQ$5))</f>
        <v/>
      </c>
      <c r="AR31" s="64" t="str">
        <f ca="1">IF(COUNTIFS('SEANCE 1'!$B:$B, $B31, 'SEANCE 1'!$C:$C, AR$2, 'SEANCE 1'!$F:$F, AR$5)=0, "", COUNTIFS('SEANCE 1'!$B:$B, $B31, 'SEANCE 1'!$C:$C, AR$2, 'SEANCE 1'!$F:$F, AR$5))</f>
        <v/>
      </c>
      <c r="AS31" s="64" t="str">
        <f ca="1">IF(COUNTIFS('SEANCE 1'!$B:$B, $B31, 'SEANCE 1'!$C:$C, AS$2, 'SEANCE 1'!$F:$F, AS$5)=0, "", COUNTIFS('SEANCE 1'!$B:$B, $B31, 'SEANCE 1'!$C:$C, AS$2, 'SEANCE 1'!$F:$F, AS$5))</f>
        <v/>
      </c>
      <c r="AT31" s="64" t="str">
        <f ca="1">IF(COUNTIFS('SEANCE 1'!$B:$B, $B31, 'SEANCE 1'!$C:$C, AT$2, 'SEANCE 1'!$F:$F, AT$5)=0, "", COUNTIFS('SEANCE 1'!$B:$B, $B31, 'SEANCE 1'!$C:$C, AT$2, 'SEANCE 1'!$F:$F, AT$5))</f>
        <v/>
      </c>
      <c r="AU31" s="64" t="str">
        <f ca="1">IF(COUNTIFS('SEANCE 1'!$B:$B, $B31, 'SEANCE 1'!$C:$C, AU$2, 'SEANCE 1'!$F:$F, AU$5)=0, "", COUNTIFS('SEANCE 1'!$B:$B, $B31, 'SEANCE 1'!$C:$C, AU$2, 'SEANCE 1'!$F:$F, AU$5))</f>
        <v/>
      </c>
      <c r="AV31" s="64" t="str">
        <f ca="1">IF(COUNTIFS('SEANCE 1'!$B:$B, $B31, 'SEANCE 1'!$C:$C, AV$2, 'SEANCE 1'!$F:$F, AV$5)=0, "", COUNTIFS('SEANCE 1'!$B:$B, $B31, 'SEANCE 1'!$C:$C, AV$2, 'SEANCE 1'!$F:$F, AV$5))</f>
        <v/>
      </c>
      <c r="AW31" s="64" t="str">
        <f ca="1">IF(COUNTIFS('SEANCE 1'!$B:$B, $B31, 'SEANCE 1'!$C:$C, AW$2, 'SEANCE 1'!$F:$F, AW$5)=0, "", COUNTIFS('SEANCE 1'!$B:$B, $B31, 'SEANCE 1'!$C:$C, AW$2, 'SEANCE 1'!$F:$F, AW$5))</f>
        <v/>
      </c>
      <c r="AX31" s="64" t="str">
        <f ca="1">IF(COUNTIFS('SEANCE 1'!$B:$B, $B31, 'SEANCE 1'!$C:$C, AX$2, 'SEANCE 1'!$F:$F, AX$5)=0, "", COUNTIFS('SEANCE 1'!$B:$B, $B31, 'SEANCE 1'!$C:$C, AX$2, 'SEANCE 1'!$F:$F, AX$5))</f>
        <v/>
      </c>
      <c r="AY31" s="64" t="str">
        <f ca="1">IF(COUNTIFS('SEANCE 1'!$B:$B, $B31, 'SEANCE 1'!$C:$C, AY$2, 'SEANCE 1'!$F:$F, AY$5)=0, "", COUNTIFS('SEANCE 1'!$B:$B, $B31, 'SEANCE 1'!$C:$C, AY$2, 'SEANCE 1'!$F:$F, AY$5))</f>
        <v/>
      </c>
      <c r="AZ31" s="32">
        <f t="shared" ca="1" si="0"/>
        <v>0</v>
      </c>
    </row>
    <row r="32" spans="1:52">
      <c r="A32" s="44" t="str">
        <f>IF('SEANCE 1'!$B28&lt;&gt;"",'SEANCE 1'!$A28,"")</f>
        <v/>
      </c>
      <c r="B32" s="44" t="str">
        <f t="array" aca="1" ref="B32" ca="1">IF(ISNA(INDEX(ListeB,MATCH(0,COUNTIF($B$5:B31,ListeB),0))),"",INDEX(ListeB,MATCH(0,COUNTIF($B$5:B31,ListeB),0)))</f>
        <v/>
      </c>
      <c r="C32" s="64" t="str">
        <f ca="1">IF(COUNTIFS('SEANCE 1'!$B:$B, $B32, 'SEANCE 1'!$C:$C, C$2, 'SEANCE 1'!$F:$F, C$5)=0, "", COUNTIFS('SEANCE 1'!$B:$B, $B32, 'SEANCE 1'!$C:$C, C$2, 'SEANCE 1'!$F:$F, C$5))</f>
        <v/>
      </c>
      <c r="D32" s="64" t="str">
        <f ca="1">IF(COUNTIFS('SEANCE 1'!$B:$B, $B32, 'SEANCE 1'!$C:$C, D$2, 'SEANCE 1'!$F:$F, D$5)=0, "", COUNTIFS('SEANCE 1'!$B:$B, $B32, 'SEANCE 1'!$C:$C, D$2, 'SEANCE 1'!$F:$F, D$5))</f>
        <v/>
      </c>
      <c r="E32" s="64" t="str">
        <f ca="1">IF(COUNTIFS('SEANCE 1'!$B:$B, $B32, 'SEANCE 1'!$C:$C, E$2, 'SEANCE 1'!$F:$F, E$5)=0, "", COUNTIFS('SEANCE 1'!$B:$B, $B32, 'SEANCE 1'!$C:$C, E$2, 'SEANCE 1'!$F:$F, E$5))</f>
        <v/>
      </c>
      <c r="F32" s="64" t="str">
        <f ca="1">IF(COUNTIFS('SEANCE 1'!$B:$B, $B32, 'SEANCE 1'!$C:$C, F$2, 'SEANCE 1'!$F:$F, F$5)=0, "", COUNTIFS('SEANCE 1'!$B:$B, $B32, 'SEANCE 1'!$C:$C, F$2, 'SEANCE 1'!$F:$F, F$5))</f>
        <v/>
      </c>
      <c r="G32" s="64" t="str">
        <f ca="1">IF(COUNTIFS('SEANCE 1'!$B:$B, $B32, 'SEANCE 1'!$C:$C, G$2, 'SEANCE 1'!$F:$F, G$5)=0, "", COUNTIFS('SEANCE 1'!$B:$B, $B32, 'SEANCE 1'!$C:$C, G$2, 'SEANCE 1'!$F:$F, G$5))</f>
        <v/>
      </c>
      <c r="H32" s="64" t="str">
        <f ca="1">IF(COUNTIFS('SEANCE 1'!$B:$B, $B32, 'SEANCE 1'!$C:$C, H$2, 'SEANCE 1'!$F:$F, H$5)=0, "", COUNTIFS('SEANCE 1'!$B:$B, $B32, 'SEANCE 1'!$C:$C, H$2, 'SEANCE 1'!$F:$F, H$5))</f>
        <v/>
      </c>
      <c r="I32" s="64" t="str">
        <f ca="1">IF(COUNTIFS('SEANCE 1'!$B:$B, $B32, 'SEANCE 1'!$C:$C, I$2, 'SEANCE 1'!$F:$F, I$5)=0, "", COUNTIFS('SEANCE 1'!$B:$B, $B32, 'SEANCE 1'!$C:$C, I$2, 'SEANCE 1'!$F:$F, I$5))</f>
        <v/>
      </c>
      <c r="J32" s="64" t="str">
        <f ca="1">IF(COUNTIFS('SEANCE 1'!$B:$B, $B32, 'SEANCE 1'!$C:$C, J$2, 'SEANCE 1'!$F:$F, J$5)=0, "", COUNTIFS('SEANCE 1'!$B:$B, $B32, 'SEANCE 1'!$C:$C, J$2, 'SEANCE 1'!$F:$F, J$5))</f>
        <v/>
      </c>
      <c r="K32" s="64" t="str">
        <f ca="1">IF(COUNTIFS('SEANCE 1'!$B:$B, $B32, 'SEANCE 1'!$C:$C, K$2, 'SEANCE 1'!$F:$F, K$5)=0, "", COUNTIFS('SEANCE 1'!$B:$B, $B32, 'SEANCE 1'!$C:$C, K$2, 'SEANCE 1'!$F:$F, K$5))</f>
        <v/>
      </c>
      <c r="L32" s="64" t="str">
        <f ca="1">IF(COUNTIFS('SEANCE 1'!$B:$B, $B32, 'SEANCE 1'!$C:$C, L$2, 'SEANCE 1'!$F:$F, L$5)=0, "", COUNTIFS('SEANCE 1'!$B:$B, $B32, 'SEANCE 1'!$C:$C, L$2, 'SEANCE 1'!$F:$F, L$5))</f>
        <v/>
      </c>
      <c r="M32" s="64" t="str">
        <f ca="1">IF(COUNTIFS('SEANCE 1'!$B:$B, $B32, 'SEANCE 1'!$C:$C, M$2, 'SEANCE 1'!$F:$F, M$5)=0, "", COUNTIFS('SEANCE 1'!$B:$B, $B32, 'SEANCE 1'!$C:$C, M$2, 'SEANCE 1'!$F:$F, M$5))</f>
        <v/>
      </c>
      <c r="N32" s="64" t="str">
        <f ca="1">IF(COUNTIFS('SEANCE 1'!$B:$B, $B32, 'SEANCE 1'!$C:$C, N$2, 'SEANCE 1'!$F:$F, N$5)=0, "", COUNTIFS('SEANCE 1'!$B:$B, $B32, 'SEANCE 1'!$C:$C, N$2, 'SEANCE 1'!$F:$F, N$5))</f>
        <v/>
      </c>
      <c r="O32" s="64" t="str">
        <f ca="1">IF(COUNTIFS('SEANCE 1'!$B:$B, $B32, 'SEANCE 1'!$C:$C, O$2, 'SEANCE 1'!$F:$F, O$5)=0, "", COUNTIFS('SEANCE 1'!$B:$B, $B32, 'SEANCE 1'!$C:$C, O$2, 'SEANCE 1'!$F:$F, O$5))</f>
        <v/>
      </c>
      <c r="P32" s="64" t="str">
        <f ca="1">IF(COUNTIFS('SEANCE 1'!$B:$B, $B32, 'SEANCE 1'!$C:$C, P$2, 'SEANCE 1'!$F:$F, P$5)=0, "", COUNTIFS('SEANCE 1'!$B:$B, $B32, 'SEANCE 1'!$C:$C, P$2, 'SEANCE 1'!$F:$F, P$5))</f>
        <v/>
      </c>
      <c r="Q32" s="64" t="str">
        <f ca="1">IF(COUNTIFS('SEANCE 1'!$B:$B, $B32, 'SEANCE 1'!$C:$C, Q$2, 'SEANCE 1'!$F:$F, Q$5)=0, "", COUNTIFS('SEANCE 1'!$B:$B, $B32, 'SEANCE 1'!$C:$C, Q$2, 'SEANCE 1'!$F:$F, Q$5))</f>
        <v/>
      </c>
      <c r="R32" s="64" t="str">
        <f ca="1">IF(COUNTIFS('SEANCE 1'!$B:$B, $B32, 'SEANCE 1'!$C:$C, R$2, 'SEANCE 1'!$F:$F, R$5)=0, "", COUNTIFS('SEANCE 1'!$B:$B, $B32, 'SEANCE 1'!$C:$C, R$2, 'SEANCE 1'!$F:$F, R$5))</f>
        <v/>
      </c>
      <c r="S32" s="64" t="str">
        <f ca="1">IF(COUNTIFS('SEANCE 1'!$B:$B, $B32, 'SEANCE 1'!$C:$C, S$2, 'SEANCE 1'!$F:$F, S$5)=0, "", COUNTIFS('SEANCE 1'!$B:$B, $B32, 'SEANCE 1'!$C:$C, S$2, 'SEANCE 1'!$F:$F, S$5))</f>
        <v/>
      </c>
      <c r="T32" s="64" t="str">
        <f ca="1">IF(COUNTIFS('SEANCE 1'!$B:$B, $B32, 'SEANCE 1'!$C:$C, T$2, 'SEANCE 1'!$F:$F, T$5)=0, "", COUNTIFS('SEANCE 1'!$B:$B, $B32, 'SEANCE 1'!$C:$C, T$2, 'SEANCE 1'!$F:$F, T$5))</f>
        <v/>
      </c>
      <c r="U32" s="64" t="str">
        <f ca="1">IF(COUNTIFS('SEANCE 1'!$B:$B, $B32, 'SEANCE 1'!$C:$C, U$2, 'SEANCE 1'!$F:$F, U$5)=0, "", COUNTIFS('SEANCE 1'!$B:$B, $B32, 'SEANCE 1'!$C:$C, U$2, 'SEANCE 1'!$F:$F, U$5))</f>
        <v/>
      </c>
      <c r="V32" s="64" t="str">
        <f ca="1">IF(COUNTIFS('SEANCE 1'!$B:$B, $B32, 'SEANCE 1'!$C:$C, V$2, 'SEANCE 1'!$F:$F, V$5)=0, "", COUNTIFS('SEANCE 1'!$B:$B, $B32, 'SEANCE 1'!$C:$C, V$2, 'SEANCE 1'!$F:$F, V$5))</f>
        <v/>
      </c>
      <c r="W32" s="64" t="str">
        <f ca="1">IF(COUNTIFS('SEANCE 1'!$B:$B, $B32, 'SEANCE 1'!$C:$C, W$2, 'SEANCE 1'!$F:$F, W$5)=0, "", COUNTIFS('SEANCE 1'!$B:$B, $B32, 'SEANCE 1'!$C:$C, W$2, 'SEANCE 1'!$F:$F, W$5))</f>
        <v/>
      </c>
      <c r="X32" s="64" t="str">
        <f ca="1">IF(COUNTIFS('SEANCE 1'!$B:$B, $B32, 'SEANCE 1'!$C:$C, X$2, 'SEANCE 1'!$F:$F, X$5)=0, "", COUNTIFS('SEANCE 1'!$B:$B, $B32, 'SEANCE 1'!$C:$C, X$2, 'SEANCE 1'!$F:$F, X$5))</f>
        <v/>
      </c>
      <c r="Y32" s="64" t="str">
        <f ca="1">IF(COUNTIFS('SEANCE 1'!$B:$B, $B32, 'SEANCE 1'!$C:$C, Y$2, 'SEANCE 1'!$F:$F, Y$5)=0, "", COUNTIFS('SEANCE 1'!$B:$B, $B32, 'SEANCE 1'!$C:$C, Y$2, 'SEANCE 1'!$F:$F, Y$5))</f>
        <v/>
      </c>
      <c r="Z32" s="64" t="str">
        <f ca="1">IF(COUNTIFS('SEANCE 1'!$B:$B, $B32, 'SEANCE 1'!$C:$C, Z$2, 'SEANCE 1'!$F:$F, Z$5)=0, "", COUNTIFS('SEANCE 1'!$B:$B, $B32, 'SEANCE 1'!$C:$C, Z$2, 'SEANCE 1'!$F:$F, Z$5))</f>
        <v/>
      </c>
      <c r="AA32" s="64" t="str">
        <f ca="1">IF(COUNTIFS('SEANCE 1'!$B:$B, $B32, 'SEANCE 1'!$C:$C, AA$2, 'SEANCE 1'!$F:$F, AA$5)=0, "", COUNTIFS('SEANCE 1'!$B:$B, $B32, 'SEANCE 1'!$C:$C, AA$2, 'SEANCE 1'!$F:$F, AA$5))</f>
        <v/>
      </c>
      <c r="AB32" s="64" t="str">
        <f ca="1">IF(COUNTIFS('SEANCE 1'!$B:$B, $B32, 'SEANCE 1'!$C:$C, AB$2, 'SEANCE 1'!$F:$F, AB$5)=0, "", COUNTIFS('SEANCE 1'!$B:$B, $B32, 'SEANCE 1'!$C:$C, AB$2, 'SEANCE 1'!$F:$F, AB$5))</f>
        <v/>
      </c>
      <c r="AC32" s="64" t="str">
        <f ca="1">IF(COUNTIFS('SEANCE 1'!$B:$B, $B32, 'SEANCE 1'!$C:$C, AC$2, 'SEANCE 1'!$F:$F, AC$5)=0, "", COUNTIFS('SEANCE 1'!$B:$B, $B32, 'SEANCE 1'!$C:$C, AC$2, 'SEANCE 1'!$F:$F, AC$5))</f>
        <v/>
      </c>
      <c r="AD32" s="64" t="str">
        <f ca="1">IF(COUNTIFS('SEANCE 1'!$B:$B, $B32, 'SEANCE 1'!$C:$C, AD$2, 'SEANCE 1'!$F:$F, AD$5)=0, "", COUNTIFS('SEANCE 1'!$B:$B, $B32, 'SEANCE 1'!$C:$C, AD$2, 'SEANCE 1'!$F:$F, AD$5))</f>
        <v/>
      </c>
      <c r="AE32" s="64" t="str">
        <f ca="1">IF(COUNTIFS('SEANCE 1'!$B:$B, $B32, 'SEANCE 1'!$C:$C, AE$2, 'SEANCE 1'!$F:$F, AE$5)=0, "", COUNTIFS('SEANCE 1'!$B:$B, $B32, 'SEANCE 1'!$C:$C, AE$2, 'SEANCE 1'!$F:$F, AE$5))</f>
        <v/>
      </c>
      <c r="AF32" s="64" t="str">
        <f ca="1">IF(COUNTIFS('SEANCE 1'!$B:$B, $B32, 'SEANCE 1'!$C:$C, AF$2, 'SEANCE 1'!$F:$F, AF$5)=0, "", COUNTIFS('SEANCE 1'!$B:$B, $B32, 'SEANCE 1'!$C:$C, AF$2, 'SEANCE 1'!$F:$F, AF$5))</f>
        <v/>
      </c>
      <c r="AG32" s="64" t="str">
        <f ca="1">IF(COUNTIFS('SEANCE 1'!$B:$B, $B32, 'SEANCE 1'!$C:$C, AG$2, 'SEANCE 1'!$F:$F, AG$5)=0, "", COUNTIFS('SEANCE 1'!$B:$B, $B32, 'SEANCE 1'!$C:$C, AG$2, 'SEANCE 1'!$F:$F, AG$5))</f>
        <v/>
      </c>
      <c r="AH32" s="64" t="str">
        <f ca="1">IF(COUNTIFS('SEANCE 1'!$B:$B, $B32, 'SEANCE 1'!$C:$C, AH$2, 'SEANCE 1'!$F:$F, AH$5)=0, "", COUNTIFS('SEANCE 1'!$B:$B, $B32, 'SEANCE 1'!$C:$C, AH$2, 'SEANCE 1'!$F:$F, AH$5))</f>
        <v/>
      </c>
      <c r="AI32" s="64" t="str">
        <f ca="1">IF(COUNTIFS('SEANCE 1'!$B:$B, $B32, 'SEANCE 1'!$C:$C, AI$2, 'SEANCE 1'!$F:$F, AI$5)=0, "", COUNTIFS('SEANCE 1'!$B:$B, $B32, 'SEANCE 1'!$C:$C, AI$2, 'SEANCE 1'!$F:$F, AI$5))</f>
        <v/>
      </c>
      <c r="AJ32" s="64" t="str">
        <f ca="1">IF(COUNTIFS('SEANCE 1'!$B:$B, $B32, 'SEANCE 1'!$C:$C, AJ$2, 'SEANCE 1'!$F:$F, AJ$5)=0, "", COUNTIFS('SEANCE 1'!$B:$B, $B32, 'SEANCE 1'!$C:$C, AJ$2, 'SEANCE 1'!$F:$F, AJ$5))</f>
        <v/>
      </c>
      <c r="AK32" s="64" t="str">
        <f ca="1">IF(COUNTIFS('SEANCE 1'!$B:$B, $B32, 'SEANCE 1'!$C:$C, AK$2, 'SEANCE 1'!$F:$F, AK$5)=0, "", COUNTIFS('SEANCE 1'!$B:$B, $B32, 'SEANCE 1'!$C:$C, AK$2, 'SEANCE 1'!$F:$F, AK$5))</f>
        <v/>
      </c>
      <c r="AL32" s="64" t="str">
        <f ca="1">IF(COUNTIFS('SEANCE 1'!$B:$B, $B32, 'SEANCE 1'!$C:$C, AL$2, 'SEANCE 1'!$F:$F, AL$5)=0, "", COUNTIFS('SEANCE 1'!$B:$B, $B32, 'SEANCE 1'!$C:$C, AL$2, 'SEANCE 1'!$F:$F, AL$5))</f>
        <v/>
      </c>
      <c r="AM32" s="64" t="str">
        <f ca="1">IF(COUNTIFS('SEANCE 1'!$B:$B, $B32, 'SEANCE 1'!$C:$C, AM$2, 'SEANCE 1'!$F:$F, AM$5)=0, "", COUNTIFS('SEANCE 1'!$B:$B, $B32, 'SEANCE 1'!$C:$C, AM$2, 'SEANCE 1'!$F:$F, AM$5))</f>
        <v/>
      </c>
      <c r="AN32" s="64" t="str">
        <f ca="1">IF(COUNTIFS('SEANCE 1'!$B:$B, $B32, 'SEANCE 1'!$C:$C, AN$2, 'SEANCE 1'!$F:$F, AN$5)=0, "", COUNTIFS('SEANCE 1'!$B:$B, $B32, 'SEANCE 1'!$C:$C, AN$2, 'SEANCE 1'!$F:$F, AN$5))</f>
        <v/>
      </c>
      <c r="AO32" s="64" t="str">
        <f ca="1">IF(COUNTIFS('SEANCE 1'!$B:$B, $B32, 'SEANCE 1'!$C:$C, AO$2, 'SEANCE 1'!$F:$F, AO$5)=0, "", COUNTIFS('SEANCE 1'!$B:$B, $B32, 'SEANCE 1'!$C:$C, AO$2, 'SEANCE 1'!$F:$F, AO$5))</f>
        <v/>
      </c>
      <c r="AP32" s="64" t="str">
        <f ca="1">IF(COUNTIFS('SEANCE 1'!$B:$B, $B32, 'SEANCE 1'!$C:$C, AP$2, 'SEANCE 1'!$F:$F, AP$5)=0, "", COUNTIFS('SEANCE 1'!$B:$B, $B32, 'SEANCE 1'!$C:$C, AP$2, 'SEANCE 1'!$F:$F, AP$5))</f>
        <v/>
      </c>
      <c r="AQ32" s="64" t="str">
        <f ca="1">IF(COUNTIFS('SEANCE 1'!$B:$B, $B32, 'SEANCE 1'!$C:$C, AQ$2, 'SEANCE 1'!$F:$F, AQ$5)=0, "", COUNTIFS('SEANCE 1'!$B:$B, $B32, 'SEANCE 1'!$C:$C, AQ$2, 'SEANCE 1'!$F:$F, AQ$5))</f>
        <v/>
      </c>
      <c r="AR32" s="64" t="str">
        <f ca="1">IF(COUNTIFS('SEANCE 1'!$B:$B, $B32, 'SEANCE 1'!$C:$C, AR$2, 'SEANCE 1'!$F:$F, AR$5)=0, "", COUNTIFS('SEANCE 1'!$B:$B, $B32, 'SEANCE 1'!$C:$C, AR$2, 'SEANCE 1'!$F:$F, AR$5))</f>
        <v/>
      </c>
      <c r="AS32" s="64" t="str">
        <f ca="1">IF(COUNTIFS('SEANCE 1'!$B:$B, $B32, 'SEANCE 1'!$C:$C, AS$2, 'SEANCE 1'!$F:$F, AS$5)=0, "", COUNTIFS('SEANCE 1'!$B:$B, $B32, 'SEANCE 1'!$C:$C, AS$2, 'SEANCE 1'!$F:$F, AS$5))</f>
        <v/>
      </c>
      <c r="AT32" s="64" t="str">
        <f ca="1">IF(COUNTIFS('SEANCE 1'!$B:$B, $B32, 'SEANCE 1'!$C:$C, AT$2, 'SEANCE 1'!$F:$F, AT$5)=0, "", COUNTIFS('SEANCE 1'!$B:$B, $B32, 'SEANCE 1'!$C:$C, AT$2, 'SEANCE 1'!$F:$F, AT$5))</f>
        <v/>
      </c>
      <c r="AU32" s="64" t="str">
        <f ca="1">IF(COUNTIFS('SEANCE 1'!$B:$B, $B32, 'SEANCE 1'!$C:$C, AU$2, 'SEANCE 1'!$F:$F, AU$5)=0, "", COUNTIFS('SEANCE 1'!$B:$B, $B32, 'SEANCE 1'!$C:$C, AU$2, 'SEANCE 1'!$F:$F, AU$5))</f>
        <v/>
      </c>
      <c r="AV32" s="64" t="str">
        <f ca="1">IF(COUNTIFS('SEANCE 1'!$B:$B, $B32, 'SEANCE 1'!$C:$C, AV$2, 'SEANCE 1'!$F:$F, AV$5)=0, "", COUNTIFS('SEANCE 1'!$B:$B, $B32, 'SEANCE 1'!$C:$C, AV$2, 'SEANCE 1'!$F:$F, AV$5))</f>
        <v/>
      </c>
      <c r="AW32" s="64" t="str">
        <f ca="1">IF(COUNTIFS('SEANCE 1'!$B:$B, $B32, 'SEANCE 1'!$C:$C, AW$2, 'SEANCE 1'!$F:$F, AW$5)=0, "", COUNTIFS('SEANCE 1'!$B:$B, $B32, 'SEANCE 1'!$C:$C, AW$2, 'SEANCE 1'!$F:$F, AW$5))</f>
        <v/>
      </c>
      <c r="AX32" s="64" t="str">
        <f ca="1">IF(COUNTIFS('SEANCE 1'!$B:$B, $B32, 'SEANCE 1'!$C:$C, AX$2, 'SEANCE 1'!$F:$F, AX$5)=0, "", COUNTIFS('SEANCE 1'!$B:$B, $B32, 'SEANCE 1'!$C:$C, AX$2, 'SEANCE 1'!$F:$F, AX$5))</f>
        <v/>
      </c>
      <c r="AY32" s="64" t="str">
        <f ca="1">IF(COUNTIFS('SEANCE 1'!$B:$B, $B32, 'SEANCE 1'!$C:$C, AY$2, 'SEANCE 1'!$F:$F, AY$5)=0, "", COUNTIFS('SEANCE 1'!$B:$B, $B32, 'SEANCE 1'!$C:$C, AY$2, 'SEANCE 1'!$F:$F, AY$5))</f>
        <v/>
      </c>
      <c r="AZ32" s="32">
        <f t="shared" ca="1" si="0"/>
        <v>0</v>
      </c>
    </row>
    <row r="33" spans="1:52">
      <c r="A33" s="44" t="str">
        <f>IF('SEANCE 1'!$B29&lt;&gt;"",'SEANCE 1'!$A29,"")</f>
        <v/>
      </c>
      <c r="B33" s="44" t="str">
        <f t="array" aca="1" ref="B33" ca="1">IF(ISNA(INDEX(ListeB,MATCH(0,COUNTIF($B$5:B32,ListeB),0))),"",INDEX(ListeB,MATCH(0,COUNTIF($B$5:B32,ListeB),0)))</f>
        <v/>
      </c>
      <c r="C33" s="64" t="str">
        <f ca="1">IF(COUNTIFS('SEANCE 1'!$B:$B, $B33, 'SEANCE 1'!$C:$C, C$2, 'SEANCE 1'!$F:$F, C$5)=0, "", COUNTIFS('SEANCE 1'!$B:$B, $B33, 'SEANCE 1'!$C:$C, C$2, 'SEANCE 1'!$F:$F, C$5))</f>
        <v/>
      </c>
      <c r="D33" s="64" t="str">
        <f ca="1">IF(COUNTIFS('SEANCE 1'!$B:$B, $B33, 'SEANCE 1'!$C:$C, D$2, 'SEANCE 1'!$F:$F, D$5)=0, "", COUNTIFS('SEANCE 1'!$B:$B, $B33, 'SEANCE 1'!$C:$C, D$2, 'SEANCE 1'!$F:$F, D$5))</f>
        <v/>
      </c>
      <c r="E33" s="64" t="str">
        <f ca="1">IF(COUNTIFS('SEANCE 1'!$B:$B, $B33, 'SEANCE 1'!$C:$C, E$2, 'SEANCE 1'!$F:$F, E$5)=0, "", COUNTIFS('SEANCE 1'!$B:$B, $B33, 'SEANCE 1'!$C:$C, E$2, 'SEANCE 1'!$F:$F, E$5))</f>
        <v/>
      </c>
      <c r="F33" s="64" t="str">
        <f ca="1">IF(COUNTIFS('SEANCE 1'!$B:$B, $B33, 'SEANCE 1'!$C:$C, F$2, 'SEANCE 1'!$F:$F, F$5)=0, "", COUNTIFS('SEANCE 1'!$B:$B, $B33, 'SEANCE 1'!$C:$C, F$2, 'SEANCE 1'!$F:$F, F$5))</f>
        <v/>
      </c>
      <c r="G33" s="64" t="str">
        <f ca="1">IF(COUNTIFS('SEANCE 1'!$B:$B, $B33, 'SEANCE 1'!$C:$C, G$2, 'SEANCE 1'!$F:$F, G$5)=0, "", COUNTIFS('SEANCE 1'!$B:$B, $B33, 'SEANCE 1'!$C:$C, G$2, 'SEANCE 1'!$F:$F, G$5))</f>
        <v/>
      </c>
      <c r="H33" s="64" t="str">
        <f ca="1">IF(COUNTIFS('SEANCE 1'!$B:$B, $B33, 'SEANCE 1'!$C:$C, H$2, 'SEANCE 1'!$F:$F, H$5)=0, "", COUNTIFS('SEANCE 1'!$B:$B, $B33, 'SEANCE 1'!$C:$C, H$2, 'SEANCE 1'!$F:$F, H$5))</f>
        <v/>
      </c>
      <c r="I33" s="64" t="str">
        <f ca="1">IF(COUNTIFS('SEANCE 1'!$B:$B, $B33, 'SEANCE 1'!$C:$C, I$2, 'SEANCE 1'!$F:$F, I$5)=0, "", COUNTIFS('SEANCE 1'!$B:$B, $B33, 'SEANCE 1'!$C:$C, I$2, 'SEANCE 1'!$F:$F, I$5))</f>
        <v/>
      </c>
      <c r="J33" s="64" t="str">
        <f ca="1">IF(COUNTIFS('SEANCE 1'!$B:$B, $B33, 'SEANCE 1'!$C:$C, J$2, 'SEANCE 1'!$F:$F, J$5)=0, "", COUNTIFS('SEANCE 1'!$B:$B, $B33, 'SEANCE 1'!$C:$C, J$2, 'SEANCE 1'!$F:$F, J$5))</f>
        <v/>
      </c>
      <c r="K33" s="64" t="str">
        <f ca="1">IF(COUNTIFS('SEANCE 1'!$B:$B, $B33, 'SEANCE 1'!$C:$C, K$2, 'SEANCE 1'!$F:$F, K$5)=0, "", COUNTIFS('SEANCE 1'!$B:$B, $B33, 'SEANCE 1'!$C:$C, K$2, 'SEANCE 1'!$F:$F, K$5))</f>
        <v/>
      </c>
      <c r="L33" s="64" t="str">
        <f ca="1">IF(COUNTIFS('SEANCE 1'!$B:$B, $B33, 'SEANCE 1'!$C:$C, L$2, 'SEANCE 1'!$F:$F, L$5)=0, "", COUNTIFS('SEANCE 1'!$B:$B, $B33, 'SEANCE 1'!$C:$C, L$2, 'SEANCE 1'!$F:$F, L$5))</f>
        <v/>
      </c>
      <c r="M33" s="64" t="str">
        <f ca="1">IF(COUNTIFS('SEANCE 1'!$B:$B, $B33, 'SEANCE 1'!$C:$C, M$2, 'SEANCE 1'!$F:$F, M$5)=0, "", COUNTIFS('SEANCE 1'!$B:$B, $B33, 'SEANCE 1'!$C:$C, M$2, 'SEANCE 1'!$F:$F, M$5))</f>
        <v/>
      </c>
      <c r="N33" s="64" t="str">
        <f ca="1">IF(COUNTIFS('SEANCE 1'!$B:$B, $B33, 'SEANCE 1'!$C:$C, N$2, 'SEANCE 1'!$F:$F, N$5)=0, "", COUNTIFS('SEANCE 1'!$B:$B, $B33, 'SEANCE 1'!$C:$C, N$2, 'SEANCE 1'!$F:$F, N$5))</f>
        <v/>
      </c>
      <c r="O33" s="64" t="str">
        <f ca="1">IF(COUNTIFS('SEANCE 1'!$B:$B, $B33, 'SEANCE 1'!$C:$C, O$2, 'SEANCE 1'!$F:$F, O$5)=0, "", COUNTIFS('SEANCE 1'!$B:$B, $B33, 'SEANCE 1'!$C:$C, O$2, 'SEANCE 1'!$F:$F, O$5))</f>
        <v/>
      </c>
      <c r="P33" s="64" t="str">
        <f ca="1">IF(COUNTIFS('SEANCE 1'!$B:$B, $B33, 'SEANCE 1'!$C:$C, P$2, 'SEANCE 1'!$F:$F, P$5)=0, "", COUNTIFS('SEANCE 1'!$B:$B, $B33, 'SEANCE 1'!$C:$C, P$2, 'SEANCE 1'!$F:$F, P$5))</f>
        <v/>
      </c>
      <c r="Q33" s="64" t="str">
        <f ca="1">IF(COUNTIFS('SEANCE 1'!$B:$B, $B33, 'SEANCE 1'!$C:$C, Q$2, 'SEANCE 1'!$F:$F, Q$5)=0, "", COUNTIFS('SEANCE 1'!$B:$B, $B33, 'SEANCE 1'!$C:$C, Q$2, 'SEANCE 1'!$F:$F, Q$5))</f>
        <v/>
      </c>
      <c r="R33" s="64" t="str">
        <f ca="1">IF(COUNTIFS('SEANCE 1'!$B:$B, $B33, 'SEANCE 1'!$C:$C, R$2, 'SEANCE 1'!$F:$F, R$5)=0, "", COUNTIFS('SEANCE 1'!$B:$B, $B33, 'SEANCE 1'!$C:$C, R$2, 'SEANCE 1'!$F:$F, R$5))</f>
        <v/>
      </c>
      <c r="S33" s="64" t="str">
        <f ca="1">IF(COUNTIFS('SEANCE 1'!$B:$B, $B33, 'SEANCE 1'!$C:$C, S$2, 'SEANCE 1'!$F:$F, S$5)=0, "", COUNTIFS('SEANCE 1'!$B:$B, $B33, 'SEANCE 1'!$C:$C, S$2, 'SEANCE 1'!$F:$F, S$5))</f>
        <v/>
      </c>
      <c r="T33" s="64" t="str">
        <f ca="1">IF(COUNTIFS('SEANCE 1'!$B:$B, $B33, 'SEANCE 1'!$C:$C, T$2, 'SEANCE 1'!$F:$F, T$5)=0, "", COUNTIFS('SEANCE 1'!$B:$B, $B33, 'SEANCE 1'!$C:$C, T$2, 'SEANCE 1'!$F:$F, T$5))</f>
        <v/>
      </c>
      <c r="U33" s="64" t="str">
        <f ca="1">IF(COUNTIFS('SEANCE 1'!$B:$B, $B33, 'SEANCE 1'!$C:$C, U$2, 'SEANCE 1'!$F:$F, U$5)=0, "", COUNTIFS('SEANCE 1'!$B:$B, $B33, 'SEANCE 1'!$C:$C, U$2, 'SEANCE 1'!$F:$F, U$5))</f>
        <v/>
      </c>
      <c r="V33" s="64" t="str">
        <f ca="1">IF(COUNTIFS('SEANCE 1'!$B:$B, $B33, 'SEANCE 1'!$C:$C, V$2, 'SEANCE 1'!$F:$F, V$5)=0, "", COUNTIFS('SEANCE 1'!$B:$B, $B33, 'SEANCE 1'!$C:$C, V$2, 'SEANCE 1'!$F:$F, V$5))</f>
        <v/>
      </c>
      <c r="W33" s="64" t="str">
        <f ca="1">IF(COUNTIFS('SEANCE 1'!$B:$B, $B33, 'SEANCE 1'!$C:$C, W$2, 'SEANCE 1'!$F:$F, W$5)=0, "", COUNTIFS('SEANCE 1'!$B:$B, $B33, 'SEANCE 1'!$C:$C, W$2, 'SEANCE 1'!$F:$F, W$5))</f>
        <v/>
      </c>
      <c r="X33" s="64" t="str">
        <f ca="1">IF(COUNTIFS('SEANCE 1'!$B:$B, $B33, 'SEANCE 1'!$C:$C, X$2, 'SEANCE 1'!$F:$F, X$5)=0, "", COUNTIFS('SEANCE 1'!$B:$B, $B33, 'SEANCE 1'!$C:$C, X$2, 'SEANCE 1'!$F:$F, X$5))</f>
        <v/>
      </c>
      <c r="Y33" s="64" t="str">
        <f ca="1">IF(COUNTIFS('SEANCE 1'!$B:$B, $B33, 'SEANCE 1'!$C:$C, Y$2, 'SEANCE 1'!$F:$F, Y$5)=0, "", COUNTIFS('SEANCE 1'!$B:$B, $B33, 'SEANCE 1'!$C:$C, Y$2, 'SEANCE 1'!$F:$F, Y$5))</f>
        <v/>
      </c>
      <c r="Z33" s="64" t="str">
        <f ca="1">IF(COUNTIFS('SEANCE 1'!$B:$B, $B33, 'SEANCE 1'!$C:$C, Z$2, 'SEANCE 1'!$F:$F, Z$5)=0, "", COUNTIFS('SEANCE 1'!$B:$B, $B33, 'SEANCE 1'!$C:$C, Z$2, 'SEANCE 1'!$F:$F, Z$5))</f>
        <v/>
      </c>
      <c r="AA33" s="64" t="str">
        <f ca="1">IF(COUNTIFS('SEANCE 1'!$B:$B, $B33, 'SEANCE 1'!$C:$C, AA$2, 'SEANCE 1'!$F:$F, AA$5)=0, "", COUNTIFS('SEANCE 1'!$B:$B, $B33, 'SEANCE 1'!$C:$C, AA$2, 'SEANCE 1'!$F:$F, AA$5))</f>
        <v/>
      </c>
      <c r="AB33" s="64" t="str">
        <f ca="1">IF(COUNTIFS('SEANCE 1'!$B:$B, $B33, 'SEANCE 1'!$C:$C, AB$2, 'SEANCE 1'!$F:$F, AB$5)=0, "", COUNTIFS('SEANCE 1'!$B:$B, $B33, 'SEANCE 1'!$C:$C, AB$2, 'SEANCE 1'!$F:$F, AB$5))</f>
        <v/>
      </c>
      <c r="AC33" s="64" t="str">
        <f ca="1">IF(COUNTIFS('SEANCE 1'!$B:$B, $B33, 'SEANCE 1'!$C:$C, AC$2, 'SEANCE 1'!$F:$F, AC$5)=0, "", COUNTIFS('SEANCE 1'!$B:$B, $B33, 'SEANCE 1'!$C:$C, AC$2, 'SEANCE 1'!$F:$F, AC$5))</f>
        <v/>
      </c>
      <c r="AD33" s="64" t="str">
        <f ca="1">IF(COUNTIFS('SEANCE 1'!$B:$B, $B33, 'SEANCE 1'!$C:$C, AD$2, 'SEANCE 1'!$F:$F, AD$5)=0, "", COUNTIFS('SEANCE 1'!$B:$B, $B33, 'SEANCE 1'!$C:$C, AD$2, 'SEANCE 1'!$F:$F, AD$5))</f>
        <v/>
      </c>
      <c r="AE33" s="64" t="str">
        <f ca="1">IF(COUNTIFS('SEANCE 1'!$B:$B, $B33, 'SEANCE 1'!$C:$C, AE$2, 'SEANCE 1'!$F:$F, AE$5)=0, "", COUNTIFS('SEANCE 1'!$B:$B, $B33, 'SEANCE 1'!$C:$C, AE$2, 'SEANCE 1'!$F:$F, AE$5))</f>
        <v/>
      </c>
      <c r="AF33" s="64" t="str">
        <f ca="1">IF(COUNTIFS('SEANCE 1'!$B:$B, $B33, 'SEANCE 1'!$C:$C, AF$2, 'SEANCE 1'!$F:$F, AF$5)=0, "", COUNTIFS('SEANCE 1'!$B:$B, $B33, 'SEANCE 1'!$C:$C, AF$2, 'SEANCE 1'!$F:$F, AF$5))</f>
        <v/>
      </c>
      <c r="AG33" s="64" t="str">
        <f ca="1">IF(COUNTIFS('SEANCE 1'!$B:$B, $B33, 'SEANCE 1'!$C:$C, AG$2, 'SEANCE 1'!$F:$F, AG$5)=0, "", COUNTIFS('SEANCE 1'!$B:$B, $B33, 'SEANCE 1'!$C:$C, AG$2, 'SEANCE 1'!$F:$F, AG$5))</f>
        <v/>
      </c>
      <c r="AH33" s="64" t="str">
        <f ca="1">IF(COUNTIFS('SEANCE 1'!$B:$B, $B33, 'SEANCE 1'!$C:$C, AH$2, 'SEANCE 1'!$F:$F, AH$5)=0, "", COUNTIFS('SEANCE 1'!$B:$B, $B33, 'SEANCE 1'!$C:$C, AH$2, 'SEANCE 1'!$F:$F, AH$5))</f>
        <v/>
      </c>
      <c r="AI33" s="64" t="str">
        <f ca="1">IF(COUNTIFS('SEANCE 1'!$B:$B, $B33, 'SEANCE 1'!$C:$C, AI$2, 'SEANCE 1'!$F:$F, AI$5)=0, "", COUNTIFS('SEANCE 1'!$B:$B, $B33, 'SEANCE 1'!$C:$C, AI$2, 'SEANCE 1'!$F:$F, AI$5))</f>
        <v/>
      </c>
      <c r="AJ33" s="64" t="str">
        <f ca="1">IF(COUNTIFS('SEANCE 1'!$B:$B, $B33, 'SEANCE 1'!$C:$C, AJ$2, 'SEANCE 1'!$F:$F, AJ$5)=0, "", COUNTIFS('SEANCE 1'!$B:$B, $B33, 'SEANCE 1'!$C:$C, AJ$2, 'SEANCE 1'!$F:$F, AJ$5))</f>
        <v/>
      </c>
      <c r="AK33" s="64" t="str">
        <f ca="1">IF(COUNTIFS('SEANCE 1'!$B:$B, $B33, 'SEANCE 1'!$C:$C, AK$2, 'SEANCE 1'!$F:$F, AK$5)=0, "", COUNTIFS('SEANCE 1'!$B:$B, $B33, 'SEANCE 1'!$C:$C, AK$2, 'SEANCE 1'!$F:$F, AK$5))</f>
        <v/>
      </c>
      <c r="AL33" s="64" t="str">
        <f ca="1">IF(COUNTIFS('SEANCE 1'!$B:$B, $B33, 'SEANCE 1'!$C:$C, AL$2, 'SEANCE 1'!$F:$F, AL$5)=0, "", COUNTIFS('SEANCE 1'!$B:$B, $B33, 'SEANCE 1'!$C:$C, AL$2, 'SEANCE 1'!$F:$F, AL$5))</f>
        <v/>
      </c>
      <c r="AM33" s="64" t="str">
        <f ca="1">IF(COUNTIFS('SEANCE 1'!$B:$B, $B33, 'SEANCE 1'!$C:$C, AM$2, 'SEANCE 1'!$F:$F, AM$5)=0, "", COUNTIFS('SEANCE 1'!$B:$B, $B33, 'SEANCE 1'!$C:$C, AM$2, 'SEANCE 1'!$F:$F, AM$5))</f>
        <v/>
      </c>
      <c r="AN33" s="64" t="str">
        <f ca="1">IF(COUNTIFS('SEANCE 1'!$B:$B, $B33, 'SEANCE 1'!$C:$C, AN$2, 'SEANCE 1'!$F:$F, AN$5)=0, "", COUNTIFS('SEANCE 1'!$B:$B, $B33, 'SEANCE 1'!$C:$C, AN$2, 'SEANCE 1'!$F:$F, AN$5))</f>
        <v/>
      </c>
      <c r="AO33" s="64" t="str">
        <f ca="1">IF(COUNTIFS('SEANCE 1'!$B:$B, $B33, 'SEANCE 1'!$C:$C, AO$2, 'SEANCE 1'!$F:$F, AO$5)=0, "", COUNTIFS('SEANCE 1'!$B:$B, $B33, 'SEANCE 1'!$C:$C, AO$2, 'SEANCE 1'!$F:$F, AO$5))</f>
        <v/>
      </c>
      <c r="AP33" s="64" t="str">
        <f ca="1">IF(COUNTIFS('SEANCE 1'!$B:$B, $B33, 'SEANCE 1'!$C:$C, AP$2, 'SEANCE 1'!$F:$F, AP$5)=0, "", COUNTIFS('SEANCE 1'!$B:$B, $B33, 'SEANCE 1'!$C:$C, AP$2, 'SEANCE 1'!$F:$F, AP$5))</f>
        <v/>
      </c>
      <c r="AQ33" s="64" t="str">
        <f ca="1">IF(COUNTIFS('SEANCE 1'!$B:$B, $B33, 'SEANCE 1'!$C:$C, AQ$2, 'SEANCE 1'!$F:$F, AQ$5)=0, "", COUNTIFS('SEANCE 1'!$B:$B, $B33, 'SEANCE 1'!$C:$C, AQ$2, 'SEANCE 1'!$F:$F, AQ$5))</f>
        <v/>
      </c>
      <c r="AR33" s="64" t="str">
        <f ca="1">IF(COUNTIFS('SEANCE 1'!$B:$B, $B33, 'SEANCE 1'!$C:$C, AR$2, 'SEANCE 1'!$F:$F, AR$5)=0, "", COUNTIFS('SEANCE 1'!$B:$B, $B33, 'SEANCE 1'!$C:$C, AR$2, 'SEANCE 1'!$F:$F, AR$5))</f>
        <v/>
      </c>
      <c r="AS33" s="64" t="str">
        <f ca="1">IF(COUNTIFS('SEANCE 1'!$B:$B, $B33, 'SEANCE 1'!$C:$C, AS$2, 'SEANCE 1'!$F:$F, AS$5)=0, "", COUNTIFS('SEANCE 1'!$B:$B, $B33, 'SEANCE 1'!$C:$C, AS$2, 'SEANCE 1'!$F:$F, AS$5))</f>
        <v/>
      </c>
      <c r="AT33" s="64" t="str">
        <f ca="1">IF(COUNTIFS('SEANCE 1'!$B:$B, $B33, 'SEANCE 1'!$C:$C, AT$2, 'SEANCE 1'!$F:$F, AT$5)=0, "", COUNTIFS('SEANCE 1'!$B:$B, $B33, 'SEANCE 1'!$C:$C, AT$2, 'SEANCE 1'!$F:$F, AT$5))</f>
        <v/>
      </c>
      <c r="AU33" s="64" t="str">
        <f ca="1">IF(COUNTIFS('SEANCE 1'!$B:$B, $B33, 'SEANCE 1'!$C:$C, AU$2, 'SEANCE 1'!$F:$F, AU$5)=0, "", COUNTIFS('SEANCE 1'!$B:$B, $B33, 'SEANCE 1'!$C:$C, AU$2, 'SEANCE 1'!$F:$F, AU$5))</f>
        <v/>
      </c>
      <c r="AV33" s="64" t="str">
        <f ca="1">IF(COUNTIFS('SEANCE 1'!$B:$B, $B33, 'SEANCE 1'!$C:$C, AV$2, 'SEANCE 1'!$F:$F, AV$5)=0, "", COUNTIFS('SEANCE 1'!$B:$B, $B33, 'SEANCE 1'!$C:$C, AV$2, 'SEANCE 1'!$F:$F, AV$5))</f>
        <v/>
      </c>
      <c r="AW33" s="64" t="str">
        <f ca="1">IF(COUNTIFS('SEANCE 1'!$B:$B, $B33, 'SEANCE 1'!$C:$C, AW$2, 'SEANCE 1'!$F:$F, AW$5)=0, "", COUNTIFS('SEANCE 1'!$B:$B, $B33, 'SEANCE 1'!$C:$C, AW$2, 'SEANCE 1'!$F:$F, AW$5))</f>
        <v/>
      </c>
      <c r="AX33" s="64" t="str">
        <f ca="1">IF(COUNTIFS('SEANCE 1'!$B:$B, $B33, 'SEANCE 1'!$C:$C, AX$2, 'SEANCE 1'!$F:$F, AX$5)=0, "", COUNTIFS('SEANCE 1'!$B:$B, $B33, 'SEANCE 1'!$C:$C, AX$2, 'SEANCE 1'!$F:$F, AX$5))</f>
        <v/>
      </c>
      <c r="AY33" s="64" t="str">
        <f ca="1">IF(COUNTIFS('SEANCE 1'!$B:$B, $B33, 'SEANCE 1'!$C:$C, AY$2, 'SEANCE 1'!$F:$F, AY$5)=0, "", COUNTIFS('SEANCE 1'!$B:$B, $B33, 'SEANCE 1'!$C:$C, AY$2, 'SEANCE 1'!$F:$F, AY$5))</f>
        <v/>
      </c>
      <c r="AZ33" s="32">
        <f t="shared" ca="1" si="0"/>
        <v>0</v>
      </c>
    </row>
    <row r="34" spans="1:52">
      <c r="A34" s="44" t="str">
        <f>IF('SEANCE 1'!$B30&lt;&gt;"",'SEANCE 1'!$A30,"")</f>
        <v/>
      </c>
      <c r="B34" s="44" t="str">
        <f t="array" aca="1" ref="B34" ca="1">IF(ISNA(INDEX(ListeB,MATCH(0,COUNTIF($B$5:B33,ListeB),0))),"",INDEX(ListeB,MATCH(0,COUNTIF($B$5:B33,ListeB),0)))</f>
        <v/>
      </c>
      <c r="C34" s="64" t="str">
        <f ca="1">IF(COUNTIFS('SEANCE 1'!$B:$B, $B34, 'SEANCE 1'!$C:$C, C$2, 'SEANCE 1'!$F:$F, C$5)=0, "", COUNTIFS('SEANCE 1'!$B:$B, $B34, 'SEANCE 1'!$C:$C, C$2, 'SEANCE 1'!$F:$F, C$5))</f>
        <v/>
      </c>
      <c r="D34" s="64" t="str">
        <f ca="1">IF(COUNTIFS('SEANCE 1'!$B:$B, $B34, 'SEANCE 1'!$C:$C, D$2, 'SEANCE 1'!$F:$F, D$5)=0, "", COUNTIFS('SEANCE 1'!$B:$B, $B34, 'SEANCE 1'!$C:$C, D$2, 'SEANCE 1'!$F:$F, D$5))</f>
        <v/>
      </c>
      <c r="E34" s="64" t="str">
        <f ca="1">IF(COUNTIFS('SEANCE 1'!$B:$B, $B34, 'SEANCE 1'!$C:$C, E$2, 'SEANCE 1'!$F:$F, E$5)=0, "", COUNTIFS('SEANCE 1'!$B:$B, $B34, 'SEANCE 1'!$C:$C, E$2, 'SEANCE 1'!$F:$F, E$5))</f>
        <v/>
      </c>
      <c r="F34" s="64" t="str">
        <f ca="1">IF(COUNTIFS('SEANCE 1'!$B:$B, $B34, 'SEANCE 1'!$C:$C, F$2, 'SEANCE 1'!$F:$F, F$5)=0, "", COUNTIFS('SEANCE 1'!$B:$B, $B34, 'SEANCE 1'!$C:$C, F$2, 'SEANCE 1'!$F:$F, F$5))</f>
        <v/>
      </c>
      <c r="G34" s="64" t="str">
        <f ca="1">IF(COUNTIFS('SEANCE 1'!$B:$B, $B34, 'SEANCE 1'!$C:$C, G$2, 'SEANCE 1'!$F:$F, G$5)=0, "", COUNTIFS('SEANCE 1'!$B:$B, $B34, 'SEANCE 1'!$C:$C, G$2, 'SEANCE 1'!$F:$F, G$5))</f>
        <v/>
      </c>
      <c r="H34" s="64" t="str">
        <f ca="1">IF(COUNTIFS('SEANCE 1'!$B:$B, $B34, 'SEANCE 1'!$C:$C, H$2, 'SEANCE 1'!$F:$F, H$5)=0, "", COUNTIFS('SEANCE 1'!$B:$B, $B34, 'SEANCE 1'!$C:$C, H$2, 'SEANCE 1'!$F:$F, H$5))</f>
        <v/>
      </c>
      <c r="I34" s="64" t="str">
        <f ca="1">IF(COUNTIFS('SEANCE 1'!$B:$B, $B34, 'SEANCE 1'!$C:$C, I$2, 'SEANCE 1'!$F:$F, I$5)=0, "", COUNTIFS('SEANCE 1'!$B:$B, $B34, 'SEANCE 1'!$C:$C, I$2, 'SEANCE 1'!$F:$F, I$5))</f>
        <v/>
      </c>
      <c r="J34" s="64" t="str">
        <f ca="1">IF(COUNTIFS('SEANCE 1'!$B:$B, $B34, 'SEANCE 1'!$C:$C, J$2, 'SEANCE 1'!$F:$F, J$5)=0, "", COUNTIFS('SEANCE 1'!$B:$B, $B34, 'SEANCE 1'!$C:$C, J$2, 'SEANCE 1'!$F:$F, J$5))</f>
        <v/>
      </c>
      <c r="K34" s="64" t="str">
        <f ca="1">IF(COUNTIFS('SEANCE 1'!$B:$B, $B34, 'SEANCE 1'!$C:$C, K$2, 'SEANCE 1'!$F:$F, K$5)=0, "", COUNTIFS('SEANCE 1'!$B:$B, $B34, 'SEANCE 1'!$C:$C, K$2, 'SEANCE 1'!$F:$F, K$5))</f>
        <v/>
      </c>
      <c r="L34" s="64" t="str">
        <f ca="1">IF(COUNTIFS('SEANCE 1'!$B:$B, $B34, 'SEANCE 1'!$C:$C, L$2, 'SEANCE 1'!$F:$F, L$5)=0, "", COUNTIFS('SEANCE 1'!$B:$B, $B34, 'SEANCE 1'!$C:$C, L$2, 'SEANCE 1'!$F:$F, L$5))</f>
        <v/>
      </c>
      <c r="M34" s="64" t="str">
        <f ca="1">IF(COUNTIFS('SEANCE 1'!$B:$B, $B34, 'SEANCE 1'!$C:$C, M$2, 'SEANCE 1'!$F:$F, M$5)=0, "", COUNTIFS('SEANCE 1'!$B:$B, $B34, 'SEANCE 1'!$C:$C, M$2, 'SEANCE 1'!$F:$F, M$5))</f>
        <v/>
      </c>
      <c r="N34" s="64" t="str">
        <f ca="1">IF(COUNTIFS('SEANCE 1'!$B:$B, $B34, 'SEANCE 1'!$C:$C, N$2, 'SEANCE 1'!$F:$F, N$5)=0, "", COUNTIFS('SEANCE 1'!$B:$B, $B34, 'SEANCE 1'!$C:$C, N$2, 'SEANCE 1'!$F:$F, N$5))</f>
        <v/>
      </c>
      <c r="O34" s="64" t="str">
        <f ca="1">IF(COUNTIFS('SEANCE 1'!$B:$B, $B34, 'SEANCE 1'!$C:$C, O$2, 'SEANCE 1'!$F:$F, O$5)=0, "", COUNTIFS('SEANCE 1'!$B:$B, $B34, 'SEANCE 1'!$C:$C, O$2, 'SEANCE 1'!$F:$F, O$5))</f>
        <v/>
      </c>
      <c r="P34" s="64" t="str">
        <f ca="1">IF(COUNTIFS('SEANCE 1'!$B:$B, $B34, 'SEANCE 1'!$C:$C, P$2, 'SEANCE 1'!$F:$F, P$5)=0, "", COUNTIFS('SEANCE 1'!$B:$B, $B34, 'SEANCE 1'!$C:$C, P$2, 'SEANCE 1'!$F:$F, P$5))</f>
        <v/>
      </c>
      <c r="Q34" s="64" t="str">
        <f ca="1">IF(COUNTIFS('SEANCE 1'!$B:$B, $B34, 'SEANCE 1'!$C:$C, Q$2, 'SEANCE 1'!$F:$F, Q$5)=0, "", COUNTIFS('SEANCE 1'!$B:$B, $B34, 'SEANCE 1'!$C:$C, Q$2, 'SEANCE 1'!$F:$F, Q$5))</f>
        <v/>
      </c>
      <c r="R34" s="64" t="str">
        <f ca="1">IF(COUNTIFS('SEANCE 1'!$B:$B, $B34, 'SEANCE 1'!$C:$C, R$2, 'SEANCE 1'!$F:$F, R$5)=0, "", COUNTIFS('SEANCE 1'!$B:$B, $B34, 'SEANCE 1'!$C:$C, R$2, 'SEANCE 1'!$F:$F, R$5))</f>
        <v/>
      </c>
      <c r="S34" s="64" t="str">
        <f ca="1">IF(COUNTIFS('SEANCE 1'!$B:$B, $B34, 'SEANCE 1'!$C:$C, S$2, 'SEANCE 1'!$F:$F, S$5)=0, "", COUNTIFS('SEANCE 1'!$B:$B, $B34, 'SEANCE 1'!$C:$C, S$2, 'SEANCE 1'!$F:$F, S$5))</f>
        <v/>
      </c>
      <c r="T34" s="64" t="str">
        <f ca="1">IF(COUNTIFS('SEANCE 1'!$B:$B, $B34, 'SEANCE 1'!$C:$C, T$2, 'SEANCE 1'!$F:$F, T$5)=0, "", COUNTIFS('SEANCE 1'!$B:$B, $B34, 'SEANCE 1'!$C:$C, T$2, 'SEANCE 1'!$F:$F, T$5))</f>
        <v/>
      </c>
      <c r="U34" s="64" t="str">
        <f ca="1">IF(COUNTIFS('SEANCE 1'!$B:$B, $B34, 'SEANCE 1'!$C:$C, U$2, 'SEANCE 1'!$F:$F, U$5)=0, "", COUNTIFS('SEANCE 1'!$B:$B, $B34, 'SEANCE 1'!$C:$C, U$2, 'SEANCE 1'!$F:$F, U$5))</f>
        <v/>
      </c>
      <c r="V34" s="64" t="str">
        <f ca="1">IF(COUNTIFS('SEANCE 1'!$B:$B, $B34, 'SEANCE 1'!$C:$C, V$2, 'SEANCE 1'!$F:$F, V$5)=0, "", COUNTIFS('SEANCE 1'!$B:$B, $B34, 'SEANCE 1'!$C:$C, V$2, 'SEANCE 1'!$F:$F, V$5))</f>
        <v/>
      </c>
      <c r="W34" s="64" t="str">
        <f ca="1">IF(COUNTIFS('SEANCE 1'!$B:$B, $B34, 'SEANCE 1'!$C:$C, W$2, 'SEANCE 1'!$F:$F, W$5)=0, "", COUNTIFS('SEANCE 1'!$B:$B, $B34, 'SEANCE 1'!$C:$C, W$2, 'SEANCE 1'!$F:$F, W$5))</f>
        <v/>
      </c>
      <c r="X34" s="64" t="str">
        <f ca="1">IF(COUNTIFS('SEANCE 1'!$B:$B, $B34, 'SEANCE 1'!$C:$C, X$2, 'SEANCE 1'!$F:$F, X$5)=0, "", COUNTIFS('SEANCE 1'!$B:$B, $B34, 'SEANCE 1'!$C:$C, X$2, 'SEANCE 1'!$F:$F, X$5))</f>
        <v/>
      </c>
      <c r="Y34" s="64" t="str">
        <f ca="1">IF(COUNTIFS('SEANCE 1'!$B:$B, $B34, 'SEANCE 1'!$C:$C, Y$2, 'SEANCE 1'!$F:$F, Y$5)=0, "", COUNTIFS('SEANCE 1'!$B:$B, $B34, 'SEANCE 1'!$C:$C, Y$2, 'SEANCE 1'!$F:$F, Y$5))</f>
        <v/>
      </c>
      <c r="Z34" s="64" t="str">
        <f ca="1">IF(COUNTIFS('SEANCE 1'!$B:$B, $B34, 'SEANCE 1'!$C:$C, Z$2, 'SEANCE 1'!$F:$F, Z$5)=0, "", COUNTIFS('SEANCE 1'!$B:$B, $B34, 'SEANCE 1'!$C:$C, Z$2, 'SEANCE 1'!$F:$F, Z$5))</f>
        <v/>
      </c>
      <c r="AA34" s="64" t="str">
        <f ca="1">IF(COUNTIFS('SEANCE 1'!$B:$B, $B34, 'SEANCE 1'!$C:$C, AA$2, 'SEANCE 1'!$F:$F, AA$5)=0, "", COUNTIFS('SEANCE 1'!$B:$B, $B34, 'SEANCE 1'!$C:$C, AA$2, 'SEANCE 1'!$F:$F, AA$5))</f>
        <v/>
      </c>
      <c r="AB34" s="64" t="str">
        <f ca="1">IF(COUNTIFS('SEANCE 1'!$B:$B, $B34, 'SEANCE 1'!$C:$C, AB$2, 'SEANCE 1'!$F:$F, AB$5)=0, "", COUNTIFS('SEANCE 1'!$B:$B, $B34, 'SEANCE 1'!$C:$C, AB$2, 'SEANCE 1'!$F:$F, AB$5))</f>
        <v/>
      </c>
      <c r="AC34" s="64" t="str">
        <f ca="1">IF(COUNTIFS('SEANCE 1'!$B:$B, $B34, 'SEANCE 1'!$C:$C, AC$2, 'SEANCE 1'!$F:$F, AC$5)=0, "", COUNTIFS('SEANCE 1'!$B:$B, $B34, 'SEANCE 1'!$C:$C, AC$2, 'SEANCE 1'!$F:$F, AC$5))</f>
        <v/>
      </c>
      <c r="AD34" s="64" t="str">
        <f ca="1">IF(COUNTIFS('SEANCE 1'!$B:$B, $B34, 'SEANCE 1'!$C:$C, AD$2, 'SEANCE 1'!$F:$F, AD$5)=0, "", COUNTIFS('SEANCE 1'!$B:$B, $B34, 'SEANCE 1'!$C:$C, AD$2, 'SEANCE 1'!$F:$F, AD$5))</f>
        <v/>
      </c>
      <c r="AE34" s="64" t="str">
        <f ca="1">IF(COUNTIFS('SEANCE 1'!$B:$B, $B34, 'SEANCE 1'!$C:$C, AE$2, 'SEANCE 1'!$F:$F, AE$5)=0, "", COUNTIFS('SEANCE 1'!$B:$B, $B34, 'SEANCE 1'!$C:$C, AE$2, 'SEANCE 1'!$F:$F, AE$5))</f>
        <v/>
      </c>
      <c r="AF34" s="64" t="str">
        <f ca="1">IF(COUNTIFS('SEANCE 1'!$B:$B, $B34, 'SEANCE 1'!$C:$C, AF$2, 'SEANCE 1'!$F:$F, AF$5)=0, "", COUNTIFS('SEANCE 1'!$B:$B, $B34, 'SEANCE 1'!$C:$C, AF$2, 'SEANCE 1'!$F:$F, AF$5))</f>
        <v/>
      </c>
      <c r="AG34" s="64" t="str">
        <f ca="1">IF(COUNTIFS('SEANCE 1'!$B:$B, $B34, 'SEANCE 1'!$C:$C, AG$2, 'SEANCE 1'!$F:$F, AG$5)=0, "", COUNTIFS('SEANCE 1'!$B:$B, $B34, 'SEANCE 1'!$C:$C, AG$2, 'SEANCE 1'!$F:$F, AG$5))</f>
        <v/>
      </c>
      <c r="AH34" s="64" t="str">
        <f ca="1">IF(COUNTIFS('SEANCE 1'!$B:$B, $B34, 'SEANCE 1'!$C:$C, AH$2, 'SEANCE 1'!$F:$F, AH$5)=0, "", COUNTIFS('SEANCE 1'!$B:$B, $B34, 'SEANCE 1'!$C:$C, AH$2, 'SEANCE 1'!$F:$F, AH$5))</f>
        <v/>
      </c>
      <c r="AI34" s="64" t="str">
        <f ca="1">IF(COUNTIFS('SEANCE 1'!$B:$B, $B34, 'SEANCE 1'!$C:$C, AI$2, 'SEANCE 1'!$F:$F, AI$5)=0, "", COUNTIFS('SEANCE 1'!$B:$B, $B34, 'SEANCE 1'!$C:$C, AI$2, 'SEANCE 1'!$F:$F, AI$5))</f>
        <v/>
      </c>
      <c r="AJ34" s="64" t="str">
        <f ca="1">IF(COUNTIFS('SEANCE 1'!$B:$B, $B34, 'SEANCE 1'!$C:$C, AJ$2, 'SEANCE 1'!$F:$F, AJ$5)=0, "", COUNTIFS('SEANCE 1'!$B:$B, $B34, 'SEANCE 1'!$C:$C, AJ$2, 'SEANCE 1'!$F:$F, AJ$5))</f>
        <v/>
      </c>
      <c r="AK34" s="64" t="str">
        <f ca="1">IF(COUNTIFS('SEANCE 1'!$B:$B, $B34, 'SEANCE 1'!$C:$C, AK$2, 'SEANCE 1'!$F:$F, AK$5)=0, "", COUNTIFS('SEANCE 1'!$B:$B, $B34, 'SEANCE 1'!$C:$C, AK$2, 'SEANCE 1'!$F:$F, AK$5))</f>
        <v/>
      </c>
      <c r="AL34" s="64" t="str">
        <f ca="1">IF(COUNTIFS('SEANCE 1'!$B:$B, $B34, 'SEANCE 1'!$C:$C, AL$2, 'SEANCE 1'!$F:$F, AL$5)=0, "", COUNTIFS('SEANCE 1'!$B:$B, $B34, 'SEANCE 1'!$C:$C, AL$2, 'SEANCE 1'!$F:$F, AL$5))</f>
        <v/>
      </c>
      <c r="AM34" s="64" t="str">
        <f ca="1">IF(COUNTIFS('SEANCE 1'!$B:$B, $B34, 'SEANCE 1'!$C:$C, AM$2, 'SEANCE 1'!$F:$F, AM$5)=0, "", COUNTIFS('SEANCE 1'!$B:$B, $B34, 'SEANCE 1'!$C:$C, AM$2, 'SEANCE 1'!$F:$F, AM$5))</f>
        <v/>
      </c>
      <c r="AN34" s="64" t="str">
        <f ca="1">IF(COUNTIFS('SEANCE 1'!$B:$B, $B34, 'SEANCE 1'!$C:$C, AN$2, 'SEANCE 1'!$F:$F, AN$5)=0, "", COUNTIFS('SEANCE 1'!$B:$B, $B34, 'SEANCE 1'!$C:$C, AN$2, 'SEANCE 1'!$F:$F, AN$5))</f>
        <v/>
      </c>
      <c r="AO34" s="64" t="str">
        <f ca="1">IF(COUNTIFS('SEANCE 1'!$B:$B, $B34, 'SEANCE 1'!$C:$C, AO$2, 'SEANCE 1'!$F:$F, AO$5)=0, "", COUNTIFS('SEANCE 1'!$B:$B, $B34, 'SEANCE 1'!$C:$C, AO$2, 'SEANCE 1'!$F:$F, AO$5))</f>
        <v/>
      </c>
      <c r="AP34" s="64" t="str">
        <f ca="1">IF(COUNTIFS('SEANCE 1'!$B:$B, $B34, 'SEANCE 1'!$C:$C, AP$2, 'SEANCE 1'!$F:$F, AP$5)=0, "", COUNTIFS('SEANCE 1'!$B:$B, $B34, 'SEANCE 1'!$C:$C, AP$2, 'SEANCE 1'!$F:$F, AP$5))</f>
        <v/>
      </c>
      <c r="AQ34" s="64" t="str">
        <f ca="1">IF(COUNTIFS('SEANCE 1'!$B:$B, $B34, 'SEANCE 1'!$C:$C, AQ$2, 'SEANCE 1'!$F:$F, AQ$5)=0, "", COUNTIFS('SEANCE 1'!$B:$B, $B34, 'SEANCE 1'!$C:$C, AQ$2, 'SEANCE 1'!$F:$F, AQ$5))</f>
        <v/>
      </c>
      <c r="AR34" s="64" t="str">
        <f ca="1">IF(COUNTIFS('SEANCE 1'!$B:$B, $B34, 'SEANCE 1'!$C:$C, AR$2, 'SEANCE 1'!$F:$F, AR$5)=0, "", COUNTIFS('SEANCE 1'!$B:$B, $B34, 'SEANCE 1'!$C:$C, AR$2, 'SEANCE 1'!$F:$F, AR$5))</f>
        <v/>
      </c>
      <c r="AS34" s="64" t="str">
        <f ca="1">IF(COUNTIFS('SEANCE 1'!$B:$B, $B34, 'SEANCE 1'!$C:$C, AS$2, 'SEANCE 1'!$F:$F, AS$5)=0, "", COUNTIFS('SEANCE 1'!$B:$B, $B34, 'SEANCE 1'!$C:$C, AS$2, 'SEANCE 1'!$F:$F, AS$5))</f>
        <v/>
      </c>
      <c r="AT34" s="64" t="str">
        <f ca="1">IF(COUNTIFS('SEANCE 1'!$B:$B, $B34, 'SEANCE 1'!$C:$C, AT$2, 'SEANCE 1'!$F:$F, AT$5)=0, "", COUNTIFS('SEANCE 1'!$B:$B, $B34, 'SEANCE 1'!$C:$C, AT$2, 'SEANCE 1'!$F:$F, AT$5))</f>
        <v/>
      </c>
      <c r="AU34" s="64" t="str">
        <f ca="1">IF(COUNTIFS('SEANCE 1'!$B:$B, $B34, 'SEANCE 1'!$C:$C, AU$2, 'SEANCE 1'!$F:$F, AU$5)=0, "", COUNTIFS('SEANCE 1'!$B:$B, $B34, 'SEANCE 1'!$C:$C, AU$2, 'SEANCE 1'!$F:$F, AU$5))</f>
        <v/>
      </c>
      <c r="AV34" s="64" t="str">
        <f ca="1">IF(COUNTIFS('SEANCE 1'!$B:$B, $B34, 'SEANCE 1'!$C:$C, AV$2, 'SEANCE 1'!$F:$F, AV$5)=0, "", COUNTIFS('SEANCE 1'!$B:$B, $B34, 'SEANCE 1'!$C:$C, AV$2, 'SEANCE 1'!$F:$F, AV$5))</f>
        <v/>
      </c>
      <c r="AW34" s="64" t="str">
        <f ca="1">IF(COUNTIFS('SEANCE 1'!$B:$B, $B34, 'SEANCE 1'!$C:$C, AW$2, 'SEANCE 1'!$F:$F, AW$5)=0, "", COUNTIFS('SEANCE 1'!$B:$B, $B34, 'SEANCE 1'!$C:$C, AW$2, 'SEANCE 1'!$F:$F, AW$5))</f>
        <v/>
      </c>
      <c r="AX34" s="64" t="str">
        <f ca="1">IF(COUNTIFS('SEANCE 1'!$B:$B, $B34, 'SEANCE 1'!$C:$C, AX$2, 'SEANCE 1'!$F:$F, AX$5)=0, "", COUNTIFS('SEANCE 1'!$B:$B, $B34, 'SEANCE 1'!$C:$C, AX$2, 'SEANCE 1'!$F:$F, AX$5))</f>
        <v/>
      </c>
      <c r="AY34" s="64" t="str">
        <f ca="1">IF(COUNTIFS('SEANCE 1'!$B:$B, $B34, 'SEANCE 1'!$C:$C, AY$2, 'SEANCE 1'!$F:$F, AY$5)=0, "", COUNTIFS('SEANCE 1'!$B:$B, $B34, 'SEANCE 1'!$C:$C, AY$2, 'SEANCE 1'!$F:$F, AY$5))</f>
        <v/>
      </c>
      <c r="AZ34" s="32">
        <f t="shared" ca="1" si="0"/>
        <v>0</v>
      </c>
    </row>
    <row r="35" spans="1:52">
      <c r="A35" s="44" t="str">
        <f>IF('SEANCE 1'!$B31&lt;&gt;"",'SEANCE 1'!$A31,"")</f>
        <v/>
      </c>
      <c r="B35" s="44" t="str">
        <f t="array" aca="1" ref="B35" ca="1">IF(ISNA(INDEX(ListeB,MATCH(0,COUNTIF($B$5:B34,ListeB),0))),"",INDEX(ListeB,MATCH(0,COUNTIF($B$5:B34,ListeB),0)))</f>
        <v/>
      </c>
      <c r="C35" s="64" t="str">
        <f ca="1">IF(COUNTIFS('SEANCE 1'!$B:$B, $B35, 'SEANCE 1'!$C:$C, C$2, 'SEANCE 1'!$F:$F, C$5)=0, "", COUNTIFS('SEANCE 1'!$B:$B, $B35, 'SEANCE 1'!$C:$C, C$2, 'SEANCE 1'!$F:$F, C$5))</f>
        <v/>
      </c>
      <c r="D35" s="64" t="str">
        <f ca="1">IF(COUNTIFS('SEANCE 1'!$B:$B, $B35, 'SEANCE 1'!$C:$C, D$2, 'SEANCE 1'!$F:$F, D$5)=0, "", COUNTIFS('SEANCE 1'!$B:$B, $B35, 'SEANCE 1'!$C:$C, D$2, 'SEANCE 1'!$F:$F, D$5))</f>
        <v/>
      </c>
      <c r="E35" s="64" t="str">
        <f ca="1">IF(COUNTIFS('SEANCE 1'!$B:$B, $B35, 'SEANCE 1'!$C:$C, E$2, 'SEANCE 1'!$F:$F, E$5)=0, "", COUNTIFS('SEANCE 1'!$B:$B, $B35, 'SEANCE 1'!$C:$C, E$2, 'SEANCE 1'!$F:$F, E$5))</f>
        <v/>
      </c>
      <c r="F35" s="64" t="str">
        <f ca="1">IF(COUNTIFS('SEANCE 1'!$B:$B, $B35, 'SEANCE 1'!$C:$C, F$2, 'SEANCE 1'!$F:$F, F$5)=0, "", COUNTIFS('SEANCE 1'!$B:$B, $B35, 'SEANCE 1'!$C:$C, F$2, 'SEANCE 1'!$F:$F, F$5))</f>
        <v/>
      </c>
      <c r="G35" s="64" t="str">
        <f ca="1">IF(COUNTIFS('SEANCE 1'!$B:$B, $B35, 'SEANCE 1'!$C:$C, G$2, 'SEANCE 1'!$F:$F, G$5)=0, "", COUNTIFS('SEANCE 1'!$B:$B, $B35, 'SEANCE 1'!$C:$C, G$2, 'SEANCE 1'!$F:$F, G$5))</f>
        <v/>
      </c>
      <c r="H35" s="64" t="str">
        <f ca="1">IF(COUNTIFS('SEANCE 1'!$B:$B, $B35, 'SEANCE 1'!$C:$C, H$2, 'SEANCE 1'!$F:$F, H$5)=0, "", COUNTIFS('SEANCE 1'!$B:$B, $B35, 'SEANCE 1'!$C:$C, H$2, 'SEANCE 1'!$F:$F, H$5))</f>
        <v/>
      </c>
      <c r="I35" s="64" t="str">
        <f ca="1">IF(COUNTIFS('SEANCE 1'!$B:$B, $B35, 'SEANCE 1'!$C:$C, I$2, 'SEANCE 1'!$F:$F, I$5)=0, "", COUNTIFS('SEANCE 1'!$B:$B, $B35, 'SEANCE 1'!$C:$C, I$2, 'SEANCE 1'!$F:$F, I$5))</f>
        <v/>
      </c>
      <c r="J35" s="64" t="str">
        <f ca="1">IF(COUNTIFS('SEANCE 1'!$B:$B, $B35, 'SEANCE 1'!$C:$C, J$2, 'SEANCE 1'!$F:$F, J$5)=0, "", COUNTIFS('SEANCE 1'!$B:$B, $B35, 'SEANCE 1'!$C:$C, J$2, 'SEANCE 1'!$F:$F, J$5))</f>
        <v/>
      </c>
      <c r="K35" s="64" t="str">
        <f ca="1">IF(COUNTIFS('SEANCE 1'!$B:$B, $B35, 'SEANCE 1'!$C:$C, K$2, 'SEANCE 1'!$F:$F, K$5)=0, "", COUNTIFS('SEANCE 1'!$B:$B, $B35, 'SEANCE 1'!$C:$C, K$2, 'SEANCE 1'!$F:$F, K$5))</f>
        <v/>
      </c>
      <c r="L35" s="64" t="str">
        <f ca="1">IF(COUNTIFS('SEANCE 1'!$B:$B, $B35, 'SEANCE 1'!$C:$C, L$2, 'SEANCE 1'!$F:$F, L$5)=0, "", COUNTIFS('SEANCE 1'!$B:$B, $B35, 'SEANCE 1'!$C:$C, L$2, 'SEANCE 1'!$F:$F, L$5))</f>
        <v/>
      </c>
      <c r="M35" s="64" t="str">
        <f ca="1">IF(COUNTIFS('SEANCE 1'!$B:$B, $B35, 'SEANCE 1'!$C:$C, M$2, 'SEANCE 1'!$F:$F, M$5)=0, "", COUNTIFS('SEANCE 1'!$B:$B, $B35, 'SEANCE 1'!$C:$C, M$2, 'SEANCE 1'!$F:$F, M$5))</f>
        <v/>
      </c>
      <c r="N35" s="64" t="str">
        <f ca="1">IF(COUNTIFS('SEANCE 1'!$B:$B, $B35, 'SEANCE 1'!$C:$C, N$2, 'SEANCE 1'!$F:$F, N$5)=0, "", COUNTIFS('SEANCE 1'!$B:$B, $B35, 'SEANCE 1'!$C:$C, N$2, 'SEANCE 1'!$F:$F, N$5))</f>
        <v/>
      </c>
      <c r="O35" s="64" t="str">
        <f ca="1">IF(COUNTIFS('SEANCE 1'!$B:$B, $B35, 'SEANCE 1'!$C:$C, O$2, 'SEANCE 1'!$F:$F, O$5)=0, "", COUNTIFS('SEANCE 1'!$B:$B, $B35, 'SEANCE 1'!$C:$C, O$2, 'SEANCE 1'!$F:$F, O$5))</f>
        <v/>
      </c>
      <c r="P35" s="64" t="str">
        <f ca="1">IF(COUNTIFS('SEANCE 1'!$B:$B, $B35, 'SEANCE 1'!$C:$C, P$2, 'SEANCE 1'!$F:$F, P$5)=0, "", COUNTIFS('SEANCE 1'!$B:$B, $B35, 'SEANCE 1'!$C:$C, P$2, 'SEANCE 1'!$F:$F, P$5))</f>
        <v/>
      </c>
      <c r="Q35" s="64" t="str">
        <f ca="1">IF(COUNTIFS('SEANCE 1'!$B:$B, $B35, 'SEANCE 1'!$C:$C, Q$2, 'SEANCE 1'!$F:$F, Q$5)=0, "", COUNTIFS('SEANCE 1'!$B:$B, $B35, 'SEANCE 1'!$C:$C, Q$2, 'SEANCE 1'!$F:$F, Q$5))</f>
        <v/>
      </c>
      <c r="R35" s="64" t="str">
        <f ca="1">IF(COUNTIFS('SEANCE 1'!$B:$B, $B35, 'SEANCE 1'!$C:$C, R$2, 'SEANCE 1'!$F:$F, R$5)=0, "", COUNTIFS('SEANCE 1'!$B:$B, $B35, 'SEANCE 1'!$C:$C, R$2, 'SEANCE 1'!$F:$F, R$5))</f>
        <v/>
      </c>
      <c r="S35" s="64" t="str">
        <f ca="1">IF(COUNTIFS('SEANCE 1'!$B:$B, $B35, 'SEANCE 1'!$C:$C, S$2, 'SEANCE 1'!$F:$F, S$5)=0, "", COUNTIFS('SEANCE 1'!$B:$B, $B35, 'SEANCE 1'!$C:$C, S$2, 'SEANCE 1'!$F:$F, S$5))</f>
        <v/>
      </c>
      <c r="T35" s="64" t="str">
        <f ca="1">IF(COUNTIFS('SEANCE 1'!$B:$B, $B35, 'SEANCE 1'!$C:$C, T$2, 'SEANCE 1'!$F:$F, T$5)=0, "", COUNTIFS('SEANCE 1'!$B:$B, $B35, 'SEANCE 1'!$C:$C, T$2, 'SEANCE 1'!$F:$F, T$5))</f>
        <v/>
      </c>
      <c r="U35" s="64" t="str">
        <f ca="1">IF(COUNTIFS('SEANCE 1'!$B:$B, $B35, 'SEANCE 1'!$C:$C, U$2, 'SEANCE 1'!$F:$F, U$5)=0, "", COUNTIFS('SEANCE 1'!$B:$B, $B35, 'SEANCE 1'!$C:$C, U$2, 'SEANCE 1'!$F:$F, U$5))</f>
        <v/>
      </c>
      <c r="V35" s="64" t="str">
        <f ca="1">IF(COUNTIFS('SEANCE 1'!$B:$B, $B35, 'SEANCE 1'!$C:$C, V$2, 'SEANCE 1'!$F:$F, V$5)=0, "", COUNTIFS('SEANCE 1'!$B:$B, $B35, 'SEANCE 1'!$C:$C, V$2, 'SEANCE 1'!$F:$F, V$5))</f>
        <v/>
      </c>
      <c r="W35" s="64" t="str">
        <f ca="1">IF(COUNTIFS('SEANCE 1'!$B:$B, $B35, 'SEANCE 1'!$C:$C, W$2, 'SEANCE 1'!$F:$F, W$5)=0, "", COUNTIFS('SEANCE 1'!$B:$B, $B35, 'SEANCE 1'!$C:$C, W$2, 'SEANCE 1'!$F:$F, W$5))</f>
        <v/>
      </c>
      <c r="X35" s="64" t="str">
        <f ca="1">IF(COUNTIFS('SEANCE 1'!$B:$B, $B35, 'SEANCE 1'!$C:$C, X$2, 'SEANCE 1'!$F:$F, X$5)=0, "", COUNTIFS('SEANCE 1'!$B:$B, $B35, 'SEANCE 1'!$C:$C, X$2, 'SEANCE 1'!$F:$F, X$5))</f>
        <v/>
      </c>
      <c r="Y35" s="64" t="str">
        <f ca="1">IF(COUNTIFS('SEANCE 1'!$B:$B, $B35, 'SEANCE 1'!$C:$C, Y$2, 'SEANCE 1'!$F:$F, Y$5)=0, "", COUNTIFS('SEANCE 1'!$B:$B, $B35, 'SEANCE 1'!$C:$C, Y$2, 'SEANCE 1'!$F:$F, Y$5))</f>
        <v/>
      </c>
      <c r="Z35" s="64" t="str">
        <f ca="1">IF(COUNTIFS('SEANCE 1'!$B:$B, $B35, 'SEANCE 1'!$C:$C, Z$2, 'SEANCE 1'!$F:$F, Z$5)=0, "", COUNTIFS('SEANCE 1'!$B:$B, $B35, 'SEANCE 1'!$C:$C, Z$2, 'SEANCE 1'!$F:$F, Z$5))</f>
        <v/>
      </c>
      <c r="AA35" s="64" t="str">
        <f ca="1">IF(COUNTIFS('SEANCE 1'!$B:$B, $B35, 'SEANCE 1'!$C:$C, AA$2, 'SEANCE 1'!$F:$F, AA$5)=0, "", COUNTIFS('SEANCE 1'!$B:$B, $B35, 'SEANCE 1'!$C:$C, AA$2, 'SEANCE 1'!$F:$F, AA$5))</f>
        <v/>
      </c>
      <c r="AB35" s="64" t="str">
        <f ca="1">IF(COUNTIFS('SEANCE 1'!$B:$B, $B35, 'SEANCE 1'!$C:$C, AB$2, 'SEANCE 1'!$F:$F, AB$5)=0, "", COUNTIFS('SEANCE 1'!$B:$B, $B35, 'SEANCE 1'!$C:$C, AB$2, 'SEANCE 1'!$F:$F, AB$5))</f>
        <v/>
      </c>
      <c r="AC35" s="64" t="str">
        <f ca="1">IF(COUNTIFS('SEANCE 1'!$B:$B, $B35, 'SEANCE 1'!$C:$C, AC$2, 'SEANCE 1'!$F:$F, AC$5)=0, "", COUNTIFS('SEANCE 1'!$B:$B, $B35, 'SEANCE 1'!$C:$C, AC$2, 'SEANCE 1'!$F:$F, AC$5))</f>
        <v/>
      </c>
      <c r="AD35" s="64" t="str">
        <f ca="1">IF(COUNTIFS('SEANCE 1'!$B:$B, $B35, 'SEANCE 1'!$C:$C, AD$2, 'SEANCE 1'!$F:$F, AD$5)=0, "", COUNTIFS('SEANCE 1'!$B:$B, $B35, 'SEANCE 1'!$C:$C, AD$2, 'SEANCE 1'!$F:$F, AD$5))</f>
        <v/>
      </c>
      <c r="AE35" s="64" t="str">
        <f ca="1">IF(COUNTIFS('SEANCE 1'!$B:$B, $B35, 'SEANCE 1'!$C:$C, AE$2, 'SEANCE 1'!$F:$F, AE$5)=0, "", COUNTIFS('SEANCE 1'!$B:$B, $B35, 'SEANCE 1'!$C:$C, AE$2, 'SEANCE 1'!$F:$F, AE$5))</f>
        <v/>
      </c>
      <c r="AF35" s="64" t="str">
        <f ca="1">IF(COUNTIFS('SEANCE 1'!$B:$B, $B35, 'SEANCE 1'!$C:$C, AF$2, 'SEANCE 1'!$F:$F, AF$5)=0, "", COUNTIFS('SEANCE 1'!$B:$B, $B35, 'SEANCE 1'!$C:$C, AF$2, 'SEANCE 1'!$F:$F, AF$5))</f>
        <v/>
      </c>
      <c r="AG35" s="64" t="str">
        <f ca="1">IF(COUNTIFS('SEANCE 1'!$B:$B, $B35, 'SEANCE 1'!$C:$C, AG$2, 'SEANCE 1'!$F:$F, AG$5)=0, "", COUNTIFS('SEANCE 1'!$B:$B, $B35, 'SEANCE 1'!$C:$C, AG$2, 'SEANCE 1'!$F:$F, AG$5))</f>
        <v/>
      </c>
      <c r="AH35" s="64" t="str">
        <f ca="1">IF(COUNTIFS('SEANCE 1'!$B:$B, $B35, 'SEANCE 1'!$C:$C, AH$2, 'SEANCE 1'!$F:$F, AH$5)=0, "", COUNTIFS('SEANCE 1'!$B:$B, $B35, 'SEANCE 1'!$C:$C, AH$2, 'SEANCE 1'!$F:$F, AH$5))</f>
        <v/>
      </c>
      <c r="AI35" s="64" t="str">
        <f ca="1">IF(COUNTIFS('SEANCE 1'!$B:$B, $B35, 'SEANCE 1'!$C:$C, AI$2, 'SEANCE 1'!$F:$F, AI$5)=0, "", COUNTIFS('SEANCE 1'!$B:$B, $B35, 'SEANCE 1'!$C:$C, AI$2, 'SEANCE 1'!$F:$F, AI$5))</f>
        <v/>
      </c>
      <c r="AJ35" s="64" t="str">
        <f ca="1">IF(COUNTIFS('SEANCE 1'!$B:$B, $B35, 'SEANCE 1'!$C:$C, AJ$2, 'SEANCE 1'!$F:$F, AJ$5)=0, "", COUNTIFS('SEANCE 1'!$B:$B, $B35, 'SEANCE 1'!$C:$C, AJ$2, 'SEANCE 1'!$F:$F, AJ$5))</f>
        <v/>
      </c>
      <c r="AK35" s="64" t="str">
        <f ca="1">IF(COUNTIFS('SEANCE 1'!$B:$B, $B35, 'SEANCE 1'!$C:$C, AK$2, 'SEANCE 1'!$F:$F, AK$5)=0, "", COUNTIFS('SEANCE 1'!$B:$B, $B35, 'SEANCE 1'!$C:$C, AK$2, 'SEANCE 1'!$F:$F, AK$5))</f>
        <v/>
      </c>
      <c r="AL35" s="64" t="str">
        <f ca="1">IF(COUNTIFS('SEANCE 1'!$B:$B, $B35, 'SEANCE 1'!$C:$C, AL$2, 'SEANCE 1'!$F:$F, AL$5)=0, "", COUNTIFS('SEANCE 1'!$B:$B, $B35, 'SEANCE 1'!$C:$C, AL$2, 'SEANCE 1'!$F:$F, AL$5))</f>
        <v/>
      </c>
      <c r="AM35" s="64" t="str">
        <f ca="1">IF(COUNTIFS('SEANCE 1'!$B:$B, $B35, 'SEANCE 1'!$C:$C, AM$2, 'SEANCE 1'!$F:$F, AM$5)=0, "", COUNTIFS('SEANCE 1'!$B:$B, $B35, 'SEANCE 1'!$C:$C, AM$2, 'SEANCE 1'!$F:$F, AM$5))</f>
        <v/>
      </c>
      <c r="AN35" s="64" t="str">
        <f ca="1">IF(COUNTIFS('SEANCE 1'!$B:$B, $B35, 'SEANCE 1'!$C:$C, AN$2, 'SEANCE 1'!$F:$F, AN$5)=0, "", COUNTIFS('SEANCE 1'!$B:$B, $B35, 'SEANCE 1'!$C:$C, AN$2, 'SEANCE 1'!$F:$F, AN$5))</f>
        <v/>
      </c>
      <c r="AO35" s="64" t="str">
        <f ca="1">IF(COUNTIFS('SEANCE 1'!$B:$B, $B35, 'SEANCE 1'!$C:$C, AO$2, 'SEANCE 1'!$F:$F, AO$5)=0, "", COUNTIFS('SEANCE 1'!$B:$B, $B35, 'SEANCE 1'!$C:$C, AO$2, 'SEANCE 1'!$F:$F, AO$5))</f>
        <v/>
      </c>
      <c r="AP35" s="64" t="str">
        <f ca="1">IF(COUNTIFS('SEANCE 1'!$B:$B, $B35, 'SEANCE 1'!$C:$C, AP$2, 'SEANCE 1'!$F:$F, AP$5)=0, "", COUNTIFS('SEANCE 1'!$B:$B, $B35, 'SEANCE 1'!$C:$C, AP$2, 'SEANCE 1'!$F:$F, AP$5))</f>
        <v/>
      </c>
      <c r="AQ35" s="64" t="str">
        <f ca="1">IF(COUNTIFS('SEANCE 1'!$B:$B, $B35, 'SEANCE 1'!$C:$C, AQ$2, 'SEANCE 1'!$F:$F, AQ$5)=0, "", COUNTIFS('SEANCE 1'!$B:$B, $B35, 'SEANCE 1'!$C:$C, AQ$2, 'SEANCE 1'!$F:$F, AQ$5))</f>
        <v/>
      </c>
      <c r="AR35" s="64" t="str">
        <f ca="1">IF(COUNTIFS('SEANCE 1'!$B:$B, $B35, 'SEANCE 1'!$C:$C, AR$2, 'SEANCE 1'!$F:$F, AR$5)=0, "", COUNTIFS('SEANCE 1'!$B:$B, $B35, 'SEANCE 1'!$C:$C, AR$2, 'SEANCE 1'!$F:$F, AR$5))</f>
        <v/>
      </c>
      <c r="AS35" s="64" t="str">
        <f ca="1">IF(COUNTIFS('SEANCE 1'!$B:$B, $B35, 'SEANCE 1'!$C:$C, AS$2, 'SEANCE 1'!$F:$F, AS$5)=0, "", COUNTIFS('SEANCE 1'!$B:$B, $B35, 'SEANCE 1'!$C:$C, AS$2, 'SEANCE 1'!$F:$F, AS$5))</f>
        <v/>
      </c>
      <c r="AT35" s="64" t="str">
        <f ca="1">IF(COUNTIFS('SEANCE 1'!$B:$B, $B35, 'SEANCE 1'!$C:$C, AT$2, 'SEANCE 1'!$F:$F, AT$5)=0, "", COUNTIFS('SEANCE 1'!$B:$B, $B35, 'SEANCE 1'!$C:$C, AT$2, 'SEANCE 1'!$F:$F, AT$5))</f>
        <v/>
      </c>
      <c r="AU35" s="64" t="str">
        <f ca="1">IF(COUNTIFS('SEANCE 1'!$B:$B, $B35, 'SEANCE 1'!$C:$C, AU$2, 'SEANCE 1'!$F:$F, AU$5)=0, "", COUNTIFS('SEANCE 1'!$B:$B, $B35, 'SEANCE 1'!$C:$C, AU$2, 'SEANCE 1'!$F:$F, AU$5))</f>
        <v/>
      </c>
      <c r="AV35" s="64" t="str">
        <f ca="1">IF(COUNTIFS('SEANCE 1'!$B:$B, $B35, 'SEANCE 1'!$C:$C, AV$2, 'SEANCE 1'!$F:$F, AV$5)=0, "", COUNTIFS('SEANCE 1'!$B:$B, $B35, 'SEANCE 1'!$C:$C, AV$2, 'SEANCE 1'!$F:$F, AV$5))</f>
        <v/>
      </c>
      <c r="AW35" s="64" t="str">
        <f ca="1">IF(COUNTIFS('SEANCE 1'!$B:$B, $B35, 'SEANCE 1'!$C:$C, AW$2, 'SEANCE 1'!$F:$F, AW$5)=0, "", COUNTIFS('SEANCE 1'!$B:$B, $B35, 'SEANCE 1'!$C:$C, AW$2, 'SEANCE 1'!$F:$F, AW$5))</f>
        <v/>
      </c>
      <c r="AX35" s="64" t="str">
        <f ca="1">IF(COUNTIFS('SEANCE 1'!$B:$B, $B35, 'SEANCE 1'!$C:$C, AX$2, 'SEANCE 1'!$F:$F, AX$5)=0, "", COUNTIFS('SEANCE 1'!$B:$B, $B35, 'SEANCE 1'!$C:$C, AX$2, 'SEANCE 1'!$F:$F, AX$5))</f>
        <v/>
      </c>
      <c r="AY35" s="64" t="str">
        <f ca="1">IF(COUNTIFS('SEANCE 1'!$B:$B, $B35, 'SEANCE 1'!$C:$C, AY$2, 'SEANCE 1'!$F:$F, AY$5)=0, "", COUNTIFS('SEANCE 1'!$B:$B, $B35, 'SEANCE 1'!$C:$C, AY$2, 'SEANCE 1'!$F:$F, AY$5))</f>
        <v/>
      </c>
      <c r="AZ35" s="32">
        <f t="shared" ca="1" si="0"/>
        <v>0</v>
      </c>
    </row>
    <row r="36" spans="1:52">
      <c r="A36" s="44" t="str">
        <f>IF('SEANCE 1'!$B32&lt;&gt;"",'SEANCE 1'!$A32,"")</f>
        <v/>
      </c>
      <c r="B36" s="44" t="str">
        <f t="array" aca="1" ref="B36" ca="1">IF(ISNA(INDEX(ListeB,MATCH(0,COUNTIF($B$5:B35,ListeB),0))),"",INDEX(ListeB,MATCH(0,COUNTIF($B$5:B35,ListeB),0)))</f>
        <v/>
      </c>
      <c r="C36" s="64" t="str">
        <f ca="1">IF(COUNTIFS('SEANCE 1'!$B:$B, $B36, 'SEANCE 1'!$C:$C, C$2, 'SEANCE 1'!$F:$F, C$5)=0, "", COUNTIFS('SEANCE 1'!$B:$B, $B36, 'SEANCE 1'!$C:$C, C$2, 'SEANCE 1'!$F:$F, C$5))</f>
        <v/>
      </c>
      <c r="D36" s="64" t="str">
        <f ca="1">IF(COUNTIFS('SEANCE 1'!$B:$B, $B36, 'SEANCE 1'!$C:$C, D$2, 'SEANCE 1'!$F:$F, D$5)=0, "", COUNTIFS('SEANCE 1'!$B:$B, $B36, 'SEANCE 1'!$C:$C, D$2, 'SEANCE 1'!$F:$F, D$5))</f>
        <v/>
      </c>
      <c r="E36" s="64" t="str">
        <f ca="1">IF(COUNTIFS('SEANCE 1'!$B:$B, $B36, 'SEANCE 1'!$C:$C, E$2, 'SEANCE 1'!$F:$F, E$5)=0, "", COUNTIFS('SEANCE 1'!$B:$B, $B36, 'SEANCE 1'!$C:$C, E$2, 'SEANCE 1'!$F:$F, E$5))</f>
        <v/>
      </c>
      <c r="F36" s="64" t="str">
        <f ca="1">IF(COUNTIFS('SEANCE 1'!$B:$B, $B36, 'SEANCE 1'!$C:$C, F$2, 'SEANCE 1'!$F:$F, F$5)=0, "", COUNTIFS('SEANCE 1'!$B:$B, $B36, 'SEANCE 1'!$C:$C, F$2, 'SEANCE 1'!$F:$F, F$5))</f>
        <v/>
      </c>
      <c r="G36" s="64" t="str">
        <f ca="1">IF(COUNTIFS('SEANCE 1'!$B:$B, $B36, 'SEANCE 1'!$C:$C, G$2, 'SEANCE 1'!$F:$F, G$5)=0, "", COUNTIFS('SEANCE 1'!$B:$B, $B36, 'SEANCE 1'!$C:$C, G$2, 'SEANCE 1'!$F:$F, G$5))</f>
        <v/>
      </c>
      <c r="H36" s="64" t="str">
        <f ca="1">IF(COUNTIFS('SEANCE 1'!$B:$B, $B36, 'SEANCE 1'!$C:$C, H$2, 'SEANCE 1'!$F:$F, H$5)=0, "", COUNTIFS('SEANCE 1'!$B:$B, $B36, 'SEANCE 1'!$C:$C, H$2, 'SEANCE 1'!$F:$F, H$5))</f>
        <v/>
      </c>
      <c r="I36" s="64" t="str">
        <f ca="1">IF(COUNTIFS('SEANCE 1'!$B:$B, $B36, 'SEANCE 1'!$C:$C, I$2, 'SEANCE 1'!$F:$F, I$5)=0, "", COUNTIFS('SEANCE 1'!$B:$B, $B36, 'SEANCE 1'!$C:$C, I$2, 'SEANCE 1'!$F:$F, I$5))</f>
        <v/>
      </c>
      <c r="J36" s="64" t="str">
        <f ca="1">IF(COUNTIFS('SEANCE 1'!$B:$B, $B36, 'SEANCE 1'!$C:$C, J$2, 'SEANCE 1'!$F:$F, J$5)=0, "", COUNTIFS('SEANCE 1'!$B:$B, $B36, 'SEANCE 1'!$C:$C, J$2, 'SEANCE 1'!$F:$F, J$5))</f>
        <v/>
      </c>
      <c r="K36" s="64" t="str">
        <f ca="1">IF(COUNTIFS('SEANCE 1'!$B:$B, $B36, 'SEANCE 1'!$C:$C, K$2, 'SEANCE 1'!$F:$F, K$5)=0, "", COUNTIFS('SEANCE 1'!$B:$B, $B36, 'SEANCE 1'!$C:$C, K$2, 'SEANCE 1'!$F:$F, K$5))</f>
        <v/>
      </c>
      <c r="L36" s="64" t="str">
        <f ca="1">IF(COUNTIFS('SEANCE 1'!$B:$B, $B36, 'SEANCE 1'!$C:$C, L$2, 'SEANCE 1'!$F:$F, L$5)=0, "", COUNTIFS('SEANCE 1'!$B:$B, $B36, 'SEANCE 1'!$C:$C, L$2, 'SEANCE 1'!$F:$F, L$5))</f>
        <v/>
      </c>
      <c r="M36" s="64" t="str">
        <f ca="1">IF(COUNTIFS('SEANCE 1'!$B:$B, $B36, 'SEANCE 1'!$C:$C, M$2, 'SEANCE 1'!$F:$F, M$5)=0, "", COUNTIFS('SEANCE 1'!$B:$B, $B36, 'SEANCE 1'!$C:$C, M$2, 'SEANCE 1'!$F:$F, M$5))</f>
        <v/>
      </c>
      <c r="N36" s="64" t="str">
        <f ca="1">IF(COUNTIFS('SEANCE 1'!$B:$B, $B36, 'SEANCE 1'!$C:$C, N$2, 'SEANCE 1'!$F:$F, N$5)=0, "", COUNTIFS('SEANCE 1'!$B:$B, $B36, 'SEANCE 1'!$C:$C, N$2, 'SEANCE 1'!$F:$F, N$5))</f>
        <v/>
      </c>
      <c r="O36" s="64" t="str">
        <f ca="1">IF(COUNTIFS('SEANCE 1'!$B:$B, $B36, 'SEANCE 1'!$C:$C, O$2, 'SEANCE 1'!$F:$F, O$5)=0, "", COUNTIFS('SEANCE 1'!$B:$B, $B36, 'SEANCE 1'!$C:$C, O$2, 'SEANCE 1'!$F:$F, O$5))</f>
        <v/>
      </c>
      <c r="P36" s="64" t="str">
        <f ca="1">IF(COUNTIFS('SEANCE 1'!$B:$B, $B36, 'SEANCE 1'!$C:$C, P$2, 'SEANCE 1'!$F:$F, P$5)=0, "", COUNTIFS('SEANCE 1'!$B:$B, $B36, 'SEANCE 1'!$C:$C, P$2, 'SEANCE 1'!$F:$F, P$5))</f>
        <v/>
      </c>
      <c r="Q36" s="64" t="str">
        <f ca="1">IF(COUNTIFS('SEANCE 1'!$B:$B, $B36, 'SEANCE 1'!$C:$C, Q$2, 'SEANCE 1'!$F:$F, Q$5)=0, "", COUNTIFS('SEANCE 1'!$B:$B, $B36, 'SEANCE 1'!$C:$C, Q$2, 'SEANCE 1'!$F:$F, Q$5))</f>
        <v/>
      </c>
      <c r="R36" s="64" t="str">
        <f ca="1">IF(COUNTIFS('SEANCE 1'!$B:$B, $B36, 'SEANCE 1'!$C:$C, R$2, 'SEANCE 1'!$F:$F, R$5)=0, "", COUNTIFS('SEANCE 1'!$B:$B, $B36, 'SEANCE 1'!$C:$C, R$2, 'SEANCE 1'!$F:$F, R$5))</f>
        <v/>
      </c>
      <c r="S36" s="64" t="str">
        <f ca="1">IF(COUNTIFS('SEANCE 1'!$B:$B, $B36, 'SEANCE 1'!$C:$C, S$2, 'SEANCE 1'!$F:$F, S$5)=0, "", COUNTIFS('SEANCE 1'!$B:$B, $B36, 'SEANCE 1'!$C:$C, S$2, 'SEANCE 1'!$F:$F, S$5))</f>
        <v/>
      </c>
      <c r="T36" s="64" t="str">
        <f ca="1">IF(COUNTIFS('SEANCE 1'!$B:$B, $B36, 'SEANCE 1'!$C:$C, T$2, 'SEANCE 1'!$F:$F, T$5)=0, "", COUNTIFS('SEANCE 1'!$B:$B, $B36, 'SEANCE 1'!$C:$C, T$2, 'SEANCE 1'!$F:$F, T$5))</f>
        <v/>
      </c>
      <c r="U36" s="64" t="str">
        <f ca="1">IF(COUNTIFS('SEANCE 1'!$B:$B, $B36, 'SEANCE 1'!$C:$C, U$2, 'SEANCE 1'!$F:$F, U$5)=0, "", COUNTIFS('SEANCE 1'!$B:$B, $B36, 'SEANCE 1'!$C:$C, U$2, 'SEANCE 1'!$F:$F, U$5))</f>
        <v/>
      </c>
      <c r="V36" s="64" t="str">
        <f ca="1">IF(COUNTIFS('SEANCE 1'!$B:$B, $B36, 'SEANCE 1'!$C:$C, V$2, 'SEANCE 1'!$F:$F, V$5)=0, "", COUNTIFS('SEANCE 1'!$B:$B, $B36, 'SEANCE 1'!$C:$C, V$2, 'SEANCE 1'!$F:$F, V$5))</f>
        <v/>
      </c>
      <c r="W36" s="64" t="str">
        <f ca="1">IF(COUNTIFS('SEANCE 1'!$B:$B, $B36, 'SEANCE 1'!$C:$C, W$2, 'SEANCE 1'!$F:$F, W$5)=0, "", COUNTIFS('SEANCE 1'!$B:$B, $B36, 'SEANCE 1'!$C:$C, W$2, 'SEANCE 1'!$F:$F, W$5))</f>
        <v/>
      </c>
      <c r="X36" s="64" t="str">
        <f ca="1">IF(COUNTIFS('SEANCE 1'!$B:$B, $B36, 'SEANCE 1'!$C:$C, X$2, 'SEANCE 1'!$F:$F, X$5)=0, "", COUNTIFS('SEANCE 1'!$B:$B, $B36, 'SEANCE 1'!$C:$C, X$2, 'SEANCE 1'!$F:$F, X$5))</f>
        <v/>
      </c>
      <c r="Y36" s="64" t="str">
        <f ca="1">IF(COUNTIFS('SEANCE 1'!$B:$B, $B36, 'SEANCE 1'!$C:$C, Y$2, 'SEANCE 1'!$F:$F, Y$5)=0, "", COUNTIFS('SEANCE 1'!$B:$B, $B36, 'SEANCE 1'!$C:$C, Y$2, 'SEANCE 1'!$F:$F, Y$5))</f>
        <v/>
      </c>
      <c r="Z36" s="64" t="str">
        <f ca="1">IF(COUNTIFS('SEANCE 1'!$B:$B, $B36, 'SEANCE 1'!$C:$C, Z$2, 'SEANCE 1'!$F:$F, Z$5)=0, "", COUNTIFS('SEANCE 1'!$B:$B, $B36, 'SEANCE 1'!$C:$C, Z$2, 'SEANCE 1'!$F:$F, Z$5))</f>
        <v/>
      </c>
      <c r="AA36" s="64" t="str">
        <f ca="1">IF(COUNTIFS('SEANCE 1'!$B:$B, $B36, 'SEANCE 1'!$C:$C, AA$2, 'SEANCE 1'!$F:$F, AA$5)=0, "", COUNTIFS('SEANCE 1'!$B:$B, $B36, 'SEANCE 1'!$C:$C, AA$2, 'SEANCE 1'!$F:$F, AA$5))</f>
        <v/>
      </c>
      <c r="AB36" s="64" t="str">
        <f ca="1">IF(COUNTIFS('SEANCE 1'!$B:$B, $B36, 'SEANCE 1'!$C:$C, AB$2, 'SEANCE 1'!$F:$F, AB$5)=0, "", COUNTIFS('SEANCE 1'!$B:$B, $B36, 'SEANCE 1'!$C:$C, AB$2, 'SEANCE 1'!$F:$F, AB$5))</f>
        <v/>
      </c>
      <c r="AC36" s="64" t="str">
        <f ca="1">IF(COUNTIFS('SEANCE 1'!$B:$B, $B36, 'SEANCE 1'!$C:$C, AC$2, 'SEANCE 1'!$F:$F, AC$5)=0, "", COUNTIFS('SEANCE 1'!$B:$B, $B36, 'SEANCE 1'!$C:$C, AC$2, 'SEANCE 1'!$F:$F, AC$5))</f>
        <v/>
      </c>
      <c r="AD36" s="64" t="str">
        <f ca="1">IF(COUNTIFS('SEANCE 1'!$B:$B, $B36, 'SEANCE 1'!$C:$C, AD$2, 'SEANCE 1'!$F:$F, AD$5)=0, "", COUNTIFS('SEANCE 1'!$B:$B, $B36, 'SEANCE 1'!$C:$C, AD$2, 'SEANCE 1'!$F:$F, AD$5))</f>
        <v/>
      </c>
      <c r="AE36" s="64" t="str">
        <f ca="1">IF(COUNTIFS('SEANCE 1'!$B:$B, $B36, 'SEANCE 1'!$C:$C, AE$2, 'SEANCE 1'!$F:$F, AE$5)=0, "", COUNTIFS('SEANCE 1'!$B:$B, $B36, 'SEANCE 1'!$C:$C, AE$2, 'SEANCE 1'!$F:$F, AE$5))</f>
        <v/>
      </c>
      <c r="AF36" s="64" t="str">
        <f ca="1">IF(COUNTIFS('SEANCE 1'!$B:$B, $B36, 'SEANCE 1'!$C:$C, AF$2, 'SEANCE 1'!$F:$F, AF$5)=0, "", COUNTIFS('SEANCE 1'!$B:$B, $B36, 'SEANCE 1'!$C:$C, AF$2, 'SEANCE 1'!$F:$F, AF$5))</f>
        <v/>
      </c>
      <c r="AG36" s="64" t="str">
        <f ca="1">IF(COUNTIFS('SEANCE 1'!$B:$B, $B36, 'SEANCE 1'!$C:$C, AG$2, 'SEANCE 1'!$F:$F, AG$5)=0, "", COUNTIFS('SEANCE 1'!$B:$B, $B36, 'SEANCE 1'!$C:$C, AG$2, 'SEANCE 1'!$F:$F, AG$5))</f>
        <v/>
      </c>
      <c r="AH36" s="64" t="str">
        <f ca="1">IF(COUNTIFS('SEANCE 1'!$B:$B, $B36, 'SEANCE 1'!$C:$C, AH$2, 'SEANCE 1'!$F:$F, AH$5)=0, "", COUNTIFS('SEANCE 1'!$B:$B, $B36, 'SEANCE 1'!$C:$C, AH$2, 'SEANCE 1'!$F:$F, AH$5))</f>
        <v/>
      </c>
      <c r="AI36" s="64" t="str">
        <f ca="1">IF(COUNTIFS('SEANCE 1'!$B:$B, $B36, 'SEANCE 1'!$C:$C, AI$2, 'SEANCE 1'!$F:$F, AI$5)=0, "", COUNTIFS('SEANCE 1'!$B:$B, $B36, 'SEANCE 1'!$C:$C, AI$2, 'SEANCE 1'!$F:$F, AI$5))</f>
        <v/>
      </c>
      <c r="AJ36" s="64" t="str">
        <f ca="1">IF(COUNTIFS('SEANCE 1'!$B:$B, $B36, 'SEANCE 1'!$C:$C, AJ$2, 'SEANCE 1'!$F:$F, AJ$5)=0, "", COUNTIFS('SEANCE 1'!$B:$B, $B36, 'SEANCE 1'!$C:$C, AJ$2, 'SEANCE 1'!$F:$F, AJ$5))</f>
        <v/>
      </c>
      <c r="AK36" s="64" t="str">
        <f ca="1">IF(COUNTIFS('SEANCE 1'!$B:$B, $B36, 'SEANCE 1'!$C:$C, AK$2, 'SEANCE 1'!$F:$F, AK$5)=0, "", COUNTIFS('SEANCE 1'!$B:$B, $B36, 'SEANCE 1'!$C:$C, AK$2, 'SEANCE 1'!$F:$F, AK$5))</f>
        <v/>
      </c>
      <c r="AL36" s="64" t="str">
        <f ca="1">IF(COUNTIFS('SEANCE 1'!$B:$B, $B36, 'SEANCE 1'!$C:$C, AL$2, 'SEANCE 1'!$F:$F, AL$5)=0, "", COUNTIFS('SEANCE 1'!$B:$B, $B36, 'SEANCE 1'!$C:$C, AL$2, 'SEANCE 1'!$F:$F, AL$5))</f>
        <v/>
      </c>
      <c r="AM36" s="64" t="str">
        <f ca="1">IF(COUNTIFS('SEANCE 1'!$B:$B, $B36, 'SEANCE 1'!$C:$C, AM$2, 'SEANCE 1'!$F:$F, AM$5)=0, "", COUNTIFS('SEANCE 1'!$B:$B, $B36, 'SEANCE 1'!$C:$C, AM$2, 'SEANCE 1'!$F:$F, AM$5))</f>
        <v/>
      </c>
      <c r="AN36" s="64" t="str">
        <f ca="1">IF(COUNTIFS('SEANCE 1'!$B:$B, $B36, 'SEANCE 1'!$C:$C, AN$2, 'SEANCE 1'!$F:$F, AN$5)=0, "", COUNTIFS('SEANCE 1'!$B:$B, $B36, 'SEANCE 1'!$C:$C, AN$2, 'SEANCE 1'!$F:$F, AN$5))</f>
        <v/>
      </c>
      <c r="AO36" s="64" t="str">
        <f ca="1">IF(COUNTIFS('SEANCE 1'!$B:$B, $B36, 'SEANCE 1'!$C:$C, AO$2, 'SEANCE 1'!$F:$F, AO$5)=0, "", COUNTIFS('SEANCE 1'!$B:$B, $B36, 'SEANCE 1'!$C:$C, AO$2, 'SEANCE 1'!$F:$F, AO$5))</f>
        <v/>
      </c>
      <c r="AP36" s="64" t="str">
        <f ca="1">IF(COUNTIFS('SEANCE 1'!$B:$B, $B36, 'SEANCE 1'!$C:$C, AP$2, 'SEANCE 1'!$F:$F, AP$5)=0, "", COUNTIFS('SEANCE 1'!$B:$B, $B36, 'SEANCE 1'!$C:$C, AP$2, 'SEANCE 1'!$F:$F, AP$5))</f>
        <v/>
      </c>
      <c r="AQ36" s="64" t="str">
        <f ca="1">IF(COUNTIFS('SEANCE 1'!$B:$B, $B36, 'SEANCE 1'!$C:$C, AQ$2, 'SEANCE 1'!$F:$F, AQ$5)=0, "", COUNTIFS('SEANCE 1'!$B:$B, $B36, 'SEANCE 1'!$C:$C, AQ$2, 'SEANCE 1'!$F:$F, AQ$5))</f>
        <v/>
      </c>
      <c r="AR36" s="64" t="str">
        <f ca="1">IF(COUNTIFS('SEANCE 1'!$B:$B, $B36, 'SEANCE 1'!$C:$C, AR$2, 'SEANCE 1'!$F:$F, AR$5)=0, "", COUNTIFS('SEANCE 1'!$B:$B, $B36, 'SEANCE 1'!$C:$C, AR$2, 'SEANCE 1'!$F:$F, AR$5))</f>
        <v/>
      </c>
      <c r="AS36" s="64" t="str">
        <f ca="1">IF(COUNTIFS('SEANCE 1'!$B:$B, $B36, 'SEANCE 1'!$C:$C, AS$2, 'SEANCE 1'!$F:$F, AS$5)=0, "", COUNTIFS('SEANCE 1'!$B:$B, $B36, 'SEANCE 1'!$C:$C, AS$2, 'SEANCE 1'!$F:$F, AS$5))</f>
        <v/>
      </c>
      <c r="AT36" s="64" t="str">
        <f ca="1">IF(COUNTIFS('SEANCE 1'!$B:$B, $B36, 'SEANCE 1'!$C:$C, AT$2, 'SEANCE 1'!$F:$F, AT$5)=0, "", COUNTIFS('SEANCE 1'!$B:$B, $B36, 'SEANCE 1'!$C:$C, AT$2, 'SEANCE 1'!$F:$F, AT$5))</f>
        <v/>
      </c>
      <c r="AU36" s="64" t="str">
        <f ca="1">IF(COUNTIFS('SEANCE 1'!$B:$B, $B36, 'SEANCE 1'!$C:$C, AU$2, 'SEANCE 1'!$F:$F, AU$5)=0, "", COUNTIFS('SEANCE 1'!$B:$B, $B36, 'SEANCE 1'!$C:$C, AU$2, 'SEANCE 1'!$F:$F, AU$5))</f>
        <v/>
      </c>
      <c r="AV36" s="64" t="str">
        <f ca="1">IF(COUNTIFS('SEANCE 1'!$B:$B, $B36, 'SEANCE 1'!$C:$C, AV$2, 'SEANCE 1'!$F:$F, AV$5)=0, "", COUNTIFS('SEANCE 1'!$B:$B, $B36, 'SEANCE 1'!$C:$C, AV$2, 'SEANCE 1'!$F:$F, AV$5))</f>
        <v/>
      </c>
      <c r="AW36" s="64" t="str">
        <f ca="1">IF(COUNTIFS('SEANCE 1'!$B:$B, $B36, 'SEANCE 1'!$C:$C, AW$2, 'SEANCE 1'!$F:$F, AW$5)=0, "", COUNTIFS('SEANCE 1'!$B:$B, $B36, 'SEANCE 1'!$C:$C, AW$2, 'SEANCE 1'!$F:$F, AW$5))</f>
        <v/>
      </c>
      <c r="AX36" s="64" t="str">
        <f ca="1">IF(COUNTIFS('SEANCE 1'!$B:$B, $B36, 'SEANCE 1'!$C:$C, AX$2, 'SEANCE 1'!$F:$F, AX$5)=0, "", COUNTIFS('SEANCE 1'!$B:$B, $B36, 'SEANCE 1'!$C:$C, AX$2, 'SEANCE 1'!$F:$F, AX$5))</f>
        <v/>
      </c>
      <c r="AY36" s="64" t="str">
        <f ca="1">IF(COUNTIFS('SEANCE 1'!$B:$B, $B36, 'SEANCE 1'!$C:$C, AY$2, 'SEANCE 1'!$F:$F, AY$5)=0, "", COUNTIFS('SEANCE 1'!$B:$B, $B36, 'SEANCE 1'!$C:$C, AY$2, 'SEANCE 1'!$F:$F, AY$5))</f>
        <v/>
      </c>
      <c r="AZ36" s="32">
        <f t="shared" ca="1" si="0"/>
        <v>0</v>
      </c>
    </row>
    <row r="37" spans="1:52">
      <c r="A37" s="44" t="str">
        <f>IF('SEANCE 1'!$B33&lt;&gt;"",'SEANCE 1'!$A33,"")</f>
        <v/>
      </c>
      <c r="B37" s="44" t="str">
        <f t="array" aca="1" ref="B37" ca="1">IF(ISNA(INDEX(ListeB,MATCH(0,COUNTIF($B$5:B36,ListeB),0))),"",INDEX(ListeB,MATCH(0,COUNTIF($B$5:B36,ListeB),0)))</f>
        <v/>
      </c>
      <c r="C37" s="64" t="str">
        <f ca="1">IF(COUNTIFS('SEANCE 1'!$B:$B, $B37, 'SEANCE 1'!$C:$C, C$2, 'SEANCE 1'!$F:$F, C$5)=0, "", COUNTIFS('SEANCE 1'!$B:$B, $B37, 'SEANCE 1'!$C:$C, C$2, 'SEANCE 1'!$F:$F, C$5))</f>
        <v/>
      </c>
      <c r="D37" s="64" t="str">
        <f ca="1">IF(COUNTIFS('SEANCE 1'!$B:$B, $B37, 'SEANCE 1'!$C:$C, D$2, 'SEANCE 1'!$F:$F, D$5)=0, "", COUNTIFS('SEANCE 1'!$B:$B, $B37, 'SEANCE 1'!$C:$C, D$2, 'SEANCE 1'!$F:$F, D$5))</f>
        <v/>
      </c>
      <c r="E37" s="64" t="str">
        <f ca="1">IF(COUNTIFS('SEANCE 1'!$B:$B, $B37, 'SEANCE 1'!$C:$C, E$2, 'SEANCE 1'!$F:$F, E$5)=0, "", COUNTIFS('SEANCE 1'!$B:$B, $B37, 'SEANCE 1'!$C:$C, E$2, 'SEANCE 1'!$F:$F, E$5))</f>
        <v/>
      </c>
      <c r="F37" s="64" t="str">
        <f ca="1">IF(COUNTIFS('SEANCE 1'!$B:$B, $B37, 'SEANCE 1'!$C:$C, F$2, 'SEANCE 1'!$F:$F, F$5)=0, "", COUNTIFS('SEANCE 1'!$B:$B, $B37, 'SEANCE 1'!$C:$C, F$2, 'SEANCE 1'!$F:$F, F$5))</f>
        <v/>
      </c>
      <c r="G37" s="64" t="str">
        <f ca="1">IF(COUNTIFS('SEANCE 1'!$B:$B, $B37, 'SEANCE 1'!$C:$C, G$2, 'SEANCE 1'!$F:$F, G$5)=0, "", COUNTIFS('SEANCE 1'!$B:$B, $B37, 'SEANCE 1'!$C:$C, G$2, 'SEANCE 1'!$F:$F, G$5))</f>
        <v/>
      </c>
      <c r="H37" s="64" t="str">
        <f ca="1">IF(COUNTIFS('SEANCE 1'!$B:$B, $B37, 'SEANCE 1'!$C:$C, H$2, 'SEANCE 1'!$F:$F, H$5)=0, "", COUNTIFS('SEANCE 1'!$B:$B, $B37, 'SEANCE 1'!$C:$C, H$2, 'SEANCE 1'!$F:$F, H$5))</f>
        <v/>
      </c>
      <c r="I37" s="64" t="str">
        <f ca="1">IF(COUNTIFS('SEANCE 1'!$B:$B, $B37, 'SEANCE 1'!$C:$C, I$2, 'SEANCE 1'!$F:$F, I$5)=0, "", COUNTIFS('SEANCE 1'!$B:$B, $B37, 'SEANCE 1'!$C:$C, I$2, 'SEANCE 1'!$F:$F, I$5))</f>
        <v/>
      </c>
      <c r="J37" s="64" t="str">
        <f ca="1">IF(COUNTIFS('SEANCE 1'!$B:$B, $B37, 'SEANCE 1'!$C:$C, J$2, 'SEANCE 1'!$F:$F, J$5)=0, "", COUNTIFS('SEANCE 1'!$B:$B, $B37, 'SEANCE 1'!$C:$C, J$2, 'SEANCE 1'!$F:$F, J$5))</f>
        <v/>
      </c>
      <c r="K37" s="64" t="str">
        <f ca="1">IF(COUNTIFS('SEANCE 1'!$B:$B, $B37, 'SEANCE 1'!$C:$C, K$2, 'SEANCE 1'!$F:$F, K$5)=0, "", COUNTIFS('SEANCE 1'!$B:$B, $B37, 'SEANCE 1'!$C:$C, K$2, 'SEANCE 1'!$F:$F, K$5))</f>
        <v/>
      </c>
      <c r="L37" s="64" t="str">
        <f ca="1">IF(COUNTIFS('SEANCE 1'!$B:$B, $B37, 'SEANCE 1'!$C:$C, L$2, 'SEANCE 1'!$F:$F, L$5)=0, "", COUNTIFS('SEANCE 1'!$B:$B, $B37, 'SEANCE 1'!$C:$C, L$2, 'SEANCE 1'!$F:$F, L$5))</f>
        <v/>
      </c>
      <c r="M37" s="64" t="str">
        <f ca="1">IF(COUNTIFS('SEANCE 1'!$B:$B, $B37, 'SEANCE 1'!$C:$C, M$2, 'SEANCE 1'!$F:$F, M$5)=0, "", COUNTIFS('SEANCE 1'!$B:$B, $B37, 'SEANCE 1'!$C:$C, M$2, 'SEANCE 1'!$F:$F, M$5))</f>
        <v/>
      </c>
      <c r="N37" s="64" t="str">
        <f ca="1">IF(COUNTIFS('SEANCE 1'!$B:$B, $B37, 'SEANCE 1'!$C:$C, N$2, 'SEANCE 1'!$F:$F, N$5)=0, "", COUNTIFS('SEANCE 1'!$B:$B, $B37, 'SEANCE 1'!$C:$C, N$2, 'SEANCE 1'!$F:$F, N$5))</f>
        <v/>
      </c>
      <c r="O37" s="64" t="str">
        <f ca="1">IF(COUNTIFS('SEANCE 1'!$B:$B, $B37, 'SEANCE 1'!$C:$C, O$2, 'SEANCE 1'!$F:$F, O$5)=0, "", COUNTIFS('SEANCE 1'!$B:$B, $B37, 'SEANCE 1'!$C:$C, O$2, 'SEANCE 1'!$F:$F, O$5))</f>
        <v/>
      </c>
      <c r="P37" s="64" t="str">
        <f ca="1">IF(COUNTIFS('SEANCE 1'!$B:$B, $B37, 'SEANCE 1'!$C:$C, P$2, 'SEANCE 1'!$F:$F, P$5)=0, "", COUNTIFS('SEANCE 1'!$B:$B, $B37, 'SEANCE 1'!$C:$C, P$2, 'SEANCE 1'!$F:$F, P$5))</f>
        <v/>
      </c>
      <c r="Q37" s="64" t="str">
        <f ca="1">IF(COUNTIFS('SEANCE 1'!$B:$B, $B37, 'SEANCE 1'!$C:$C, Q$2, 'SEANCE 1'!$F:$F, Q$5)=0, "", COUNTIFS('SEANCE 1'!$B:$B, $B37, 'SEANCE 1'!$C:$C, Q$2, 'SEANCE 1'!$F:$F, Q$5))</f>
        <v/>
      </c>
      <c r="R37" s="64" t="str">
        <f ca="1">IF(COUNTIFS('SEANCE 1'!$B:$B, $B37, 'SEANCE 1'!$C:$C, R$2, 'SEANCE 1'!$F:$F, R$5)=0, "", COUNTIFS('SEANCE 1'!$B:$B, $B37, 'SEANCE 1'!$C:$C, R$2, 'SEANCE 1'!$F:$F, R$5))</f>
        <v/>
      </c>
      <c r="S37" s="64" t="str">
        <f ca="1">IF(COUNTIFS('SEANCE 1'!$B:$B, $B37, 'SEANCE 1'!$C:$C, S$2, 'SEANCE 1'!$F:$F, S$5)=0, "", COUNTIFS('SEANCE 1'!$B:$B, $B37, 'SEANCE 1'!$C:$C, S$2, 'SEANCE 1'!$F:$F, S$5))</f>
        <v/>
      </c>
      <c r="T37" s="64" t="str">
        <f ca="1">IF(COUNTIFS('SEANCE 1'!$B:$B, $B37, 'SEANCE 1'!$C:$C, T$2, 'SEANCE 1'!$F:$F, T$5)=0, "", COUNTIFS('SEANCE 1'!$B:$B, $B37, 'SEANCE 1'!$C:$C, T$2, 'SEANCE 1'!$F:$F, T$5))</f>
        <v/>
      </c>
      <c r="U37" s="64" t="str">
        <f ca="1">IF(COUNTIFS('SEANCE 1'!$B:$B, $B37, 'SEANCE 1'!$C:$C, U$2, 'SEANCE 1'!$F:$F, U$5)=0, "", COUNTIFS('SEANCE 1'!$B:$B, $B37, 'SEANCE 1'!$C:$C, U$2, 'SEANCE 1'!$F:$F, U$5))</f>
        <v/>
      </c>
      <c r="V37" s="64" t="str">
        <f ca="1">IF(COUNTIFS('SEANCE 1'!$B:$B, $B37, 'SEANCE 1'!$C:$C, V$2, 'SEANCE 1'!$F:$F, V$5)=0, "", COUNTIFS('SEANCE 1'!$B:$B, $B37, 'SEANCE 1'!$C:$C, V$2, 'SEANCE 1'!$F:$F, V$5))</f>
        <v/>
      </c>
      <c r="W37" s="64" t="str">
        <f ca="1">IF(COUNTIFS('SEANCE 1'!$B:$B, $B37, 'SEANCE 1'!$C:$C, W$2, 'SEANCE 1'!$F:$F, W$5)=0, "", COUNTIFS('SEANCE 1'!$B:$B, $B37, 'SEANCE 1'!$C:$C, W$2, 'SEANCE 1'!$F:$F, W$5))</f>
        <v/>
      </c>
      <c r="X37" s="64" t="str">
        <f ca="1">IF(COUNTIFS('SEANCE 1'!$B:$B, $B37, 'SEANCE 1'!$C:$C, X$2, 'SEANCE 1'!$F:$F, X$5)=0, "", COUNTIFS('SEANCE 1'!$B:$B, $B37, 'SEANCE 1'!$C:$C, X$2, 'SEANCE 1'!$F:$F, X$5))</f>
        <v/>
      </c>
      <c r="Y37" s="64" t="str">
        <f ca="1">IF(COUNTIFS('SEANCE 1'!$B:$B, $B37, 'SEANCE 1'!$C:$C, Y$2, 'SEANCE 1'!$F:$F, Y$5)=0, "", COUNTIFS('SEANCE 1'!$B:$B, $B37, 'SEANCE 1'!$C:$C, Y$2, 'SEANCE 1'!$F:$F, Y$5))</f>
        <v/>
      </c>
      <c r="Z37" s="64" t="str">
        <f ca="1">IF(COUNTIFS('SEANCE 1'!$B:$B, $B37, 'SEANCE 1'!$C:$C, Z$2, 'SEANCE 1'!$F:$F, Z$5)=0, "", COUNTIFS('SEANCE 1'!$B:$B, $B37, 'SEANCE 1'!$C:$C, Z$2, 'SEANCE 1'!$F:$F, Z$5))</f>
        <v/>
      </c>
      <c r="AA37" s="64" t="str">
        <f ca="1">IF(COUNTIFS('SEANCE 1'!$B:$B, $B37, 'SEANCE 1'!$C:$C, AA$2, 'SEANCE 1'!$F:$F, AA$5)=0, "", COUNTIFS('SEANCE 1'!$B:$B, $B37, 'SEANCE 1'!$C:$C, AA$2, 'SEANCE 1'!$F:$F, AA$5))</f>
        <v/>
      </c>
      <c r="AB37" s="64" t="str">
        <f ca="1">IF(COUNTIFS('SEANCE 1'!$B:$B, $B37, 'SEANCE 1'!$C:$C, AB$2, 'SEANCE 1'!$F:$F, AB$5)=0, "", COUNTIFS('SEANCE 1'!$B:$B, $B37, 'SEANCE 1'!$C:$C, AB$2, 'SEANCE 1'!$F:$F, AB$5))</f>
        <v/>
      </c>
      <c r="AC37" s="64" t="str">
        <f ca="1">IF(COUNTIFS('SEANCE 1'!$B:$B, $B37, 'SEANCE 1'!$C:$C, AC$2, 'SEANCE 1'!$F:$F, AC$5)=0, "", COUNTIFS('SEANCE 1'!$B:$B, $B37, 'SEANCE 1'!$C:$C, AC$2, 'SEANCE 1'!$F:$F, AC$5))</f>
        <v/>
      </c>
      <c r="AD37" s="64" t="str">
        <f ca="1">IF(COUNTIFS('SEANCE 1'!$B:$B, $B37, 'SEANCE 1'!$C:$C, AD$2, 'SEANCE 1'!$F:$F, AD$5)=0, "", COUNTIFS('SEANCE 1'!$B:$B, $B37, 'SEANCE 1'!$C:$C, AD$2, 'SEANCE 1'!$F:$F, AD$5))</f>
        <v/>
      </c>
      <c r="AE37" s="64" t="str">
        <f ca="1">IF(COUNTIFS('SEANCE 1'!$B:$B, $B37, 'SEANCE 1'!$C:$C, AE$2, 'SEANCE 1'!$F:$F, AE$5)=0, "", COUNTIFS('SEANCE 1'!$B:$B, $B37, 'SEANCE 1'!$C:$C, AE$2, 'SEANCE 1'!$F:$F, AE$5))</f>
        <v/>
      </c>
      <c r="AF37" s="64" t="str">
        <f ca="1">IF(COUNTIFS('SEANCE 1'!$B:$B, $B37, 'SEANCE 1'!$C:$C, AF$2, 'SEANCE 1'!$F:$F, AF$5)=0, "", COUNTIFS('SEANCE 1'!$B:$B, $B37, 'SEANCE 1'!$C:$C, AF$2, 'SEANCE 1'!$F:$F, AF$5))</f>
        <v/>
      </c>
      <c r="AG37" s="64" t="str">
        <f ca="1">IF(COUNTIFS('SEANCE 1'!$B:$B, $B37, 'SEANCE 1'!$C:$C, AG$2, 'SEANCE 1'!$F:$F, AG$5)=0, "", COUNTIFS('SEANCE 1'!$B:$B, $B37, 'SEANCE 1'!$C:$C, AG$2, 'SEANCE 1'!$F:$F, AG$5))</f>
        <v/>
      </c>
      <c r="AH37" s="64" t="str">
        <f ca="1">IF(COUNTIFS('SEANCE 1'!$B:$B, $B37, 'SEANCE 1'!$C:$C, AH$2, 'SEANCE 1'!$F:$F, AH$5)=0, "", COUNTIFS('SEANCE 1'!$B:$B, $B37, 'SEANCE 1'!$C:$C, AH$2, 'SEANCE 1'!$F:$F, AH$5))</f>
        <v/>
      </c>
      <c r="AI37" s="64" t="str">
        <f ca="1">IF(COUNTIFS('SEANCE 1'!$B:$B, $B37, 'SEANCE 1'!$C:$C, AI$2, 'SEANCE 1'!$F:$F, AI$5)=0, "", COUNTIFS('SEANCE 1'!$B:$B, $B37, 'SEANCE 1'!$C:$C, AI$2, 'SEANCE 1'!$F:$F, AI$5))</f>
        <v/>
      </c>
      <c r="AJ37" s="64" t="str">
        <f ca="1">IF(COUNTIFS('SEANCE 1'!$B:$B, $B37, 'SEANCE 1'!$C:$C, AJ$2, 'SEANCE 1'!$F:$F, AJ$5)=0, "", COUNTIFS('SEANCE 1'!$B:$B, $B37, 'SEANCE 1'!$C:$C, AJ$2, 'SEANCE 1'!$F:$F, AJ$5))</f>
        <v/>
      </c>
      <c r="AK37" s="64" t="str">
        <f ca="1">IF(COUNTIFS('SEANCE 1'!$B:$B, $B37, 'SEANCE 1'!$C:$C, AK$2, 'SEANCE 1'!$F:$F, AK$5)=0, "", COUNTIFS('SEANCE 1'!$B:$B, $B37, 'SEANCE 1'!$C:$C, AK$2, 'SEANCE 1'!$F:$F, AK$5))</f>
        <v/>
      </c>
      <c r="AL37" s="64" t="str">
        <f ca="1">IF(COUNTIFS('SEANCE 1'!$B:$B, $B37, 'SEANCE 1'!$C:$C, AL$2, 'SEANCE 1'!$F:$F, AL$5)=0, "", COUNTIFS('SEANCE 1'!$B:$B, $B37, 'SEANCE 1'!$C:$C, AL$2, 'SEANCE 1'!$F:$F, AL$5))</f>
        <v/>
      </c>
      <c r="AM37" s="64" t="str">
        <f ca="1">IF(COUNTIFS('SEANCE 1'!$B:$B, $B37, 'SEANCE 1'!$C:$C, AM$2, 'SEANCE 1'!$F:$F, AM$5)=0, "", COUNTIFS('SEANCE 1'!$B:$B, $B37, 'SEANCE 1'!$C:$C, AM$2, 'SEANCE 1'!$F:$F, AM$5))</f>
        <v/>
      </c>
      <c r="AN37" s="64" t="str">
        <f ca="1">IF(COUNTIFS('SEANCE 1'!$B:$B, $B37, 'SEANCE 1'!$C:$C, AN$2, 'SEANCE 1'!$F:$F, AN$5)=0, "", COUNTIFS('SEANCE 1'!$B:$B, $B37, 'SEANCE 1'!$C:$C, AN$2, 'SEANCE 1'!$F:$F, AN$5))</f>
        <v/>
      </c>
      <c r="AO37" s="64" t="str">
        <f ca="1">IF(COUNTIFS('SEANCE 1'!$B:$B, $B37, 'SEANCE 1'!$C:$C, AO$2, 'SEANCE 1'!$F:$F, AO$5)=0, "", COUNTIFS('SEANCE 1'!$B:$B, $B37, 'SEANCE 1'!$C:$C, AO$2, 'SEANCE 1'!$F:$F, AO$5))</f>
        <v/>
      </c>
      <c r="AP37" s="64" t="str">
        <f ca="1">IF(COUNTIFS('SEANCE 1'!$B:$B, $B37, 'SEANCE 1'!$C:$C, AP$2, 'SEANCE 1'!$F:$F, AP$5)=0, "", COUNTIFS('SEANCE 1'!$B:$B, $B37, 'SEANCE 1'!$C:$C, AP$2, 'SEANCE 1'!$F:$F, AP$5))</f>
        <v/>
      </c>
      <c r="AQ37" s="64" t="str">
        <f ca="1">IF(COUNTIFS('SEANCE 1'!$B:$B, $B37, 'SEANCE 1'!$C:$C, AQ$2, 'SEANCE 1'!$F:$F, AQ$5)=0, "", COUNTIFS('SEANCE 1'!$B:$B, $B37, 'SEANCE 1'!$C:$C, AQ$2, 'SEANCE 1'!$F:$F, AQ$5))</f>
        <v/>
      </c>
      <c r="AR37" s="64" t="str">
        <f ca="1">IF(COUNTIFS('SEANCE 1'!$B:$B, $B37, 'SEANCE 1'!$C:$C, AR$2, 'SEANCE 1'!$F:$F, AR$5)=0, "", COUNTIFS('SEANCE 1'!$B:$B, $B37, 'SEANCE 1'!$C:$C, AR$2, 'SEANCE 1'!$F:$F, AR$5))</f>
        <v/>
      </c>
      <c r="AS37" s="64" t="str">
        <f ca="1">IF(COUNTIFS('SEANCE 1'!$B:$B, $B37, 'SEANCE 1'!$C:$C, AS$2, 'SEANCE 1'!$F:$F, AS$5)=0, "", COUNTIFS('SEANCE 1'!$B:$B, $B37, 'SEANCE 1'!$C:$C, AS$2, 'SEANCE 1'!$F:$F, AS$5))</f>
        <v/>
      </c>
      <c r="AT37" s="64" t="str">
        <f ca="1">IF(COUNTIFS('SEANCE 1'!$B:$B, $B37, 'SEANCE 1'!$C:$C, AT$2, 'SEANCE 1'!$F:$F, AT$5)=0, "", COUNTIFS('SEANCE 1'!$B:$B, $B37, 'SEANCE 1'!$C:$C, AT$2, 'SEANCE 1'!$F:$F, AT$5))</f>
        <v/>
      </c>
      <c r="AU37" s="64" t="str">
        <f ca="1">IF(COUNTIFS('SEANCE 1'!$B:$B, $B37, 'SEANCE 1'!$C:$C, AU$2, 'SEANCE 1'!$F:$F, AU$5)=0, "", COUNTIFS('SEANCE 1'!$B:$B, $B37, 'SEANCE 1'!$C:$C, AU$2, 'SEANCE 1'!$F:$F, AU$5))</f>
        <v/>
      </c>
      <c r="AV37" s="64" t="str">
        <f ca="1">IF(COUNTIFS('SEANCE 1'!$B:$B, $B37, 'SEANCE 1'!$C:$C, AV$2, 'SEANCE 1'!$F:$F, AV$5)=0, "", COUNTIFS('SEANCE 1'!$B:$B, $B37, 'SEANCE 1'!$C:$C, AV$2, 'SEANCE 1'!$F:$F, AV$5))</f>
        <v/>
      </c>
      <c r="AW37" s="64" t="str">
        <f ca="1">IF(COUNTIFS('SEANCE 1'!$B:$B, $B37, 'SEANCE 1'!$C:$C, AW$2, 'SEANCE 1'!$F:$F, AW$5)=0, "", COUNTIFS('SEANCE 1'!$B:$B, $B37, 'SEANCE 1'!$C:$C, AW$2, 'SEANCE 1'!$F:$F, AW$5))</f>
        <v/>
      </c>
      <c r="AX37" s="64" t="str">
        <f ca="1">IF(COUNTIFS('SEANCE 1'!$B:$B, $B37, 'SEANCE 1'!$C:$C, AX$2, 'SEANCE 1'!$F:$F, AX$5)=0, "", COUNTIFS('SEANCE 1'!$B:$B, $B37, 'SEANCE 1'!$C:$C, AX$2, 'SEANCE 1'!$F:$F, AX$5))</f>
        <v/>
      </c>
      <c r="AY37" s="64" t="str">
        <f ca="1">IF(COUNTIFS('SEANCE 1'!$B:$B, $B37, 'SEANCE 1'!$C:$C, AY$2, 'SEANCE 1'!$F:$F, AY$5)=0, "", COUNTIFS('SEANCE 1'!$B:$B, $B37, 'SEANCE 1'!$C:$C, AY$2, 'SEANCE 1'!$F:$F, AY$5))</f>
        <v/>
      </c>
      <c r="AZ37" s="32">
        <f t="shared" ca="1" si="0"/>
        <v>0</v>
      </c>
    </row>
    <row r="38" spans="1:52">
      <c r="A38" s="44" t="str">
        <f>IF('SEANCE 1'!$B34&lt;&gt;"",'SEANCE 1'!$A34,"")</f>
        <v/>
      </c>
      <c r="B38" s="44" t="str">
        <f t="array" aca="1" ref="B38" ca="1">IF(ISNA(INDEX(ListeB,MATCH(0,COUNTIF($B$5:B37,ListeB),0))),"",INDEX(ListeB,MATCH(0,COUNTIF($B$5:B37,ListeB),0)))</f>
        <v/>
      </c>
      <c r="C38" s="64" t="str">
        <f ca="1">IF(COUNTIFS('SEANCE 1'!$B:$B, $B38, 'SEANCE 1'!$C:$C, C$2, 'SEANCE 1'!$F:$F, C$5)=0, "", COUNTIFS('SEANCE 1'!$B:$B, $B38, 'SEANCE 1'!$C:$C, C$2, 'SEANCE 1'!$F:$F, C$5))</f>
        <v/>
      </c>
      <c r="D38" s="64" t="str">
        <f ca="1">IF(COUNTIFS('SEANCE 1'!$B:$B, $B38, 'SEANCE 1'!$C:$C, D$2, 'SEANCE 1'!$F:$F, D$5)=0, "", COUNTIFS('SEANCE 1'!$B:$B, $B38, 'SEANCE 1'!$C:$C, D$2, 'SEANCE 1'!$F:$F, D$5))</f>
        <v/>
      </c>
      <c r="E38" s="64" t="str">
        <f ca="1">IF(COUNTIFS('SEANCE 1'!$B:$B, $B38, 'SEANCE 1'!$C:$C, E$2, 'SEANCE 1'!$F:$F, E$5)=0, "", COUNTIFS('SEANCE 1'!$B:$B, $B38, 'SEANCE 1'!$C:$C, E$2, 'SEANCE 1'!$F:$F, E$5))</f>
        <v/>
      </c>
      <c r="F38" s="64" t="str">
        <f ca="1">IF(COUNTIFS('SEANCE 1'!$B:$B, $B38, 'SEANCE 1'!$C:$C, F$2, 'SEANCE 1'!$F:$F, F$5)=0, "", COUNTIFS('SEANCE 1'!$B:$B, $B38, 'SEANCE 1'!$C:$C, F$2, 'SEANCE 1'!$F:$F, F$5))</f>
        <v/>
      </c>
      <c r="G38" s="64" t="str">
        <f ca="1">IF(COUNTIFS('SEANCE 1'!$B:$B, $B38, 'SEANCE 1'!$C:$C, G$2, 'SEANCE 1'!$F:$F, G$5)=0, "", COUNTIFS('SEANCE 1'!$B:$B, $B38, 'SEANCE 1'!$C:$C, G$2, 'SEANCE 1'!$F:$F, G$5))</f>
        <v/>
      </c>
      <c r="H38" s="64" t="str">
        <f ca="1">IF(COUNTIFS('SEANCE 1'!$B:$B, $B38, 'SEANCE 1'!$C:$C, H$2, 'SEANCE 1'!$F:$F, H$5)=0, "", COUNTIFS('SEANCE 1'!$B:$B, $B38, 'SEANCE 1'!$C:$C, H$2, 'SEANCE 1'!$F:$F, H$5))</f>
        <v/>
      </c>
      <c r="I38" s="64" t="str">
        <f ca="1">IF(COUNTIFS('SEANCE 1'!$B:$B, $B38, 'SEANCE 1'!$C:$C, I$2, 'SEANCE 1'!$F:$F, I$5)=0, "", COUNTIFS('SEANCE 1'!$B:$B, $B38, 'SEANCE 1'!$C:$C, I$2, 'SEANCE 1'!$F:$F, I$5))</f>
        <v/>
      </c>
      <c r="J38" s="64" t="str">
        <f ca="1">IF(COUNTIFS('SEANCE 1'!$B:$B, $B38, 'SEANCE 1'!$C:$C, J$2, 'SEANCE 1'!$F:$F, J$5)=0, "", COUNTIFS('SEANCE 1'!$B:$B, $B38, 'SEANCE 1'!$C:$C, J$2, 'SEANCE 1'!$F:$F, J$5))</f>
        <v/>
      </c>
      <c r="K38" s="64" t="str">
        <f ca="1">IF(COUNTIFS('SEANCE 1'!$B:$B, $B38, 'SEANCE 1'!$C:$C, K$2, 'SEANCE 1'!$F:$F, K$5)=0, "", COUNTIFS('SEANCE 1'!$B:$B, $B38, 'SEANCE 1'!$C:$C, K$2, 'SEANCE 1'!$F:$F, K$5))</f>
        <v/>
      </c>
      <c r="L38" s="64" t="str">
        <f ca="1">IF(COUNTIFS('SEANCE 1'!$B:$B, $B38, 'SEANCE 1'!$C:$C, L$2, 'SEANCE 1'!$F:$F, L$5)=0, "", COUNTIFS('SEANCE 1'!$B:$B, $B38, 'SEANCE 1'!$C:$C, L$2, 'SEANCE 1'!$F:$F, L$5))</f>
        <v/>
      </c>
      <c r="M38" s="64" t="str">
        <f ca="1">IF(COUNTIFS('SEANCE 1'!$B:$B, $B38, 'SEANCE 1'!$C:$C, M$2, 'SEANCE 1'!$F:$F, M$5)=0, "", COUNTIFS('SEANCE 1'!$B:$B, $B38, 'SEANCE 1'!$C:$C, M$2, 'SEANCE 1'!$F:$F, M$5))</f>
        <v/>
      </c>
      <c r="N38" s="64" t="str">
        <f ca="1">IF(COUNTIFS('SEANCE 1'!$B:$B, $B38, 'SEANCE 1'!$C:$C, N$2, 'SEANCE 1'!$F:$F, N$5)=0, "", COUNTIFS('SEANCE 1'!$B:$B, $B38, 'SEANCE 1'!$C:$C, N$2, 'SEANCE 1'!$F:$F, N$5))</f>
        <v/>
      </c>
      <c r="O38" s="64" t="str">
        <f ca="1">IF(COUNTIFS('SEANCE 1'!$B:$B, $B38, 'SEANCE 1'!$C:$C, O$2, 'SEANCE 1'!$F:$F, O$5)=0, "", COUNTIFS('SEANCE 1'!$B:$B, $B38, 'SEANCE 1'!$C:$C, O$2, 'SEANCE 1'!$F:$F, O$5))</f>
        <v/>
      </c>
      <c r="P38" s="64" t="str">
        <f ca="1">IF(COUNTIFS('SEANCE 1'!$B:$B, $B38, 'SEANCE 1'!$C:$C, P$2, 'SEANCE 1'!$F:$F, P$5)=0, "", COUNTIFS('SEANCE 1'!$B:$B, $B38, 'SEANCE 1'!$C:$C, P$2, 'SEANCE 1'!$F:$F, P$5))</f>
        <v/>
      </c>
      <c r="Q38" s="64" t="str">
        <f ca="1">IF(COUNTIFS('SEANCE 1'!$B:$B, $B38, 'SEANCE 1'!$C:$C, Q$2, 'SEANCE 1'!$F:$F, Q$5)=0, "", COUNTIFS('SEANCE 1'!$B:$B, $B38, 'SEANCE 1'!$C:$C, Q$2, 'SEANCE 1'!$F:$F, Q$5))</f>
        <v/>
      </c>
      <c r="R38" s="64" t="str">
        <f ca="1">IF(COUNTIFS('SEANCE 1'!$B:$B, $B38, 'SEANCE 1'!$C:$C, R$2, 'SEANCE 1'!$F:$F, R$5)=0, "", COUNTIFS('SEANCE 1'!$B:$B, $B38, 'SEANCE 1'!$C:$C, R$2, 'SEANCE 1'!$F:$F, R$5))</f>
        <v/>
      </c>
      <c r="S38" s="64" t="str">
        <f ca="1">IF(COUNTIFS('SEANCE 1'!$B:$B, $B38, 'SEANCE 1'!$C:$C, S$2, 'SEANCE 1'!$F:$F, S$5)=0, "", COUNTIFS('SEANCE 1'!$B:$B, $B38, 'SEANCE 1'!$C:$C, S$2, 'SEANCE 1'!$F:$F, S$5))</f>
        <v/>
      </c>
      <c r="T38" s="64" t="str">
        <f ca="1">IF(COUNTIFS('SEANCE 1'!$B:$B, $B38, 'SEANCE 1'!$C:$C, T$2, 'SEANCE 1'!$F:$F, T$5)=0, "", COUNTIFS('SEANCE 1'!$B:$B, $B38, 'SEANCE 1'!$C:$C, T$2, 'SEANCE 1'!$F:$F, T$5))</f>
        <v/>
      </c>
      <c r="U38" s="64" t="str">
        <f ca="1">IF(COUNTIFS('SEANCE 1'!$B:$B, $B38, 'SEANCE 1'!$C:$C, U$2, 'SEANCE 1'!$F:$F, U$5)=0, "", COUNTIFS('SEANCE 1'!$B:$B, $B38, 'SEANCE 1'!$C:$C, U$2, 'SEANCE 1'!$F:$F, U$5))</f>
        <v/>
      </c>
      <c r="V38" s="64" t="str">
        <f ca="1">IF(COUNTIFS('SEANCE 1'!$B:$B, $B38, 'SEANCE 1'!$C:$C, V$2, 'SEANCE 1'!$F:$F, V$5)=0, "", COUNTIFS('SEANCE 1'!$B:$B, $B38, 'SEANCE 1'!$C:$C, V$2, 'SEANCE 1'!$F:$F, V$5))</f>
        <v/>
      </c>
      <c r="W38" s="64" t="str">
        <f ca="1">IF(COUNTIFS('SEANCE 1'!$B:$B, $B38, 'SEANCE 1'!$C:$C, W$2, 'SEANCE 1'!$F:$F, W$5)=0, "", COUNTIFS('SEANCE 1'!$B:$B, $B38, 'SEANCE 1'!$C:$C, W$2, 'SEANCE 1'!$F:$F, W$5))</f>
        <v/>
      </c>
      <c r="X38" s="64" t="str">
        <f ca="1">IF(COUNTIFS('SEANCE 1'!$B:$B, $B38, 'SEANCE 1'!$C:$C, X$2, 'SEANCE 1'!$F:$F, X$5)=0, "", COUNTIFS('SEANCE 1'!$B:$B, $B38, 'SEANCE 1'!$C:$C, X$2, 'SEANCE 1'!$F:$F, X$5))</f>
        <v/>
      </c>
      <c r="Y38" s="64" t="str">
        <f ca="1">IF(COUNTIFS('SEANCE 1'!$B:$B, $B38, 'SEANCE 1'!$C:$C, Y$2, 'SEANCE 1'!$F:$F, Y$5)=0, "", COUNTIFS('SEANCE 1'!$B:$B, $B38, 'SEANCE 1'!$C:$C, Y$2, 'SEANCE 1'!$F:$F, Y$5))</f>
        <v/>
      </c>
      <c r="Z38" s="64" t="str">
        <f ca="1">IF(COUNTIFS('SEANCE 1'!$B:$B, $B38, 'SEANCE 1'!$C:$C, Z$2, 'SEANCE 1'!$F:$F, Z$5)=0, "", COUNTIFS('SEANCE 1'!$B:$B, $B38, 'SEANCE 1'!$C:$C, Z$2, 'SEANCE 1'!$F:$F, Z$5))</f>
        <v/>
      </c>
      <c r="AA38" s="64" t="str">
        <f ca="1">IF(COUNTIFS('SEANCE 1'!$B:$B, $B38, 'SEANCE 1'!$C:$C, AA$2, 'SEANCE 1'!$F:$F, AA$5)=0, "", COUNTIFS('SEANCE 1'!$B:$B, $B38, 'SEANCE 1'!$C:$C, AA$2, 'SEANCE 1'!$F:$F, AA$5))</f>
        <v/>
      </c>
      <c r="AB38" s="64" t="str">
        <f ca="1">IF(COUNTIFS('SEANCE 1'!$B:$B, $B38, 'SEANCE 1'!$C:$C, AB$2, 'SEANCE 1'!$F:$F, AB$5)=0, "", COUNTIFS('SEANCE 1'!$B:$B, $B38, 'SEANCE 1'!$C:$C, AB$2, 'SEANCE 1'!$F:$F, AB$5))</f>
        <v/>
      </c>
      <c r="AC38" s="64" t="str">
        <f ca="1">IF(COUNTIFS('SEANCE 1'!$B:$B, $B38, 'SEANCE 1'!$C:$C, AC$2, 'SEANCE 1'!$F:$F, AC$5)=0, "", COUNTIFS('SEANCE 1'!$B:$B, $B38, 'SEANCE 1'!$C:$C, AC$2, 'SEANCE 1'!$F:$F, AC$5))</f>
        <v/>
      </c>
      <c r="AD38" s="64" t="str">
        <f ca="1">IF(COUNTIFS('SEANCE 1'!$B:$B, $B38, 'SEANCE 1'!$C:$C, AD$2, 'SEANCE 1'!$F:$F, AD$5)=0, "", COUNTIFS('SEANCE 1'!$B:$B, $B38, 'SEANCE 1'!$C:$C, AD$2, 'SEANCE 1'!$F:$F, AD$5))</f>
        <v/>
      </c>
      <c r="AE38" s="64" t="str">
        <f ca="1">IF(COUNTIFS('SEANCE 1'!$B:$B, $B38, 'SEANCE 1'!$C:$C, AE$2, 'SEANCE 1'!$F:$F, AE$5)=0, "", COUNTIFS('SEANCE 1'!$B:$B, $B38, 'SEANCE 1'!$C:$C, AE$2, 'SEANCE 1'!$F:$F, AE$5))</f>
        <v/>
      </c>
      <c r="AF38" s="64" t="str">
        <f ca="1">IF(COUNTIFS('SEANCE 1'!$B:$B, $B38, 'SEANCE 1'!$C:$C, AF$2, 'SEANCE 1'!$F:$F, AF$5)=0, "", COUNTIFS('SEANCE 1'!$B:$B, $B38, 'SEANCE 1'!$C:$C, AF$2, 'SEANCE 1'!$F:$F, AF$5))</f>
        <v/>
      </c>
      <c r="AG38" s="64" t="str">
        <f ca="1">IF(COUNTIFS('SEANCE 1'!$B:$B, $B38, 'SEANCE 1'!$C:$C, AG$2, 'SEANCE 1'!$F:$F, AG$5)=0, "", COUNTIFS('SEANCE 1'!$B:$B, $B38, 'SEANCE 1'!$C:$C, AG$2, 'SEANCE 1'!$F:$F, AG$5))</f>
        <v/>
      </c>
      <c r="AH38" s="64" t="str">
        <f ca="1">IF(COUNTIFS('SEANCE 1'!$B:$B, $B38, 'SEANCE 1'!$C:$C, AH$2, 'SEANCE 1'!$F:$F, AH$5)=0, "", COUNTIFS('SEANCE 1'!$B:$B, $B38, 'SEANCE 1'!$C:$C, AH$2, 'SEANCE 1'!$F:$F, AH$5))</f>
        <v/>
      </c>
      <c r="AI38" s="64" t="str">
        <f ca="1">IF(COUNTIFS('SEANCE 1'!$B:$B, $B38, 'SEANCE 1'!$C:$C, AI$2, 'SEANCE 1'!$F:$F, AI$5)=0, "", COUNTIFS('SEANCE 1'!$B:$B, $B38, 'SEANCE 1'!$C:$C, AI$2, 'SEANCE 1'!$F:$F, AI$5))</f>
        <v/>
      </c>
      <c r="AJ38" s="64" t="str">
        <f ca="1">IF(COUNTIFS('SEANCE 1'!$B:$B, $B38, 'SEANCE 1'!$C:$C, AJ$2, 'SEANCE 1'!$F:$F, AJ$5)=0, "", COUNTIFS('SEANCE 1'!$B:$B, $B38, 'SEANCE 1'!$C:$C, AJ$2, 'SEANCE 1'!$F:$F, AJ$5))</f>
        <v/>
      </c>
      <c r="AK38" s="64" t="str">
        <f ca="1">IF(COUNTIFS('SEANCE 1'!$B:$B, $B38, 'SEANCE 1'!$C:$C, AK$2, 'SEANCE 1'!$F:$F, AK$5)=0, "", COUNTIFS('SEANCE 1'!$B:$B, $B38, 'SEANCE 1'!$C:$C, AK$2, 'SEANCE 1'!$F:$F, AK$5))</f>
        <v/>
      </c>
      <c r="AL38" s="64" t="str">
        <f ca="1">IF(COUNTIFS('SEANCE 1'!$B:$B, $B38, 'SEANCE 1'!$C:$C, AL$2, 'SEANCE 1'!$F:$F, AL$5)=0, "", COUNTIFS('SEANCE 1'!$B:$B, $B38, 'SEANCE 1'!$C:$C, AL$2, 'SEANCE 1'!$F:$F, AL$5))</f>
        <v/>
      </c>
      <c r="AM38" s="64" t="str">
        <f ca="1">IF(COUNTIFS('SEANCE 1'!$B:$B, $B38, 'SEANCE 1'!$C:$C, AM$2, 'SEANCE 1'!$F:$F, AM$5)=0, "", COUNTIFS('SEANCE 1'!$B:$B, $B38, 'SEANCE 1'!$C:$C, AM$2, 'SEANCE 1'!$F:$F, AM$5))</f>
        <v/>
      </c>
      <c r="AN38" s="64" t="str">
        <f ca="1">IF(COUNTIFS('SEANCE 1'!$B:$B, $B38, 'SEANCE 1'!$C:$C, AN$2, 'SEANCE 1'!$F:$F, AN$5)=0, "", COUNTIFS('SEANCE 1'!$B:$B, $B38, 'SEANCE 1'!$C:$C, AN$2, 'SEANCE 1'!$F:$F, AN$5))</f>
        <v/>
      </c>
      <c r="AO38" s="64" t="str">
        <f ca="1">IF(COUNTIFS('SEANCE 1'!$B:$B, $B38, 'SEANCE 1'!$C:$C, AO$2, 'SEANCE 1'!$F:$F, AO$5)=0, "", COUNTIFS('SEANCE 1'!$B:$B, $B38, 'SEANCE 1'!$C:$C, AO$2, 'SEANCE 1'!$F:$F, AO$5))</f>
        <v/>
      </c>
      <c r="AP38" s="64" t="str">
        <f ca="1">IF(COUNTIFS('SEANCE 1'!$B:$B, $B38, 'SEANCE 1'!$C:$C, AP$2, 'SEANCE 1'!$F:$F, AP$5)=0, "", COUNTIFS('SEANCE 1'!$B:$B, $B38, 'SEANCE 1'!$C:$C, AP$2, 'SEANCE 1'!$F:$F, AP$5))</f>
        <v/>
      </c>
      <c r="AQ38" s="64" t="str">
        <f ca="1">IF(COUNTIFS('SEANCE 1'!$B:$B, $B38, 'SEANCE 1'!$C:$C, AQ$2, 'SEANCE 1'!$F:$F, AQ$5)=0, "", COUNTIFS('SEANCE 1'!$B:$B, $B38, 'SEANCE 1'!$C:$C, AQ$2, 'SEANCE 1'!$F:$F, AQ$5))</f>
        <v/>
      </c>
      <c r="AR38" s="64" t="str">
        <f ca="1">IF(COUNTIFS('SEANCE 1'!$B:$B, $B38, 'SEANCE 1'!$C:$C, AR$2, 'SEANCE 1'!$F:$F, AR$5)=0, "", COUNTIFS('SEANCE 1'!$B:$B, $B38, 'SEANCE 1'!$C:$C, AR$2, 'SEANCE 1'!$F:$F, AR$5))</f>
        <v/>
      </c>
      <c r="AS38" s="64" t="str">
        <f ca="1">IF(COUNTIFS('SEANCE 1'!$B:$B, $B38, 'SEANCE 1'!$C:$C, AS$2, 'SEANCE 1'!$F:$F, AS$5)=0, "", COUNTIFS('SEANCE 1'!$B:$B, $B38, 'SEANCE 1'!$C:$C, AS$2, 'SEANCE 1'!$F:$F, AS$5))</f>
        <v/>
      </c>
      <c r="AT38" s="64" t="str">
        <f ca="1">IF(COUNTIFS('SEANCE 1'!$B:$B, $B38, 'SEANCE 1'!$C:$C, AT$2, 'SEANCE 1'!$F:$F, AT$5)=0, "", COUNTIFS('SEANCE 1'!$B:$B, $B38, 'SEANCE 1'!$C:$C, AT$2, 'SEANCE 1'!$F:$F, AT$5))</f>
        <v/>
      </c>
      <c r="AU38" s="64" t="str">
        <f ca="1">IF(COUNTIFS('SEANCE 1'!$B:$B, $B38, 'SEANCE 1'!$C:$C, AU$2, 'SEANCE 1'!$F:$F, AU$5)=0, "", COUNTIFS('SEANCE 1'!$B:$B, $B38, 'SEANCE 1'!$C:$C, AU$2, 'SEANCE 1'!$F:$F, AU$5))</f>
        <v/>
      </c>
      <c r="AV38" s="64" t="str">
        <f ca="1">IF(COUNTIFS('SEANCE 1'!$B:$B, $B38, 'SEANCE 1'!$C:$C, AV$2, 'SEANCE 1'!$F:$F, AV$5)=0, "", COUNTIFS('SEANCE 1'!$B:$B, $B38, 'SEANCE 1'!$C:$C, AV$2, 'SEANCE 1'!$F:$F, AV$5))</f>
        <v/>
      </c>
      <c r="AW38" s="64" t="str">
        <f ca="1">IF(COUNTIFS('SEANCE 1'!$B:$B, $B38, 'SEANCE 1'!$C:$C, AW$2, 'SEANCE 1'!$F:$F, AW$5)=0, "", COUNTIFS('SEANCE 1'!$B:$B, $B38, 'SEANCE 1'!$C:$C, AW$2, 'SEANCE 1'!$F:$F, AW$5))</f>
        <v/>
      </c>
      <c r="AX38" s="64" t="str">
        <f ca="1">IF(COUNTIFS('SEANCE 1'!$B:$B, $B38, 'SEANCE 1'!$C:$C, AX$2, 'SEANCE 1'!$F:$F, AX$5)=0, "", COUNTIFS('SEANCE 1'!$B:$B, $B38, 'SEANCE 1'!$C:$C, AX$2, 'SEANCE 1'!$F:$F, AX$5))</f>
        <v/>
      </c>
      <c r="AY38" s="64" t="str">
        <f ca="1">IF(COUNTIFS('SEANCE 1'!$B:$B, $B38, 'SEANCE 1'!$C:$C, AY$2, 'SEANCE 1'!$F:$F, AY$5)=0, "", COUNTIFS('SEANCE 1'!$B:$B, $B38, 'SEANCE 1'!$C:$C, AY$2, 'SEANCE 1'!$F:$F, AY$5))</f>
        <v/>
      </c>
      <c r="AZ38" s="32">
        <f t="shared" ca="1" si="0"/>
        <v>0</v>
      </c>
    </row>
    <row r="39" spans="1:52">
      <c r="A39" s="44" t="str">
        <f>IF('SEANCE 1'!$B35&lt;&gt;"",'SEANCE 1'!$A35,"")</f>
        <v/>
      </c>
      <c r="B39" s="44" t="str">
        <f t="array" aca="1" ref="B39" ca="1">IF(ISNA(INDEX(ListeB,MATCH(0,COUNTIF($B$5:B38,ListeB),0))),"",INDEX(ListeB,MATCH(0,COUNTIF($B$5:B38,ListeB),0)))</f>
        <v/>
      </c>
      <c r="C39" s="64" t="str">
        <f ca="1">IF(COUNTIFS('SEANCE 1'!$B:$B, $B39, 'SEANCE 1'!$C:$C, C$2, 'SEANCE 1'!$F:$F, C$5)=0, "", COUNTIFS('SEANCE 1'!$B:$B, $B39, 'SEANCE 1'!$C:$C, C$2, 'SEANCE 1'!$F:$F, C$5))</f>
        <v/>
      </c>
      <c r="D39" s="64" t="str">
        <f ca="1">IF(COUNTIFS('SEANCE 1'!$B:$B, $B39, 'SEANCE 1'!$C:$C, D$2, 'SEANCE 1'!$F:$F, D$5)=0, "", COUNTIFS('SEANCE 1'!$B:$B, $B39, 'SEANCE 1'!$C:$C, D$2, 'SEANCE 1'!$F:$F, D$5))</f>
        <v/>
      </c>
      <c r="E39" s="64" t="str">
        <f ca="1">IF(COUNTIFS('SEANCE 1'!$B:$B, $B39, 'SEANCE 1'!$C:$C, E$2, 'SEANCE 1'!$F:$F, E$5)=0, "", COUNTIFS('SEANCE 1'!$B:$B, $B39, 'SEANCE 1'!$C:$C, E$2, 'SEANCE 1'!$F:$F, E$5))</f>
        <v/>
      </c>
      <c r="F39" s="64" t="str">
        <f ca="1">IF(COUNTIFS('SEANCE 1'!$B:$B, $B39, 'SEANCE 1'!$C:$C, F$2, 'SEANCE 1'!$F:$F, F$5)=0, "", COUNTIFS('SEANCE 1'!$B:$B, $B39, 'SEANCE 1'!$C:$C, F$2, 'SEANCE 1'!$F:$F, F$5))</f>
        <v/>
      </c>
      <c r="G39" s="64" t="str">
        <f ca="1">IF(COUNTIFS('SEANCE 1'!$B:$B, $B39, 'SEANCE 1'!$C:$C, G$2, 'SEANCE 1'!$F:$F, G$5)=0, "", COUNTIFS('SEANCE 1'!$B:$B, $B39, 'SEANCE 1'!$C:$C, G$2, 'SEANCE 1'!$F:$F, G$5))</f>
        <v/>
      </c>
      <c r="H39" s="64" t="str">
        <f ca="1">IF(COUNTIFS('SEANCE 1'!$B:$B, $B39, 'SEANCE 1'!$C:$C, H$2, 'SEANCE 1'!$F:$F, H$5)=0, "", COUNTIFS('SEANCE 1'!$B:$B, $B39, 'SEANCE 1'!$C:$C, H$2, 'SEANCE 1'!$F:$F, H$5))</f>
        <v/>
      </c>
      <c r="I39" s="64" t="str">
        <f ca="1">IF(COUNTIFS('SEANCE 1'!$B:$B, $B39, 'SEANCE 1'!$C:$C, I$2, 'SEANCE 1'!$F:$F, I$5)=0, "", COUNTIFS('SEANCE 1'!$B:$B, $B39, 'SEANCE 1'!$C:$C, I$2, 'SEANCE 1'!$F:$F, I$5))</f>
        <v/>
      </c>
      <c r="J39" s="64" t="str">
        <f ca="1">IF(COUNTIFS('SEANCE 1'!$B:$B, $B39, 'SEANCE 1'!$C:$C, J$2, 'SEANCE 1'!$F:$F, J$5)=0, "", COUNTIFS('SEANCE 1'!$B:$B, $B39, 'SEANCE 1'!$C:$C, J$2, 'SEANCE 1'!$F:$F, J$5))</f>
        <v/>
      </c>
      <c r="K39" s="64" t="str">
        <f ca="1">IF(COUNTIFS('SEANCE 1'!$B:$B, $B39, 'SEANCE 1'!$C:$C, K$2, 'SEANCE 1'!$F:$F, K$5)=0, "", COUNTIFS('SEANCE 1'!$B:$B, $B39, 'SEANCE 1'!$C:$C, K$2, 'SEANCE 1'!$F:$F, K$5))</f>
        <v/>
      </c>
      <c r="L39" s="64" t="str">
        <f ca="1">IF(COUNTIFS('SEANCE 1'!$B:$B, $B39, 'SEANCE 1'!$C:$C, L$2, 'SEANCE 1'!$F:$F, L$5)=0, "", COUNTIFS('SEANCE 1'!$B:$B, $B39, 'SEANCE 1'!$C:$C, L$2, 'SEANCE 1'!$F:$F, L$5))</f>
        <v/>
      </c>
      <c r="M39" s="64" t="str">
        <f ca="1">IF(COUNTIFS('SEANCE 1'!$B:$B, $B39, 'SEANCE 1'!$C:$C, M$2, 'SEANCE 1'!$F:$F, M$5)=0, "", COUNTIFS('SEANCE 1'!$B:$B, $B39, 'SEANCE 1'!$C:$C, M$2, 'SEANCE 1'!$F:$F, M$5))</f>
        <v/>
      </c>
      <c r="N39" s="64" t="str">
        <f ca="1">IF(COUNTIFS('SEANCE 1'!$B:$B, $B39, 'SEANCE 1'!$C:$C, N$2, 'SEANCE 1'!$F:$F, N$5)=0, "", COUNTIFS('SEANCE 1'!$B:$B, $B39, 'SEANCE 1'!$C:$C, N$2, 'SEANCE 1'!$F:$F, N$5))</f>
        <v/>
      </c>
      <c r="O39" s="64" t="str">
        <f ca="1">IF(COUNTIFS('SEANCE 1'!$B:$B, $B39, 'SEANCE 1'!$C:$C, O$2, 'SEANCE 1'!$F:$F, O$5)=0, "", COUNTIFS('SEANCE 1'!$B:$B, $B39, 'SEANCE 1'!$C:$C, O$2, 'SEANCE 1'!$F:$F, O$5))</f>
        <v/>
      </c>
      <c r="P39" s="64" t="str">
        <f ca="1">IF(COUNTIFS('SEANCE 1'!$B:$B, $B39, 'SEANCE 1'!$C:$C, P$2, 'SEANCE 1'!$F:$F, P$5)=0, "", COUNTIFS('SEANCE 1'!$B:$B, $B39, 'SEANCE 1'!$C:$C, P$2, 'SEANCE 1'!$F:$F, P$5))</f>
        <v/>
      </c>
      <c r="Q39" s="64" t="str">
        <f ca="1">IF(COUNTIFS('SEANCE 1'!$B:$B, $B39, 'SEANCE 1'!$C:$C, Q$2, 'SEANCE 1'!$F:$F, Q$5)=0, "", COUNTIFS('SEANCE 1'!$B:$B, $B39, 'SEANCE 1'!$C:$C, Q$2, 'SEANCE 1'!$F:$F, Q$5))</f>
        <v/>
      </c>
      <c r="R39" s="64" t="str">
        <f ca="1">IF(COUNTIFS('SEANCE 1'!$B:$B, $B39, 'SEANCE 1'!$C:$C, R$2, 'SEANCE 1'!$F:$F, R$5)=0, "", COUNTIFS('SEANCE 1'!$B:$B, $B39, 'SEANCE 1'!$C:$C, R$2, 'SEANCE 1'!$F:$F, R$5))</f>
        <v/>
      </c>
      <c r="S39" s="64" t="str">
        <f ca="1">IF(COUNTIFS('SEANCE 1'!$B:$B, $B39, 'SEANCE 1'!$C:$C, S$2, 'SEANCE 1'!$F:$F, S$5)=0, "", COUNTIFS('SEANCE 1'!$B:$B, $B39, 'SEANCE 1'!$C:$C, S$2, 'SEANCE 1'!$F:$F, S$5))</f>
        <v/>
      </c>
      <c r="T39" s="64" t="str">
        <f ca="1">IF(COUNTIFS('SEANCE 1'!$B:$B, $B39, 'SEANCE 1'!$C:$C, T$2, 'SEANCE 1'!$F:$F, T$5)=0, "", COUNTIFS('SEANCE 1'!$B:$B, $B39, 'SEANCE 1'!$C:$C, T$2, 'SEANCE 1'!$F:$F, T$5))</f>
        <v/>
      </c>
      <c r="U39" s="64" t="str">
        <f ca="1">IF(COUNTIFS('SEANCE 1'!$B:$B, $B39, 'SEANCE 1'!$C:$C, U$2, 'SEANCE 1'!$F:$F, U$5)=0, "", COUNTIFS('SEANCE 1'!$B:$B, $B39, 'SEANCE 1'!$C:$C, U$2, 'SEANCE 1'!$F:$F, U$5))</f>
        <v/>
      </c>
      <c r="V39" s="64" t="str">
        <f ca="1">IF(COUNTIFS('SEANCE 1'!$B:$B, $B39, 'SEANCE 1'!$C:$C, V$2, 'SEANCE 1'!$F:$F, V$5)=0, "", COUNTIFS('SEANCE 1'!$B:$B, $B39, 'SEANCE 1'!$C:$C, V$2, 'SEANCE 1'!$F:$F, V$5))</f>
        <v/>
      </c>
      <c r="W39" s="64" t="str">
        <f ca="1">IF(COUNTIFS('SEANCE 1'!$B:$B, $B39, 'SEANCE 1'!$C:$C, W$2, 'SEANCE 1'!$F:$F, W$5)=0, "", COUNTIFS('SEANCE 1'!$B:$B, $B39, 'SEANCE 1'!$C:$C, W$2, 'SEANCE 1'!$F:$F, W$5))</f>
        <v/>
      </c>
      <c r="X39" s="64" t="str">
        <f ca="1">IF(COUNTIFS('SEANCE 1'!$B:$B, $B39, 'SEANCE 1'!$C:$C, X$2, 'SEANCE 1'!$F:$F, X$5)=0, "", COUNTIFS('SEANCE 1'!$B:$B, $B39, 'SEANCE 1'!$C:$C, X$2, 'SEANCE 1'!$F:$F, X$5))</f>
        <v/>
      </c>
      <c r="Y39" s="64" t="str">
        <f ca="1">IF(COUNTIFS('SEANCE 1'!$B:$B, $B39, 'SEANCE 1'!$C:$C, Y$2, 'SEANCE 1'!$F:$F, Y$5)=0, "", COUNTIFS('SEANCE 1'!$B:$B, $B39, 'SEANCE 1'!$C:$C, Y$2, 'SEANCE 1'!$F:$F, Y$5))</f>
        <v/>
      </c>
      <c r="Z39" s="64" t="str">
        <f ca="1">IF(COUNTIFS('SEANCE 1'!$B:$B, $B39, 'SEANCE 1'!$C:$C, Z$2, 'SEANCE 1'!$F:$F, Z$5)=0, "", COUNTIFS('SEANCE 1'!$B:$B, $B39, 'SEANCE 1'!$C:$C, Z$2, 'SEANCE 1'!$F:$F, Z$5))</f>
        <v/>
      </c>
      <c r="AA39" s="64" t="str">
        <f ca="1">IF(COUNTIFS('SEANCE 1'!$B:$B, $B39, 'SEANCE 1'!$C:$C, AA$2, 'SEANCE 1'!$F:$F, AA$5)=0, "", COUNTIFS('SEANCE 1'!$B:$B, $B39, 'SEANCE 1'!$C:$C, AA$2, 'SEANCE 1'!$F:$F, AA$5))</f>
        <v/>
      </c>
      <c r="AB39" s="64" t="str">
        <f ca="1">IF(COUNTIFS('SEANCE 1'!$B:$B, $B39, 'SEANCE 1'!$C:$C, AB$2, 'SEANCE 1'!$F:$F, AB$5)=0, "", COUNTIFS('SEANCE 1'!$B:$B, $B39, 'SEANCE 1'!$C:$C, AB$2, 'SEANCE 1'!$F:$F, AB$5))</f>
        <v/>
      </c>
      <c r="AC39" s="64" t="str">
        <f ca="1">IF(COUNTIFS('SEANCE 1'!$B:$B, $B39, 'SEANCE 1'!$C:$C, AC$2, 'SEANCE 1'!$F:$F, AC$5)=0, "", COUNTIFS('SEANCE 1'!$B:$B, $B39, 'SEANCE 1'!$C:$C, AC$2, 'SEANCE 1'!$F:$F, AC$5))</f>
        <v/>
      </c>
      <c r="AD39" s="64" t="str">
        <f ca="1">IF(COUNTIFS('SEANCE 1'!$B:$B, $B39, 'SEANCE 1'!$C:$C, AD$2, 'SEANCE 1'!$F:$F, AD$5)=0, "", COUNTIFS('SEANCE 1'!$B:$B, $B39, 'SEANCE 1'!$C:$C, AD$2, 'SEANCE 1'!$F:$F, AD$5))</f>
        <v/>
      </c>
      <c r="AE39" s="64" t="str">
        <f ca="1">IF(COUNTIFS('SEANCE 1'!$B:$B, $B39, 'SEANCE 1'!$C:$C, AE$2, 'SEANCE 1'!$F:$F, AE$5)=0, "", COUNTIFS('SEANCE 1'!$B:$B, $B39, 'SEANCE 1'!$C:$C, AE$2, 'SEANCE 1'!$F:$F, AE$5))</f>
        <v/>
      </c>
      <c r="AF39" s="64" t="str">
        <f ca="1">IF(COUNTIFS('SEANCE 1'!$B:$B, $B39, 'SEANCE 1'!$C:$C, AF$2, 'SEANCE 1'!$F:$F, AF$5)=0, "", COUNTIFS('SEANCE 1'!$B:$B, $B39, 'SEANCE 1'!$C:$C, AF$2, 'SEANCE 1'!$F:$F, AF$5))</f>
        <v/>
      </c>
      <c r="AG39" s="64" t="str">
        <f ca="1">IF(COUNTIFS('SEANCE 1'!$B:$B, $B39, 'SEANCE 1'!$C:$C, AG$2, 'SEANCE 1'!$F:$F, AG$5)=0, "", COUNTIFS('SEANCE 1'!$B:$B, $B39, 'SEANCE 1'!$C:$C, AG$2, 'SEANCE 1'!$F:$F, AG$5))</f>
        <v/>
      </c>
      <c r="AH39" s="64" t="str">
        <f ca="1">IF(COUNTIFS('SEANCE 1'!$B:$B, $B39, 'SEANCE 1'!$C:$C, AH$2, 'SEANCE 1'!$F:$F, AH$5)=0, "", COUNTIFS('SEANCE 1'!$B:$B, $B39, 'SEANCE 1'!$C:$C, AH$2, 'SEANCE 1'!$F:$F, AH$5))</f>
        <v/>
      </c>
      <c r="AI39" s="64" t="str">
        <f ca="1">IF(COUNTIFS('SEANCE 1'!$B:$B, $B39, 'SEANCE 1'!$C:$C, AI$2, 'SEANCE 1'!$F:$F, AI$5)=0, "", COUNTIFS('SEANCE 1'!$B:$B, $B39, 'SEANCE 1'!$C:$C, AI$2, 'SEANCE 1'!$F:$F, AI$5))</f>
        <v/>
      </c>
      <c r="AJ39" s="64" t="str">
        <f ca="1">IF(COUNTIFS('SEANCE 1'!$B:$B, $B39, 'SEANCE 1'!$C:$C, AJ$2, 'SEANCE 1'!$F:$F, AJ$5)=0, "", COUNTIFS('SEANCE 1'!$B:$B, $B39, 'SEANCE 1'!$C:$C, AJ$2, 'SEANCE 1'!$F:$F, AJ$5))</f>
        <v/>
      </c>
      <c r="AK39" s="64" t="str">
        <f ca="1">IF(COUNTIFS('SEANCE 1'!$B:$B, $B39, 'SEANCE 1'!$C:$C, AK$2, 'SEANCE 1'!$F:$F, AK$5)=0, "", COUNTIFS('SEANCE 1'!$B:$B, $B39, 'SEANCE 1'!$C:$C, AK$2, 'SEANCE 1'!$F:$F, AK$5))</f>
        <v/>
      </c>
      <c r="AL39" s="64" t="str">
        <f ca="1">IF(COUNTIFS('SEANCE 1'!$B:$B, $B39, 'SEANCE 1'!$C:$C, AL$2, 'SEANCE 1'!$F:$F, AL$5)=0, "", COUNTIFS('SEANCE 1'!$B:$B, $B39, 'SEANCE 1'!$C:$C, AL$2, 'SEANCE 1'!$F:$F, AL$5))</f>
        <v/>
      </c>
      <c r="AM39" s="64" t="str">
        <f ca="1">IF(COUNTIFS('SEANCE 1'!$B:$B, $B39, 'SEANCE 1'!$C:$C, AM$2, 'SEANCE 1'!$F:$F, AM$5)=0, "", COUNTIFS('SEANCE 1'!$B:$B, $B39, 'SEANCE 1'!$C:$C, AM$2, 'SEANCE 1'!$F:$F, AM$5))</f>
        <v/>
      </c>
      <c r="AN39" s="64" t="str">
        <f ca="1">IF(COUNTIFS('SEANCE 1'!$B:$B, $B39, 'SEANCE 1'!$C:$C, AN$2, 'SEANCE 1'!$F:$F, AN$5)=0, "", COUNTIFS('SEANCE 1'!$B:$B, $B39, 'SEANCE 1'!$C:$C, AN$2, 'SEANCE 1'!$F:$F, AN$5))</f>
        <v/>
      </c>
      <c r="AO39" s="64" t="str">
        <f ca="1">IF(COUNTIFS('SEANCE 1'!$B:$B, $B39, 'SEANCE 1'!$C:$C, AO$2, 'SEANCE 1'!$F:$F, AO$5)=0, "", COUNTIFS('SEANCE 1'!$B:$B, $B39, 'SEANCE 1'!$C:$C, AO$2, 'SEANCE 1'!$F:$F, AO$5))</f>
        <v/>
      </c>
      <c r="AP39" s="64" t="str">
        <f ca="1">IF(COUNTIFS('SEANCE 1'!$B:$B, $B39, 'SEANCE 1'!$C:$C, AP$2, 'SEANCE 1'!$F:$F, AP$5)=0, "", COUNTIFS('SEANCE 1'!$B:$B, $B39, 'SEANCE 1'!$C:$C, AP$2, 'SEANCE 1'!$F:$F, AP$5))</f>
        <v/>
      </c>
      <c r="AQ39" s="64" t="str">
        <f ca="1">IF(COUNTIFS('SEANCE 1'!$B:$B, $B39, 'SEANCE 1'!$C:$C, AQ$2, 'SEANCE 1'!$F:$F, AQ$5)=0, "", COUNTIFS('SEANCE 1'!$B:$B, $B39, 'SEANCE 1'!$C:$C, AQ$2, 'SEANCE 1'!$F:$F, AQ$5))</f>
        <v/>
      </c>
      <c r="AR39" s="64" t="str">
        <f ca="1">IF(COUNTIFS('SEANCE 1'!$B:$B, $B39, 'SEANCE 1'!$C:$C, AR$2, 'SEANCE 1'!$F:$F, AR$5)=0, "", COUNTIFS('SEANCE 1'!$B:$B, $B39, 'SEANCE 1'!$C:$C, AR$2, 'SEANCE 1'!$F:$F, AR$5))</f>
        <v/>
      </c>
      <c r="AS39" s="64" t="str">
        <f ca="1">IF(COUNTIFS('SEANCE 1'!$B:$B, $B39, 'SEANCE 1'!$C:$C, AS$2, 'SEANCE 1'!$F:$F, AS$5)=0, "", COUNTIFS('SEANCE 1'!$B:$B, $B39, 'SEANCE 1'!$C:$C, AS$2, 'SEANCE 1'!$F:$F, AS$5))</f>
        <v/>
      </c>
      <c r="AT39" s="64" t="str">
        <f ca="1">IF(COUNTIFS('SEANCE 1'!$B:$B, $B39, 'SEANCE 1'!$C:$C, AT$2, 'SEANCE 1'!$F:$F, AT$5)=0, "", COUNTIFS('SEANCE 1'!$B:$B, $B39, 'SEANCE 1'!$C:$C, AT$2, 'SEANCE 1'!$F:$F, AT$5))</f>
        <v/>
      </c>
      <c r="AU39" s="64" t="str">
        <f ca="1">IF(COUNTIFS('SEANCE 1'!$B:$B, $B39, 'SEANCE 1'!$C:$C, AU$2, 'SEANCE 1'!$F:$F, AU$5)=0, "", COUNTIFS('SEANCE 1'!$B:$B, $B39, 'SEANCE 1'!$C:$C, AU$2, 'SEANCE 1'!$F:$F, AU$5))</f>
        <v/>
      </c>
      <c r="AV39" s="64" t="str">
        <f ca="1">IF(COUNTIFS('SEANCE 1'!$B:$B, $B39, 'SEANCE 1'!$C:$C, AV$2, 'SEANCE 1'!$F:$F, AV$5)=0, "", COUNTIFS('SEANCE 1'!$B:$B, $B39, 'SEANCE 1'!$C:$C, AV$2, 'SEANCE 1'!$F:$F, AV$5))</f>
        <v/>
      </c>
      <c r="AW39" s="64" t="str">
        <f ca="1">IF(COUNTIFS('SEANCE 1'!$B:$B, $B39, 'SEANCE 1'!$C:$C, AW$2, 'SEANCE 1'!$F:$F, AW$5)=0, "", COUNTIFS('SEANCE 1'!$B:$B, $B39, 'SEANCE 1'!$C:$C, AW$2, 'SEANCE 1'!$F:$F, AW$5))</f>
        <v/>
      </c>
      <c r="AX39" s="64" t="str">
        <f ca="1">IF(COUNTIFS('SEANCE 1'!$B:$B, $B39, 'SEANCE 1'!$C:$C, AX$2, 'SEANCE 1'!$F:$F, AX$5)=0, "", COUNTIFS('SEANCE 1'!$B:$B, $B39, 'SEANCE 1'!$C:$C, AX$2, 'SEANCE 1'!$F:$F, AX$5))</f>
        <v/>
      </c>
      <c r="AY39" s="64" t="str">
        <f ca="1">IF(COUNTIFS('SEANCE 1'!$B:$B, $B39, 'SEANCE 1'!$C:$C, AY$2, 'SEANCE 1'!$F:$F, AY$5)=0, "", COUNTIFS('SEANCE 1'!$B:$B, $B39, 'SEANCE 1'!$C:$C, AY$2, 'SEANCE 1'!$F:$F, AY$5))</f>
        <v/>
      </c>
      <c r="AZ39" s="32">
        <f t="shared" ca="1" si="0"/>
        <v>0</v>
      </c>
    </row>
    <row r="40" spans="1:52">
      <c r="A40" s="44" t="str">
        <f>IF('SEANCE 1'!$B36&lt;&gt;"",'SEANCE 1'!$A36,"")</f>
        <v/>
      </c>
      <c r="B40" s="44" t="str">
        <f t="array" aca="1" ref="B40" ca="1">IF(ISNA(INDEX(ListeB,MATCH(0,COUNTIF($B$5:B39,ListeB),0))),"",INDEX(ListeB,MATCH(0,COUNTIF($B$5:B39,ListeB),0)))</f>
        <v/>
      </c>
      <c r="C40" s="64" t="str">
        <f ca="1">IF(COUNTIFS('SEANCE 1'!$B:$B, $B40, 'SEANCE 1'!$C:$C, C$2, 'SEANCE 1'!$F:$F, C$5)=0, "", COUNTIFS('SEANCE 1'!$B:$B, $B40, 'SEANCE 1'!$C:$C, C$2, 'SEANCE 1'!$F:$F, C$5))</f>
        <v/>
      </c>
      <c r="D40" s="64" t="str">
        <f ca="1">IF(COUNTIFS('SEANCE 1'!$B:$B, $B40, 'SEANCE 1'!$C:$C, D$2, 'SEANCE 1'!$F:$F, D$5)=0, "", COUNTIFS('SEANCE 1'!$B:$B, $B40, 'SEANCE 1'!$C:$C, D$2, 'SEANCE 1'!$F:$F, D$5))</f>
        <v/>
      </c>
      <c r="E40" s="64" t="str">
        <f ca="1">IF(COUNTIFS('SEANCE 1'!$B:$B, $B40, 'SEANCE 1'!$C:$C, E$2, 'SEANCE 1'!$F:$F, E$5)=0, "", COUNTIFS('SEANCE 1'!$B:$B, $B40, 'SEANCE 1'!$C:$C, E$2, 'SEANCE 1'!$F:$F, E$5))</f>
        <v/>
      </c>
      <c r="F40" s="64" t="str">
        <f ca="1">IF(COUNTIFS('SEANCE 1'!$B:$B, $B40, 'SEANCE 1'!$C:$C, F$2, 'SEANCE 1'!$F:$F, F$5)=0, "", COUNTIFS('SEANCE 1'!$B:$B, $B40, 'SEANCE 1'!$C:$C, F$2, 'SEANCE 1'!$F:$F, F$5))</f>
        <v/>
      </c>
      <c r="G40" s="64" t="str">
        <f ca="1">IF(COUNTIFS('SEANCE 1'!$B:$B, $B40, 'SEANCE 1'!$C:$C, G$2, 'SEANCE 1'!$F:$F, G$5)=0, "", COUNTIFS('SEANCE 1'!$B:$B, $B40, 'SEANCE 1'!$C:$C, G$2, 'SEANCE 1'!$F:$F, G$5))</f>
        <v/>
      </c>
      <c r="H40" s="64" t="str">
        <f ca="1">IF(COUNTIFS('SEANCE 1'!$B:$B, $B40, 'SEANCE 1'!$C:$C, H$2, 'SEANCE 1'!$F:$F, H$5)=0, "", COUNTIFS('SEANCE 1'!$B:$B, $B40, 'SEANCE 1'!$C:$C, H$2, 'SEANCE 1'!$F:$F, H$5))</f>
        <v/>
      </c>
      <c r="I40" s="64" t="str">
        <f ca="1">IF(COUNTIFS('SEANCE 1'!$B:$B, $B40, 'SEANCE 1'!$C:$C, I$2, 'SEANCE 1'!$F:$F, I$5)=0, "", COUNTIFS('SEANCE 1'!$B:$B, $B40, 'SEANCE 1'!$C:$C, I$2, 'SEANCE 1'!$F:$F, I$5))</f>
        <v/>
      </c>
      <c r="J40" s="64" t="str">
        <f ca="1">IF(COUNTIFS('SEANCE 1'!$B:$B, $B40, 'SEANCE 1'!$C:$C, J$2, 'SEANCE 1'!$F:$F, J$5)=0, "", COUNTIFS('SEANCE 1'!$B:$B, $B40, 'SEANCE 1'!$C:$C, J$2, 'SEANCE 1'!$F:$F, J$5))</f>
        <v/>
      </c>
      <c r="K40" s="64" t="str">
        <f ca="1">IF(COUNTIFS('SEANCE 1'!$B:$B, $B40, 'SEANCE 1'!$C:$C, K$2, 'SEANCE 1'!$F:$F, K$5)=0, "", COUNTIFS('SEANCE 1'!$B:$B, $B40, 'SEANCE 1'!$C:$C, K$2, 'SEANCE 1'!$F:$F, K$5))</f>
        <v/>
      </c>
      <c r="L40" s="64" t="str">
        <f ca="1">IF(COUNTIFS('SEANCE 1'!$B:$B, $B40, 'SEANCE 1'!$C:$C, L$2, 'SEANCE 1'!$F:$F, L$5)=0, "", COUNTIFS('SEANCE 1'!$B:$B, $B40, 'SEANCE 1'!$C:$C, L$2, 'SEANCE 1'!$F:$F, L$5))</f>
        <v/>
      </c>
      <c r="M40" s="64" t="str">
        <f ca="1">IF(COUNTIFS('SEANCE 1'!$B:$B, $B40, 'SEANCE 1'!$C:$C, M$2, 'SEANCE 1'!$F:$F, M$5)=0, "", COUNTIFS('SEANCE 1'!$B:$B, $B40, 'SEANCE 1'!$C:$C, M$2, 'SEANCE 1'!$F:$F, M$5))</f>
        <v/>
      </c>
      <c r="N40" s="64" t="str">
        <f ca="1">IF(COUNTIFS('SEANCE 1'!$B:$B, $B40, 'SEANCE 1'!$C:$C, N$2, 'SEANCE 1'!$F:$F, N$5)=0, "", COUNTIFS('SEANCE 1'!$B:$B, $B40, 'SEANCE 1'!$C:$C, N$2, 'SEANCE 1'!$F:$F, N$5))</f>
        <v/>
      </c>
      <c r="O40" s="64" t="str">
        <f ca="1">IF(COUNTIFS('SEANCE 1'!$B:$B, $B40, 'SEANCE 1'!$C:$C, O$2, 'SEANCE 1'!$F:$F, O$5)=0, "", COUNTIFS('SEANCE 1'!$B:$B, $B40, 'SEANCE 1'!$C:$C, O$2, 'SEANCE 1'!$F:$F, O$5))</f>
        <v/>
      </c>
      <c r="P40" s="64" t="str">
        <f ca="1">IF(COUNTIFS('SEANCE 1'!$B:$B, $B40, 'SEANCE 1'!$C:$C, P$2, 'SEANCE 1'!$F:$F, P$5)=0, "", COUNTIFS('SEANCE 1'!$B:$B, $B40, 'SEANCE 1'!$C:$C, P$2, 'SEANCE 1'!$F:$F, P$5))</f>
        <v/>
      </c>
      <c r="Q40" s="64" t="str">
        <f ca="1">IF(COUNTIFS('SEANCE 1'!$B:$B, $B40, 'SEANCE 1'!$C:$C, Q$2, 'SEANCE 1'!$F:$F, Q$5)=0, "", COUNTIFS('SEANCE 1'!$B:$B, $B40, 'SEANCE 1'!$C:$C, Q$2, 'SEANCE 1'!$F:$F, Q$5))</f>
        <v/>
      </c>
      <c r="R40" s="64" t="str">
        <f ca="1">IF(COUNTIFS('SEANCE 1'!$B:$B, $B40, 'SEANCE 1'!$C:$C, R$2, 'SEANCE 1'!$F:$F, R$5)=0, "", COUNTIFS('SEANCE 1'!$B:$B, $B40, 'SEANCE 1'!$C:$C, R$2, 'SEANCE 1'!$F:$F, R$5))</f>
        <v/>
      </c>
      <c r="S40" s="64" t="str">
        <f ca="1">IF(COUNTIFS('SEANCE 1'!$B:$B, $B40, 'SEANCE 1'!$C:$C, S$2, 'SEANCE 1'!$F:$F, S$5)=0, "", COUNTIFS('SEANCE 1'!$B:$B, $B40, 'SEANCE 1'!$C:$C, S$2, 'SEANCE 1'!$F:$F, S$5))</f>
        <v/>
      </c>
      <c r="T40" s="64" t="str">
        <f ca="1">IF(COUNTIFS('SEANCE 1'!$B:$B, $B40, 'SEANCE 1'!$C:$C, T$2, 'SEANCE 1'!$F:$F, T$5)=0, "", COUNTIFS('SEANCE 1'!$B:$B, $B40, 'SEANCE 1'!$C:$C, T$2, 'SEANCE 1'!$F:$F, T$5))</f>
        <v/>
      </c>
      <c r="U40" s="64" t="str">
        <f ca="1">IF(COUNTIFS('SEANCE 1'!$B:$B, $B40, 'SEANCE 1'!$C:$C, U$2, 'SEANCE 1'!$F:$F, U$5)=0, "", COUNTIFS('SEANCE 1'!$B:$B, $B40, 'SEANCE 1'!$C:$C, U$2, 'SEANCE 1'!$F:$F, U$5))</f>
        <v/>
      </c>
      <c r="V40" s="64" t="str">
        <f ca="1">IF(COUNTIFS('SEANCE 1'!$B:$B, $B40, 'SEANCE 1'!$C:$C, V$2, 'SEANCE 1'!$F:$F, V$5)=0, "", COUNTIFS('SEANCE 1'!$B:$B, $B40, 'SEANCE 1'!$C:$C, V$2, 'SEANCE 1'!$F:$F, V$5))</f>
        <v/>
      </c>
      <c r="W40" s="64" t="str">
        <f ca="1">IF(COUNTIFS('SEANCE 1'!$B:$B, $B40, 'SEANCE 1'!$C:$C, W$2, 'SEANCE 1'!$F:$F, W$5)=0, "", COUNTIFS('SEANCE 1'!$B:$B, $B40, 'SEANCE 1'!$C:$C, W$2, 'SEANCE 1'!$F:$F, W$5))</f>
        <v/>
      </c>
      <c r="X40" s="64" t="str">
        <f ca="1">IF(COUNTIFS('SEANCE 1'!$B:$B, $B40, 'SEANCE 1'!$C:$C, X$2, 'SEANCE 1'!$F:$F, X$5)=0, "", COUNTIFS('SEANCE 1'!$B:$B, $B40, 'SEANCE 1'!$C:$C, X$2, 'SEANCE 1'!$F:$F, X$5))</f>
        <v/>
      </c>
      <c r="Y40" s="64" t="str">
        <f ca="1">IF(COUNTIFS('SEANCE 1'!$B:$B, $B40, 'SEANCE 1'!$C:$C, Y$2, 'SEANCE 1'!$F:$F, Y$5)=0, "", COUNTIFS('SEANCE 1'!$B:$B, $B40, 'SEANCE 1'!$C:$C, Y$2, 'SEANCE 1'!$F:$F, Y$5))</f>
        <v/>
      </c>
      <c r="Z40" s="64" t="str">
        <f ca="1">IF(COUNTIFS('SEANCE 1'!$B:$B, $B40, 'SEANCE 1'!$C:$C, Z$2, 'SEANCE 1'!$F:$F, Z$5)=0, "", COUNTIFS('SEANCE 1'!$B:$B, $B40, 'SEANCE 1'!$C:$C, Z$2, 'SEANCE 1'!$F:$F, Z$5))</f>
        <v/>
      </c>
      <c r="AA40" s="64" t="str">
        <f ca="1">IF(COUNTIFS('SEANCE 1'!$B:$B, $B40, 'SEANCE 1'!$C:$C, AA$2, 'SEANCE 1'!$F:$F, AA$5)=0, "", COUNTIFS('SEANCE 1'!$B:$B, $B40, 'SEANCE 1'!$C:$C, AA$2, 'SEANCE 1'!$F:$F, AA$5))</f>
        <v/>
      </c>
      <c r="AB40" s="64" t="str">
        <f ca="1">IF(COUNTIFS('SEANCE 1'!$B:$B, $B40, 'SEANCE 1'!$C:$C, AB$2, 'SEANCE 1'!$F:$F, AB$5)=0, "", COUNTIFS('SEANCE 1'!$B:$B, $B40, 'SEANCE 1'!$C:$C, AB$2, 'SEANCE 1'!$F:$F, AB$5))</f>
        <v/>
      </c>
      <c r="AC40" s="64" t="str">
        <f ca="1">IF(COUNTIFS('SEANCE 1'!$B:$B, $B40, 'SEANCE 1'!$C:$C, AC$2, 'SEANCE 1'!$F:$F, AC$5)=0, "", COUNTIFS('SEANCE 1'!$B:$B, $B40, 'SEANCE 1'!$C:$C, AC$2, 'SEANCE 1'!$F:$F, AC$5))</f>
        <v/>
      </c>
      <c r="AD40" s="64" t="str">
        <f ca="1">IF(COUNTIFS('SEANCE 1'!$B:$B, $B40, 'SEANCE 1'!$C:$C, AD$2, 'SEANCE 1'!$F:$F, AD$5)=0, "", COUNTIFS('SEANCE 1'!$B:$B, $B40, 'SEANCE 1'!$C:$C, AD$2, 'SEANCE 1'!$F:$F, AD$5))</f>
        <v/>
      </c>
      <c r="AE40" s="64" t="str">
        <f ca="1">IF(COUNTIFS('SEANCE 1'!$B:$B, $B40, 'SEANCE 1'!$C:$C, AE$2, 'SEANCE 1'!$F:$F, AE$5)=0, "", COUNTIFS('SEANCE 1'!$B:$B, $B40, 'SEANCE 1'!$C:$C, AE$2, 'SEANCE 1'!$F:$F, AE$5))</f>
        <v/>
      </c>
      <c r="AF40" s="64" t="str">
        <f ca="1">IF(COUNTIFS('SEANCE 1'!$B:$B, $B40, 'SEANCE 1'!$C:$C, AF$2, 'SEANCE 1'!$F:$F, AF$5)=0, "", COUNTIFS('SEANCE 1'!$B:$B, $B40, 'SEANCE 1'!$C:$C, AF$2, 'SEANCE 1'!$F:$F, AF$5))</f>
        <v/>
      </c>
      <c r="AG40" s="64" t="str">
        <f ca="1">IF(COUNTIFS('SEANCE 1'!$B:$B, $B40, 'SEANCE 1'!$C:$C, AG$2, 'SEANCE 1'!$F:$F, AG$5)=0, "", COUNTIFS('SEANCE 1'!$B:$B, $B40, 'SEANCE 1'!$C:$C, AG$2, 'SEANCE 1'!$F:$F, AG$5))</f>
        <v/>
      </c>
      <c r="AH40" s="64" t="str">
        <f ca="1">IF(COUNTIFS('SEANCE 1'!$B:$B, $B40, 'SEANCE 1'!$C:$C, AH$2, 'SEANCE 1'!$F:$F, AH$5)=0, "", COUNTIFS('SEANCE 1'!$B:$B, $B40, 'SEANCE 1'!$C:$C, AH$2, 'SEANCE 1'!$F:$F, AH$5))</f>
        <v/>
      </c>
      <c r="AI40" s="64" t="str">
        <f ca="1">IF(COUNTIFS('SEANCE 1'!$B:$B, $B40, 'SEANCE 1'!$C:$C, AI$2, 'SEANCE 1'!$F:$F, AI$5)=0, "", COUNTIFS('SEANCE 1'!$B:$B, $B40, 'SEANCE 1'!$C:$C, AI$2, 'SEANCE 1'!$F:$F, AI$5))</f>
        <v/>
      </c>
      <c r="AJ40" s="64" t="str">
        <f ca="1">IF(COUNTIFS('SEANCE 1'!$B:$B, $B40, 'SEANCE 1'!$C:$C, AJ$2, 'SEANCE 1'!$F:$F, AJ$5)=0, "", COUNTIFS('SEANCE 1'!$B:$B, $B40, 'SEANCE 1'!$C:$C, AJ$2, 'SEANCE 1'!$F:$F, AJ$5))</f>
        <v/>
      </c>
      <c r="AK40" s="64" t="str">
        <f ca="1">IF(COUNTIFS('SEANCE 1'!$B:$B, $B40, 'SEANCE 1'!$C:$C, AK$2, 'SEANCE 1'!$F:$F, AK$5)=0, "", COUNTIFS('SEANCE 1'!$B:$B, $B40, 'SEANCE 1'!$C:$C, AK$2, 'SEANCE 1'!$F:$F, AK$5))</f>
        <v/>
      </c>
      <c r="AL40" s="64" t="str">
        <f ca="1">IF(COUNTIFS('SEANCE 1'!$B:$B, $B40, 'SEANCE 1'!$C:$C, AL$2, 'SEANCE 1'!$F:$F, AL$5)=0, "", COUNTIFS('SEANCE 1'!$B:$B, $B40, 'SEANCE 1'!$C:$C, AL$2, 'SEANCE 1'!$F:$F, AL$5))</f>
        <v/>
      </c>
      <c r="AM40" s="64" t="str">
        <f ca="1">IF(COUNTIFS('SEANCE 1'!$B:$B, $B40, 'SEANCE 1'!$C:$C, AM$2, 'SEANCE 1'!$F:$F, AM$5)=0, "", COUNTIFS('SEANCE 1'!$B:$B, $B40, 'SEANCE 1'!$C:$C, AM$2, 'SEANCE 1'!$F:$F, AM$5))</f>
        <v/>
      </c>
      <c r="AN40" s="64" t="str">
        <f ca="1">IF(COUNTIFS('SEANCE 1'!$B:$B, $B40, 'SEANCE 1'!$C:$C, AN$2, 'SEANCE 1'!$F:$F, AN$5)=0, "", COUNTIFS('SEANCE 1'!$B:$B, $B40, 'SEANCE 1'!$C:$C, AN$2, 'SEANCE 1'!$F:$F, AN$5))</f>
        <v/>
      </c>
      <c r="AO40" s="64" t="str">
        <f ca="1">IF(COUNTIFS('SEANCE 1'!$B:$B, $B40, 'SEANCE 1'!$C:$C, AO$2, 'SEANCE 1'!$F:$F, AO$5)=0, "", COUNTIFS('SEANCE 1'!$B:$B, $B40, 'SEANCE 1'!$C:$C, AO$2, 'SEANCE 1'!$F:$F, AO$5))</f>
        <v/>
      </c>
      <c r="AP40" s="64" t="str">
        <f ca="1">IF(COUNTIFS('SEANCE 1'!$B:$B, $B40, 'SEANCE 1'!$C:$C, AP$2, 'SEANCE 1'!$F:$F, AP$5)=0, "", COUNTIFS('SEANCE 1'!$B:$B, $B40, 'SEANCE 1'!$C:$C, AP$2, 'SEANCE 1'!$F:$F, AP$5))</f>
        <v/>
      </c>
      <c r="AQ40" s="64" t="str">
        <f ca="1">IF(COUNTIFS('SEANCE 1'!$B:$B, $B40, 'SEANCE 1'!$C:$C, AQ$2, 'SEANCE 1'!$F:$F, AQ$5)=0, "", COUNTIFS('SEANCE 1'!$B:$B, $B40, 'SEANCE 1'!$C:$C, AQ$2, 'SEANCE 1'!$F:$F, AQ$5))</f>
        <v/>
      </c>
      <c r="AR40" s="64" t="str">
        <f ca="1">IF(COUNTIFS('SEANCE 1'!$B:$B, $B40, 'SEANCE 1'!$C:$C, AR$2, 'SEANCE 1'!$F:$F, AR$5)=0, "", COUNTIFS('SEANCE 1'!$B:$B, $B40, 'SEANCE 1'!$C:$C, AR$2, 'SEANCE 1'!$F:$F, AR$5))</f>
        <v/>
      </c>
      <c r="AS40" s="64" t="str">
        <f ca="1">IF(COUNTIFS('SEANCE 1'!$B:$B, $B40, 'SEANCE 1'!$C:$C, AS$2, 'SEANCE 1'!$F:$F, AS$5)=0, "", COUNTIFS('SEANCE 1'!$B:$B, $B40, 'SEANCE 1'!$C:$C, AS$2, 'SEANCE 1'!$F:$F, AS$5))</f>
        <v/>
      </c>
      <c r="AT40" s="64" t="str">
        <f ca="1">IF(COUNTIFS('SEANCE 1'!$B:$B, $B40, 'SEANCE 1'!$C:$C, AT$2, 'SEANCE 1'!$F:$F, AT$5)=0, "", COUNTIFS('SEANCE 1'!$B:$B, $B40, 'SEANCE 1'!$C:$C, AT$2, 'SEANCE 1'!$F:$F, AT$5))</f>
        <v/>
      </c>
      <c r="AU40" s="64" t="str">
        <f ca="1">IF(COUNTIFS('SEANCE 1'!$B:$B, $B40, 'SEANCE 1'!$C:$C, AU$2, 'SEANCE 1'!$F:$F, AU$5)=0, "", COUNTIFS('SEANCE 1'!$B:$B, $B40, 'SEANCE 1'!$C:$C, AU$2, 'SEANCE 1'!$F:$F, AU$5))</f>
        <v/>
      </c>
      <c r="AV40" s="64" t="str">
        <f ca="1">IF(COUNTIFS('SEANCE 1'!$B:$B, $B40, 'SEANCE 1'!$C:$C, AV$2, 'SEANCE 1'!$F:$F, AV$5)=0, "", COUNTIFS('SEANCE 1'!$B:$B, $B40, 'SEANCE 1'!$C:$C, AV$2, 'SEANCE 1'!$F:$F, AV$5))</f>
        <v/>
      </c>
      <c r="AW40" s="64" t="str">
        <f ca="1">IF(COUNTIFS('SEANCE 1'!$B:$B, $B40, 'SEANCE 1'!$C:$C, AW$2, 'SEANCE 1'!$F:$F, AW$5)=0, "", COUNTIFS('SEANCE 1'!$B:$B, $B40, 'SEANCE 1'!$C:$C, AW$2, 'SEANCE 1'!$F:$F, AW$5))</f>
        <v/>
      </c>
      <c r="AX40" s="64" t="str">
        <f ca="1">IF(COUNTIFS('SEANCE 1'!$B:$B, $B40, 'SEANCE 1'!$C:$C, AX$2, 'SEANCE 1'!$F:$F, AX$5)=0, "", COUNTIFS('SEANCE 1'!$B:$B, $B40, 'SEANCE 1'!$C:$C, AX$2, 'SEANCE 1'!$F:$F, AX$5))</f>
        <v/>
      </c>
      <c r="AY40" s="64" t="str">
        <f ca="1">IF(COUNTIFS('SEANCE 1'!$B:$B, $B40, 'SEANCE 1'!$C:$C, AY$2, 'SEANCE 1'!$F:$F, AY$5)=0, "", COUNTIFS('SEANCE 1'!$B:$B, $B40, 'SEANCE 1'!$C:$C, AY$2, 'SEANCE 1'!$F:$F, AY$5))</f>
        <v/>
      </c>
      <c r="AZ40" s="32">
        <f t="shared" ca="1" si="0"/>
        <v>0</v>
      </c>
    </row>
    <row r="41" spans="1:52">
      <c r="A41" s="44" t="str">
        <f>IF('SEANCE 1'!$B37&lt;&gt;"",'SEANCE 1'!$A37,"")</f>
        <v/>
      </c>
      <c r="B41" s="44" t="str">
        <f t="array" aca="1" ref="B41" ca="1">IF(ISNA(INDEX(ListeB,MATCH(0,COUNTIF($B$5:B40,ListeB),0))),"",INDEX(ListeB,MATCH(0,COUNTIF($B$5:B40,ListeB),0)))</f>
        <v/>
      </c>
      <c r="C41" s="64" t="str">
        <f ca="1">IF(COUNTIFS('SEANCE 1'!$B:$B, $B41, 'SEANCE 1'!$C:$C, C$2, 'SEANCE 1'!$F:$F, C$5)=0, "", COUNTIFS('SEANCE 1'!$B:$B, $B41, 'SEANCE 1'!$C:$C, C$2, 'SEANCE 1'!$F:$F, C$5))</f>
        <v/>
      </c>
      <c r="D41" s="64" t="str">
        <f ca="1">IF(COUNTIFS('SEANCE 1'!$B:$B, $B41, 'SEANCE 1'!$C:$C, D$2, 'SEANCE 1'!$F:$F, D$5)=0, "", COUNTIFS('SEANCE 1'!$B:$B, $B41, 'SEANCE 1'!$C:$C, D$2, 'SEANCE 1'!$F:$F, D$5))</f>
        <v/>
      </c>
      <c r="E41" s="64" t="str">
        <f ca="1">IF(COUNTIFS('SEANCE 1'!$B:$B, $B41, 'SEANCE 1'!$C:$C, E$2, 'SEANCE 1'!$F:$F, E$5)=0, "", COUNTIFS('SEANCE 1'!$B:$B, $B41, 'SEANCE 1'!$C:$C, E$2, 'SEANCE 1'!$F:$F, E$5))</f>
        <v/>
      </c>
      <c r="F41" s="64" t="str">
        <f ca="1">IF(COUNTIFS('SEANCE 1'!$B:$B, $B41, 'SEANCE 1'!$C:$C, F$2, 'SEANCE 1'!$F:$F, F$5)=0, "", COUNTIFS('SEANCE 1'!$B:$B, $B41, 'SEANCE 1'!$C:$C, F$2, 'SEANCE 1'!$F:$F, F$5))</f>
        <v/>
      </c>
      <c r="G41" s="64" t="str">
        <f ca="1">IF(COUNTIFS('SEANCE 1'!$B:$B, $B41, 'SEANCE 1'!$C:$C, G$2, 'SEANCE 1'!$F:$F, G$5)=0, "", COUNTIFS('SEANCE 1'!$B:$B, $B41, 'SEANCE 1'!$C:$C, G$2, 'SEANCE 1'!$F:$F, G$5))</f>
        <v/>
      </c>
      <c r="H41" s="64" t="str">
        <f ca="1">IF(COUNTIFS('SEANCE 1'!$B:$B, $B41, 'SEANCE 1'!$C:$C, H$2, 'SEANCE 1'!$F:$F, H$5)=0, "", COUNTIFS('SEANCE 1'!$B:$B, $B41, 'SEANCE 1'!$C:$C, H$2, 'SEANCE 1'!$F:$F, H$5))</f>
        <v/>
      </c>
      <c r="I41" s="64" t="str">
        <f ca="1">IF(COUNTIFS('SEANCE 1'!$B:$B, $B41, 'SEANCE 1'!$C:$C, I$2, 'SEANCE 1'!$F:$F, I$5)=0, "", COUNTIFS('SEANCE 1'!$B:$B, $B41, 'SEANCE 1'!$C:$C, I$2, 'SEANCE 1'!$F:$F, I$5))</f>
        <v/>
      </c>
      <c r="J41" s="64" t="str">
        <f ca="1">IF(COUNTIFS('SEANCE 1'!$B:$B, $B41, 'SEANCE 1'!$C:$C, J$2, 'SEANCE 1'!$F:$F, J$5)=0, "", COUNTIFS('SEANCE 1'!$B:$B, $B41, 'SEANCE 1'!$C:$C, J$2, 'SEANCE 1'!$F:$F, J$5))</f>
        <v/>
      </c>
      <c r="K41" s="64" t="str">
        <f ca="1">IF(COUNTIFS('SEANCE 1'!$B:$B, $B41, 'SEANCE 1'!$C:$C, K$2, 'SEANCE 1'!$F:$F, K$5)=0, "", COUNTIFS('SEANCE 1'!$B:$B, $B41, 'SEANCE 1'!$C:$C, K$2, 'SEANCE 1'!$F:$F, K$5))</f>
        <v/>
      </c>
      <c r="L41" s="64" t="str">
        <f ca="1">IF(COUNTIFS('SEANCE 1'!$B:$B, $B41, 'SEANCE 1'!$C:$C, L$2, 'SEANCE 1'!$F:$F, L$5)=0, "", COUNTIFS('SEANCE 1'!$B:$B, $B41, 'SEANCE 1'!$C:$C, L$2, 'SEANCE 1'!$F:$F, L$5))</f>
        <v/>
      </c>
      <c r="M41" s="64" t="str">
        <f ca="1">IF(COUNTIFS('SEANCE 1'!$B:$B, $B41, 'SEANCE 1'!$C:$C, M$2, 'SEANCE 1'!$F:$F, M$5)=0, "", COUNTIFS('SEANCE 1'!$B:$B, $B41, 'SEANCE 1'!$C:$C, M$2, 'SEANCE 1'!$F:$F, M$5))</f>
        <v/>
      </c>
      <c r="N41" s="64" t="str">
        <f ca="1">IF(COUNTIFS('SEANCE 1'!$B:$B, $B41, 'SEANCE 1'!$C:$C, N$2, 'SEANCE 1'!$F:$F, N$5)=0, "", COUNTIFS('SEANCE 1'!$B:$B, $B41, 'SEANCE 1'!$C:$C, N$2, 'SEANCE 1'!$F:$F, N$5))</f>
        <v/>
      </c>
      <c r="O41" s="64" t="str">
        <f ca="1">IF(COUNTIFS('SEANCE 1'!$B:$B, $B41, 'SEANCE 1'!$C:$C, O$2, 'SEANCE 1'!$F:$F, O$5)=0, "", COUNTIFS('SEANCE 1'!$B:$B, $B41, 'SEANCE 1'!$C:$C, O$2, 'SEANCE 1'!$F:$F, O$5))</f>
        <v/>
      </c>
      <c r="P41" s="64" t="str">
        <f ca="1">IF(COUNTIFS('SEANCE 1'!$B:$B, $B41, 'SEANCE 1'!$C:$C, P$2, 'SEANCE 1'!$F:$F, P$5)=0, "", COUNTIFS('SEANCE 1'!$B:$B, $B41, 'SEANCE 1'!$C:$C, P$2, 'SEANCE 1'!$F:$F, P$5))</f>
        <v/>
      </c>
      <c r="Q41" s="64" t="str">
        <f ca="1">IF(COUNTIFS('SEANCE 1'!$B:$B, $B41, 'SEANCE 1'!$C:$C, Q$2, 'SEANCE 1'!$F:$F, Q$5)=0, "", COUNTIFS('SEANCE 1'!$B:$B, $B41, 'SEANCE 1'!$C:$C, Q$2, 'SEANCE 1'!$F:$F, Q$5))</f>
        <v/>
      </c>
      <c r="R41" s="64" t="str">
        <f ca="1">IF(COUNTIFS('SEANCE 1'!$B:$B, $B41, 'SEANCE 1'!$C:$C, R$2, 'SEANCE 1'!$F:$F, R$5)=0, "", COUNTIFS('SEANCE 1'!$B:$B, $B41, 'SEANCE 1'!$C:$C, R$2, 'SEANCE 1'!$F:$F, R$5))</f>
        <v/>
      </c>
      <c r="S41" s="64" t="str">
        <f ca="1">IF(COUNTIFS('SEANCE 1'!$B:$B, $B41, 'SEANCE 1'!$C:$C, S$2, 'SEANCE 1'!$F:$F, S$5)=0, "", COUNTIFS('SEANCE 1'!$B:$B, $B41, 'SEANCE 1'!$C:$C, S$2, 'SEANCE 1'!$F:$F, S$5))</f>
        <v/>
      </c>
      <c r="T41" s="64" t="str">
        <f ca="1">IF(COUNTIFS('SEANCE 1'!$B:$B, $B41, 'SEANCE 1'!$C:$C, T$2, 'SEANCE 1'!$F:$F, T$5)=0, "", COUNTIFS('SEANCE 1'!$B:$B, $B41, 'SEANCE 1'!$C:$C, T$2, 'SEANCE 1'!$F:$F, T$5))</f>
        <v/>
      </c>
      <c r="U41" s="64" t="str">
        <f ca="1">IF(COUNTIFS('SEANCE 1'!$B:$B, $B41, 'SEANCE 1'!$C:$C, U$2, 'SEANCE 1'!$F:$F, U$5)=0, "", COUNTIFS('SEANCE 1'!$B:$B, $B41, 'SEANCE 1'!$C:$C, U$2, 'SEANCE 1'!$F:$F, U$5))</f>
        <v/>
      </c>
      <c r="V41" s="64" t="str">
        <f ca="1">IF(COUNTIFS('SEANCE 1'!$B:$B, $B41, 'SEANCE 1'!$C:$C, V$2, 'SEANCE 1'!$F:$F, V$5)=0, "", COUNTIFS('SEANCE 1'!$B:$B, $B41, 'SEANCE 1'!$C:$C, V$2, 'SEANCE 1'!$F:$F, V$5))</f>
        <v/>
      </c>
      <c r="W41" s="64" t="str">
        <f ca="1">IF(COUNTIFS('SEANCE 1'!$B:$B, $B41, 'SEANCE 1'!$C:$C, W$2, 'SEANCE 1'!$F:$F, W$5)=0, "", COUNTIFS('SEANCE 1'!$B:$B, $B41, 'SEANCE 1'!$C:$C, W$2, 'SEANCE 1'!$F:$F, W$5))</f>
        <v/>
      </c>
      <c r="X41" s="64" t="str">
        <f ca="1">IF(COUNTIFS('SEANCE 1'!$B:$B, $B41, 'SEANCE 1'!$C:$C, X$2, 'SEANCE 1'!$F:$F, X$5)=0, "", COUNTIFS('SEANCE 1'!$B:$B, $B41, 'SEANCE 1'!$C:$C, X$2, 'SEANCE 1'!$F:$F, X$5))</f>
        <v/>
      </c>
      <c r="Y41" s="64" t="str">
        <f ca="1">IF(COUNTIFS('SEANCE 1'!$B:$B, $B41, 'SEANCE 1'!$C:$C, Y$2, 'SEANCE 1'!$F:$F, Y$5)=0, "", COUNTIFS('SEANCE 1'!$B:$B, $B41, 'SEANCE 1'!$C:$C, Y$2, 'SEANCE 1'!$F:$F, Y$5))</f>
        <v/>
      </c>
      <c r="Z41" s="64" t="str">
        <f ca="1">IF(COUNTIFS('SEANCE 1'!$B:$B, $B41, 'SEANCE 1'!$C:$C, Z$2, 'SEANCE 1'!$F:$F, Z$5)=0, "", COUNTIFS('SEANCE 1'!$B:$B, $B41, 'SEANCE 1'!$C:$C, Z$2, 'SEANCE 1'!$F:$F, Z$5))</f>
        <v/>
      </c>
      <c r="AA41" s="64" t="str">
        <f ca="1">IF(COUNTIFS('SEANCE 1'!$B:$B, $B41, 'SEANCE 1'!$C:$C, AA$2, 'SEANCE 1'!$F:$F, AA$5)=0, "", COUNTIFS('SEANCE 1'!$B:$B, $B41, 'SEANCE 1'!$C:$C, AA$2, 'SEANCE 1'!$F:$F, AA$5))</f>
        <v/>
      </c>
      <c r="AB41" s="64" t="str">
        <f ca="1">IF(COUNTIFS('SEANCE 1'!$B:$B, $B41, 'SEANCE 1'!$C:$C, AB$2, 'SEANCE 1'!$F:$F, AB$5)=0, "", COUNTIFS('SEANCE 1'!$B:$B, $B41, 'SEANCE 1'!$C:$C, AB$2, 'SEANCE 1'!$F:$F, AB$5))</f>
        <v/>
      </c>
      <c r="AC41" s="64" t="str">
        <f ca="1">IF(COUNTIFS('SEANCE 1'!$B:$B, $B41, 'SEANCE 1'!$C:$C, AC$2, 'SEANCE 1'!$F:$F, AC$5)=0, "", COUNTIFS('SEANCE 1'!$B:$B, $B41, 'SEANCE 1'!$C:$C, AC$2, 'SEANCE 1'!$F:$F, AC$5))</f>
        <v/>
      </c>
      <c r="AD41" s="64" t="str">
        <f ca="1">IF(COUNTIFS('SEANCE 1'!$B:$B, $B41, 'SEANCE 1'!$C:$C, AD$2, 'SEANCE 1'!$F:$F, AD$5)=0, "", COUNTIFS('SEANCE 1'!$B:$B, $B41, 'SEANCE 1'!$C:$C, AD$2, 'SEANCE 1'!$F:$F, AD$5))</f>
        <v/>
      </c>
      <c r="AE41" s="64" t="str">
        <f ca="1">IF(COUNTIFS('SEANCE 1'!$B:$B, $B41, 'SEANCE 1'!$C:$C, AE$2, 'SEANCE 1'!$F:$F, AE$5)=0, "", COUNTIFS('SEANCE 1'!$B:$B, $B41, 'SEANCE 1'!$C:$C, AE$2, 'SEANCE 1'!$F:$F, AE$5))</f>
        <v/>
      </c>
      <c r="AF41" s="64" t="str">
        <f ca="1">IF(COUNTIFS('SEANCE 1'!$B:$B, $B41, 'SEANCE 1'!$C:$C, AF$2, 'SEANCE 1'!$F:$F, AF$5)=0, "", COUNTIFS('SEANCE 1'!$B:$B, $B41, 'SEANCE 1'!$C:$C, AF$2, 'SEANCE 1'!$F:$F, AF$5))</f>
        <v/>
      </c>
      <c r="AG41" s="64" t="str">
        <f ca="1">IF(COUNTIFS('SEANCE 1'!$B:$B, $B41, 'SEANCE 1'!$C:$C, AG$2, 'SEANCE 1'!$F:$F, AG$5)=0, "", COUNTIFS('SEANCE 1'!$B:$B, $B41, 'SEANCE 1'!$C:$C, AG$2, 'SEANCE 1'!$F:$F, AG$5))</f>
        <v/>
      </c>
      <c r="AH41" s="64" t="str">
        <f ca="1">IF(COUNTIFS('SEANCE 1'!$B:$B, $B41, 'SEANCE 1'!$C:$C, AH$2, 'SEANCE 1'!$F:$F, AH$5)=0, "", COUNTIFS('SEANCE 1'!$B:$B, $B41, 'SEANCE 1'!$C:$C, AH$2, 'SEANCE 1'!$F:$F, AH$5))</f>
        <v/>
      </c>
      <c r="AI41" s="64" t="str">
        <f ca="1">IF(COUNTIFS('SEANCE 1'!$B:$B, $B41, 'SEANCE 1'!$C:$C, AI$2, 'SEANCE 1'!$F:$F, AI$5)=0, "", COUNTIFS('SEANCE 1'!$B:$B, $B41, 'SEANCE 1'!$C:$C, AI$2, 'SEANCE 1'!$F:$F, AI$5))</f>
        <v/>
      </c>
      <c r="AJ41" s="64" t="str">
        <f ca="1">IF(COUNTIFS('SEANCE 1'!$B:$B, $B41, 'SEANCE 1'!$C:$C, AJ$2, 'SEANCE 1'!$F:$F, AJ$5)=0, "", COUNTIFS('SEANCE 1'!$B:$B, $B41, 'SEANCE 1'!$C:$C, AJ$2, 'SEANCE 1'!$F:$F, AJ$5))</f>
        <v/>
      </c>
      <c r="AK41" s="64" t="str">
        <f ca="1">IF(COUNTIFS('SEANCE 1'!$B:$B, $B41, 'SEANCE 1'!$C:$C, AK$2, 'SEANCE 1'!$F:$F, AK$5)=0, "", COUNTIFS('SEANCE 1'!$B:$B, $B41, 'SEANCE 1'!$C:$C, AK$2, 'SEANCE 1'!$F:$F, AK$5))</f>
        <v/>
      </c>
      <c r="AL41" s="64" t="str">
        <f ca="1">IF(COUNTIFS('SEANCE 1'!$B:$B, $B41, 'SEANCE 1'!$C:$C, AL$2, 'SEANCE 1'!$F:$F, AL$5)=0, "", COUNTIFS('SEANCE 1'!$B:$B, $B41, 'SEANCE 1'!$C:$C, AL$2, 'SEANCE 1'!$F:$F, AL$5))</f>
        <v/>
      </c>
      <c r="AM41" s="64" t="str">
        <f ca="1">IF(COUNTIFS('SEANCE 1'!$B:$B, $B41, 'SEANCE 1'!$C:$C, AM$2, 'SEANCE 1'!$F:$F, AM$5)=0, "", COUNTIFS('SEANCE 1'!$B:$B, $B41, 'SEANCE 1'!$C:$C, AM$2, 'SEANCE 1'!$F:$F, AM$5))</f>
        <v/>
      </c>
      <c r="AN41" s="64" t="str">
        <f ca="1">IF(COUNTIFS('SEANCE 1'!$B:$B, $B41, 'SEANCE 1'!$C:$C, AN$2, 'SEANCE 1'!$F:$F, AN$5)=0, "", COUNTIFS('SEANCE 1'!$B:$B, $B41, 'SEANCE 1'!$C:$C, AN$2, 'SEANCE 1'!$F:$F, AN$5))</f>
        <v/>
      </c>
      <c r="AO41" s="64" t="str">
        <f ca="1">IF(COUNTIFS('SEANCE 1'!$B:$B, $B41, 'SEANCE 1'!$C:$C, AO$2, 'SEANCE 1'!$F:$F, AO$5)=0, "", COUNTIFS('SEANCE 1'!$B:$B, $B41, 'SEANCE 1'!$C:$C, AO$2, 'SEANCE 1'!$F:$F, AO$5))</f>
        <v/>
      </c>
      <c r="AP41" s="64" t="str">
        <f ca="1">IF(COUNTIFS('SEANCE 1'!$B:$B, $B41, 'SEANCE 1'!$C:$C, AP$2, 'SEANCE 1'!$F:$F, AP$5)=0, "", COUNTIFS('SEANCE 1'!$B:$B, $B41, 'SEANCE 1'!$C:$C, AP$2, 'SEANCE 1'!$F:$F, AP$5))</f>
        <v/>
      </c>
      <c r="AQ41" s="64" t="str">
        <f ca="1">IF(COUNTIFS('SEANCE 1'!$B:$B, $B41, 'SEANCE 1'!$C:$C, AQ$2, 'SEANCE 1'!$F:$F, AQ$5)=0, "", COUNTIFS('SEANCE 1'!$B:$B, $B41, 'SEANCE 1'!$C:$C, AQ$2, 'SEANCE 1'!$F:$F, AQ$5))</f>
        <v/>
      </c>
      <c r="AR41" s="64" t="str">
        <f ca="1">IF(COUNTIFS('SEANCE 1'!$B:$B, $B41, 'SEANCE 1'!$C:$C, AR$2, 'SEANCE 1'!$F:$F, AR$5)=0, "", COUNTIFS('SEANCE 1'!$B:$B, $B41, 'SEANCE 1'!$C:$C, AR$2, 'SEANCE 1'!$F:$F, AR$5))</f>
        <v/>
      </c>
      <c r="AS41" s="64" t="str">
        <f ca="1">IF(COUNTIFS('SEANCE 1'!$B:$B, $B41, 'SEANCE 1'!$C:$C, AS$2, 'SEANCE 1'!$F:$F, AS$5)=0, "", COUNTIFS('SEANCE 1'!$B:$B, $B41, 'SEANCE 1'!$C:$C, AS$2, 'SEANCE 1'!$F:$F, AS$5))</f>
        <v/>
      </c>
      <c r="AT41" s="64" t="str">
        <f ca="1">IF(COUNTIFS('SEANCE 1'!$B:$B, $B41, 'SEANCE 1'!$C:$C, AT$2, 'SEANCE 1'!$F:$F, AT$5)=0, "", COUNTIFS('SEANCE 1'!$B:$B, $B41, 'SEANCE 1'!$C:$C, AT$2, 'SEANCE 1'!$F:$F, AT$5))</f>
        <v/>
      </c>
      <c r="AU41" s="64" t="str">
        <f ca="1">IF(COUNTIFS('SEANCE 1'!$B:$B, $B41, 'SEANCE 1'!$C:$C, AU$2, 'SEANCE 1'!$F:$F, AU$5)=0, "", COUNTIFS('SEANCE 1'!$B:$B, $B41, 'SEANCE 1'!$C:$C, AU$2, 'SEANCE 1'!$F:$F, AU$5))</f>
        <v/>
      </c>
      <c r="AV41" s="64" t="str">
        <f ca="1">IF(COUNTIFS('SEANCE 1'!$B:$B, $B41, 'SEANCE 1'!$C:$C, AV$2, 'SEANCE 1'!$F:$F, AV$5)=0, "", COUNTIFS('SEANCE 1'!$B:$B, $B41, 'SEANCE 1'!$C:$C, AV$2, 'SEANCE 1'!$F:$F, AV$5))</f>
        <v/>
      </c>
      <c r="AW41" s="64" t="str">
        <f ca="1">IF(COUNTIFS('SEANCE 1'!$B:$B, $B41, 'SEANCE 1'!$C:$C, AW$2, 'SEANCE 1'!$F:$F, AW$5)=0, "", COUNTIFS('SEANCE 1'!$B:$B, $B41, 'SEANCE 1'!$C:$C, AW$2, 'SEANCE 1'!$F:$F, AW$5))</f>
        <v/>
      </c>
      <c r="AX41" s="64" t="str">
        <f ca="1">IF(COUNTIFS('SEANCE 1'!$B:$B, $B41, 'SEANCE 1'!$C:$C, AX$2, 'SEANCE 1'!$F:$F, AX$5)=0, "", COUNTIFS('SEANCE 1'!$B:$B, $B41, 'SEANCE 1'!$C:$C, AX$2, 'SEANCE 1'!$F:$F, AX$5))</f>
        <v/>
      </c>
      <c r="AY41" s="64" t="str">
        <f ca="1">IF(COUNTIFS('SEANCE 1'!$B:$B, $B41, 'SEANCE 1'!$C:$C, AY$2, 'SEANCE 1'!$F:$F, AY$5)=0, "", COUNTIFS('SEANCE 1'!$B:$B, $B41, 'SEANCE 1'!$C:$C, AY$2, 'SEANCE 1'!$F:$F, AY$5))</f>
        <v/>
      </c>
      <c r="AZ41" s="32">
        <f t="shared" ca="1" si="0"/>
        <v>0</v>
      </c>
    </row>
    <row r="42" spans="1:52">
      <c r="A42" s="44" t="str">
        <f>IF('SEANCE 1'!$B38&lt;&gt;"",'SEANCE 1'!$A38,"")</f>
        <v/>
      </c>
      <c r="B42" s="44" t="str">
        <f t="array" aca="1" ref="B42" ca="1">IF(ISNA(INDEX(ListeB,MATCH(0,COUNTIF($B$5:B41,ListeB),0))),"",INDEX(ListeB,MATCH(0,COUNTIF($B$5:B41,ListeB),0)))</f>
        <v/>
      </c>
      <c r="C42" s="64" t="str">
        <f ca="1">IF(COUNTIFS('SEANCE 1'!$B:$B, $B42, 'SEANCE 1'!$C:$C, C$2, 'SEANCE 1'!$F:$F, C$5)=0, "", COUNTIFS('SEANCE 1'!$B:$B, $B42, 'SEANCE 1'!$C:$C, C$2, 'SEANCE 1'!$F:$F, C$5))</f>
        <v/>
      </c>
      <c r="D42" s="64" t="str">
        <f ca="1">IF(COUNTIFS('SEANCE 1'!$B:$B, $B42, 'SEANCE 1'!$C:$C, D$2, 'SEANCE 1'!$F:$F, D$5)=0, "", COUNTIFS('SEANCE 1'!$B:$B, $B42, 'SEANCE 1'!$C:$C, D$2, 'SEANCE 1'!$F:$F, D$5))</f>
        <v/>
      </c>
      <c r="E42" s="64" t="str">
        <f ca="1">IF(COUNTIFS('SEANCE 1'!$B:$B, $B42, 'SEANCE 1'!$C:$C, E$2, 'SEANCE 1'!$F:$F, E$5)=0, "", COUNTIFS('SEANCE 1'!$B:$B, $B42, 'SEANCE 1'!$C:$C, E$2, 'SEANCE 1'!$F:$F, E$5))</f>
        <v/>
      </c>
      <c r="F42" s="64" t="str">
        <f ca="1">IF(COUNTIFS('SEANCE 1'!$B:$B, $B42, 'SEANCE 1'!$C:$C, F$2, 'SEANCE 1'!$F:$F, F$5)=0, "", COUNTIFS('SEANCE 1'!$B:$B, $B42, 'SEANCE 1'!$C:$C, F$2, 'SEANCE 1'!$F:$F, F$5))</f>
        <v/>
      </c>
      <c r="G42" s="64" t="str">
        <f ca="1">IF(COUNTIFS('SEANCE 1'!$B:$B, $B42, 'SEANCE 1'!$C:$C, G$2, 'SEANCE 1'!$F:$F, G$5)=0, "", COUNTIFS('SEANCE 1'!$B:$B, $B42, 'SEANCE 1'!$C:$C, G$2, 'SEANCE 1'!$F:$F, G$5))</f>
        <v/>
      </c>
      <c r="H42" s="64" t="str">
        <f ca="1">IF(COUNTIFS('SEANCE 1'!$B:$B, $B42, 'SEANCE 1'!$C:$C, H$2, 'SEANCE 1'!$F:$F, H$5)=0, "", COUNTIFS('SEANCE 1'!$B:$B, $B42, 'SEANCE 1'!$C:$C, H$2, 'SEANCE 1'!$F:$F, H$5))</f>
        <v/>
      </c>
      <c r="I42" s="64" t="str">
        <f ca="1">IF(COUNTIFS('SEANCE 1'!$B:$B, $B42, 'SEANCE 1'!$C:$C, I$2, 'SEANCE 1'!$F:$F, I$5)=0, "", COUNTIFS('SEANCE 1'!$B:$B, $B42, 'SEANCE 1'!$C:$C, I$2, 'SEANCE 1'!$F:$F, I$5))</f>
        <v/>
      </c>
      <c r="J42" s="64" t="str">
        <f ca="1">IF(COUNTIFS('SEANCE 1'!$B:$B, $B42, 'SEANCE 1'!$C:$C, J$2, 'SEANCE 1'!$F:$F, J$5)=0, "", COUNTIFS('SEANCE 1'!$B:$B, $B42, 'SEANCE 1'!$C:$C, J$2, 'SEANCE 1'!$F:$F, J$5))</f>
        <v/>
      </c>
      <c r="K42" s="64" t="str">
        <f ca="1">IF(COUNTIFS('SEANCE 1'!$B:$B, $B42, 'SEANCE 1'!$C:$C, K$2, 'SEANCE 1'!$F:$F, K$5)=0, "", COUNTIFS('SEANCE 1'!$B:$B, $B42, 'SEANCE 1'!$C:$C, K$2, 'SEANCE 1'!$F:$F, K$5))</f>
        <v/>
      </c>
      <c r="L42" s="64" t="str">
        <f ca="1">IF(COUNTIFS('SEANCE 1'!$B:$B, $B42, 'SEANCE 1'!$C:$C, L$2, 'SEANCE 1'!$F:$F, L$5)=0, "", COUNTIFS('SEANCE 1'!$B:$B, $B42, 'SEANCE 1'!$C:$C, L$2, 'SEANCE 1'!$F:$F, L$5))</f>
        <v/>
      </c>
      <c r="M42" s="64" t="str">
        <f ca="1">IF(COUNTIFS('SEANCE 1'!$B:$B, $B42, 'SEANCE 1'!$C:$C, M$2, 'SEANCE 1'!$F:$F, M$5)=0, "", COUNTIFS('SEANCE 1'!$B:$B, $B42, 'SEANCE 1'!$C:$C, M$2, 'SEANCE 1'!$F:$F, M$5))</f>
        <v/>
      </c>
      <c r="N42" s="64" t="str">
        <f ca="1">IF(COUNTIFS('SEANCE 1'!$B:$B, $B42, 'SEANCE 1'!$C:$C, N$2, 'SEANCE 1'!$F:$F, N$5)=0, "", COUNTIFS('SEANCE 1'!$B:$B, $B42, 'SEANCE 1'!$C:$C, N$2, 'SEANCE 1'!$F:$F, N$5))</f>
        <v/>
      </c>
      <c r="O42" s="64" t="str">
        <f ca="1">IF(COUNTIFS('SEANCE 1'!$B:$B, $B42, 'SEANCE 1'!$C:$C, O$2, 'SEANCE 1'!$F:$F, O$5)=0, "", COUNTIFS('SEANCE 1'!$B:$B, $B42, 'SEANCE 1'!$C:$C, O$2, 'SEANCE 1'!$F:$F, O$5))</f>
        <v/>
      </c>
      <c r="P42" s="64" t="str">
        <f ca="1">IF(COUNTIFS('SEANCE 1'!$B:$B, $B42, 'SEANCE 1'!$C:$C, P$2, 'SEANCE 1'!$F:$F, P$5)=0, "", COUNTIFS('SEANCE 1'!$B:$B, $B42, 'SEANCE 1'!$C:$C, P$2, 'SEANCE 1'!$F:$F, P$5))</f>
        <v/>
      </c>
      <c r="Q42" s="64" t="str">
        <f ca="1">IF(COUNTIFS('SEANCE 1'!$B:$B, $B42, 'SEANCE 1'!$C:$C, Q$2, 'SEANCE 1'!$F:$F, Q$5)=0, "", COUNTIFS('SEANCE 1'!$B:$B, $B42, 'SEANCE 1'!$C:$C, Q$2, 'SEANCE 1'!$F:$F, Q$5))</f>
        <v/>
      </c>
      <c r="R42" s="64" t="str">
        <f ca="1">IF(COUNTIFS('SEANCE 1'!$B:$B, $B42, 'SEANCE 1'!$C:$C, R$2, 'SEANCE 1'!$F:$F, R$5)=0, "", COUNTIFS('SEANCE 1'!$B:$B, $B42, 'SEANCE 1'!$C:$C, R$2, 'SEANCE 1'!$F:$F, R$5))</f>
        <v/>
      </c>
      <c r="S42" s="64" t="str">
        <f ca="1">IF(COUNTIFS('SEANCE 1'!$B:$B, $B42, 'SEANCE 1'!$C:$C, S$2, 'SEANCE 1'!$F:$F, S$5)=0, "", COUNTIFS('SEANCE 1'!$B:$B, $B42, 'SEANCE 1'!$C:$C, S$2, 'SEANCE 1'!$F:$F, S$5))</f>
        <v/>
      </c>
      <c r="T42" s="64" t="str">
        <f ca="1">IF(COUNTIFS('SEANCE 1'!$B:$B, $B42, 'SEANCE 1'!$C:$C, T$2, 'SEANCE 1'!$F:$F, T$5)=0, "", COUNTIFS('SEANCE 1'!$B:$B, $B42, 'SEANCE 1'!$C:$C, T$2, 'SEANCE 1'!$F:$F, T$5))</f>
        <v/>
      </c>
      <c r="U42" s="64" t="str">
        <f ca="1">IF(COUNTIFS('SEANCE 1'!$B:$B, $B42, 'SEANCE 1'!$C:$C, U$2, 'SEANCE 1'!$F:$F, U$5)=0, "", COUNTIFS('SEANCE 1'!$B:$B, $B42, 'SEANCE 1'!$C:$C, U$2, 'SEANCE 1'!$F:$F, U$5))</f>
        <v/>
      </c>
      <c r="V42" s="64" t="str">
        <f ca="1">IF(COUNTIFS('SEANCE 1'!$B:$B, $B42, 'SEANCE 1'!$C:$C, V$2, 'SEANCE 1'!$F:$F, V$5)=0, "", COUNTIFS('SEANCE 1'!$B:$B, $B42, 'SEANCE 1'!$C:$C, V$2, 'SEANCE 1'!$F:$F, V$5))</f>
        <v/>
      </c>
      <c r="W42" s="64" t="str">
        <f ca="1">IF(COUNTIFS('SEANCE 1'!$B:$B, $B42, 'SEANCE 1'!$C:$C, W$2, 'SEANCE 1'!$F:$F, W$5)=0, "", COUNTIFS('SEANCE 1'!$B:$B, $B42, 'SEANCE 1'!$C:$C, W$2, 'SEANCE 1'!$F:$F, W$5))</f>
        <v/>
      </c>
      <c r="X42" s="64" t="str">
        <f ca="1">IF(COUNTIFS('SEANCE 1'!$B:$B, $B42, 'SEANCE 1'!$C:$C, X$2, 'SEANCE 1'!$F:$F, X$5)=0, "", COUNTIFS('SEANCE 1'!$B:$B, $B42, 'SEANCE 1'!$C:$C, X$2, 'SEANCE 1'!$F:$F, X$5))</f>
        <v/>
      </c>
      <c r="Y42" s="64" t="str">
        <f ca="1">IF(COUNTIFS('SEANCE 1'!$B:$B, $B42, 'SEANCE 1'!$C:$C, Y$2, 'SEANCE 1'!$F:$F, Y$5)=0, "", COUNTIFS('SEANCE 1'!$B:$B, $B42, 'SEANCE 1'!$C:$C, Y$2, 'SEANCE 1'!$F:$F, Y$5))</f>
        <v/>
      </c>
      <c r="Z42" s="64" t="str">
        <f ca="1">IF(COUNTIFS('SEANCE 1'!$B:$B, $B42, 'SEANCE 1'!$C:$C, Z$2, 'SEANCE 1'!$F:$F, Z$5)=0, "", COUNTIFS('SEANCE 1'!$B:$B, $B42, 'SEANCE 1'!$C:$C, Z$2, 'SEANCE 1'!$F:$F, Z$5))</f>
        <v/>
      </c>
      <c r="AA42" s="64" t="str">
        <f ca="1">IF(COUNTIFS('SEANCE 1'!$B:$B, $B42, 'SEANCE 1'!$C:$C, AA$2, 'SEANCE 1'!$F:$F, AA$5)=0, "", COUNTIFS('SEANCE 1'!$B:$B, $B42, 'SEANCE 1'!$C:$C, AA$2, 'SEANCE 1'!$F:$F, AA$5))</f>
        <v/>
      </c>
      <c r="AB42" s="64" t="str">
        <f ca="1">IF(COUNTIFS('SEANCE 1'!$B:$B, $B42, 'SEANCE 1'!$C:$C, AB$2, 'SEANCE 1'!$F:$F, AB$5)=0, "", COUNTIFS('SEANCE 1'!$B:$B, $B42, 'SEANCE 1'!$C:$C, AB$2, 'SEANCE 1'!$F:$F, AB$5))</f>
        <v/>
      </c>
      <c r="AC42" s="64" t="str">
        <f ca="1">IF(COUNTIFS('SEANCE 1'!$B:$B, $B42, 'SEANCE 1'!$C:$C, AC$2, 'SEANCE 1'!$F:$F, AC$5)=0, "", COUNTIFS('SEANCE 1'!$B:$B, $B42, 'SEANCE 1'!$C:$C, AC$2, 'SEANCE 1'!$F:$F, AC$5))</f>
        <v/>
      </c>
      <c r="AD42" s="64" t="str">
        <f ca="1">IF(COUNTIFS('SEANCE 1'!$B:$B, $B42, 'SEANCE 1'!$C:$C, AD$2, 'SEANCE 1'!$F:$F, AD$5)=0, "", COUNTIFS('SEANCE 1'!$B:$B, $B42, 'SEANCE 1'!$C:$C, AD$2, 'SEANCE 1'!$F:$F, AD$5))</f>
        <v/>
      </c>
      <c r="AE42" s="64" t="str">
        <f ca="1">IF(COUNTIFS('SEANCE 1'!$B:$B, $B42, 'SEANCE 1'!$C:$C, AE$2, 'SEANCE 1'!$F:$F, AE$5)=0, "", COUNTIFS('SEANCE 1'!$B:$B, $B42, 'SEANCE 1'!$C:$C, AE$2, 'SEANCE 1'!$F:$F, AE$5))</f>
        <v/>
      </c>
      <c r="AF42" s="64" t="str">
        <f ca="1">IF(COUNTIFS('SEANCE 1'!$B:$B, $B42, 'SEANCE 1'!$C:$C, AF$2, 'SEANCE 1'!$F:$F, AF$5)=0, "", COUNTIFS('SEANCE 1'!$B:$B, $B42, 'SEANCE 1'!$C:$C, AF$2, 'SEANCE 1'!$F:$F, AF$5))</f>
        <v/>
      </c>
      <c r="AG42" s="64" t="str">
        <f ca="1">IF(COUNTIFS('SEANCE 1'!$B:$B, $B42, 'SEANCE 1'!$C:$C, AG$2, 'SEANCE 1'!$F:$F, AG$5)=0, "", COUNTIFS('SEANCE 1'!$B:$B, $B42, 'SEANCE 1'!$C:$C, AG$2, 'SEANCE 1'!$F:$F, AG$5))</f>
        <v/>
      </c>
      <c r="AH42" s="64" t="str">
        <f ca="1">IF(COUNTIFS('SEANCE 1'!$B:$B, $B42, 'SEANCE 1'!$C:$C, AH$2, 'SEANCE 1'!$F:$F, AH$5)=0, "", COUNTIFS('SEANCE 1'!$B:$B, $B42, 'SEANCE 1'!$C:$C, AH$2, 'SEANCE 1'!$F:$F, AH$5))</f>
        <v/>
      </c>
      <c r="AI42" s="64" t="str">
        <f ca="1">IF(COUNTIFS('SEANCE 1'!$B:$B, $B42, 'SEANCE 1'!$C:$C, AI$2, 'SEANCE 1'!$F:$F, AI$5)=0, "", COUNTIFS('SEANCE 1'!$B:$B, $B42, 'SEANCE 1'!$C:$C, AI$2, 'SEANCE 1'!$F:$F, AI$5))</f>
        <v/>
      </c>
      <c r="AJ42" s="64" t="str">
        <f ca="1">IF(COUNTIFS('SEANCE 1'!$B:$B, $B42, 'SEANCE 1'!$C:$C, AJ$2, 'SEANCE 1'!$F:$F, AJ$5)=0, "", COUNTIFS('SEANCE 1'!$B:$B, $B42, 'SEANCE 1'!$C:$C, AJ$2, 'SEANCE 1'!$F:$F, AJ$5))</f>
        <v/>
      </c>
      <c r="AK42" s="64" t="str">
        <f ca="1">IF(COUNTIFS('SEANCE 1'!$B:$B, $B42, 'SEANCE 1'!$C:$C, AK$2, 'SEANCE 1'!$F:$F, AK$5)=0, "", COUNTIFS('SEANCE 1'!$B:$B, $B42, 'SEANCE 1'!$C:$C, AK$2, 'SEANCE 1'!$F:$F, AK$5))</f>
        <v/>
      </c>
      <c r="AL42" s="64" t="str">
        <f ca="1">IF(COUNTIFS('SEANCE 1'!$B:$B, $B42, 'SEANCE 1'!$C:$C, AL$2, 'SEANCE 1'!$F:$F, AL$5)=0, "", COUNTIFS('SEANCE 1'!$B:$B, $B42, 'SEANCE 1'!$C:$C, AL$2, 'SEANCE 1'!$F:$F, AL$5))</f>
        <v/>
      </c>
      <c r="AM42" s="64" t="str">
        <f ca="1">IF(COUNTIFS('SEANCE 1'!$B:$B, $B42, 'SEANCE 1'!$C:$C, AM$2, 'SEANCE 1'!$F:$F, AM$5)=0, "", COUNTIFS('SEANCE 1'!$B:$B, $B42, 'SEANCE 1'!$C:$C, AM$2, 'SEANCE 1'!$F:$F, AM$5))</f>
        <v/>
      </c>
      <c r="AN42" s="64" t="str">
        <f ca="1">IF(COUNTIFS('SEANCE 1'!$B:$B, $B42, 'SEANCE 1'!$C:$C, AN$2, 'SEANCE 1'!$F:$F, AN$5)=0, "", COUNTIFS('SEANCE 1'!$B:$B, $B42, 'SEANCE 1'!$C:$C, AN$2, 'SEANCE 1'!$F:$F, AN$5))</f>
        <v/>
      </c>
      <c r="AO42" s="64" t="str">
        <f ca="1">IF(COUNTIFS('SEANCE 1'!$B:$B, $B42, 'SEANCE 1'!$C:$C, AO$2, 'SEANCE 1'!$F:$F, AO$5)=0, "", COUNTIFS('SEANCE 1'!$B:$B, $B42, 'SEANCE 1'!$C:$C, AO$2, 'SEANCE 1'!$F:$F, AO$5))</f>
        <v/>
      </c>
      <c r="AP42" s="64" t="str">
        <f ca="1">IF(COUNTIFS('SEANCE 1'!$B:$B, $B42, 'SEANCE 1'!$C:$C, AP$2, 'SEANCE 1'!$F:$F, AP$5)=0, "", COUNTIFS('SEANCE 1'!$B:$B, $B42, 'SEANCE 1'!$C:$C, AP$2, 'SEANCE 1'!$F:$F, AP$5))</f>
        <v/>
      </c>
      <c r="AQ42" s="64" t="str">
        <f ca="1">IF(COUNTIFS('SEANCE 1'!$B:$B, $B42, 'SEANCE 1'!$C:$C, AQ$2, 'SEANCE 1'!$F:$F, AQ$5)=0, "", COUNTIFS('SEANCE 1'!$B:$B, $B42, 'SEANCE 1'!$C:$C, AQ$2, 'SEANCE 1'!$F:$F, AQ$5))</f>
        <v/>
      </c>
      <c r="AR42" s="64" t="str">
        <f ca="1">IF(COUNTIFS('SEANCE 1'!$B:$B, $B42, 'SEANCE 1'!$C:$C, AR$2, 'SEANCE 1'!$F:$F, AR$5)=0, "", COUNTIFS('SEANCE 1'!$B:$B, $B42, 'SEANCE 1'!$C:$C, AR$2, 'SEANCE 1'!$F:$F, AR$5))</f>
        <v/>
      </c>
      <c r="AS42" s="64" t="str">
        <f ca="1">IF(COUNTIFS('SEANCE 1'!$B:$B, $B42, 'SEANCE 1'!$C:$C, AS$2, 'SEANCE 1'!$F:$F, AS$5)=0, "", COUNTIFS('SEANCE 1'!$B:$B, $B42, 'SEANCE 1'!$C:$C, AS$2, 'SEANCE 1'!$F:$F, AS$5))</f>
        <v/>
      </c>
      <c r="AT42" s="64" t="str">
        <f ca="1">IF(COUNTIFS('SEANCE 1'!$B:$B, $B42, 'SEANCE 1'!$C:$C, AT$2, 'SEANCE 1'!$F:$F, AT$5)=0, "", COUNTIFS('SEANCE 1'!$B:$B, $B42, 'SEANCE 1'!$C:$C, AT$2, 'SEANCE 1'!$F:$F, AT$5))</f>
        <v/>
      </c>
      <c r="AU42" s="64" t="str">
        <f ca="1">IF(COUNTIFS('SEANCE 1'!$B:$B, $B42, 'SEANCE 1'!$C:$C, AU$2, 'SEANCE 1'!$F:$F, AU$5)=0, "", COUNTIFS('SEANCE 1'!$B:$B, $B42, 'SEANCE 1'!$C:$C, AU$2, 'SEANCE 1'!$F:$F, AU$5))</f>
        <v/>
      </c>
      <c r="AV42" s="64" t="str">
        <f ca="1">IF(COUNTIFS('SEANCE 1'!$B:$B, $B42, 'SEANCE 1'!$C:$C, AV$2, 'SEANCE 1'!$F:$F, AV$5)=0, "", COUNTIFS('SEANCE 1'!$B:$B, $B42, 'SEANCE 1'!$C:$C, AV$2, 'SEANCE 1'!$F:$F, AV$5))</f>
        <v/>
      </c>
      <c r="AW42" s="64" t="str">
        <f ca="1">IF(COUNTIFS('SEANCE 1'!$B:$B, $B42, 'SEANCE 1'!$C:$C, AW$2, 'SEANCE 1'!$F:$F, AW$5)=0, "", COUNTIFS('SEANCE 1'!$B:$B, $B42, 'SEANCE 1'!$C:$C, AW$2, 'SEANCE 1'!$F:$F, AW$5))</f>
        <v/>
      </c>
      <c r="AX42" s="64" t="str">
        <f ca="1">IF(COUNTIFS('SEANCE 1'!$B:$B, $B42, 'SEANCE 1'!$C:$C, AX$2, 'SEANCE 1'!$F:$F, AX$5)=0, "", COUNTIFS('SEANCE 1'!$B:$B, $B42, 'SEANCE 1'!$C:$C, AX$2, 'SEANCE 1'!$F:$F, AX$5))</f>
        <v/>
      </c>
      <c r="AY42" s="64" t="str">
        <f ca="1">IF(COUNTIFS('SEANCE 1'!$B:$B, $B42, 'SEANCE 1'!$C:$C, AY$2, 'SEANCE 1'!$F:$F, AY$5)=0, "", COUNTIFS('SEANCE 1'!$B:$B, $B42, 'SEANCE 1'!$C:$C, AY$2, 'SEANCE 1'!$F:$F, AY$5))</f>
        <v/>
      </c>
      <c r="AZ42" s="32">
        <f t="shared" ca="1" si="0"/>
        <v>0</v>
      </c>
    </row>
    <row r="43" spans="1:52">
      <c r="A43" s="44" t="str">
        <f>IF('SEANCE 1'!$B39&lt;&gt;"",'SEANCE 1'!$A39,"")</f>
        <v/>
      </c>
      <c r="B43" s="44" t="str">
        <f t="array" aca="1" ref="B43" ca="1">IF(ISNA(INDEX(ListeB,MATCH(0,COUNTIF($B$5:B42,ListeB),0))),"",INDEX(ListeB,MATCH(0,COUNTIF($B$5:B42,ListeB),0)))</f>
        <v/>
      </c>
      <c r="C43" s="64" t="str">
        <f ca="1">IF(COUNTIFS('SEANCE 1'!$B:$B, $B43, 'SEANCE 1'!$C:$C, C$2, 'SEANCE 1'!$F:$F, C$5)=0, "", COUNTIFS('SEANCE 1'!$B:$B, $B43, 'SEANCE 1'!$C:$C, C$2, 'SEANCE 1'!$F:$F, C$5))</f>
        <v/>
      </c>
      <c r="D43" s="64" t="str">
        <f ca="1">IF(COUNTIFS('SEANCE 1'!$B:$B, $B43, 'SEANCE 1'!$C:$C, D$2, 'SEANCE 1'!$F:$F, D$5)=0, "", COUNTIFS('SEANCE 1'!$B:$B, $B43, 'SEANCE 1'!$C:$C, D$2, 'SEANCE 1'!$F:$F, D$5))</f>
        <v/>
      </c>
      <c r="E43" s="64" t="str">
        <f ca="1">IF(COUNTIFS('SEANCE 1'!$B:$B, $B43, 'SEANCE 1'!$C:$C, E$2, 'SEANCE 1'!$F:$F, E$5)=0, "", COUNTIFS('SEANCE 1'!$B:$B, $B43, 'SEANCE 1'!$C:$C, E$2, 'SEANCE 1'!$F:$F, E$5))</f>
        <v/>
      </c>
      <c r="F43" s="64" t="str">
        <f ca="1">IF(COUNTIFS('SEANCE 1'!$B:$B, $B43, 'SEANCE 1'!$C:$C, F$2, 'SEANCE 1'!$F:$F, F$5)=0, "", COUNTIFS('SEANCE 1'!$B:$B, $B43, 'SEANCE 1'!$C:$C, F$2, 'SEANCE 1'!$F:$F, F$5))</f>
        <v/>
      </c>
      <c r="G43" s="64" t="str">
        <f ca="1">IF(COUNTIFS('SEANCE 1'!$B:$B, $B43, 'SEANCE 1'!$C:$C, G$2, 'SEANCE 1'!$F:$F, G$5)=0, "", COUNTIFS('SEANCE 1'!$B:$B, $B43, 'SEANCE 1'!$C:$C, G$2, 'SEANCE 1'!$F:$F, G$5))</f>
        <v/>
      </c>
      <c r="H43" s="64" t="str">
        <f ca="1">IF(COUNTIFS('SEANCE 1'!$B:$B, $B43, 'SEANCE 1'!$C:$C, H$2, 'SEANCE 1'!$F:$F, H$5)=0, "", COUNTIFS('SEANCE 1'!$B:$B, $B43, 'SEANCE 1'!$C:$C, H$2, 'SEANCE 1'!$F:$F, H$5))</f>
        <v/>
      </c>
      <c r="I43" s="64" t="str">
        <f ca="1">IF(COUNTIFS('SEANCE 1'!$B:$B, $B43, 'SEANCE 1'!$C:$C, I$2, 'SEANCE 1'!$F:$F, I$5)=0, "", COUNTIFS('SEANCE 1'!$B:$B, $B43, 'SEANCE 1'!$C:$C, I$2, 'SEANCE 1'!$F:$F, I$5))</f>
        <v/>
      </c>
      <c r="J43" s="64" t="str">
        <f ca="1">IF(COUNTIFS('SEANCE 1'!$B:$B, $B43, 'SEANCE 1'!$C:$C, J$2, 'SEANCE 1'!$F:$F, J$5)=0, "", COUNTIFS('SEANCE 1'!$B:$B, $B43, 'SEANCE 1'!$C:$C, J$2, 'SEANCE 1'!$F:$F, J$5))</f>
        <v/>
      </c>
      <c r="K43" s="64" t="str">
        <f ca="1">IF(COUNTIFS('SEANCE 1'!$B:$B, $B43, 'SEANCE 1'!$C:$C, K$2, 'SEANCE 1'!$F:$F, K$5)=0, "", COUNTIFS('SEANCE 1'!$B:$B, $B43, 'SEANCE 1'!$C:$C, K$2, 'SEANCE 1'!$F:$F, K$5))</f>
        <v/>
      </c>
      <c r="L43" s="64" t="str">
        <f ca="1">IF(COUNTIFS('SEANCE 1'!$B:$B, $B43, 'SEANCE 1'!$C:$C, L$2, 'SEANCE 1'!$F:$F, L$5)=0, "", COUNTIFS('SEANCE 1'!$B:$B, $B43, 'SEANCE 1'!$C:$C, L$2, 'SEANCE 1'!$F:$F, L$5))</f>
        <v/>
      </c>
      <c r="M43" s="64" t="str">
        <f ca="1">IF(COUNTIFS('SEANCE 1'!$B:$B, $B43, 'SEANCE 1'!$C:$C, M$2, 'SEANCE 1'!$F:$F, M$5)=0, "", COUNTIFS('SEANCE 1'!$B:$B, $B43, 'SEANCE 1'!$C:$C, M$2, 'SEANCE 1'!$F:$F, M$5))</f>
        <v/>
      </c>
      <c r="N43" s="64" t="str">
        <f ca="1">IF(COUNTIFS('SEANCE 1'!$B:$B, $B43, 'SEANCE 1'!$C:$C, N$2, 'SEANCE 1'!$F:$F, N$5)=0, "", COUNTIFS('SEANCE 1'!$B:$B, $B43, 'SEANCE 1'!$C:$C, N$2, 'SEANCE 1'!$F:$F, N$5))</f>
        <v/>
      </c>
      <c r="O43" s="64" t="str">
        <f ca="1">IF(COUNTIFS('SEANCE 1'!$B:$B, $B43, 'SEANCE 1'!$C:$C, O$2, 'SEANCE 1'!$F:$F, O$5)=0, "", COUNTIFS('SEANCE 1'!$B:$B, $B43, 'SEANCE 1'!$C:$C, O$2, 'SEANCE 1'!$F:$F, O$5))</f>
        <v/>
      </c>
      <c r="P43" s="64" t="str">
        <f ca="1">IF(COUNTIFS('SEANCE 1'!$B:$B, $B43, 'SEANCE 1'!$C:$C, P$2, 'SEANCE 1'!$F:$F, P$5)=0, "", COUNTIFS('SEANCE 1'!$B:$B, $B43, 'SEANCE 1'!$C:$C, P$2, 'SEANCE 1'!$F:$F, P$5))</f>
        <v/>
      </c>
      <c r="Q43" s="64" t="str">
        <f ca="1">IF(COUNTIFS('SEANCE 1'!$B:$B, $B43, 'SEANCE 1'!$C:$C, Q$2, 'SEANCE 1'!$F:$F, Q$5)=0, "", COUNTIFS('SEANCE 1'!$B:$B, $B43, 'SEANCE 1'!$C:$C, Q$2, 'SEANCE 1'!$F:$F, Q$5))</f>
        <v/>
      </c>
      <c r="R43" s="64" t="str">
        <f ca="1">IF(COUNTIFS('SEANCE 1'!$B:$B, $B43, 'SEANCE 1'!$C:$C, R$2, 'SEANCE 1'!$F:$F, R$5)=0, "", COUNTIFS('SEANCE 1'!$B:$B, $B43, 'SEANCE 1'!$C:$C, R$2, 'SEANCE 1'!$F:$F, R$5))</f>
        <v/>
      </c>
      <c r="S43" s="64" t="str">
        <f ca="1">IF(COUNTIFS('SEANCE 1'!$B:$B, $B43, 'SEANCE 1'!$C:$C, S$2, 'SEANCE 1'!$F:$F, S$5)=0, "", COUNTIFS('SEANCE 1'!$B:$B, $B43, 'SEANCE 1'!$C:$C, S$2, 'SEANCE 1'!$F:$F, S$5))</f>
        <v/>
      </c>
      <c r="T43" s="64" t="str">
        <f ca="1">IF(COUNTIFS('SEANCE 1'!$B:$B, $B43, 'SEANCE 1'!$C:$C, T$2, 'SEANCE 1'!$F:$F, T$5)=0, "", COUNTIFS('SEANCE 1'!$B:$B, $B43, 'SEANCE 1'!$C:$C, T$2, 'SEANCE 1'!$F:$F, T$5))</f>
        <v/>
      </c>
      <c r="U43" s="64" t="str">
        <f ca="1">IF(COUNTIFS('SEANCE 1'!$B:$B, $B43, 'SEANCE 1'!$C:$C, U$2, 'SEANCE 1'!$F:$F, U$5)=0, "", COUNTIFS('SEANCE 1'!$B:$B, $B43, 'SEANCE 1'!$C:$C, U$2, 'SEANCE 1'!$F:$F, U$5))</f>
        <v/>
      </c>
      <c r="V43" s="64" t="str">
        <f ca="1">IF(COUNTIFS('SEANCE 1'!$B:$B, $B43, 'SEANCE 1'!$C:$C, V$2, 'SEANCE 1'!$F:$F, V$5)=0, "", COUNTIFS('SEANCE 1'!$B:$B, $B43, 'SEANCE 1'!$C:$C, V$2, 'SEANCE 1'!$F:$F, V$5))</f>
        <v/>
      </c>
      <c r="W43" s="64" t="str">
        <f ca="1">IF(COUNTIFS('SEANCE 1'!$B:$B, $B43, 'SEANCE 1'!$C:$C, W$2, 'SEANCE 1'!$F:$F, W$5)=0, "", COUNTIFS('SEANCE 1'!$B:$B, $B43, 'SEANCE 1'!$C:$C, W$2, 'SEANCE 1'!$F:$F, W$5))</f>
        <v/>
      </c>
      <c r="X43" s="64" t="str">
        <f ca="1">IF(COUNTIFS('SEANCE 1'!$B:$B, $B43, 'SEANCE 1'!$C:$C, X$2, 'SEANCE 1'!$F:$F, X$5)=0, "", COUNTIFS('SEANCE 1'!$B:$B, $B43, 'SEANCE 1'!$C:$C, X$2, 'SEANCE 1'!$F:$F, X$5))</f>
        <v/>
      </c>
      <c r="Y43" s="64" t="str">
        <f ca="1">IF(COUNTIFS('SEANCE 1'!$B:$B, $B43, 'SEANCE 1'!$C:$C, Y$2, 'SEANCE 1'!$F:$F, Y$5)=0, "", COUNTIFS('SEANCE 1'!$B:$B, $B43, 'SEANCE 1'!$C:$C, Y$2, 'SEANCE 1'!$F:$F, Y$5))</f>
        <v/>
      </c>
      <c r="Z43" s="64" t="str">
        <f ca="1">IF(COUNTIFS('SEANCE 1'!$B:$B, $B43, 'SEANCE 1'!$C:$C, Z$2, 'SEANCE 1'!$F:$F, Z$5)=0, "", COUNTIFS('SEANCE 1'!$B:$B, $B43, 'SEANCE 1'!$C:$C, Z$2, 'SEANCE 1'!$F:$F, Z$5))</f>
        <v/>
      </c>
      <c r="AA43" s="64" t="str">
        <f ca="1">IF(COUNTIFS('SEANCE 1'!$B:$B, $B43, 'SEANCE 1'!$C:$C, AA$2, 'SEANCE 1'!$F:$F, AA$5)=0, "", COUNTIFS('SEANCE 1'!$B:$B, $B43, 'SEANCE 1'!$C:$C, AA$2, 'SEANCE 1'!$F:$F, AA$5))</f>
        <v/>
      </c>
      <c r="AB43" s="64" t="str">
        <f ca="1">IF(COUNTIFS('SEANCE 1'!$B:$B, $B43, 'SEANCE 1'!$C:$C, AB$2, 'SEANCE 1'!$F:$F, AB$5)=0, "", COUNTIFS('SEANCE 1'!$B:$B, $B43, 'SEANCE 1'!$C:$C, AB$2, 'SEANCE 1'!$F:$F, AB$5))</f>
        <v/>
      </c>
      <c r="AC43" s="64" t="str">
        <f ca="1">IF(COUNTIFS('SEANCE 1'!$B:$B, $B43, 'SEANCE 1'!$C:$C, AC$2, 'SEANCE 1'!$F:$F, AC$5)=0, "", COUNTIFS('SEANCE 1'!$B:$B, $B43, 'SEANCE 1'!$C:$C, AC$2, 'SEANCE 1'!$F:$F, AC$5))</f>
        <v/>
      </c>
      <c r="AD43" s="64" t="str">
        <f ca="1">IF(COUNTIFS('SEANCE 1'!$B:$B, $B43, 'SEANCE 1'!$C:$C, AD$2, 'SEANCE 1'!$F:$F, AD$5)=0, "", COUNTIFS('SEANCE 1'!$B:$B, $B43, 'SEANCE 1'!$C:$C, AD$2, 'SEANCE 1'!$F:$F, AD$5))</f>
        <v/>
      </c>
      <c r="AE43" s="64" t="str">
        <f ca="1">IF(COUNTIFS('SEANCE 1'!$B:$B, $B43, 'SEANCE 1'!$C:$C, AE$2, 'SEANCE 1'!$F:$F, AE$5)=0, "", COUNTIFS('SEANCE 1'!$B:$B, $B43, 'SEANCE 1'!$C:$C, AE$2, 'SEANCE 1'!$F:$F, AE$5))</f>
        <v/>
      </c>
      <c r="AF43" s="64" t="str">
        <f ca="1">IF(COUNTIFS('SEANCE 1'!$B:$B, $B43, 'SEANCE 1'!$C:$C, AF$2, 'SEANCE 1'!$F:$F, AF$5)=0, "", COUNTIFS('SEANCE 1'!$B:$B, $B43, 'SEANCE 1'!$C:$C, AF$2, 'SEANCE 1'!$F:$F, AF$5))</f>
        <v/>
      </c>
      <c r="AG43" s="64" t="str">
        <f ca="1">IF(COUNTIFS('SEANCE 1'!$B:$B, $B43, 'SEANCE 1'!$C:$C, AG$2, 'SEANCE 1'!$F:$F, AG$5)=0, "", COUNTIFS('SEANCE 1'!$B:$B, $B43, 'SEANCE 1'!$C:$C, AG$2, 'SEANCE 1'!$F:$F, AG$5))</f>
        <v/>
      </c>
      <c r="AH43" s="64" t="str">
        <f ca="1">IF(COUNTIFS('SEANCE 1'!$B:$B, $B43, 'SEANCE 1'!$C:$C, AH$2, 'SEANCE 1'!$F:$F, AH$5)=0, "", COUNTIFS('SEANCE 1'!$B:$B, $B43, 'SEANCE 1'!$C:$C, AH$2, 'SEANCE 1'!$F:$F, AH$5))</f>
        <v/>
      </c>
      <c r="AI43" s="64" t="str">
        <f ca="1">IF(COUNTIFS('SEANCE 1'!$B:$B, $B43, 'SEANCE 1'!$C:$C, AI$2, 'SEANCE 1'!$F:$F, AI$5)=0, "", COUNTIFS('SEANCE 1'!$B:$B, $B43, 'SEANCE 1'!$C:$C, AI$2, 'SEANCE 1'!$F:$F, AI$5))</f>
        <v/>
      </c>
      <c r="AJ43" s="64" t="str">
        <f ca="1">IF(COUNTIFS('SEANCE 1'!$B:$B, $B43, 'SEANCE 1'!$C:$C, AJ$2, 'SEANCE 1'!$F:$F, AJ$5)=0, "", COUNTIFS('SEANCE 1'!$B:$B, $B43, 'SEANCE 1'!$C:$C, AJ$2, 'SEANCE 1'!$F:$F, AJ$5))</f>
        <v/>
      </c>
      <c r="AK43" s="64" t="str">
        <f ca="1">IF(COUNTIFS('SEANCE 1'!$B:$B, $B43, 'SEANCE 1'!$C:$C, AK$2, 'SEANCE 1'!$F:$F, AK$5)=0, "", COUNTIFS('SEANCE 1'!$B:$B, $B43, 'SEANCE 1'!$C:$C, AK$2, 'SEANCE 1'!$F:$F, AK$5))</f>
        <v/>
      </c>
      <c r="AL43" s="64" t="str">
        <f ca="1">IF(COUNTIFS('SEANCE 1'!$B:$B, $B43, 'SEANCE 1'!$C:$C, AL$2, 'SEANCE 1'!$F:$F, AL$5)=0, "", COUNTIFS('SEANCE 1'!$B:$B, $B43, 'SEANCE 1'!$C:$C, AL$2, 'SEANCE 1'!$F:$F, AL$5))</f>
        <v/>
      </c>
      <c r="AM43" s="64" t="str">
        <f ca="1">IF(COUNTIFS('SEANCE 1'!$B:$B, $B43, 'SEANCE 1'!$C:$C, AM$2, 'SEANCE 1'!$F:$F, AM$5)=0, "", COUNTIFS('SEANCE 1'!$B:$B, $B43, 'SEANCE 1'!$C:$C, AM$2, 'SEANCE 1'!$F:$F, AM$5))</f>
        <v/>
      </c>
      <c r="AN43" s="64" t="str">
        <f ca="1">IF(COUNTIFS('SEANCE 1'!$B:$B, $B43, 'SEANCE 1'!$C:$C, AN$2, 'SEANCE 1'!$F:$F, AN$5)=0, "", COUNTIFS('SEANCE 1'!$B:$B, $B43, 'SEANCE 1'!$C:$C, AN$2, 'SEANCE 1'!$F:$F, AN$5))</f>
        <v/>
      </c>
      <c r="AO43" s="64" t="str">
        <f ca="1">IF(COUNTIFS('SEANCE 1'!$B:$B, $B43, 'SEANCE 1'!$C:$C, AO$2, 'SEANCE 1'!$F:$F, AO$5)=0, "", COUNTIFS('SEANCE 1'!$B:$B, $B43, 'SEANCE 1'!$C:$C, AO$2, 'SEANCE 1'!$F:$F, AO$5))</f>
        <v/>
      </c>
      <c r="AP43" s="64" t="str">
        <f ca="1">IF(COUNTIFS('SEANCE 1'!$B:$B, $B43, 'SEANCE 1'!$C:$C, AP$2, 'SEANCE 1'!$F:$F, AP$5)=0, "", COUNTIFS('SEANCE 1'!$B:$B, $B43, 'SEANCE 1'!$C:$C, AP$2, 'SEANCE 1'!$F:$F, AP$5))</f>
        <v/>
      </c>
      <c r="AQ43" s="64" t="str">
        <f ca="1">IF(COUNTIFS('SEANCE 1'!$B:$B, $B43, 'SEANCE 1'!$C:$C, AQ$2, 'SEANCE 1'!$F:$F, AQ$5)=0, "", COUNTIFS('SEANCE 1'!$B:$B, $B43, 'SEANCE 1'!$C:$C, AQ$2, 'SEANCE 1'!$F:$F, AQ$5))</f>
        <v/>
      </c>
      <c r="AR43" s="64" t="str">
        <f ca="1">IF(COUNTIFS('SEANCE 1'!$B:$B, $B43, 'SEANCE 1'!$C:$C, AR$2, 'SEANCE 1'!$F:$F, AR$5)=0, "", COUNTIFS('SEANCE 1'!$B:$B, $B43, 'SEANCE 1'!$C:$C, AR$2, 'SEANCE 1'!$F:$F, AR$5))</f>
        <v/>
      </c>
      <c r="AS43" s="64" t="str">
        <f ca="1">IF(COUNTIFS('SEANCE 1'!$B:$B, $B43, 'SEANCE 1'!$C:$C, AS$2, 'SEANCE 1'!$F:$F, AS$5)=0, "", COUNTIFS('SEANCE 1'!$B:$B, $B43, 'SEANCE 1'!$C:$C, AS$2, 'SEANCE 1'!$F:$F, AS$5))</f>
        <v/>
      </c>
      <c r="AT43" s="64" t="str">
        <f ca="1">IF(COUNTIFS('SEANCE 1'!$B:$B, $B43, 'SEANCE 1'!$C:$C, AT$2, 'SEANCE 1'!$F:$F, AT$5)=0, "", COUNTIFS('SEANCE 1'!$B:$B, $B43, 'SEANCE 1'!$C:$C, AT$2, 'SEANCE 1'!$F:$F, AT$5))</f>
        <v/>
      </c>
      <c r="AU43" s="64" t="str">
        <f ca="1">IF(COUNTIFS('SEANCE 1'!$B:$B, $B43, 'SEANCE 1'!$C:$C, AU$2, 'SEANCE 1'!$F:$F, AU$5)=0, "", COUNTIFS('SEANCE 1'!$B:$B, $B43, 'SEANCE 1'!$C:$C, AU$2, 'SEANCE 1'!$F:$F, AU$5))</f>
        <v/>
      </c>
      <c r="AV43" s="64" t="str">
        <f ca="1">IF(COUNTIFS('SEANCE 1'!$B:$B, $B43, 'SEANCE 1'!$C:$C, AV$2, 'SEANCE 1'!$F:$F, AV$5)=0, "", COUNTIFS('SEANCE 1'!$B:$B, $B43, 'SEANCE 1'!$C:$C, AV$2, 'SEANCE 1'!$F:$F, AV$5))</f>
        <v/>
      </c>
      <c r="AW43" s="64" t="str">
        <f ca="1">IF(COUNTIFS('SEANCE 1'!$B:$B, $B43, 'SEANCE 1'!$C:$C, AW$2, 'SEANCE 1'!$F:$F, AW$5)=0, "", COUNTIFS('SEANCE 1'!$B:$B, $B43, 'SEANCE 1'!$C:$C, AW$2, 'SEANCE 1'!$F:$F, AW$5))</f>
        <v/>
      </c>
      <c r="AX43" s="64" t="str">
        <f ca="1">IF(COUNTIFS('SEANCE 1'!$B:$B, $B43, 'SEANCE 1'!$C:$C, AX$2, 'SEANCE 1'!$F:$F, AX$5)=0, "", COUNTIFS('SEANCE 1'!$B:$B, $B43, 'SEANCE 1'!$C:$C, AX$2, 'SEANCE 1'!$F:$F, AX$5))</f>
        <v/>
      </c>
      <c r="AY43" s="64" t="str">
        <f ca="1">IF(COUNTIFS('SEANCE 1'!$B:$B, $B43, 'SEANCE 1'!$C:$C, AY$2, 'SEANCE 1'!$F:$F, AY$5)=0, "", COUNTIFS('SEANCE 1'!$B:$B, $B43, 'SEANCE 1'!$C:$C, AY$2, 'SEANCE 1'!$F:$F, AY$5))</f>
        <v/>
      </c>
      <c r="AZ43" s="32">
        <f t="shared" ca="1" si="0"/>
        <v>0</v>
      </c>
    </row>
    <row r="44" spans="1:52">
      <c r="A44" s="44" t="str">
        <f>IF('SEANCE 1'!$B40&lt;&gt;"",'SEANCE 1'!$A40,"")</f>
        <v/>
      </c>
      <c r="B44" s="44" t="str">
        <f t="array" aca="1" ref="B44" ca="1">IF(ISNA(INDEX(ListeB,MATCH(0,COUNTIF($B$5:B43,ListeB),0))),"",INDEX(ListeB,MATCH(0,COUNTIF($B$5:B43,ListeB),0)))</f>
        <v/>
      </c>
      <c r="C44" s="64" t="str">
        <f ca="1">IF(COUNTIFS('SEANCE 1'!$B:$B, $B44, 'SEANCE 1'!$C:$C, C$2, 'SEANCE 1'!$F:$F, C$5)=0, "", COUNTIFS('SEANCE 1'!$B:$B, $B44, 'SEANCE 1'!$C:$C, C$2, 'SEANCE 1'!$F:$F, C$5))</f>
        <v/>
      </c>
      <c r="D44" s="64" t="str">
        <f ca="1">IF(COUNTIFS('SEANCE 1'!$B:$B, $B44, 'SEANCE 1'!$C:$C, D$2, 'SEANCE 1'!$F:$F, D$5)=0, "", COUNTIFS('SEANCE 1'!$B:$B, $B44, 'SEANCE 1'!$C:$C, D$2, 'SEANCE 1'!$F:$F, D$5))</f>
        <v/>
      </c>
      <c r="E44" s="64" t="str">
        <f ca="1">IF(COUNTIFS('SEANCE 1'!$B:$B, $B44, 'SEANCE 1'!$C:$C, E$2, 'SEANCE 1'!$F:$F, E$5)=0, "", COUNTIFS('SEANCE 1'!$B:$B, $B44, 'SEANCE 1'!$C:$C, E$2, 'SEANCE 1'!$F:$F, E$5))</f>
        <v/>
      </c>
      <c r="F44" s="64" t="str">
        <f ca="1">IF(COUNTIFS('SEANCE 1'!$B:$B, $B44, 'SEANCE 1'!$C:$C, F$2, 'SEANCE 1'!$F:$F, F$5)=0, "", COUNTIFS('SEANCE 1'!$B:$B, $B44, 'SEANCE 1'!$C:$C, F$2, 'SEANCE 1'!$F:$F, F$5))</f>
        <v/>
      </c>
      <c r="G44" s="64" t="str">
        <f ca="1">IF(COUNTIFS('SEANCE 1'!$B:$B, $B44, 'SEANCE 1'!$C:$C, G$2, 'SEANCE 1'!$F:$F, G$5)=0, "", COUNTIFS('SEANCE 1'!$B:$B, $B44, 'SEANCE 1'!$C:$C, G$2, 'SEANCE 1'!$F:$F, G$5))</f>
        <v/>
      </c>
      <c r="H44" s="64" t="str">
        <f ca="1">IF(COUNTIFS('SEANCE 1'!$B:$B, $B44, 'SEANCE 1'!$C:$C, H$2, 'SEANCE 1'!$F:$F, H$5)=0, "", COUNTIFS('SEANCE 1'!$B:$B, $B44, 'SEANCE 1'!$C:$C, H$2, 'SEANCE 1'!$F:$F, H$5))</f>
        <v/>
      </c>
      <c r="I44" s="64" t="str">
        <f ca="1">IF(COUNTIFS('SEANCE 1'!$B:$B, $B44, 'SEANCE 1'!$C:$C, I$2, 'SEANCE 1'!$F:$F, I$5)=0, "", COUNTIFS('SEANCE 1'!$B:$B, $B44, 'SEANCE 1'!$C:$C, I$2, 'SEANCE 1'!$F:$F, I$5))</f>
        <v/>
      </c>
      <c r="J44" s="64" t="str">
        <f ca="1">IF(COUNTIFS('SEANCE 1'!$B:$B, $B44, 'SEANCE 1'!$C:$C, J$2, 'SEANCE 1'!$F:$F, J$5)=0, "", COUNTIFS('SEANCE 1'!$B:$B, $B44, 'SEANCE 1'!$C:$C, J$2, 'SEANCE 1'!$F:$F, J$5))</f>
        <v/>
      </c>
      <c r="K44" s="64" t="str">
        <f ca="1">IF(COUNTIFS('SEANCE 1'!$B:$B, $B44, 'SEANCE 1'!$C:$C, K$2, 'SEANCE 1'!$F:$F, K$5)=0, "", COUNTIFS('SEANCE 1'!$B:$B, $B44, 'SEANCE 1'!$C:$C, K$2, 'SEANCE 1'!$F:$F, K$5))</f>
        <v/>
      </c>
      <c r="L44" s="64" t="str">
        <f ca="1">IF(COUNTIFS('SEANCE 1'!$B:$B, $B44, 'SEANCE 1'!$C:$C, L$2, 'SEANCE 1'!$F:$F, L$5)=0, "", COUNTIFS('SEANCE 1'!$B:$B, $B44, 'SEANCE 1'!$C:$C, L$2, 'SEANCE 1'!$F:$F, L$5))</f>
        <v/>
      </c>
      <c r="M44" s="64" t="str">
        <f ca="1">IF(COUNTIFS('SEANCE 1'!$B:$B, $B44, 'SEANCE 1'!$C:$C, M$2, 'SEANCE 1'!$F:$F, M$5)=0, "", COUNTIFS('SEANCE 1'!$B:$B, $B44, 'SEANCE 1'!$C:$C, M$2, 'SEANCE 1'!$F:$F, M$5))</f>
        <v/>
      </c>
      <c r="N44" s="64" t="str">
        <f ca="1">IF(COUNTIFS('SEANCE 1'!$B:$B, $B44, 'SEANCE 1'!$C:$C, N$2, 'SEANCE 1'!$F:$F, N$5)=0, "", COUNTIFS('SEANCE 1'!$B:$B, $B44, 'SEANCE 1'!$C:$C, N$2, 'SEANCE 1'!$F:$F, N$5))</f>
        <v/>
      </c>
      <c r="O44" s="64" t="str">
        <f ca="1">IF(COUNTIFS('SEANCE 1'!$B:$B, $B44, 'SEANCE 1'!$C:$C, O$2, 'SEANCE 1'!$F:$F, O$5)=0, "", COUNTIFS('SEANCE 1'!$B:$B, $B44, 'SEANCE 1'!$C:$C, O$2, 'SEANCE 1'!$F:$F, O$5))</f>
        <v/>
      </c>
      <c r="P44" s="64" t="str">
        <f ca="1">IF(COUNTIFS('SEANCE 1'!$B:$B, $B44, 'SEANCE 1'!$C:$C, P$2, 'SEANCE 1'!$F:$F, P$5)=0, "", COUNTIFS('SEANCE 1'!$B:$B, $B44, 'SEANCE 1'!$C:$C, P$2, 'SEANCE 1'!$F:$F, P$5))</f>
        <v/>
      </c>
      <c r="Q44" s="64" t="str">
        <f ca="1">IF(COUNTIFS('SEANCE 1'!$B:$B, $B44, 'SEANCE 1'!$C:$C, Q$2, 'SEANCE 1'!$F:$F, Q$5)=0, "", COUNTIFS('SEANCE 1'!$B:$B, $B44, 'SEANCE 1'!$C:$C, Q$2, 'SEANCE 1'!$F:$F, Q$5))</f>
        <v/>
      </c>
      <c r="R44" s="64" t="str">
        <f ca="1">IF(COUNTIFS('SEANCE 1'!$B:$B, $B44, 'SEANCE 1'!$C:$C, R$2, 'SEANCE 1'!$F:$F, R$5)=0, "", COUNTIFS('SEANCE 1'!$B:$B, $B44, 'SEANCE 1'!$C:$C, R$2, 'SEANCE 1'!$F:$F, R$5))</f>
        <v/>
      </c>
      <c r="S44" s="64" t="str">
        <f ca="1">IF(COUNTIFS('SEANCE 1'!$B:$B, $B44, 'SEANCE 1'!$C:$C, S$2, 'SEANCE 1'!$F:$F, S$5)=0, "", COUNTIFS('SEANCE 1'!$B:$B, $B44, 'SEANCE 1'!$C:$C, S$2, 'SEANCE 1'!$F:$F, S$5))</f>
        <v/>
      </c>
      <c r="T44" s="64" t="str">
        <f ca="1">IF(COUNTIFS('SEANCE 1'!$B:$B, $B44, 'SEANCE 1'!$C:$C, T$2, 'SEANCE 1'!$F:$F, T$5)=0, "", COUNTIFS('SEANCE 1'!$B:$B, $B44, 'SEANCE 1'!$C:$C, T$2, 'SEANCE 1'!$F:$F, T$5))</f>
        <v/>
      </c>
      <c r="U44" s="64" t="str">
        <f ca="1">IF(COUNTIFS('SEANCE 1'!$B:$B, $B44, 'SEANCE 1'!$C:$C, U$2, 'SEANCE 1'!$F:$F, U$5)=0, "", COUNTIFS('SEANCE 1'!$B:$B, $B44, 'SEANCE 1'!$C:$C, U$2, 'SEANCE 1'!$F:$F, U$5))</f>
        <v/>
      </c>
      <c r="V44" s="64" t="str">
        <f ca="1">IF(COUNTIFS('SEANCE 1'!$B:$B, $B44, 'SEANCE 1'!$C:$C, V$2, 'SEANCE 1'!$F:$F, V$5)=0, "", COUNTIFS('SEANCE 1'!$B:$B, $B44, 'SEANCE 1'!$C:$C, V$2, 'SEANCE 1'!$F:$F, V$5))</f>
        <v/>
      </c>
      <c r="W44" s="64" t="str">
        <f ca="1">IF(COUNTIFS('SEANCE 1'!$B:$B, $B44, 'SEANCE 1'!$C:$C, W$2, 'SEANCE 1'!$F:$F, W$5)=0, "", COUNTIFS('SEANCE 1'!$B:$B, $B44, 'SEANCE 1'!$C:$C, W$2, 'SEANCE 1'!$F:$F, W$5))</f>
        <v/>
      </c>
      <c r="X44" s="64" t="str">
        <f ca="1">IF(COUNTIFS('SEANCE 1'!$B:$B, $B44, 'SEANCE 1'!$C:$C, X$2, 'SEANCE 1'!$F:$F, X$5)=0, "", COUNTIFS('SEANCE 1'!$B:$B, $B44, 'SEANCE 1'!$C:$C, X$2, 'SEANCE 1'!$F:$F, X$5))</f>
        <v/>
      </c>
      <c r="Y44" s="64" t="str">
        <f ca="1">IF(COUNTIFS('SEANCE 1'!$B:$B, $B44, 'SEANCE 1'!$C:$C, Y$2, 'SEANCE 1'!$F:$F, Y$5)=0, "", COUNTIFS('SEANCE 1'!$B:$B, $B44, 'SEANCE 1'!$C:$C, Y$2, 'SEANCE 1'!$F:$F, Y$5))</f>
        <v/>
      </c>
      <c r="Z44" s="64" t="str">
        <f ca="1">IF(COUNTIFS('SEANCE 1'!$B:$B, $B44, 'SEANCE 1'!$C:$C, Z$2, 'SEANCE 1'!$F:$F, Z$5)=0, "", COUNTIFS('SEANCE 1'!$B:$B, $B44, 'SEANCE 1'!$C:$C, Z$2, 'SEANCE 1'!$F:$F, Z$5))</f>
        <v/>
      </c>
      <c r="AA44" s="64" t="str">
        <f ca="1">IF(COUNTIFS('SEANCE 1'!$B:$B, $B44, 'SEANCE 1'!$C:$C, AA$2, 'SEANCE 1'!$F:$F, AA$5)=0, "", COUNTIFS('SEANCE 1'!$B:$B, $B44, 'SEANCE 1'!$C:$C, AA$2, 'SEANCE 1'!$F:$F, AA$5))</f>
        <v/>
      </c>
      <c r="AB44" s="64" t="str">
        <f ca="1">IF(COUNTIFS('SEANCE 1'!$B:$B, $B44, 'SEANCE 1'!$C:$C, AB$2, 'SEANCE 1'!$F:$F, AB$5)=0, "", COUNTIFS('SEANCE 1'!$B:$B, $B44, 'SEANCE 1'!$C:$C, AB$2, 'SEANCE 1'!$F:$F, AB$5))</f>
        <v/>
      </c>
      <c r="AC44" s="64" t="str">
        <f ca="1">IF(COUNTIFS('SEANCE 1'!$B:$B, $B44, 'SEANCE 1'!$C:$C, AC$2, 'SEANCE 1'!$F:$F, AC$5)=0, "", COUNTIFS('SEANCE 1'!$B:$B, $B44, 'SEANCE 1'!$C:$C, AC$2, 'SEANCE 1'!$F:$F, AC$5))</f>
        <v/>
      </c>
      <c r="AD44" s="64" t="str">
        <f ca="1">IF(COUNTIFS('SEANCE 1'!$B:$B, $B44, 'SEANCE 1'!$C:$C, AD$2, 'SEANCE 1'!$F:$F, AD$5)=0, "", COUNTIFS('SEANCE 1'!$B:$B, $B44, 'SEANCE 1'!$C:$C, AD$2, 'SEANCE 1'!$F:$F, AD$5))</f>
        <v/>
      </c>
      <c r="AE44" s="64" t="str">
        <f ca="1">IF(COUNTIFS('SEANCE 1'!$B:$B, $B44, 'SEANCE 1'!$C:$C, AE$2, 'SEANCE 1'!$F:$F, AE$5)=0, "", COUNTIFS('SEANCE 1'!$B:$B, $B44, 'SEANCE 1'!$C:$C, AE$2, 'SEANCE 1'!$F:$F, AE$5))</f>
        <v/>
      </c>
      <c r="AF44" s="64" t="str">
        <f ca="1">IF(COUNTIFS('SEANCE 1'!$B:$B, $B44, 'SEANCE 1'!$C:$C, AF$2, 'SEANCE 1'!$F:$F, AF$5)=0, "", COUNTIFS('SEANCE 1'!$B:$B, $B44, 'SEANCE 1'!$C:$C, AF$2, 'SEANCE 1'!$F:$F, AF$5))</f>
        <v/>
      </c>
      <c r="AG44" s="64" t="str">
        <f ca="1">IF(COUNTIFS('SEANCE 1'!$B:$B, $B44, 'SEANCE 1'!$C:$C, AG$2, 'SEANCE 1'!$F:$F, AG$5)=0, "", COUNTIFS('SEANCE 1'!$B:$B, $B44, 'SEANCE 1'!$C:$C, AG$2, 'SEANCE 1'!$F:$F, AG$5))</f>
        <v/>
      </c>
      <c r="AH44" s="64" t="str">
        <f ca="1">IF(COUNTIFS('SEANCE 1'!$B:$B, $B44, 'SEANCE 1'!$C:$C, AH$2, 'SEANCE 1'!$F:$F, AH$5)=0, "", COUNTIFS('SEANCE 1'!$B:$B, $B44, 'SEANCE 1'!$C:$C, AH$2, 'SEANCE 1'!$F:$F, AH$5))</f>
        <v/>
      </c>
      <c r="AI44" s="64" t="str">
        <f ca="1">IF(COUNTIFS('SEANCE 1'!$B:$B, $B44, 'SEANCE 1'!$C:$C, AI$2, 'SEANCE 1'!$F:$F, AI$5)=0, "", COUNTIFS('SEANCE 1'!$B:$B, $B44, 'SEANCE 1'!$C:$C, AI$2, 'SEANCE 1'!$F:$F, AI$5))</f>
        <v/>
      </c>
      <c r="AJ44" s="64" t="str">
        <f ca="1">IF(COUNTIFS('SEANCE 1'!$B:$B, $B44, 'SEANCE 1'!$C:$C, AJ$2, 'SEANCE 1'!$F:$F, AJ$5)=0, "", COUNTIFS('SEANCE 1'!$B:$B, $B44, 'SEANCE 1'!$C:$C, AJ$2, 'SEANCE 1'!$F:$F, AJ$5))</f>
        <v/>
      </c>
      <c r="AK44" s="64" t="str">
        <f ca="1">IF(COUNTIFS('SEANCE 1'!$B:$B, $B44, 'SEANCE 1'!$C:$C, AK$2, 'SEANCE 1'!$F:$F, AK$5)=0, "", COUNTIFS('SEANCE 1'!$B:$B, $B44, 'SEANCE 1'!$C:$C, AK$2, 'SEANCE 1'!$F:$F, AK$5))</f>
        <v/>
      </c>
      <c r="AL44" s="64" t="str">
        <f ca="1">IF(COUNTIFS('SEANCE 1'!$B:$B, $B44, 'SEANCE 1'!$C:$C, AL$2, 'SEANCE 1'!$F:$F, AL$5)=0, "", COUNTIFS('SEANCE 1'!$B:$B, $B44, 'SEANCE 1'!$C:$C, AL$2, 'SEANCE 1'!$F:$F, AL$5))</f>
        <v/>
      </c>
      <c r="AM44" s="64" t="str">
        <f ca="1">IF(COUNTIFS('SEANCE 1'!$B:$B, $B44, 'SEANCE 1'!$C:$C, AM$2, 'SEANCE 1'!$F:$F, AM$5)=0, "", COUNTIFS('SEANCE 1'!$B:$B, $B44, 'SEANCE 1'!$C:$C, AM$2, 'SEANCE 1'!$F:$F, AM$5))</f>
        <v/>
      </c>
      <c r="AN44" s="64" t="str">
        <f ca="1">IF(COUNTIFS('SEANCE 1'!$B:$B, $B44, 'SEANCE 1'!$C:$C, AN$2, 'SEANCE 1'!$F:$F, AN$5)=0, "", COUNTIFS('SEANCE 1'!$B:$B, $B44, 'SEANCE 1'!$C:$C, AN$2, 'SEANCE 1'!$F:$F, AN$5))</f>
        <v/>
      </c>
      <c r="AO44" s="64" t="str">
        <f ca="1">IF(COUNTIFS('SEANCE 1'!$B:$B, $B44, 'SEANCE 1'!$C:$C, AO$2, 'SEANCE 1'!$F:$F, AO$5)=0, "", COUNTIFS('SEANCE 1'!$B:$B, $B44, 'SEANCE 1'!$C:$C, AO$2, 'SEANCE 1'!$F:$F, AO$5))</f>
        <v/>
      </c>
      <c r="AP44" s="64" t="str">
        <f ca="1">IF(COUNTIFS('SEANCE 1'!$B:$B, $B44, 'SEANCE 1'!$C:$C, AP$2, 'SEANCE 1'!$F:$F, AP$5)=0, "", COUNTIFS('SEANCE 1'!$B:$B, $B44, 'SEANCE 1'!$C:$C, AP$2, 'SEANCE 1'!$F:$F, AP$5))</f>
        <v/>
      </c>
      <c r="AQ44" s="64" t="str">
        <f ca="1">IF(COUNTIFS('SEANCE 1'!$B:$B, $B44, 'SEANCE 1'!$C:$C, AQ$2, 'SEANCE 1'!$F:$F, AQ$5)=0, "", COUNTIFS('SEANCE 1'!$B:$B, $B44, 'SEANCE 1'!$C:$C, AQ$2, 'SEANCE 1'!$F:$F, AQ$5))</f>
        <v/>
      </c>
      <c r="AR44" s="64" t="str">
        <f ca="1">IF(COUNTIFS('SEANCE 1'!$B:$B, $B44, 'SEANCE 1'!$C:$C, AR$2, 'SEANCE 1'!$F:$F, AR$5)=0, "", COUNTIFS('SEANCE 1'!$B:$B, $B44, 'SEANCE 1'!$C:$C, AR$2, 'SEANCE 1'!$F:$F, AR$5))</f>
        <v/>
      </c>
      <c r="AS44" s="64" t="str">
        <f ca="1">IF(COUNTIFS('SEANCE 1'!$B:$B, $B44, 'SEANCE 1'!$C:$C, AS$2, 'SEANCE 1'!$F:$F, AS$5)=0, "", COUNTIFS('SEANCE 1'!$B:$B, $B44, 'SEANCE 1'!$C:$C, AS$2, 'SEANCE 1'!$F:$F, AS$5))</f>
        <v/>
      </c>
      <c r="AT44" s="64" t="str">
        <f ca="1">IF(COUNTIFS('SEANCE 1'!$B:$B, $B44, 'SEANCE 1'!$C:$C, AT$2, 'SEANCE 1'!$F:$F, AT$5)=0, "", COUNTIFS('SEANCE 1'!$B:$B, $B44, 'SEANCE 1'!$C:$C, AT$2, 'SEANCE 1'!$F:$F, AT$5))</f>
        <v/>
      </c>
      <c r="AU44" s="64" t="str">
        <f ca="1">IF(COUNTIFS('SEANCE 1'!$B:$B, $B44, 'SEANCE 1'!$C:$C, AU$2, 'SEANCE 1'!$F:$F, AU$5)=0, "", COUNTIFS('SEANCE 1'!$B:$B, $B44, 'SEANCE 1'!$C:$C, AU$2, 'SEANCE 1'!$F:$F, AU$5))</f>
        <v/>
      </c>
      <c r="AV44" s="64" t="str">
        <f ca="1">IF(COUNTIFS('SEANCE 1'!$B:$B, $B44, 'SEANCE 1'!$C:$C, AV$2, 'SEANCE 1'!$F:$F, AV$5)=0, "", COUNTIFS('SEANCE 1'!$B:$B, $B44, 'SEANCE 1'!$C:$C, AV$2, 'SEANCE 1'!$F:$F, AV$5))</f>
        <v/>
      </c>
      <c r="AW44" s="64" t="str">
        <f ca="1">IF(COUNTIFS('SEANCE 1'!$B:$B, $B44, 'SEANCE 1'!$C:$C, AW$2, 'SEANCE 1'!$F:$F, AW$5)=0, "", COUNTIFS('SEANCE 1'!$B:$B, $B44, 'SEANCE 1'!$C:$C, AW$2, 'SEANCE 1'!$F:$F, AW$5))</f>
        <v/>
      </c>
      <c r="AX44" s="64" t="str">
        <f ca="1">IF(COUNTIFS('SEANCE 1'!$B:$B, $B44, 'SEANCE 1'!$C:$C, AX$2, 'SEANCE 1'!$F:$F, AX$5)=0, "", COUNTIFS('SEANCE 1'!$B:$B, $B44, 'SEANCE 1'!$C:$C, AX$2, 'SEANCE 1'!$F:$F, AX$5))</f>
        <v/>
      </c>
      <c r="AY44" s="64" t="str">
        <f ca="1">IF(COUNTIFS('SEANCE 1'!$B:$B, $B44, 'SEANCE 1'!$C:$C, AY$2, 'SEANCE 1'!$F:$F, AY$5)=0, "", COUNTIFS('SEANCE 1'!$B:$B, $B44, 'SEANCE 1'!$C:$C, AY$2, 'SEANCE 1'!$F:$F, AY$5))</f>
        <v/>
      </c>
      <c r="AZ44" s="32">
        <f t="shared" ca="1" si="0"/>
        <v>0</v>
      </c>
    </row>
    <row r="45" spans="1:52">
      <c r="A45" s="44" t="str">
        <f>IF('SEANCE 1'!$B41&lt;&gt;"",'SEANCE 1'!$A41,"")</f>
        <v/>
      </c>
      <c r="B45" s="44" t="str">
        <f t="array" aca="1" ref="B45" ca="1">IF(ISNA(INDEX(ListeB,MATCH(0,COUNTIF($B$5:B44,ListeB),0))),"",INDEX(ListeB,MATCH(0,COUNTIF($B$5:B44,ListeB),0)))</f>
        <v/>
      </c>
      <c r="C45" s="64" t="str">
        <f ca="1">IF(COUNTIFS('SEANCE 1'!$B:$B, $B45, 'SEANCE 1'!$C:$C, C$2, 'SEANCE 1'!$F:$F, C$5)=0, "", COUNTIFS('SEANCE 1'!$B:$B, $B45, 'SEANCE 1'!$C:$C, C$2, 'SEANCE 1'!$F:$F, C$5))</f>
        <v/>
      </c>
      <c r="D45" s="64" t="str">
        <f ca="1">IF(COUNTIFS('SEANCE 1'!$B:$B, $B45, 'SEANCE 1'!$C:$C, D$2, 'SEANCE 1'!$F:$F, D$5)=0, "", COUNTIFS('SEANCE 1'!$B:$B, $B45, 'SEANCE 1'!$C:$C, D$2, 'SEANCE 1'!$F:$F, D$5))</f>
        <v/>
      </c>
      <c r="E45" s="64" t="str">
        <f ca="1">IF(COUNTIFS('SEANCE 1'!$B:$B, $B45, 'SEANCE 1'!$C:$C, E$2, 'SEANCE 1'!$F:$F, E$5)=0, "", COUNTIFS('SEANCE 1'!$B:$B, $B45, 'SEANCE 1'!$C:$C, E$2, 'SEANCE 1'!$F:$F, E$5))</f>
        <v/>
      </c>
      <c r="F45" s="64" t="str">
        <f ca="1">IF(COUNTIFS('SEANCE 1'!$B:$B, $B45, 'SEANCE 1'!$C:$C, F$2, 'SEANCE 1'!$F:$F, F$5)=0, "", COUNTIFS('SEANCE 1'!$B:$B, $B45, 'SEANCE 1'!$C:$C, F$2, 'SEANCE 1'!$F:$F, F$5))</f>
        <v/>
      </c>
      <c r="G45" s="64" t="str">
        <f ca="1">IF(COUNTIFS('SEANCE 1'!$B:$B, $B45, 'SEANCE 1'!$C:$C, G$2, 'SEANCE 1'!$F:$F, G$5)=0, "", COUNTIFS('SEANCE 1'!$B:$B, $B45, 'SEANCE 1'!$C:$C, G$2, 'SEANCE 1'!$F:$F, G$5))</f>
        <v/>
      </c>
      <c r="H45" s="64" t="str">
        <f ca="1">IF(COUNTIFS('SEANCE 1'!$B:$B, $B45, 'SEANCE 1'!$C:$C, H$2, 'SEANCE 1'!$F:$F, H$5)=0, "", COUNTIFS('SEANCE 1'!$B:$B, $B45, 'SEANCE 1'!$C:$C, H$2, 'SEANCE 1'!$F:$F, H$5))</f>
        <v/>
      </c>
      <c r="I45" s="64" t="str">
        <f ca="1">IF(COUNTIFS('SEANCE 1'!$B:$B, $B45, 'SEANCE 1'!$C:$C, I$2, 'SEANCE 1'!$F:$F, I$5)=0, "", COUNTIFS('SEANCE 1'!$B:$B, $B45, 'SEANCE 1'!$C:$C, I$2, 'SEANCE 1'!$F:$F, I$5))</f>
        <v/>
      </c>
      <c r="J45" s="64" t="str">
        <f ca="1">IF(COUNTIFS('SEANCE 1'!$B:$B, $B45, 'SEANCE 1'!$C:$C, J$2, 'SEANCE 1'!$F:$F, J$5)=0, "", COUNTIFS('SEANCE 1'!$B:$B, $B45, 'SEANCE 1'!$C:$C, J$2, 'SEANCE 1'!$F:$F, J$5))</f>
        <v/>
      </c>
      <c r="K45" s="64" t="str">
        <f ca="1">IF(COUNTIFS('SEANCE 1'!$B:$B, $B45, 'SEANCE 1'!$C:$C, K$2, 'SEANCE 1'!$F:$F, K$5)=0, "", COUNTIFS('SEANCE 1'!$B:$B, $B45, 'SEANCE 1'!$C:$C, K$2, 'SEANCE 1'!$F:$F, K$5))</f>
        <v/>
      </c>
      <c r="L45" s="64" t="str">
        <f ca="1">IF(COUNTIFS('SEANCE 1'!$B:$B, $B45, 'SEANCE 1'!$C:$C, L$2, 'SEANCE 1'!$F:$F, L$5)=0, "", COUNTIFS('SEANCE 1'!$B:$B, $B45, 'SEANCE 1'!$C:$C, L$2, 'SEANCE 1'!$F:$F, L$5))</f>
        <v/>
      </c>
      <c r="M45" s="64" t="str">
        <f ca="1">IF(COUNTIFS('SEANCE 1'!$B:$B, $B45, 'SEANCE 1'!$C:$C, M$2, 'SEANCE 1'!$F:$F, M$5)=0, "", COUNTIFS('SEANCE 1'!$B:$B, $B45, 'SEANCE 1'!$C:$C, M$2, 'SEANCE 1'!$F:$F, M$5))</f>
        <v/>
      </c>
      <c r="N45" s="64" t="str">
        <f ca="1">IF(COUNTIFS('SEANCE 1'!$B:$B, $B45, 'SEANCE 1'!$C:$C, N$2, 'SEANCE 1'!$F:$F, N$5)=0, "", COUNTIFS('SEANCE 1'!$B:$B, $B45, 'SEANCE 1'!$C:$C, N$2, 'SEANCE 1'!$F:$F, N$5))</f>
        <v/>
      </c>
      <c r="O45" s="64" t="str">
        <f ca="1">IF(COUNTIFS('SEANCE 1'!$B:$B, $B45, 'SEANCE 1'!$C:$C, O$2, 'SEANCE 1'!$F:$F, O$5)=0, "", COUNTIFS('SEANCE 1'!$B:$B, $B45, 'SEANCE 1'!$C:$C, O$2, 'SEANCE 1'!$F:$F, O$5))</f>
        <v/>
      </c>
      <c r="P45" s="64" t="str">
        <f ca="1">IF(COUNTIFS('SEANCE 1'!$B:$B, $B45, 'SEANCE 1'!$C:$C, P$2, 'SEANCE 1'!$F:$F, P$5)=0, "", COUNTIFS('SEANCE 1'!$B:$B, $B45, 'SEANCE 1'!$C:$C, P$2, 'SEANCE 1'!$F:$F, P$5))</f>
        <v/>
      </c>
      <c r="Q45" s="64" t="str">
        <f ca="1">IF(COUNTIFS('SEANCE 1'!$B:$B, $B45, 'SEANCE 1'!$C:$C, Q$2, 'SEANCE 1'!$F:$F, Q$5)=0, "", COUNTIFS('SEANCE 1'!$B:$B, $B45, 'SEANCE 1'!$C:$C, Q$2, 'SEANCE 1'!$F:$F, Q$5))</f>
        <v/>
      </c>
      <c r="R45" s="64" t="str">
        <f ca="1">IF(COUNTIFS('SEANCE 1'!$B:$B, $B45, 'SEANCE 1'!$C:$C, R$2, 'SEANCE 1'!$F:$F, R$5)=0, "", COUNTIFS('SEANCE 1'!$B:$B, $B45, 'SEANCE 1'!$C:$C, R$2, 'SEANCE 1'!$F:$F, R$5))</f>
        <v/>
      </c>
      <c r="S45" s="64" t="str">
        <f ca="1">IF(COUNTIFS('SEANCE 1'!$B:$B, $B45, 'SEANCE 1'!$C:$C, S$2, 'SEANCE 1'!$F:$F, S$5)=0, "", COUNTIFS('SEANCE 1'!$B:$B, $B45, 'SEANCE 1'!$C:$C, S$2, 'SEANCE 1'!$F:$F, S$5))</f>
        <v/>
      </c>
      <c r="T45" s="64" t="str">
        <f ca="1">IF(COUNTIFS('SEANCE 1'!$B:$B, $B45, 'SEANCE 1'!$C:$C, T$2, 'SEANCE 1'!$F:$F, T$5)=0, "", COUNTIFS('SEANCE 1'!$B:$B, $B45, 'SEANCE 1'!$C:$C, T$2, 'SEANCE 1'!$F:$F, T$5))</f>
        <v/>
      </c>
      <c r="U45" s="64" t="str">
        <f ca="1">IF(COUNTIFS('SEANCE 1'!$B:$B, $B45, 'SEANCE 1'!$C:$C, U$2, 'SEANCE 1'!$F:$F, U$5)=0, "", COUNTIFS('SEANCE 1'!$B:$B, $B45, 'SEANCE 1'!$C:$C, U$2, 'SEANCE 1'!$F:$F, U$5))</f>
        <v/>
      </c>
      <c r="V45" s="64" t="str">
        <f ca="1">IF(COUNTIFS('SEANCE 1'!$B:$B, $B45, 'SEANCE 1'!$C:$C, V$2, 'SEANCE 1'!$F:$F, V$5)=0, "", COUNTIFS('SEANCE 1'!$B:$B, $B45, 'SEANCE 1'!$C:$C, V$2, 'SEANCE 1'!$F:$F, V$5))</f>
        <v/>
      </c>
      <c r="W45" s="64" t="str">
        <f ca="1">IF(COUNTIFS('SEANCE 1'!$B:$B, $B45, 'SEANCE 1'!$C:$C, W$2, 'SEANCE 1'!$F:$F, W$5)=0, "", COUNTIFS('SEANCE 1'!$B:$B, $B45, 'SEANCE 1'!$C:$C, W$2, 'SEANCE 1'!$F:$F, W$5))</f>
        <v/>
      </c>
      <c r="X45" s="64" t="str">
        <f ca="1">IF(COUNTIFS('SEANCE 1'!$B:$B, $B45, 'SEANCE 1'!$C:$C, X$2, 'SEANCE 1'!$F:$F, X$5)=0, "", COUNTIFS('SEANCE 1'!$B:$B, $B45, 'SEANCE 1'!$C:$C, X$2, 'SEANCE 1'!$F:$F, X$5))</f>
        <v/>
      </c>
      <c r="Y45" s="64" t="str">
        <f ca="1">IF(COUNTIFS('SEANCE 1'!$B:$B, $B45, 'SEANCE 1'!$C:$C, Y$2, 'SEANCE 1'!$F:$F, Y$5)=0, "", COUNTIFS('SEANCE 1'!$B:$B, $B45, 'SEANCE 1'!$C:$C, Y$2, 'SEANCE 1'!$F:$F, Y$5))</f>
        <v/>
      </c>
      <c r="Z45" s="64" t="str">
        <f ca="1">IF(COUNTIFS('SEANCE 1'!$B:$B, $B45, 'SEANCE 1'!$C:$C, Z$2, 'SEANCE 1'!$F:$F, Z$5)=0, "", COUNTIFS('SEANCE 1'!$B:$B, $B45, 'SEANCE 1'!$C:$C, Z$2, 'SEANCE 1'!$F:$F, Z$5))</f>
        <v/>
      </c>
      <c r="AA45" s="64" t="str">
        <f ca="1">IF(COUNTIFS('SEANCE 1'!$B:$B, $B45, 'SEANCE 1'!$C:$C, AA$2, 'SEANCE 1'!$F:$F, AA$5)=0, "", COUNTIFS('SEANCE 1'!$B:$B, $B45, 'SEANCE 1'!$C:$C, AA$2, 'SEANCE 1'!$F:$F, AA$5))</f>
        <v/>
      </c>
      <c r="AB45" s="64" t="str">
        <f ca="1">IF(COUNTIFS('SEANCE 1'!$B:$B, $B45, 'SEANCE 1'!$C:$C, AB$2, 'SEANCE 1'!$F:$F, AB$5)=0, "", COUNTIFS('SEANCE 1'!$B:$B, $B45, 'SEANCE 1'!$C:$C, AB$2, 'SEANCE 1'!$F:$F, AB$5))</f>
        <v/>
      </c>
      <c r="AC45" s="64" t="str">
        <f ca="1">IF(COUNTIFS('SEANCE 1'!$B:$B, $B45, 'SEANCE 1'!$C:$C, AC$2, 'SEANCE 1'!$F:$F, AC$5)=0, "", COUNTIFS('SEANCE 1'!$B:$B, $B45, 'SEANCE 1'!$C:$C, AC$2, 'SEANCE 1'!$F:$F, AC$5))</f>
        <v/>
      </c>
      <c r="AD45" s="64" t="str">
        <f ca="1">IF(COUNTIFS('SEANCE 1'!$B:$B, $B45, 'SEANCE 1'!$C:$C, AD$2, 'SEANCE 1'!$F:$F, AD$5)=0, "", COUNTIFS('SEANCE 1'!$B:$B, $B45, 'SEANCE 1'!$C:$C, AD$2, 'SEANCE 1'!$F:$F, AD$5))</f>
        <v/>
      </c>
      <c r="AE45" s="64" t="str">
        <f ca="1">IF(COUNTIFS('SEANCE 1'!$B:$B, $B45, 'SEANCE 1'!$C:$C, AE$2, 'SEANCE 1'!$F:$F, AE$5)=0, "", COUNTIFS('SEANCE 1'!$B:$B, $B45, 'SEANCE 1'!$C:$C, AE$2, 'SEANCE 1'!$F:$F, AE$5))</f>
        <v/>
      </c>
      <c r="AF45" s="64" t="str">
        <f ca="1">IF(COUNTIFS('SEANCE 1'!$B:$B, $B45, 'SEANCE 1'!$C:$C, AF$2, 'SEANCE 1'!$F:$F, AF$5)=0, "", COUNTIFS('SEANCE 1'!$B:$B, $B45, 'SEANCE 1'!$C:$C, AF$2, 'SEANCE 1'!$F:$F, AF$5))</f>
        <v/>
      </c>
      <c r="AG45" s="64" t="str">
        <f ca="1">IF(COUNTIFS('SEANCE 1'!$B:$B, $B45, 'SEANCE 1'!$C:$C, AG$2, 'SEANCE 1'!$F:$F, AG$5)=0, "", COUNTIFS('SEANCE 1'!$B:$B, $B45, 'SEANCE 1'!$C:$C, AG$2, 'SEANCE 1'!$F:$F, AG$5))</f>
        <v/>
      </c>
      <c r="AH45" s="64" t="str">
        <f ca="1">IF(COUNTIFS('SEANCE 1'!$B:$B, $B45, 'SEANCE 1'!$C:$C, AH$2, 'SEANCE 1'!$F:$F, AH$5)=0, "", COUNTIFS('SEANCE 1'!$B:$B, $B45, 'SEANCE 1'!$C:$C, AH$2, 'SEANCE 1'!$F:$F, AH$5))</f>
        <v/>
      </c>
      <c r="AI45" s="64" t="str">
        <f ca="1">IF(COUNTIFS('SEANCE 1'!$B:$B, $B45, 'SEANCE 1'!$C:$C, AI$2, 'SEANCE 1'!$F:$F, AI$5)=0, "", COUNTIFS('SEANCE 1'!$B:$B, $B45, 'SEANCE 1'!$C:$C, AI$2, 'SEANCE 1'!$F:$F, AI$5))</f>
        <v/>
      </c>
      <c r="AJ45" s="64" t="str">
        <f ca="1">IF(COUNTIFS('SEANCE 1'!$B:$B, $B45, 'SEANCE 1'!$C:$C, AJ$2, 'SEANCE 1'!$F:$F, AJ$5)=0, "", COUNTIFS('SEANCE 1'!$B:$B, $B45, 'SEANCE 1'!$C:$C, AJ$2, 'SEANCE 1'!$F:$F, AJ$5))</f>
        <v/>
      </c>
      <c r="AK45" s="64" t="str">
        <f ca="1">IF(COUNTIFS('SEANCE 1'!$B:$B, $B45, 'SEANCE 1'!$C:$C, AK$2, 'SEANCE 1'!$F:$F, AK$5)=0, "", COUNTIFS('SEANCE 1'!$B:$B, $B45, 'SEANCE 1'!$C:$C, AK$2, 'SEANCE 1'!$F:$F, AK$5))</f>
        <v/>
      </c>
      <c r="AL45" s="64" t="str">
        <f ca="1">IF(COUNTIFS('SEANCE 1'!$B:$B, $B45, 'SEANCE 1'!$C:$C, AL$2, 'SEANCE 1'!$F:$F, AL$5)=0, "", COUNTIFS('SEANCE 1'!$B:$B, $B45, 'SEANCE 1'!$C:$C, AL$2, 'SEANCE 1'!$F:$F, AL$5))</f>
        <v/>
      </c>
      <c r="AM45" s="64" t="str">
        <f ca="1">IF(COUNTIFS('SEANCE 1'!$B:$B, $B45, 'SEANCE 1'!$C:$C, AM$2, 'SEANCE 1'!$F:$F, AM$5)=0, "", COUNTIFS('SEANCE 1'!$B:$B, $B45, 'SEANCE 1'!$C:$C, AM$2, 'SEANCE 1'!$F:$F, AM$5))</f>
        <v/>
      </c>
      <c r="AN45" s="64" t="str">
        <f ca="1">IF(COUNTIFS('SEANCE 1'!$B:$B, $B45, 'SEANCE 1'!$C:$C, AN$2, 'SEANCE 1'!$F:$F, AN$5)=0, "", COUNTIFS('SEANCE 1'!$B:$B, $B45, 'SEANCE 1'!$C:$C, AN$2, 'SEANCE 1'!$F:$F, AN$5))</f>
        <v/>
      </c>
      <c r="AO45" s="64" t="str">
        <f ca="1">IF(COUNTIFS('SEANCE 1'!$B:$B, $B45, 'SEANCE 1'!$C:$C, AO$2, 'SEANCE 1'!$F:$F, AO$5)=0, "", COUNTIFS('SEANCE 1'!$B:$B, $B45, 'SEANCE 1'!$C:$C, AO$2, 'SEANCE 1'!$F:$F, AO$5))</f>
        <v/>
      </c>
      <c r="AP45" s="64" t="str">
        <f ca="1">IF(COUNTIFS('SEANCE 1'!$B:$B, $B45, 'SEANCE 1'!$C:$C, AP$2, 'SEANCE 1'!$F:$F, AP$5)=0, "", COUNTIFS('SEANCE 1'!$B:$B, $B45, 'SEANCE 1'!$C:$C, AP$2, 'SEANCE 1'!$F:$F, AP$5))</f>
        <v/>
      </c>
      <c r="AQ45" s="64" t="str">
        <f ca="1">IF(COUNTIFS('SEANCE 1'!$B:$B, $B45, 'SEANCE 1'!$C:$C, AQ$2, 'SEANCE 1'!$F:$F, AQ$5)=0, "", COUNTIFS('SEANCE 1'!$B:$B, $B45, 'SEANCE 1'!$C:$C, AQ$2, 'SEANCE 1'!$F:$F, AQ$5))</f>
        <v/>
      </c>
      <c r="AR45" s="64" t="str">
        <f ca="1">IF(COUNTIFS('SEANCE 1'!$B:$B, $B45, 'SEANCE 1'!$C:$C, AR$2, 'SEANCE 1'!$F:$F, AR$5)=0, "", COUNTIFS('SEANCE 1'!$B:$B, $B45, 'SEANCE 1'!$C:$C, AR$2, 'SEANCE 1'!$F:$F, AR$5))</f>
        <v/>
      </c>
      <c r="AS45" s="64" t="str">
        <f ca="1">IF(COUNTIFS('SEANCE 1'!$B:$B, $B45, 'SEANCE 1'!$C:$C, AS$2, 'SEANCE 1'!$F:$F, AS$5)=0, "", COUNTIFS('SEANCE 1'!$B:$B, $B45, 'SEANCE 1'!$C:$C, AS$2, 'SEANCE 1'!$F:$F, AS$5))</f>
        <v/>
      </c>
      <c r="AT45" s="64" t="str">
        <f ca="1">IF(COUNTIFS('SEANCE 1'!$B:$B, $B45, 'SEANCE 1'!$C:$C, AT$2, 'SEANCE 1'!$F:$F, AT$5)=0, "", COUNTIFS('SEANCE 1'!$B:$B, $B45, 'SEANCE 1'!$C:$C, AT$2, 'SEANCE 1'!$F:$F, AT$5))</f>
        <v/>
      </c>
      <c r="AU45" s="64" t="str">
        <f ca="1">IF(COUNTIFS('SEANCE 1'!$B:$B, $B45, 'SEANCE 1'!$C:$C, AU$2, 'SEANCE 1'!$F:$F, AU$5)=0, "", COUNTIFS('SEANCE 1'!$B:$B, $B45, 'SEANCE 1'!$C:$C, AU$2, 'SEANCE 1'!$F:$F, AU$5))</f>
        <v/>
      </c>
      <c r="AV45" s="64" t="str">
        <f ca="1">IF(COUNTIFS('SEANCE 1'!$B:$B, $B45, 'SEANCE 1'!$C:$C, AV$2, 'SEANCE 1'!$F:$F, AV$5)=0, "", COUNTIFS('SEANCE 1'!$B:$B, $B45, 'SEANCE 1'!$C:$C, AV$2, 'SEANCE 1'!$F:$F, AV$5))</f>
        <v/>
      </c>
      <c r="AW45" s="64" t="str">
        <f ca="1">IF(COUNTIFS('SEANCE 1'!$B:$B, $B45, 'SEANCE 1'!$C:$C, AW$2, 'SEANCE 1'!$F:$F, AW$5)=0, "", COUNTIFS('SEANCE 1'!$B:$B, $B45, 'SEANCE 1'!$C:$C, AW$2, 'SEANCE 1'!$F:$F, AW$5))</f>
        <v/>
      </c>
      <c r="AX45" s="64" t="str">
        <f ca="1">IF(COUNTIFS('SEANCE 1'!$B:$B, $B45, 'SEANCE 1'!$C:$C, AX$2, 'SEANCE 1'!$F:$F, AX$5)=0, "", COUNTIFS('SEANCE 1'!$B:$B, $B45, 'SEANCE 1'!$C:$C, AX$2, 'SEANCE 1'!$F:$F, AX$5))</f>
        <v/>
      </c>
      <c r="AY45" s="64" t="str">
        <f ca="1">IF(COUNTIFS('SEANCE 1'!$B:$B, $B45, 'SEANCE 1'!$C:$C, AY$2, 'SEANCE 1'!$F:$F, AY$5)=0, "", COUNTIFS('SEANCE 1'!$B:$B, $B45, 'SEANCE 1'!$C:$C, AY$2, 'SEANCE 1'!$F:$F, AY$5))</f>
        <v/>
      </c>
      <c r="AZ45" s="32">
        <f t="shared" ca="1" si="0"/>
        <v>0</v>
      </c>
    </row>
    <row r="46" spans="1:52">
      <c r="A46" s="44" t="str">
        <f>IF('SEANCE 1'!$B42&lt;&gt;"",'SEANCE 1'!$A42,"")</f>
        <v/>
      </c>
      <c r="B46" s="44" t="str">
        <f t="array" aca="1" ref="B46" ca="1">IF(ISNA(INDEX(ListeB,MATCH(0,COUNTIF($B$5:B45,ListeB),0))),"",INDEX(ListeB,MATCH(0,COUNTIF($B$5:B45,ListeB),0)))</f>
        <v/>
      </c>
      <c r="C46" s="64" t="str">
        <f ca="1">IF(COUNTIFS('SEANCE 1'!$B:$B, $B46, 'SEANCE 1'!$C:$C, C$2, 'SEANCE 1'!$F:$F, C$5)=0, "", COUNTIFS('SEANCE 1'!$B:$B, $B46, 'SEANCE 1'!$C:$C, C$2, 'SEANCE 1'!$F:$F, C$5))</f>
        <v/>
      </c>
      <c r="D46" s="64" t="str">
        <f ca="1">IF(COUNTIFS('SEANCE 1'!$B:$B, $B46, 'SEANCE 1'!$C:$C, D$2, 'SEANCE 1'!$F:$F, D$5)=0, "", COUNTIFS('SEANCE 1'!$B:$B, $B46, 'SEANCE 1'!$C:$C, D$2, 'SEANCE 1'!$F:$F, D$5))</f>
        <v/>
      </c>
      <c r="E46" s="64" t="str">
        <f ca="1">IF(COUNTIFS('SEANCE 1'!$B:$B, $B46, 'SEANCE 1'!$C:$C, E$2, 'SEANCE 1'!$F:$F, E$5)=0, "", COUNTIFS('SEANCE 1'!$B:$B, $B46, 'SEANCE 1'!$C:$C, E$2, 'SEANCE 1'!$F:$F, E$5))</f>
        <v/>
      </c>
      <c r="F46" s="64" t="str">
        <f ca="1">IF(COUNTIFS('SEANCE 1'!$B:$B, $B46, 'SEANCE 1'!$C:$C, F$2, 'SEANCE 1'!$F:$F, F$5)=0, "", COUNTIFS('SEANCE 1'!$B:$B, $B46, 'SEANCE 1'!$C:$C, F$2, 'SEANCE 1'!$F:$F, F$5))</f>
        <v/>
      </c>
      <c r="G46" s="64" t="str">
        <f ca="1">IF(COUNTIFS('SEANCE 1'!$B:$B, $B46, 'SEANCE 1'!$C:$C, G$2, 'SEANCE 1'!$F:$F, G$5)=0, "", COUNTIFS('SEANCE 1'!$B:$B, $B46, 'SEANCE 1'!$C:$C, G$2, 'SEANCE 1'!$F:$F, G$5))</f>
        <v/>
      </c>
      <c r="H46" s="64" t="str">
        <f ca="1">IF(COUNTIFS('SEANCE 1'!$B:$B, $B46, 'SEANCE 1'!$C:$C, H$2, 'SEANCE 1'!$F:$F, H$5)=0, "", COUNTIFS('SEANCE 1'!$B:$B, $B46, 'SEANCE 1'!$C:$C, H$2, 'SEANCE 1'!$F:$F, H$5))</f>
        <v/>
      </c>
      <c r="I46" s="64" t="str">
        <f ca="1">IF(COUNTIFS('SEANCE 1'!$B:$B, $B46, 'SEANCE 1'!$C:$C, I$2, 'SEANCE 1'!$F:$F, I$5)=0, "", COUNTIFS('SEANCE 1'!$B:$B, $B46, 'SEANCE 1'!$C:$C, I$2, 'SEANCE 1'!$F:$F, I$5))</f>
        <v/>
      </c>
      <c r="J46" s="64" t="str">
        <f ca="1">IF(COUNTIFS('SEANCE 1'!$B:$B, $B46, 'SEANCE 1'!$C:$C, J$2, 'SEANCE 1'!$F:$F, J$5)=0, "", COUNTIFS('SEANCE 1'!$B:$B, $B46, 'SEANCE 1'!$C:$C, J$2, 'SEANCE 1'!$F:$F, J$5))</f>
        <v/>
      </c>
      <c r="K46" s="64" t="str">
        <f ca="1">IF(COUNTIFS('SEANCE 1'!$B:$B, $B46, 'SEANCE 1'!$C:$C, K$2, 'SEANCE 1'!$F:$F, K$5)=0, "", COUNTIFS('SEANCE 1'!$B:$B, $B46, 'SEANCE 1'!$C:$C, K$2, 'SEANCE 1'!$F:$F, K$5))</f>
        <v/>
      </c>
      <c r="L46" s="64" t="str">
        <f ca="1">IF(COUNTIFS('SEANCE 1'!$B:$B, $B46, 'SEANCE 1'!$C:$C, L$2, 'SEANCE 1'!$F:$F, L$5)=0, "", COUNTIFS('SEANCE 1'!$B:$B, $B46, 'SEANCE 1'!$C:$C, L$2, 'SEANCE 1'!$F:$F, L$5))</f>
        <v/>
      </c>
      <c r="M46" s="64" t="str">
        <f ca="1">IF(COUNTIFS('SEANCE 1'!$B:$B, $B46, 'SEANCE 1'!$C:$C, M$2, 'SEANCE 1'!$F:$F, M$5)=0, "", COUNTIFS('SEANCE 1'!$B:$B, $B46, 'SEANCE 1'!$C:$C, M$2, 'SEANCE 1'!$F:$F, M$5))</f>
        <v/>
      </c>
      <c r="N46" s="64" t="str">
        <f ca="1">IF(COUNTIFS('SEANCE 1'!$B:$B, $B46, 'SEANCE 1'!$C:$C, N$2, 'SEANCE 1'!$F:$F, N$5)=0, "", COUNTIFS('SEANCE 1'!$B:$B, $B46, 'SEANCE 1'!$C:$C, N$2, 'SEANCE 1'!$F:$F, N$5))</f>
        <v/>
      </c>
      <c r="O46" s="64" t="str">
        <f ca="1">IF(COUNTIFS('SEANCE 1'!$B:$B, $B46, 'SEANCE 1'!$C:$C, O$2, 'SEANCE 1'!$F:$F, O$5)=0, "", COUNTIFS('SEANCE 1'!$B:$B, $B46, 'SEANCE 1'!$C:$C, O$2, 'SEANCE 1'!$F:$F, O$5))</f>
        <v/>
      </c>
      <c r="P46" s="64" t="str">
        <f ca="1">IF(COUNTIFS('SEANCE 1'!$B:$B, $B46, 'SEANCE 1'!$C:$C, P$2, 'SEANCE 1'!$F:$F, P$5)=0, "", COUNTIFS('SEANCE 1'!$B:$B, $B46, 'SEANCE 1'!$C:$C, P$2, 'SEANCE 1'!$F:$F, P$5))</f>
        <v/>
      </c>
      <c r="Q46" s="64" t="str">
        <f ca="1">IF(COUNTIFS('SEANCE 1'!$B:$B, $B46, 'SEANCE 1'!$C:$C, Q$2, 'SEANCE 1'!$F:$F, Q$5)=0, "", COUNTIFS('SEANCE 1'!$B:$B, $B46, 'SEANCE 1'!$C:$C, Q$2, 'SEANCE 1'!$F:$F, Q$5))</f>
        <v/>
      </c>
      <c r="R46" s="64" t="str">
        <f ca="1">IF(COUNTIFS('SEANCE 1'!$B:$B, $B46, 'SEANCE 1'!$C:$C, R$2, 'SEANCE 1'!$F:$F, R$5)=0, "", COUNTIFS('SEANCE 1'!$B:$B, $B46, 'SEANCE 1'!$C:$C, R$2, 'SEANCE 1'!$F:$F, R$5))</f>
        <v/>
      </c>
      <c r="S46" s="64" t="str">
        <f ca="1">IF(COUNTIFS('SEANCE 1'!$B:$B, $B46, 'SEANCE 1'!$C:$C, S$2, 'SEANCE 1'!$F:$F, S$5)=0, "", COUNTIFS('SEANCE 1'!$B:$B, $B46, 'SEANCE 1'!$C:$C, S$2, 'SEANCE 1'!$F:$F, S$5))</f>
        <v/>
      </c>
      <c r="T46" s="64" t="str">
        <f ca="1">IF(COUNTIFS('SEANCE 1'!$B:$B, $B46, 'SEANCE 1'!$C:$C, T$2, 'SEANCE 1'!$F:$F, T$5)=0, "", COUNTIFS('SEANCE 1'!$B:$B, $B46, 'SEANCE 1'!$C:$C, T$2, 'SEANCE 1'!$F:$F, T$5))</f>
        <v/>
      </c>
      <c r="U46" s="64" t="str">
        <f ca="1">IF(COUNTIFS('SEANCE 1'!$B:$B, $B46, 'SEANCE 1'!$C:$C, U$2, 'SEANCE 1'!$F:$F, U$5)=0, "", COUNTIFS('SEANCE 1'!$B:$B, $B46, 'SEANCE 1'!$C:$C, U$2, 'SEANCE 1'!$F:$F, U$5))</f>
        <v/>
      </c>
      <c r="V46" s="64" t="str">
        <f ca="1">IF(COUNTIFS('SEANCE 1'!$B:$B, $B46, 'SEANCE 1'!$C:$C, V$2, 'SEANCE 1'!$F:$F, V$5)=0, "", COUNTIFS('SEANCE 1'!$B:$B, $B46, 'SEANCE 1'!$C:$C, V$2, 'SEANCE 1'!$F:$F, V$5))</f>
        <v/>
      </c>
      <c r="W46" s="64" t="str">
        <f ca="1">IF(COUNTIFS('SEANCE 1'!$B:$B, $B46, 'SEANCE 1'!$C:$C, W$2, 'SEANCE 1'!$F:$F, W$5)=0, "", COUNTIFS('SEANCE 1'!$B:$B, $B46, 'SEANCE 1'!$C:$C, W$2, 'SEANCE 1'!$F:$F, W$5))</f>
        <v/>
      </c>
      <c r="X46" s="64" t="str">
        <f ca="1">IF(COUNTIFS('SEANCE 1'!$B:$B, $B46, 'SEANCE 1'!$C:$C, X$2, 'SEANCE 1'!$F:$F, X$5)=0, "", COUNTIFS('SEANCE 1'!$B:$B, $B46, 'SEANCE 1'!$C:$C, X$2, 'SEANCE 1'!$F:$F, X$5))</f>
        <v/>
      </c>
      <c r="Y46" s="64" t="str">
        <f ca="1">IF(COUNTIFS('SEANCE 1'!$B:$B, $B46, 'SEANCE 1'!$C:$C, Y$2, 'SEANCE 1'!$F:$F, Y$5)=0, "", COUNTIFS('SEANCE 1'!$B:$B, $B46, 'SEANCE 1'!$C:$C, Y$2, 'SEANCE 1'!$F:$F, Y$5))</f>
        <v/>
      </c>
      <c r="Z46" s="64" t="str">
        <f ca="1">IF(COUNTIFS('SEANCE 1'!$B:$B, $B46, 'SEANCE 1'!$C:$C, Z$2, 'SEANCE 1'!$F:$F, Z$5)=0, "", COUNTIFS('SEANCE 1'!$B:$B, $B46, 'SEANCE 1'!$C:$C, Z$2, 'SEANCE 1'!$F:$F, Z$5))</f>
        <v/>
      </c>
      <c r="AA46" s="64" t="str">
        <f ca="1">IF(COUNTIFS('SEANCE 1'!$B:$B, $B46, 'SEANCE 1'!$C:$C, AA$2, 'SEANCE 1'!$F:$F, AA$5)=0, "", COUNTIFS('SEANCE 1'!$B:$B, $B46, 'SEANCE 1'!$C:$C, AA$2, 'SEANCE 1'!$F:$F, AA$5))</f>
        <v/>
      </c>
      <c r="AB46" s="64" t="str">
        <f ca="1">IF(COUNTIFS('SEANCE 1'!$B:$B, $B46, 'SEANCE 1'!$C:$C, AB$2, 'SEANCE 1'!$F:$F, AB$5)=0, "", COUNTIFS('SEANCE 1'!$B:$B, $B46, 'SEANCE 1'!$C:$C, AB$2, 'SEANCE 1'!$F:$F, AB$5))</f>
        <v/>
      </c>
      <c r="AC46" s="64" t="str">
        <f ca="1">IF(COUNTIFS('SEANCE 1'!$B:$B, $B46, 'SEANCE 1'!$C:$C, AC$2, 'SEANCE 1'!$F:$F, AC$5)=0, "", COUNTIFS('SEANCE 1'!$B:$B, $B46, 'SEANCE 1'!$C:$C, AC$2, 'SEANCE 1'!$F:$F, AC$5))</f>
        <v/>
      </c>
      <c r="AD46" s="64" t="str">
        <f ca="1">IF(COUNTIFS('SEANCE 1'!$B:$B, $B46, 'SEANCE 1'!$C:$C, AD$2, 'SEANCE 1'!$F:$F, AD$5)=0, "", COUNTIFS('SEANCE 1'!$B:$B, $B46, 'SEANCE 1'!$C:$C, AD$2, 'SEANCE 1'!$F:$F, AD$5))</f>
        <v/>
      </c>
      <c r="AE46" s="64" t="str">
        <f ca="1">IF(COUNTIFS('SEANCE 1'!$B:$B, $B46, 'SEANCE 1'!$C:$C, AE$2, 'SEANCE 1'!$F:$F, AE$5)=0, "", COUNTIFS('SEANCE 1'!$B:$B, $B46, 'SEANCE 1'!$C:$C, AE$2, 'SEANCE 1'!$F:$F, AE$5))</f>
        <v/>
      </c>
      <c r="AF46" s="64" t="str">
        <f ca="1">IF(COUNTIFS('SEANCE 1'!$B:$B, $B46, 'SEANCE 1'!$C:$C, AF$2, 'SEANCE 1'!$F:$F, AF$5)=0, "", COUNTIFS('SEANCE 1'!$B:$B, $B46, 'SEANCE 1'!$C:$C, AF$2, 'SEANCE 1'!$F:$F, AF$5))</f>
        <v/>
      </c>
      <c r="AG46" s="64" t="str">
        <f ca="1">IF(COUNTIFS('SEANCE 1'!$B:$B, $B46, 'SEANCE 1'!$C:$C, AG$2, 'SEANCE 1'!$F:$F, AG$5)=0, "", COUNTIFS('SEANCE 1'!$B:$B, $B46, 'SEANCE 1'!$C:$C, AG$2, 'SEANCE 1'!$F:$F, AG$5))</f>
        <v/>
      </c>
      <c r="AH46" s="64" t="str">
        <f ca="1">IF(COUNTIFS('SEANCE 1'!$B:$B, $B46, 'SEANCE 1'!$C:$C, AH$2, 'SEANCE 1'!$F:$F, AH$5)=0, "", COUNTIFS('SEANCE 1'!$B:$B, $B46, 'SEANCE 1'!$C:$C, AH$2, 'SEANCE 1'!$F:$F, AH$5))</f>
        <v/>
      </c>
      <c r="AI46" s="64" t="str">
        <f ca="1">IF(COUNTIFS('SEANCE 1'!$B:$B, $B46, 'SEANCE 1'!$C:$C, AI$2, 'SEANCE 1'!$F:$F, AI$5)=0, "", COUNTIFS('SEANCE 1'!$B:$B, $B46, 'SEANCE 1'!$C:$C, AI$2, 'SEANCE 1'!$F:$F, AI$5))</f>
        <v/>
      </c>
      <c r="AJ46" s="64" t="str">
        <f ca="1">IF(COUNTIFS('SEANCE 1'!$B:$B, $B46, 'SEANCE 1'!$C:$C, AJ$2, 'SEANCE 1'!$F:$F, AJ$5)=0, "", COUNTIFS('SEANCE 1'!$B:$B, $B46, 'SEANCE 1'!$C:$C, AJ$2, 'SEANCE 1'!$F:$F, AJ$5))</f>
        <v/>
      </c>
      <c r="AK46" s="64" t="str">
        <f ca="1">IF(COUNTIFS('SEANCE 1'!$B:$B, $B46, 'SEANCE 1'!$C:$C, AK$2, 'SEANCE 1'!$F:$F, AK$5)=0, "", COUNTIFS('SEANCE 1'!$B:$B, $B46, 'SEANCE 1'!$C:$C, AK$2, 'SEANCE 1'!$F:$F, AK$5))</f>
        <v/>
      </c>
      <c r="AL46" s="64" t="str">
        <f ca="1">IF(COUNTIFS('SEANCE 1'!$B:$B, $B46, 'SEANCE 1'!$C:$C, AL$2, 'SEANCE 1'!$F:$F, AL$5)=0, "", COUNTIFS('SEANCE 1'!$B:$B, $B46, 'SEANCE 1'!$C:$C, AL$2, 'SEANCE 1'!$F:$F, AL$5))</f>
        <v/>
      </c>
      <c r="AM46" s="64" t="str">
        <f ca="1">IF(COUNTIFS('SEANCE 1'!$B:$B, $B46, 'SEANCE 1'!$C:$C, AM$2, 'SEANCE 1'!$F:$F, AM$5)=0, "", COUNTIFS('SEANCE 1'!$B:$B, $B46, 'SEANCE 1'!$C:$C, AM$2, 'SEANCE 1'!$F:$F, AM$5))</f>
        <v/>
      </c>
      <c r="AN46" s="64" t="str">
        <f ca="1">IF(COUNTIFS('SEANCE 1'!$B:$B, $B46, 'SEANCE 1'!$C:$C, AN$2, 'SEANCE 1'!$F:$F, AN$5)=0, "", COUNTIFS('SEANCE 1'!$B:$B, $B46, 'SEANCE 1'!$C:$C, AN$2, 'SEANCE 1'!$F:$F, AN$5))</f>
        <v/>
      </c>
      <c r="AO46" s="64" t="str">
        <f ca="1">IF(COUNTIFS('SEANCE 1'!$B:$B, $B46, 'SEANCE 1'!$C:$C, AO$2, 'SEANCE 1'!$F:$F, AO$5)=0, "", COUNTIFS('SEANCE 1'!$B:$B, $B46, 'SEANCE 1'!$C:$C, AO$2, 'SEANCE 1'!$F:$F, AO$5))</f>
        <v/>
      </c>
      <c r="AP46" s="64" t="str">
        <f ca="1">IF(COUNTIFS('SEANCE 1'!$B:$B, $B46, 'SEANCE 1'!$C:$C, AP$2, 'SEANCE 1'!$F:$F, AP$5)=0, "", COUNTIFS('SEANCE 1'!$B:$B, $B46, 'SEANCE 1'!$C:$C, AP$2, 'SEANCE 1'!$F:$F, AP$5))</f>
        <v/>
      </c>
      <c r="AQ46" s="64" t="str">
        <f ca="1">IF(COUNTIFS('SEANCE 1'!$B:$B, $B46, 'SEANCE 1'!$C:$C, AQ$2, 'SEANCE 1'!$F:$F, AQ$5)=0, "", COUNTIFS('SEANCE 1'!$B:$B, $B46, 'SEANCE 1'!$C:$C, AQ$2, 'SEANCE 1'!$F:$F, AQ$5))</f>
        <v/>
      </c>
      <c r="AR46" s="64" t="str">
        <f ca="1">IF(COUNTIFS('SEANCE 1'!$B:$B, $B46, 'SEANCE 1'!$C:$C, AR$2, 'SEANCE 1'!$F:$F, AR$5)=0, "", COUNTIFS('SEANCE 1'!$B:$B, $B46, 'SEANCE 1'!$C:$C, AR$2, 'SEANCE 1'!$F:$F, AR$5))</f>
        <v/>
      </c>
      <c r="AS46" s="64" t="str">
        <f ca="1">IF(COUNTIFS('SEANCE 1'!$B:$B, $B46, 'SEANCE 1'!$C:$C, AS$2, 'SEANCE 1'!$F:$F, AS$5)=0, "", COUNTIFS('SEANCE 1'!$B:$B, $B46, 'SEANCE 1'!$C:$C, AS$2, 'SEANCE 1'!$F:$F, AS$5))</f>
        <v/>
      </c>
      <c r="AT46" s="64" t="str">
        <f ca="1">IF(COUNTIFS('SEANCE 1'!$B:$B, $B46, 'SEANCE 1'!$C:$C, AT$2, 'SEANCE 1'!$F:$F, AT$5)=0, "", COUNTIFS('SEANCE 1'!$B:$B, $B46, 'SEANCE 1'!$C:$C, AT$2, 'SEANCE 1'!$F:$F, AT$5))</f>
        <v/>
      </c>
      <c r="AU46" s="64" t="str">
        <f ca="1">IF(COUNTIFS('SEANCE 1'!$B:$B, $B46, 'SEANCE 1'!$C:$C, AU$2, 'SEANCE 1'!$F:$F, AU$5)=0, "", COUNTIFS('SEANCE 1'!$B:$B, $B46, 'SEANCE 1'!$C:$C, AU$2, 'SEANCE 1'!$F:$F, AU$5))</f>
        <v/>
      </c>
      <c r="AV46" s="64" t="str">
        <f ca="1">IF(COUNTIFS('SEANCE 1'!$B:$B, $B46, 'SEANCE 1'!$C:$C, AV$2, 'SEANCE 1'!$F:$F, AV$5)=0, "", COUNTIFS('SEANCE 1'!$B:$B, $B46, 'SEANCE 1'!$C:$C, AV$2, 'SEANCE 1'!$F:$F, AV$5))</f>
        <v/>
      </c>
      <c r="AW46" s="64" t="str">
        <f ca="1">IF(COUNTIFS('SEANCE 1'!$B:$B, $B46, 'SEANCE 1'!$C:$C, AW$2, 'SEANCE 1'!$F:$F, AW$5)=0, "", COUNTIFS('SEANCE 1'!$B:$B, $B46, 'SEANCE 1'!$C:$C, AW$2, 'SEANCE 1'!$F:$F, AW$5))</f>
        <v/>
      </c>
      <c r="AX46" s="64" t="str">
        <f ca="1">IF(COUNTIFS('SEANCE 1'!$B:$B, $B46, 'SEANCE 1'!$C:$C, AX$2, 'SEANCE 1'!$F:$F, AX$5)=0, "", COUNTIFS('SEANCE 1'!$B:$B, $B46, 'SEANCE 1'!$C:$C, AX$2, 'SEANCE 1'!$F:$F, AX$5))</f>
        <v/>
      </c>
      <c r="AY46" s="64" t="str">
        <f ca="1">IF(COUNTIFS('SEANCE 1'!$B:$B, $B46, 'SEANCE 1'!$C:$C, AY$2, 'SEANCE 1'!$F:$F, AY$5)=0, "", COUNTIFS('SEANCE 1'!$B:$B, $B46, 'SEANCE 1'!$C:$C, AY$2, 'SEANCE 1'!$F:$F, AY$5))</f>
        <v/>
      </c>
      <c r="AZ46" s="32">
        <f t="shared" ca="1" si="0"/>
        <v>0</v>
      </c>
    </row>
    <row r="47" spans="1:52">
      <c r="A47" s="44" t="str">
        <f>IF('SEANCE 1'!$B43&lt;&gt;"",'SEANCE 1'!$A43,"")</f>
        <v/>
      </c>
      <c r="B47" s="44" t="str">
        <f t="array" aca="1" ref="B47" ca="1">IF(ISNA(INDEX(ListeB,MATCH(0,COUNTIF($B$5:B46,ListeB),0))),"",INDEX(ListeB,MATCH(0,COUNTIF($B$5:B46,ListeB),0)))</f>
        <v/>
      </c>
      <c r="C47" s="64" t="str">
        <f ca="1">IF(COUNTIFS('SEANCE 1'!$B:$B, $B47, 'SEANCE 1'!$C:$C, C$2, 'SEANCE 1'!$F:$F, C$5)=0, "", COUNTIFS('SEANCE 1'!$B:$B, $B47, 'SEANCE 1'!$C:$C, C$2, 'SEANCE 1'!$F:$F, C$5))</f>
        <v/>
      </c>
      <c r="D47" s="64" t="str">
        <f ca="1">IF(COUNTIFS('SEANCE 1'!$B:$B, $B47, 'SEANCE 1'!$C:$C, D$2, 'SEANCE 1'!$F:$F, D$5)=0, "", COUNTIFS('SEANCE 1'!$B:$B, $B47, 'SEANCE 1'!$C:$C, D$2, 'SEANCE 1'!$F:$F, D$5))</f>
        <v/>
      </c>
      <c r="E47" s="64" t="str">
        <f ca="1">IF(COUNTIFS('SEANCE 1'!$B:$B, $B47, 'SEANCE 1'!$C:$C, E$2, 'SEANCE 1'!$F:$F, E$5)=0, "", COUNTIFS('SEANCE 1'!$B:$B, $B47, 'SEANCE 1'!$C:$C, E$2, 'SEANCE 1'!$F:$F, E$5))</f>
        <v/>
      </c>
      <c r="F47" s="64" t="str">
        <f ca="1">IF(COUNTIFS('SEANCE 1'!$B:$B, $B47, 'SEANCE 1'!$C:$C, F$2, 'SEANCE 1'!$F:$F, F$5)=0, "", COUNTIFS('SEANCE 1'!$B:$B, $B47, 'SEANCE 1'!$C:$C, F$2, 'SEANCE 1'!$F:$F, F$5))</f>
        <v/>
      </c>
      <c r="G47" s="64" t="str">
        <f ca="1">IF(COUNTIFS('SEANCE 1'!$B:$B, $B47, 'SEANCE 1'!$C:$C, G$2, 'SEANCE 1'!$F:$F, G$5)=0, "", COUNTIFS('SEANCE 1'!$B:$B, $B47, 'SEANCE 1'!$C:$C, G$2, 'SEANCE 1'!$F:$F, G$5))</f>
        <v/>
      </c>
      <c r="H47" s="64" t="str">
        <f ca="1">IF(COUNTIFS('SEANCE 1'!$B:$B, $B47, 'SEANCE 1'!$C:$C, H$2, 'SEANCE 1'!$F:$F, H$5)=0, "", COUNTIFS('SEANCE 1'!$B:$B, $B47, 'SEANCE 1'!$C:$C, H$2, 'SEANCE 1'!$F:$F, H$5))</f>
        <v/>
      </c>
      <c r="I47" s="64" t="str">
        <f ca="1">IF(COUNTIFS('SEANCE 1'!$B:$B, $B47, 'SEANCE 1'!$C:$C, I$2, 'SEANCE 1'!$F:$F, I$5)=0, "", COUNTIFS('SEANCE 1'!$B:$B, $B47, 'SEANCE 1'!$C:$C, I$2, 'SEANCE 1'!$F:$F, I$5))</f>
        <v/>
      </c>
      <c r="J47" s="64" t="str">
        <f ca="1">IF(COUNTIFS('SEANCE 1'!$B:$B, $B47, 'SEANCE 1'!$C:$C, J$2, 'SEANCE 1'!$F:$F, J$5)=0, "", COUNTIFS('SEANCE 1'!$B:$B, $B47, 'SEANCE 1'!$C:$C, J$2, 'SEANCE 1'!$F:$F, J$5))</f>
        <v/>
      </c>
      <c r="K47" s="64" t="str">
        <f ca="1">IF(COUNTIFS('SEANCE 1'!$B:$B, $B47, 'SEANCE 1'!$C:$C, K$2, 'SEANCE 1'!$F:$F, K$5)=0, "", COUNTIFS('SEANCE 1'!$B:$B, $B47, 'SEANCE 1'!$C:$C, K$2, 'SEANCE 1'!$F:$F, K$5))</f>
        <v/>
      </c>
      <c r="L47" s="64" t="str">
        <f ca="1">IF(COUNTIFS('SEANCE 1'!$B:$B, $B47, 'SEANCE 1'!$C:$C, L$2, 'SEANCE 1'!$F:$F, L$5)=0, "", COUNTIFS('SEANCE 1'!$B:$B, $B47, 'SEANCE 1'!$C:$C, L$2, 'SEANCE 1'!$F:$F, L$5))</f>
        <v/>
      </c>
      <c r="M47" s="64" t="str">
        <f ca="1">IF(COUNTIFS('SEANCE 1'!$B:$B, $B47, 'SEANCE 1'!$C:$C, M$2, 'SEANCE 1'!$F:$F, M$5)=0, "", COUNTIFS('SEANCE 1'!$B:$B, $B47, 'SEANCE 1'!$C:$C, M$2, 'SEANCE 1'!$F:$F, M$5))</f>
        <v/>
      </c>
      <c r="N47" s="64" t="str">
        <f ca="1">IF(COUNTIFS('SEANCE 1'!$B:$B, $B47, 'SEANCE 1'!$C:$C, N$2, 'SEANCE 1'!$F:$F, N$5)=0, "", COUNTIFS('SEANCE 1'!$B:$B, $B47, 'SEANCE 1'!$C:$C, N$2, 'SEANCE 1'!$F:$F, N$5))</f>
        <v/>
      </c>
      <c r="O47" s="64" t="str">
        <f ca="1">IF(COUNTIFS('SEANCE 1'!$B:$B, $B47, 'SEANCE 1'!$C:$C, O$2, 'SEANCE 1'!$F:$F, O$5)=0, "", COUNTIFS('SEANCE 1'!$B:$B, $B47, 'SEANCE 1'!$C:$C, O$2, 'SEANCE 1'!$F:$F, O$5))</f>
        <v/>
      </c>
      <c r="P47" s="64" t="str">
        <f ca="1">IF(COUNTIFS('SEANCE 1'!$B:$B, $B47, 'SEANCE 1'!$C:$C, P$2, 'SEANCE 1'!$F:$F, P$5)=0, "", COUNTIFS('SEANCE 1'!$B:$B, $B47, 'SEANCE 1'!$C:$C, P$2, 'SEANCE 1'!$F:$F, P$5))</f>
        <v/>
      </c>
      <c r="Q47" s="64" t="str">
        <f ca="1">IF(COUNTIFS('SEANCE 1'!$B:$B, $B47, 'SEANCE 1'!$C:$C, Q$2, 'SEANCE 1'!$F:$F, Q$5)=0, "", COUNTIFS('SEANCE 1'!$B:$B, $B47, 'SEANCE 1'!$C:$C, Q$2, 'SEANCE 1'!$F:$F, Q$5))</f>
        <v/>
      </c>
      <c r="R47" s="64" t="str">
        <f ca="1">IF(COUNTIFS('SEANCE 1'!$B:$B, $B47, 'SEANCE 1'!$C:$C, R$2, 'SEANCE 1'!$F:$F, R$5)=0, "", COUNTIFS('SEANCE 1'!$B:$B, $B47, 'SEANCE 1'!$C:$C, R$2, 'SEANCE 1'!$F:$F, R$5))</f>
        <v/>
      </c>
      <c r="S47" s="64" t="str">
        <f ca="1">IF(COUNTIFS('SEANCE 1'!$B:$B, $B47, 'SEANCE 1'!$C:$C, S$2, 'SEANCE 1'!$F:$F, S$5)=0, "", COUNTIFS('SEANCE 1'!$B:$B, $B47, 'SEANCE 1'!$C:$C, S$2, 'SEANCE 1'!$F:$F, S$5))</f>
        <v/>
      </c>
      <c r="T47" s="64" t="str">
        <f ca="1">IF(COUNTIFS('SEANCE 1'!$B:$B, $B47, 'SEANCE 1'!$C:$C, T$2, 'SEANCE 1'!$F:$F, T$5)=0, "", COUNTIFS('SEANCE 1'!$B:$B, $B47, 'SEANCE 1'!$C:$C, T$2, 'SEANCE 1'!$F:$F, T$5))</f>
        <v/>
      </c>
      <c r="U47" s="64" t="str">
        <f ca="1">IF(COUNTIFS('SEANCE 1'!$B:$B, $B47, 'SEANCE 1'!$C:$C, U$2, 'SEANCE 1'!$F:$F, U$5)=0, "", COUNTIFS('SEANCE 1'!$B:$B, $B47, 'SEANCE 1'!$C:$C, U$2, 'SEANCE 1'!$F:$F, U$5))</f>
        <v/>
      </c>
      <c r="V47" s="64" t="str">
        <f ca="1">IF(COUNTIFS('SEANCE 1'!$B:$B, $B47, 'SEANCE 1'!$C:$C, V$2, 'SEANCE 1'!$F:$F, V$5)=0, "", COUNTIFS('SEANCE 1'!$B:$B, $B47, 'SEANCE 1'!$C:$C, V$2, 'SEANCE 1'!$F:$F, V$5))</f>
        <v/>
      </c>
      <c r="W47" s="64" t="str">
        <f ca="1">IF(COUNTIFS('SEANCE 1'!$B:$B, $B47, 'SEANCE 1'!$C:$C, W$2, 'SEANCE 1'!$F:$F, W$5)=0, "", COUNTIFS('SEANCE 1'!$B:$B, $B47, 'SEANCE 1'!$C:$C, W$2, 'SEANCE 1'!$F:$F, W$5))</f>
        <v/>
      </c>
      <c r="X47" s="64" t="str">
        <f ca="1">IF(COUNTIFS('SEANCE 1'!$B:$B, $B47, 'SEANCE 1'!$C:$C, X$2, 'SEANCE 1'!$F:$F, X$5)=0, "", COUNTIFS('SEANCE 1'!$B:$B, $B47, 'SEANCE 1'!$C:$C, X$2, 'SEANCE 1'!$F:$F, X$5))</f>
        <v/>
      </c>
      <c r="Y47" s="64" t="str">
        <f ca="1">IF(COUNTIFS('SEANCE 1'!$B:$B, $B47, 'SEANCE 1'!$C:$C, Y$2, 'SEANCE 1'!$F:$F, Y$5)=0, "", COUNTIFS('SEANCE 1'!$B:$B, $B47, 'SEANCE 1'!$C:$C, Y$2, 'SEANCE 1'!$F:$F, Y$5))</f>
        <v/>
      </c>
      <c r="Z47" s="64" t="str">
        <f ca="1">IF(COUNTIFS('SEANCE 1'!$B:$B, $B47, 'SEANCE 1'!$C:$C, Z$2, 'SEANCE 1'!$F:$F, Z$5)=0, "", COUNTIFS('SEANCE 1'!$B:$B, $B47, 'SEANCE 1'!$C:$C, Z$2, 'SEANCE 1'!$F:$F, Z$5))</f>
        <v/>
      </c>
      <c r="AA47" s="64" t="str">
        <f ca="1">IF(COUNTIFS('SEANCE 1'!$B:$B, $B47, 'SEANCE 1'!$C:$C, AA$2, 'SEANCE 1'!$F:$F, AA$5)=0, "", COUNTIFS('SEANCE 1'!$B:$B, $B47, 'SEANCE 1'!$C:$C, AA$2, 'SEANCE 1'!$F:$F, AA$5))</f>
        <v/>
      </c>
      <c r="AB47" s="64" t="str">
        <f ca="1">IF(COUNTIFS('SEANCE 1'!$B:$B, $B47, 'SEANCE 1'!$C:$C, AB$2, 'SEANCE 1'!$F:$F, AB$5)=0, "", COUNTIFS('SEANCE 1'!$B:$B, $B47, 'SEANCE 1'!$C:$C, AB$2, 'SEANCE 1'!$F:$F, AB$5))</f>
        <v/>
      </c>
      <c r="AC47" s="64" t="str">
        <f ca="1">IF(COUNTIFS('SEANCE 1'!$B:$B, $B47, 'SEANCE 1'!$C:$C, AC$2, 'SEANCE 1'!$F:$F, AC$5)=0, "", COUNTIFS('SEANCE 1'!$B:$B, $B47, 'SEANCE 1'!$C:$C, AC$2, 'SEANCE 1'!$F:$F, AC$5))</f>
        <v/>
      </c>
      <c r="AD47" s="64" t="str">
        <f ca="1">IF(COUNTIFS('SEANCE 1'!$B:$B, $B47, 'SEANCE 1'!$C:$C, AD$2, 'SEANCE 1'!$F:$F, AD$5)=0, "", COUNTIFS('SEANCE 1'!$B:$B, $B47, 'SEANCE 1'!$C:$C, AD$2, 'SEANCE 1'!$F:$F, AD$5))</f>
        <v/>
      </c>
      <c r="AE47" s="64" t="str">
        <f ca="1">IF(COUNTIFS('SEANCE 1'!$B:$B, $B47, 'SEANCE 1'!$C:$C, AE$2, 'SEANCE 1'!$F:$F, AE$5)=0, "", COUNTIFS('SEANCE 1'!$B:$B, $B47, 'SEANCE 1'!$C:$C, AE$2, 'SEANCE 1'!$F:$F, AE$5))</f>
        <v/>
      </c>
      <c r="AF47" s="64" t="str">
        <f ca="1">IF(COUNTIFS('SEANCE 1'!$B:$B, $B47, 'SEANCE 1'!$C:$C, AF$2, 'SEANCE 1'!$F:$F, AF$5)=0, "", COUNTIFS('SEANCE 1'!$B:$B, $B47, 'SEANCE 1'!$C:$C, AF$2, 'SEANCE 1'!$F:$F, AF$5))</f>
        <v/>
      </c>
      <c r="AG47" s="64" t="str">
        <f ca="1">IF(COUNTIFS('SEANCE 1'!$B:$B, $B47, 'SEANCE 1'!$C:$C, AG$2, 'SEANCE 1'!$F:$F, AG$5)=0, "", COUNTIFS('SEANCE 1'!$B:$B, $B47, 'SEANCE 1'!$C:$C, AG$2, 'SEANCE 1'!$F:$F, AG$5))</f>
        <v/>
      </c>
      <c r="AH47" s="64" t="str">
        <f ca="1">IF(COUNTIFS('SEANCE 1'!$B:$B, $B47, 'SEANCE 1'!$C:$C, AH$2, 'SEANCE 1'!$F:$F, AH$5)=0, "", COUNTIFS('SEANCE 1'!$B:$B, $B47, 'SEANCE 1'!$C:$C, AH$2, 'SEANCE 1'!$F:$F, AH$5))</f>
        <v/>
      </c>
      <c r="AI47" s="64" t="str">
        <f ca="1">IF(COUNTIFS('SEANCE 1'!$B:$B, $B47, 'SEANCE 1'!$C:$C, AI$2, 'SEANCE 1'!$F:$F, AI$5)=0, "", COUNTIFS('SEANCE 1'!$B:$B, $B47, 'SEANCE 1'!$C:$C, AI$2, 'SEANCE 1'!$F:$F, AI$5))</f>
        <v/>
      </c>
      <c r="AJ47" s="64" t="str">
        <f ca="1">IF(COUNTIFS('SEANCE 1'!$B:$B, $B47, 'SEANCE 1'!$C:$C, AJ$2, 'SEANCE 1'!$F:$F, AJ$5)=0, "", COUNTIFS('SEANCE 1'!$B:$B, $B47, 'SEANCE 1'!$C:$C, AJ$2, 'SEANCE 1'!$F:$F, AJ$5))</f>
        <v/>
      </c>
      <c r="AK47" s="64" t="str">
        <f ca="1">IF(COUNTIFS('SEANCE 1'!$B:$B, $B47, 'SEANCE 1'!$C:$C, AK$2, 'SEANCE 1'!$F:$F, AK$5)=0, "", COUNTIFS('SEANCE 1'!$B:$B, $B47, 'SEANCE 1'!$C:$C, AK$2, 'SEANCE 1'!$F:$F, AK$5))</f>
        <v/>
      </c>
      <c r="AL47" s="64" t="str">
        <f ca="1">IF(COUNTIFS('SEANCE 1'!$B:$B, $B47, 'SEANCE 1'!$C:$C, AL$2, 'SEANCE 1'!$F:$F, AL$5)=0, "", COUNTIFS('SEANCE 1'!$B:$B, $B47, 'SEANCE 1'!$C:$C, AL$2, 'SEANCE 1'!$F:$F, AL$5))</f>
        <v/>
      </c>
      <c r="AM47" s="64" t="str">
        <f ca="1">IF(COUNTIFS('SEANCE 1'!$B:$B, $B47, 'SEANCE 1'!$C:$C, AM$2, 'SEANCE 1'!$F:$F, AM$5)=0, "", COUNTIFS('SEANCE 1'!$B:$B, $B47, 'SEANCE 1'!$C:$C, AM$2, 'SEANCE 1'!$F:$F, AM$5))</f>
        <v/>
      </c>
      <c r="AN47" s="64" t="str">
        <f ca="1">IF(COUNTIFS('SEANCE 1'!$B:$B, $B47, 'SEANCE 1'!$C:$C, AN$2, 'SEANCE 1'!$F:$F, AN$5)=0, "", COUNTIFS('SEANCE 1'!$B:$B, $B47, 'SEANCE 1'!$C:$C, AN$2, 'SEANCE 1'!$F:$F, AN$5))</f>
        <v/>
      </c>
      <c r="AO47" s="64" t="str">
        <f ca="1">IF(COUNTIFS('SEANCE 1'!$B:$B, $B47, 'SEANCE 1'!$C:$C, AO$2, 'SEANCE 1'!$F:$F, AO$5)=0, "", COUNTIFS('SEANCE 1'!$B:$B, $B47, 'SEANCE 1'!$C:$C, AO$2, 'SEANCE 1'!$F:$F, AO$5))</f>
        <v/>
      </c>
      <c r="AP47" s="64" t="str">
        <f ca="1">IF(COUNTIFS('SEANCE 1'!$B:$B, $B47, 'SEANCE 1'!$C:$C, AP$2, 'SEANCE 1'!$F:$F, AP$5)=0, "", COUNTIFS('SEANCE 1'!$B:$B, $B47, 'SEANCE 1'!$C:$C, AP$2, 'SEANCE 1'!$F:$F, AP$5))</f>
        <v/>
      </c>
      <c r="AQ47" s="64" t="str">
        <f ca="1">IF(COUNTIFS('SEANCE 1'!$B:$B, $B47, 'SEANCE 1'!$C:$C, AQ$2, 'SEANCE 1'!$F:$F, AQ$5)=0, "", COUNTIFS('SEANCE 1'!$B:$B, $B47, 'SEANCE 1'!$C:$C, AQ$2, 'SEANCE 1'!$F:$F, AQ$5))</f>
        <v/>
      </c>
      <c r="AR47" s="64" t="str">
        <f ca="1">IF(COUNTIFS('SEANCE 1'!$B:$B, $B47, 'SEANCE 1'!$C:$C, AR$2, 'SEANCE 1'!$F:$F, AR$5)=0, "", COUNTIFS('SEANCE 1'!$B:$B, $B47, 'SEANCE 1'!$C:$C, AR$2, 'SEANCE 1'!$F:$F, AR$5))</f>
        <v/>
      </c>
      <c r="AS47" s="64" t="str">
        <f ca="1">IF(COUNTIFS('SEANCE 1'!$B:$B, $B47, 'SEANCE 1'!$C:$C, AS$2, 'SEANCE 1'!$F:$F, AS$5)=0, "", COUNTIFS('SEANCE 1'!$B:$B, $B47, 'SEANCE 1'!$C:$C, AS$2, 'SEANCE 1'!$F:$F, AS$5))</f>
        <v/>
      </c>
      <c r="AT47" s="64" t="str">
        <f ca="1">IF(COUNTIFS('SEANCE 1'!$B:$B, $B47, 'SEANCE 1'!$C:$C, AT$2, 'SEANCE 1'!$F:$F, AT$5)=0, "", COUNTIFS('SEANCE 1'!$B:$B, $B47, 'SEANCE 1'!$C:$C, AT$2, 'SEANCE 1'!$F:$F, AT$5))</f>
        <v/>
      </c>
      <c r="AU47" s="64" t="str">
        <f ca="1">IF(COUNTIFS('SEANCE 1'!$B:$B, $B47, 'SEANCE 1'!$C:$C, AU$2, 'SEANCE 1'!$F:$F, AU$5)=0, "", COUNTIFS('SEANCE 1'!$B:$B, $B47, 'SEANCE 1'!$C:$C, AU$2, 'SEANCE 1'!$F:$F, AU$5))</f>
        <v/>
      </c>
      <c r="AV47" s="64" t="str">
        <f ca="1">IF(COUNTIFS('SEANCE 1'!$B:$B, $B47, 'SEANCE 1'!$C:$C, AV$2, 'SEANCE 1'!$F:$F, AV$5)=0, "", COUNTIFS('SEANCE 1'!$B:$B, $B47, 'SEANCE 1'!$C:$C, AV$2, 'SEANCE 1'!$F:$F, AV$5))</f>
        <v/>
      </c>
      <c r="AW47" s="64" t="str">
        <f ca="1">IF(COUNTIFS('SEANCE 1'!$B:$B, $B47, 'SEANCE 1'!$C:$C, AW$2, 'SEANCE 1'!$F:$F, AW$5)=0, "", COUNTIFS('SEANCE 1'!$B:$B, $B47, 'SEANCE 1'!$C:$C, AW$2, 'SEANCE 1'!$F:$F, AW$5))</f>
        <v/>
      </c>
      <c r="AX47" s="64" t="str">
        <f ca="1">IF(COUNTIFS('SEANCE 1'!$B:$B, $B47, 'SEANCE 1'!$C:$C, AX$2, 'SEANCE 1'!$F:$F, AX$5)=0, "", COUNTIFS('SEANCE 1'!$B:$B, $B47, 'SEANCE 1'!$C:$C, AX$2, 'SEANCE 1'!$F:$F, AX$5))</f>
        <v/>
      </c>
      <c r="AY47" s="64" t="str">
        <f ca="1">IF(COUNTIFS('SEANCE 1'!$B:$B, $B47, 'SEANCE 1'!$C:$C, AY$2, 'SEANCE 1'!$F:$F, AY$5)=0, "", COUNTIFS('SEANCE 1'!$B:$B, $B47, 'SEANCE 1'!$C:$C, AY$2, 'SEANCE 1'!$F:$F, AY$5))</f>
        <v/>
      </c>
      <c r="AZ47" s="32">
        <f t="shared" ca="1" si="0"/>
        <v>0</v>
      </c>
    </row>
    <row r="48" spans="1:52">
      <c r="A48" s="44" t="str">
        <f>IF('SEANCE 1'!$B44&lt;&gt;"",'SEANCE 1'!$A44,"")</f>
        <v/>
      </c>
      <c r="B48" s="44" t="str">
        <f t="array" aca="1" ref="B48" ca="1">IF(ISNA(INDEX(ListeB,MATCH(0,COUNTIF($B$5:B47,ListeB),0))),"",INDEX(ListeB,MATCH(0,COUNTIF($B$5:B47,ListeB),0)))</f>
        <v/>
      </c>
      <c r="C48" s="64" t="str">
        <f ca="1">IF(COUNTIFS('SEANCE 1'!$B:$B, $B48, 'SEANCE 1'!$C:$C, C$2, 'SEANCE 1'!$F:$F, C$5)=0, "", COUNTIFS('SEANCE 1'!$B:$B, $B48, 'SEANCE 1'!$C:$C, C$2, 'SEANCE 1'!$F:$F, C$5))</f>
        <v/>
      </c>
      <c r="D48" s="64" t="str">
        <f ca="1">IF(COUNTIFS('SEANCE 1'!$B:$B, $B48, 'SEANCE 1'!$C:$C, D$2, 'SEANCE 1'!$F:$F, D$5)=0, "", COUNTIFS('SEANCE 1'!$B:$B, $B48, 'SEANCE 1'!$C:$C, D$2, 'SEANCE 1'!$F:$F, D$5))</f>
        <v/>
      </c>
      <c r="E48" s="64" t="str">
        <f ca="1">IF(COUNTIFS('SEANCE 1'!$B:$B, $B48, 'SEANCE 1'!$C:$C, E$2, 'SEANCE 1'!$F:$F, E$5)=0, "", COUNTIFS('SEANCE 1'!$B:$B, $B48, 'SEANCE 1'!$C:$C, E$2, 'SEANCE 1'!$F:$F, E$5))</f>
        <v/>
      </c>
      <c r="F48" s="64" t="str">
        <f ca="1">IF(COUNTIFS('SEANCE 1'!$B:$B, $B48, 'SEANCE 1'!$C:$C, F$2, 'SEANCE 1'!$F:$F, F$5)=0, "", COUNTIFS('SEANCE 1'!$B:$B, $B48, 'SEANCE 1'!$C:$C, F$2, 'SEANCE 1'!$F:$F, F$5))</f>
        <v/>
      </c>
      <c r="G48" s="64" t="str">
        <f ca="1">IF(COUNTIFS('SEANCE 1'!$B:$B, $B48, 'SEANCE 1'!$C:$C, G$2, 'SEANCE 1'!$F:$F, G$5)=0, "", COUNTIFS('SEANCE 1'!$B:$B, $B48, 'SEANCE 1'!$C:$C, G$2, 'SEANCE 1'!$F:$F, G$5))</f>
        <v/>
      </c>
      <c r="H48" s="64" t="str">
        <f ca="1">IF(COUNTIFS('SEANCE 1'!$B:$B, $B48, 'SEANCE 1'!$C:$C, H$2, 'SEANCE 1'!$F:$F, H$5)=0, "", COUNTIFS('SEANCE 1'!$B:$B, $B48, 'SEANCE 1'!$C:$C, H$2, 'SEANCE 1'!$F:$F, H$5))</f>
        <v/>
      </c>
      <c r="I48" s="64" t="str">
        <f ca="1">IF(COUNTIFS('SEANCE 1'!$B:$B, $B48, 'SEANCE 1'!$C:$C, I$2, 'SEANCE 1'!$F:$F, I$5)=0, "", COUNTIFS('SEANCE 1'!$B:$B, $B48, 'SEANCE 1'!$C:$C, I$2, 'SEANCE 1'!$F:$F, I$5))</f>
        <v/>
      </c>
      <c r="J48" s="64" t="str">
        <f ca="1">IF(COUNTIFS('SEANCE 1'!$B:$B, $B48, 'SEANCE 1'!$C:$C, J$2, 'SEANCE 1'!$F:$F, J$5)=0, "", COUNTIFS('SEANCE 1'!$B:$B, $B48, 'SEANCE 1'!$C:$C, J$2, 'SEANCE 1'!$F:$F, J$5))</f>
        <v/>
      </c>
      <c r="K48" s="64" t="str">
        <f ca="1">IF(COUNTIFS('SEANCE 1'!$B:$B, $B48, 'SEANCE 1'!$C:$C, K$2, 'SEANCE 1'!$F:$F, K$5)=0, "", COUNTIFS('SEANCE 1'!$B:$B, $B48, 'SEANCE 1'!$C:$C, K$2, 'SEANCE 1'!$F:$F, K$5))</f>
        <v/>
      </c>
      <c r="L48" s="64" t="str">
        <f ca="1">IF(COUNTIFS('SEANCE 1'!$B:$B, $B48, 'SEANCE 1'!$C:$C, L$2, 'SEANCE 1'!$F:$F, L$5)=0, "", COUNTIFS('SEANCE 1'!$B:$B, $B48, 'SEANCE 1'!$C:$C, L$2, 'SEANCE 1'!$F:$F, L$5))</f>
        <v/>
      </c>
      <c r="M48" s="64" t="str">
        <f ca="1">IF(COUNTIFS('SEANCE 1'!$B:$B, $B48, 'SEANCE 1'!$C:$C, M$2, 'SEANCE 1'!$F:$F, M$5)=0, "", COUNTIFS('SEANCE 1'!$B:$B, $B48, 'SEANCE 1'!$C:$C, M$2, 'SEANCE 1'!$F:$F, M$5))</f>
        <v/>
      </c>
      <c r="N48" s="64" t="str">
        <f ca="1">IF(COUNTIFS('SEANCE 1'!$B:$B, $B48, 'SEANCE 1'!$C:$C, N$2, 'SEANCE 1'!$F:$F, N$5)=0, "", COUNTIFS('SEANCE 1'!$B:$B, $B48, 'SEANCE 1'!$C:$C, N$2, 'SEANCE 1'!$F:$F, N$5))</f>
        <v/>
      </c>
      <c r="O48" s="64" t="str">
        <f ca="1">IF(COUNTIFS('SEANCE 1'!$B:$B, $B48, 'SEANCE 1'!$C:$C, O$2, 'SEANCE 1'!$F:$F, O$5)=0, "", COUNTIFS('SEANCE 1'!$B:$B, $B48, 'SEANCE 1'!$C:$C, O$2, 'SEANCE 1'!$F:$F, O$5))</f>
        <v/>
      </c>
      <c r="P48" s="64" t="str">
        <f ca="1">IF(COUNTIFS('SEANCE 1'!$B:$B, $B48, 'SEANCE 1'!$C:$C, P$2, 'SEANCE 1'!$F:$F, P$5)=0, "", COUNTIFS('SEANCE 1'!$B:$B, $B48, 'SEANCE 1'!$C:$C, P$2, 'SEANCE 1'!$F:$F, P$5))</f>
        <v/>
      </c>
      <c r="Q48" s="64" t="str">
        <f ca="1">IF(COUNTIFS('SEANCE 1'!$B:$B, $B48, 'SEANCE 1'!$C:$C, Q$2, 'SEANCE 1'!$F:$F, Q$5)=0, "", COUNTIFS('SEANCE 1'!$B:$B, $B48, 'SEANCE 1'!$C:$C, Q$2, 'SEANCE 1'!$F:$F, Q$5))</f>
        <v/>
      </c>
      <c r="R48" s="64" t="str">
        <f ca="1">IF(COUNTIFS('SEANCE 1'!$B:$B, $B48, 'SEANCE 1'!$C:$C, R$2, 'SEANCE 1'!$F:$F, R$5)=0, "", COUNTIFS('SEANCE 1'!$B:$B, $B48, 'SEANCE 1'!$C:$C, R$2, 'SEANCE 1'!$F:$F, R$5))</f>
        <v/>
      </c>
      <c r="S48" s="64" t="str">
        <f ca="1">IF(COUNTIFS('SEANCE 1'!$B:$B, $B48, 'SEANCE 1'!$C:$C, S$2, 'SEANCE 1'!$F:$F, S$5)=0, "", COUNTIFS('SEANCE 1'!$B:$B, $B48, 'SEANCE 1'!$C:$C, S$2, 'SEANCE 1'!$F:$F, S$5))</f>
        <v/>
      </c>
      <c r="T48" s="64" t="str">
        <f ca="1">IF(COUNTIFS('SEANCE 1'!$B:$B, $B48, 'SEANCE 1'!$C:$C, T$2, 'SEANCE 1'!$F:$F, T$5)=0, "", COUNTIFS('SEANCE 1'!$B:$B, $B48, 'SEANCE 1'!$C:$C, T$2, 'SEANCE 1'!$F:$F, T$5))</f>
        <v/>
      </c>
      <c r="U48" s="64" t="str">
        <f ca="1">IF(COUNTIFS('SEANCE 1'!$B:$B, $B48, 'SEANCE 1'!$C:$C, U$2, 'SEANCE 1'!$F:$F, U$5)=0, "", COUNTIFS('SEANCE 1'!$B:$B, $B48, 'SEANCE 1'!$C:$C, U$2, 'SEANCE 1'!$F:$F, U$5))</f>
        <v/>
      </c>
      <c r="V48" s="64" t="str">
        <f ca="1">IF(COUNTIFS('SEANCE 1'!$B:$B, $B48, 'SEANCE 1'!$C:$C, V$2, 'SEANCE 1'!$F:$F, V$5)=0, "", COUNTIFS('SEANCE 1'!$B:$B, $B48, 'SEANCE 1'!$C:$C, V$2, 'SEANCE 1'!$F:$F, V$5))</f>
        <v/>
      </c>
      <c r="W48" s="64" t="str">
        <f ca="1">IF(COUNTIFS('SEANCE 1'!$B:$B, $B48, 'SEANCE 1'!$C:$C, W$2, 'SEANCE 1'!$F:$F, W$5)=0, "", COUNTIFS('SEANCE 1'!$B:$B, $B48, 'SEANCE 1'!$C:$C, W$2, 'SEANCE 1'!$F:$F, W$5))</f>
        <v/>
      </c>
      <c r="X48" s="64" t="str">
        <f ca="1">IF(COUNTIFS('SEANCE 1'!$B:$B, $B48, 'SEANCE 1'!$C:$C, X$2, 'SEANCE 1'!$F:$F, X$5)=0, "", COUNTIFS('SEANCE 1'!$B:$B, $B48, 'SEANCE 1'!$C:$C, X$2, 'SEANCE 1'!$F:$F, X$5))</f>
        <v/>
      </c>
      <c r="Y48" s="64" t="str">
        <f ca="1">IF(COUNTIFS('SEANCE 1'!$B:$B, $B48, 'SEANCE 1'!$C:$C, Y$2, 'SEANCE 1'!$F:$F, Y$5)=0, "", COUNTIFS('SEANCE 1'!$B:$B, $B48, 'SEANCE 1'!$C:$C, Y$2, 'SEANCE 1'!$F:$F, Y$5))</f>
        <v/>
      </c>
      <c r="Z48" s="64" t="str">
        <f ca="1">IF(COUNTIFS('SEANCE 1'!$B:$B, $B48, 'SEANCE 1'!$C:$C, Z$2, 'SEANCE 1'!$F:$F, Z$5)=0, "", COUNTIFS('SEANCE 1'!$B:$B, $B48, 'SEANCE 1'!$C:$C, Z$2, 'SEANCE 1'!$F:$F, Z$5))</f>
        <v/>
      </c>
      <c r="AA48" s="64" t="str">
        <f ca="1">IF(COUNTIFS('SEANCE 1'!$B:$B, $B48, 'SEANCE 1'!$C:$C, AA$2, 'SEANCE 1'!$F:$F, AA$5)=0, "", COUNTIFS('SEANCE 1'!$B:$B, $B48, 'SEANCE 1'!$C:$C, AA$2, 'SEANCE 1'!$F:$F, AA$5))</f>
        <v/>
      </c>
      <c r="AB48" s="64" t="str">
        <f ca="1">IF(COUNTIFS('SEANCE 1'!$B:$B, $B48, 'SEANCE 1'!$C:$C, AB$2, 'SEANCE 1'!$F:$F, AB$5)=0, "", COUNTIFS('SEANCE 1'!$B:$B, $B48, 'SEANCE 1'!$C:$C, AB$2, 'SEANCE 1'!$F:$F, AB$5))</f>
        <v/>
      </c>
      <c r="AC48" s="64" t="str">
        <f ca="1">IF(COUNTIFS('SEANCE 1'!$B:$B, $B48, 'SEANCE 1'!$C:$C, AC$2, 'SEANCE 1'!$F:$F, AC$5)=0, "", COUNTIFS('SEANCE 1'!$B:$B, $B48, 'SEANCE 1'!$C:$C, AC$2, 'SEANCE 1'!$F:$F, AC$5))</f>
        <v/>
      </c>
      <c r="AD48" s="64" t="str">
        <f ca="1">IF(COUNTIFS('SEANCE 1'!$B:$B, $B48, 'SEANCE 1'!$C:$C, AD$2, 'SEANCE 1'!$F:$F, AD$5)=0, "", COUNTIFS('SEANCE 1'!$B:$B, $B48, 'SEANCE 1'!$C:$C, AD$2, 'SEANCE 1'!$F:$F, AD$5))</f>
        <v/>
      </c>
      <c r="AE48" s="64" t="str">
        <f ca="1">IF(COUNTIFS('SEANCE 1'!$B:$B, $B48, 'SEANCE 1'!$C:$C, AE$2, 'SEANCE 1'!$F:$F, AE$5)=0, "", COUNTIFS('SEANCE 1'!$B:$B, $B48, 'SEANCE 1'!$C:$C, AE$2, 'SEANCE 1'!$F:$F, AE$5))</f>
        <v/>
      </c>
      <c r="AF48" s="64" t="str">
        <f ca="1">IF(COUNTIFS('SEANCE 1'!$B:$B, $B48, 'SEANCE 1'!$C:$C, AF$2, 'SEANCE 1'!$F:$F, AF$5)=0, "", COUNTIFS('SEANCE 1'!$B:$B, $B48, 'SEANCE 1'!$C:$C, AF$2, 'SEANCE 1'!$F:$F, AF$5))</f>
        <v/>
      </c>
      <c r="AG48" s="64" t="str">
        <f ca="1">IF(COUNTIFS('SEANCE 1'!$B:$B, $B48, 'SEANCE 1'!$C:$C, AG$2, 'SEANCE 1'!$F:$F, AG$5)=0, "", COUNTIFS('SEANCE 1'!$B:$B, $B48, 'SEANCE 1'!$C:$C, AG$2, 'SEANCE 1'!$F:$F, AG$5))</f>
        <v/>
      </c>
      <c r="AH48" s="64" t="str">
        <f ca="1">IF(COUNTIFS('SEANCE 1'!$B:$B, $B48, 'SEANCE 1'!$C:$C, AH$2, 'SEANCE 1'!$F:$F, AH$5)=0, "", COUNTIFS('SEANCE 1'!$B:$B, $B48, 'SEANCE 1'!$C:$C, AH$2, 'SEANCE 1'!$F:$F, AH$5))</f>
        <v/>
      </c>
      <c r="AI48" s="64" t="str">
        <f ca="1">IF(COUNTIFS('SEANCE 1'!$B:$B, $B48, 'SEANCE 1'!$C:$C, AI$2, 'SEANCE 1'!$F:$F, AI$5)=0, "", COUNTIFS('SEANCE 1'!$B:$B, $B48, 'SEANCE 1'!$C:$C, AI$2, 'SEANCE 1'!$F:$F, AI$5))</f>
        <v/>
      </c>
      <c r="AJ48" s="64" t="str">
        <f ca="1">IF(COUNTIFS('SEANCE 1'!$B:$B, $B48, 'SEANCE 1'!$C:$C, AJ$2, 'SEANCE 1'!$F:$F, AJ$5)=0, "", COUNTIFS('SEANCE 1'!$B:$B, $B48, 'SEANCE 1'!$C:$C, AJ$2, 'SEANCE 1'!$F:$F, AJ$5))</f>
        <v/>
      </c>
      <c r="AK48" s="64" t="str">
        <f ca="1">IF(COUNTIFS('SEANCE 1'!$B:$B, $B48, 'SEANCE 1'!$C:$C, AK$2, 'SEANCE 1'!$F:$F, AK$5)=0, "", COUNTIFS('SEANCE 1'!$B:$B, $B48, 'SEANCE 1'!$C:$C, AK$2, 'SEANCE 1'!$F:$F, AK$5))</f>
        <v/>
      </c>
      <c r="AL48" s="64" t="str">
        <f ca="1">IF(COUNTIFS('SEANCE 1'!$B:$B, $B48, 'SEANCE 1'!$C:$C, AL$2, 'SEANCE 1'!$F:$F, AL$5)=0, "", COUNTIFS('SEANCE 1'!$B:$B, $B48, 'SEANCE 1'!$C:$C, AL$2, 'SEANCE 1'!$F:$F, AL$5))</f>
        <v/>
      </c>
      <c r="AM48" s="64" t="str">
        <f ca="1">IF(COUNTIFS('SEANCE 1'!$B:$B, $B48, 'SEANCE 1'!$C:$C, AM$2, 'SEANCE 1'!$F:$F, AM$5)=0, "", COUNTIFS('SEANCE 1'!$B:$B, $B48, 'SEANCE 1'!$C:$C, AM$2, 'SEANCE 1'!$F:$F, AM$5))</f>
        <v/>
      </c>
      <c r="AN48" s="64" t="str">
        <f ca="1">IF(COUNTIFS('SEANCE 1'!$B:$B, $B48, 'SEANCE 1'!$C:$C, AN$2, 'SEANCE 1'!$F:$F, AN$5)=0, "", COUNTIFS('SEANCE 1'!$B:$B, $B48, 'SEANCE 1'!$C:$C, AN$2, 'SEANCE 1'!$F:$F, AN$5))</f>
        <v/>
      </c>
      <c r="AO48" s="64" t="str">
        <f ca="1">IF(COUNTIFS('SEANCE 1'!$B:$B, $B48, 'SEANCE 1'!$C:$C, AO$2, 'SEANCE 1'!$F:$F, AO$5)=0, "", COUNTIFS('SEANCE 1'!$B:$B, $B48, 'SEANCE 1'!$C:$C, AO$2, 'SEANCE 1'!$F:$F, AO$5))</f>
        <v/>
      </c>
      <c r="AP48" s="64" t="str">
        <f ca="1">IF(COUNTIFS('SEANCE 1'!$B:$B, $B48, 'SEANCE 1'!$C:$C, AP$2, 'SEANCE 1'!$F:$F, AP$5)=0, "", COUNTIFS('SEANCE 1'!$B:$B, $B48, 'SEANCE 1'!$C:$C, AP$2, 'SEANCE 1'!$F:$F, AP$5))</f>
        <v/>
      </c>
      <c r="AQ48" s="64" t="str">
        <f ca="1">IF(COUNTIFS('SEANCE 1'!$B:$B, $B48, 'SEANCE 1'!$C:$C, AQ$2, 'SEANCE 1'!$F:$F, AQ$5)=0, "", COUNTIFS('SEANCE 1'!$B:$B, $B48, 'SEANCE 1'!$C:$C, AQ$2, 'SEANCE 1'!$F:$F, AQ$5))</f>
        <v/>
      </c>
      <c r="AR48" s="64" t="str">
        <f ca="1">IF(COUNTIFS('SEANCE 1'!$B:$B, $B48, 'SEANCE 1'!$C:$C, AR$2, 'SEANCE 1'!$F:$F, AR$5)=0, "", COUNTIFS('SEANCE 1'!$B:$B, $B48, 'SEANCE 1'!$C:$C, AR$2, 'SEANCE 1'!$F:$F, AR$5))</f>
        <v/>
      </c>
      <c r="AS48" s="64" t="str">
        <f ca="1">IF(COUNTIFS('SEANCE 1'!$B:$B, $B48, 'SEANCE 1'!$C:$C, AS$2, 'SEANCE 1'!$F:$F, AS$5)=0, "", COUNTIFS('SEANCE 1'!$B:$B, $B48, 'SEANCE 1'!$C:$C, AS$2, 'SEANCE 1'!$F:$F, AS$5))</f>
        <v/>
      </c>
      <c r="AT48" s="64" t="str">
        <f ca="1">IF(COUNTIFS('SEANCE 1'!$B:$B, $B48, 'SEANCE 1'!$C:$C, AT$2, 'SEANCE 1'!$F:$F, AT$5)=0, "", COUNTIFS('SEANCE 1'!$B:$B, $B48, 'SEANCE 1'!$C:$C, AT$2, 'SEANCE 1'!$F:$F, AT$5))</f>
        <v/>
      </c>
      <c r="AU48" s="64" t="str">
        <f ca="1">IF(COUNTIFS('SEANCE 1'!$B:$B, $B48, 'SEANCE 1'!$C:$C, AU$2, 'SEANCE 1'!$F:$F, AU$5)=0, "", COUNTIFS('SEANCE 1'!$B:$B, $B48, 'SEANCE 1'!$C:$C, AU$2, 'SEANCE 1'!$F:$F, AU$5))</f>
        <v/>
      </c>
      <c r="AV48" s="64" t="str">
        <f ca="1">IF(COUNTIFS('SEANCE 1'!$B:$B, $B48, 'SEANCE 1'!$C:$C, AV$2, 'SEANCE 1'!$F:$F, AV$5)=0, "", COUNTIFS('SEANCE 1'!$B:$B, $B48, 'SEANCE 1'!$C:$C, AV$2, 'SEANCE 1'!$F:$F, AV$5))</f>
        <v/>
      </c>
      <c r="AW48" s="64" t="str">
        <f ca="1">IF(COUNTIFS('SEANCE 1'!$B:$B, $B48, 'SEANCE 1'!$C:$C, AW$2, 'SEANCE 1'!$F:$F, AW$5)=0, "", COUNTIFS('SEANCE 1'!$B:$B, $B48, 'SEANCE 1'!$C:$C, AW$2, 'SEANCE 1'!$F:$F, AW$5))</f>
        <v/>
      </c>
      <c r="AX48" s="64" t="str">
        <f ca="1">IF(COUNTIFS('SEANCE 1'!$B:$B, $B48, 'SEANCE 1'!$C:$C, AX$2, 'SEANCE 1'!$F:$F, AX$5)=0, "", COUNTIFS('SEANCE 1'!$B:$B, $B48, 'SEANCE 1'!$C:$C, AX$2, 'SEANCE 1'!$F:$F, AX$5))</f>
        <v/>
      </c>
      <c r="AY48" s="64" t="str">
        <f ca="1">IF(COUNTIFS('SEANCE 1'!$B:$B, $B48, 'SEANCE 1'!$C:$C, AY$2, 'SEANCE 1'!$F:$F, AY$5)=0, "", COUNTIFS('SEANCE 1'!$B:$B, $B48, 'SEANCE 1'!$C:$C, AY$2, 'SEANCE 1'!$F:$F, AY$5))</f>
        <v/>
      </c>
      <c r="AZ48" s="32">
        <f t="shared" ca="1" si="0"/>
        <v>0</v>
      </c>
    </row>
    <row r="49" spans="1:52">
      <c r="A49" s="44" t="str">
        <f>IF('SEANCE 1'!$B45&lt;&gt;"",'SEANCE 1'!$A45,"")</f>
        <v/>
      </c>
      <c r="B49" s="44" t="str">
        <f t="array" aca="1" ref="B49" ca="1">IF(ISNA(INDEX(ListeB,MATCH(0,COUNTIF($B$5:B48,ListeB),0))),"",INDEX(ListeB,MATCH(0,COUNTIF($B$5:B48,ListeB),0)))</f>
        <v/>
      </c>
      <c r="C49" s="64" t="str">
        <f ca="1">IF(COUNTIFS('SEANCE 1'!$B:$B, $B49, 'SEANCE 1'!$C:$C, C$2, 'SEANCE 1'!$F:$F, C$5)=0, "", COUNTIFS('SEANCE 1'!$B:$B, $B49, 'SEANCE 1'!$C:$C, C$2, 'SEANCE 1'!$F:$F, C$5))</f>
        <v/>
      </c>
      <c r="D49" s="64" t="str">
        <f ca="1">IF(COUNTIFS('SEANCE 1'!$B:$B, $B49, 'SEANCE 1'!$C:$C, D$2, 'SEANCE 1'!$F:$F, D$5)=0, "", COUNTIFS('SEANCE 1'!$B:$B, $B49, 'SEANCE 1'!$C:$C, D$2, 'SEANCE 1'!$F:$F, D$5))</f>
        <v/>
      </c>
      <c r="E49" s="64" t="str">
        <f ca="1">IF(COUNTIFS('SEANCE 1'!$B:$B, $B49, 'SEANCE 1'!$C:$C, E$2, 'SEANCE 1'!$F:$F, E$5)=0, "", COUNTIFS('SEANCE 1'!$B:$B, $B49, 'SEANCE 1'!$C:$C, E$2, 'SEANCE 1'!$F:$F, E$5))</f>
        <v/>
      </c>
      <c r="F49" s="64" t="str">
        <f ca="1">IF(COUNTIFS('SEANCE 1'!$B:$B, $B49, 'SEANCE 1'!$C:$C, F$2, 'SEANCE 1'!$F:$F, F$5)=0, "", COUNTIFS('SEANCE 1'!$B:$B, $B49, 'SEANCE 1'!$C:$C, F$2, 'SEANCE 1'!$F:$F, F$5))</f>
        <v/>
      </c>
      <c r="G49" s="64" t="str">
        <f ca="1">IF(COUNTIFS('SEANCE 1'!$B:$B, $B49, 'SEANCE 1'!$C:$C, G$2, 'SEANCE 1'!$F:$F, G$5)=0, "", COUNTIFS('SEANCE 1'!$B:$B, $B49, 'SEANCE 1'!$C:$C, G$2, 'SEANCE 1'!$F:$F, G$5))</f>
        <v/>
      </c>
      <c r="H49" s="64" t="str">
        <f ca="1">IF(COUNTIFS('SEANCE 1'!$B:$B, $B49, 'SEANCE 1'!$C:$C, H$2, 'SEANCE 1'!$F:$F, H$5)=0, "", COUNTIFS('SEANCE 1'!$B:$B, $B49, 'SEANCE 1'!$C:$C, H$2, 'SEANCE 1'!$F:$F, H$5))</f>
        <v/>
      </c>
      <c r="I49" s="64" t="str">
        <f ca="1">IF(COUNTIFS('SEANCE 1'!$B:$B, $B49, 'SEANCE 1'!$C:$C, I$2, 'SEANCE 1'!$F:$F, I$5)=0, "", COUNTIFS('SEANCE 1'!$B:$B, $B49, 'SEANCE 1'!$C:$C, I$2, 'SEANCE 1'!$F:$F, I$5))</f>
        <v/>
      </c>
      <c r="J49" s="64" t="str">
        <f ca="1">IF(COUNTIFS('SEANCE 1'!$B:$B, $B49, 'SEANCE 1'!$C:$C, J$2, 'SEANCE 1'!$F:$F, J$5)=0, "", COUNTIFS('SEANCE 1'!$B:$B, $B49, 'SEANCE 1'!$C:$C, J$2, 'SEANCE 1'!$F:$F, J$5))</f>
        <v/>
      </c>
      <c r="K49" s="64" t="str">
        <f ca="1">IF(COUNTIFS('SEANCE 1'!$B:$B, $B49, 'SEANCE 1'!$C:$C, K$2, 'SEANCE 1'!$F:$F, K$5)=0, "", COUNTIFS('SEANCE 1'!$B:$B, $B49, 'SEANCE 1'!$C:$C, K$2, 'SEANCE 1'!$F:$F, K$5))</f>
        <v/>
      </c>
      <c r="L49" s="64" t="str">
        <f ca="1">IF(COUNTIFS('SEANCE 1'!$B:$B, $B49, 'SEANCE 1'!$C:$C, L$2, 'SEANCE 1'!$F:$F, L$5)=0, "", COUNTIFS('SEANCE 1'!$B:$B, $B49, 'SEANCE 1'!$C:$C, L$2, 'SEANCE 1'!$F:$F, L$5))</f>
        <v/>
      </c>
      <c r="M49" s="64" t="str">
        <f ca="1">IF(COUNTIFS('SEANCE 1'!$B:$B, $B49, 'SEANCE 1'!$C:$C, M$2, 'SEANCE 1'!$F:$F, M$5)=0, "", COUNTIFS('SEANCE 1'!$B:$B, $B49, 'SEANCE 1'!$C:$C, M$2, 'SEANCE 1'!$F:$F, M$5))</f>
        <v/>
      </c>
      <c r="N49" s="64" t="str">
        <f ca="1">IF(COUNTIFS('SEANCE 1'!$B:$B, $B49, 'SEANCE 1'!$C:$C, N$2, 'SEANCE 1'!$F:$F, N$5)=0, "", COUNTIFS('SEANCE 1'!$B:$B, $B49, 'SEANCE 1'!$C:$C, N$2, 'SEANCE 1'!$F:$F, N$5))</f>
        <v/>
      </c>
      <c r="O49" s="64" t="str">
        <f ca="1">IF(COUNTIFS('SEANCE 1'!$B:$B, $B49, 'SEANCE 1'!$C:$C, O$2, 'SEANCE 1'!$F:$F, O$5)=0, "", COUNTIFS('SEANCE 1'!$B:$B, $B49, 'SEANCE 1'!$C:$C, O$2, 'SEANCE 1'!$F:$F, O$5))</f>
        <v/>
      </c>
      <c r="P49" s="64" t="str">
        <f ca="1">IF(COUNTIFS('SEANCE 1'!$B:$B, $B49, 'SEANCE 1'!$C:$C, P$2, 'SEANCE 1'!$F:$F, P$5)=0, "", COUNTIFS('SEANCE 1'!$B:$B, $B49, 'SEANCE 1'!$C:$C, P$2, 'SEANCE 1'!$F:$F, P$5))</f>
        <v/>
      </c>
      <c r="Q49" s="64" t="str">
        <f ca="1">IF(COUNTIFS('SEANCE 1'!$B:$B, $B49, 'SEANCE 1'!$C:$C, Q$2, 'SEANCE 1'!$F:$F, Q$5)=0, "", COUNTIFS('SEANCE 1'!$B:$B, $B49, 'SEANCE 1'!$C:$C, Q$2, 'SEANCE 1'!$F:$F, Q$5))</f>
        <v/>
      </c>
      <c r="R49" s="64" t="str">
        <f ca="1">IF(COUNTIFS('SEANCE 1'!$B:$B, $B49, 'SEANCE 1'!$C:$C, R$2, 'SEANCE 1'!$F:$F, R$5)=0, "", COUNTIFS('SEANCE 1'!$B:$B, $B49, 'SEANCE 1'!$C:$C, R$2, 'SEANCE 1'!$F:$F, R$5))</f>
        <v/>
      </c>
      <c r="S49" s="64" t="str">
        <f ca="1">IF(COUNTIFS('SEANCE 1'!$B:$B, $B49, 'SEANCE 1'!$C:$C, S$2, 'SEANCE 1'!$F:$F, S$5)=0, "", COUNTIFS('SEANCE 1'!$B:$B, $B49, 'SEANCE 1'!$C:$C, S$2, 'SEANCE 1'!$F:$F, S$5))</f>
        <v/>
      </c>
      <c r="T49" s="64" t="str">
        <f ca="1">IF(COUNTIFS('SEANCE 1'!$B:$B, $B49, 'SEANCE 1'!$C:$C, T$2, 'SEANCE 1'!$F:$F, T$5)=0, "", COUNTIFS('SEANCE 1'!$B:$B, $B49, 'SEANCE 1'!$C:$C, T$2, 'SEANCE 1'!$F:$F, T$5))</f>
        <v/>
      </c>
      <c r="U49" s="64" t="str">
        <f ca="1">IF(COUNTIFS('SEANCE 1'!$B:$B, $B49, 'SEANCE 1'!$C:$C, U$2, 'SEANCE 1'!$F:$F, U$5)=0, "", COUNTIFS('SEANCE 1'!$B:$B, $B49, 'SEANCE 1'!$C:$C, U$2, 'SEANCE 1'!$F:$F, U$5))</f>
        <v/>
      </c>
      <c r="V49" s="64" t="str">
        <f ca="1">IF(COUNTIFS('SEANCE 1'!$B:$B, $B49, 'SEANCE 1'!$C:$C, V$2, 'SEANCE 1'!$F:$F, V$5)=0, "", COUNTIFS('SEANCE 1'!$B:$B, $B49, 'SEANCE 1'!$C:$C, V$2, 'SEANCE 1'!$F:$F, V$5))</f>
        <v/>
      </c>
      <c r="W49" s="64" t="str">
        <f ca="1">IF(COUNTIFS('SEANCE 1'!$B:$B, $B49, 'SEANCE 1'!$C:$C, W$2, 'SEANCE 1'!$F:$F, W$5)=0, "", COUNTIFS('SEANCE 1'!$B:$B, $B49, 'SEANCE 1'!$C:$C, W$2, 'SEANCE 1'!$F:$F, W$5))</f>
        <v/>
      </c>
      <c r="X49" s="64" t="str">
        <f ca="1">IF(COUNTIFS('SEANCE 1'!$B:$B, $B49, 'SEANCE 1'!$C:$C, X$2, 'SEANCE 1'!$F:$F, X$5)=0, "", COUNTIFS('SEANCE 1'!$B:$B, $B49, 'SEANCE 1'!$C:$C, X$2, 'SEANCE 1'!$F:$F, X$5))</f>
        <v/>
      </c>
      <c r="Y49" s="64" t="str">
        <f ca="1">IF(COUNTIFS('SEANCE 1'!$B:$B, $B49, 'SEANCE 1'!$C:$C, Y$2, 'SEANCE 1'!$F:$F, Y$5)=0, "", COUNTIFS('SEANCE 1'!$B:$B, $B49, 'SEANCE 1'!$C:$C, Y$2, 'SEANCE 1'!$F:$F, Y$5))</f>
        <v/>
      </c>
      <c r="Z49" s="64" t="str">
        <f ca="1">IF(COUNTIFS('SEANCE 1'!$B:$B, $B49, 'SEANCE 1'!$C:$C, Z$2, 'SEANCE 1'!$F:$F, Z$5)=0, "", COUNTIFS('SEANCE 1'!$B:$B, $B49, 'SEANCE 1'!$C:$C, Z$2, 'SEANCE 1'!$F:$F, Z$5))</f>
        <v/>
      </c>
      <c r="AA49" s="64" t="str">
        <f ca="1">IF(COUNTIFS('SEANCE 1'!$B:$B, $B49, 'SEANCE 1'!$C:$C, AA$2, 'SEANCE 1'!$F:$F, AA$5)=0, "", COUNTIFS('SEANCE 1'!$B:$B, $B49, 'SEANCE 1'!$C:$C, AA$2, 'SEANCE 1'!$F:$F, AA$5))</f>
        <v/>
      </c>
      <c r="AB49" s="64" t="str">
        <f ca="1">IF(COUNTIFS('SEANCE 1'!$B:$B, $B49, 'SEANCE 1'!$C:$C, AB$2, 'SEANCE 1'!$F:$F, AB$5)=0, "", COUNTIFS('SEANCE 1'!$B:$B, $B49, 'SEANCE 1'!$C:$C, AB$2, 'SEANCE 1'!$F:$F, AB$5))</f>
        <v/>
      </c>
      <c r="AC49" s="64" t="str">
        <f ca="1">IF(COUNTIFS('SEANCE 1'!$B:$B, $B49, 'SEANCE 1'!$C:$C, AC$2, 'SEANCE 1'!$F:$F, AC$5)=0, "", COUNTIFS('SEANCE 1'!$B:$B, $B49, 'SEANCE 1'!$C:$C, AC$2, 'SEANCE 1'!$F:$F, AC$5))</f>
        <v/>
      </c>
      <c r="AD49" s="64" t="str">
        <f ca="1">IF(COUNTIFS('SEANCE 1'!$B:$B, $B49, 'SEANCE 1'!$C:$C, AD$2, 'SEANCE 1'!$F:$F, AD$5)=0, "", COUNTIFS('SEANCE 1'!$B:$B, $B49, 'SEANCE 1'!$C:$C, AD$2, 'SEANCE 1'!$F:$F, AD$5))</f>
        <v/>
      </c>
      <c r="AE49" s="64" t="str">
        <f ca="1">IF(COUNTIFS('SEANCE 1'!$B:$B, $B49, 'SEANCE 1'!$C:$C, AE$2, 'SEANCE 1'!$F:$F, AE$5)=0, "", COUNTIFS('SEANCE 1'!$B:$B, $B49, 'SEANCE 1'!$C:$C, AE$2, 'SEANCE 1'!$F:$F, AE$5))</f>
        <v/>
      </c>
      <c r="AF49" s="64" t="str">
        <f ca="1">IF(COUNTIFS('SEANCE 1'!$B:$B, $B49, 'SEANCE 1'!$C:$C, AF$2, 'SEANCE 1'!$F:$F, AF$5)=0, "", COUNTIFS('SEANCE 1'!$B:$B, $B49, 'SEANCE 1'!$C:$C, AF$2, 'SEANCE 1'!$F:$F, AF$5))</f>
        <v/>
      </c>
      <c r="AG49" s="64" t="str">
        <f ca="1">IF(COUNTIFS('SEANCE 1'!$B:$B, $B49, 'SEANCE 1'!$C:$C, AG$2, 'SEANCE 1'!$F:$F, AG$5)=0, "", COUNTIFS('SEANCE 1'!$B:$B, $B49, 'SEANCE 1'!$C:$C, AG$2, 'SEANCE 1'!$F:$F, AG$5))</f>
        <v/>
      </c>
      <c r="AH49" s="64" t="str">
        <f ca="1">IF(COUNTIFS('SEANCE 1'!$B:$B, $B49, 'SEANCE 1'!$C:$C, AH$2, 'SEANCE 1'!$F:$F, AH$5)=0, "", COUNTIFS('SEANCE 1'!$B:$B, $B49, 'SEANCE 1'!$C:$C, AH$2, 'SEANCE 1'!$F:$F, AH$5))</f>
        <v/>
      </c>
      <c r="AI49" s="64" t="str">
        <f ca="1">IF(COUNTIFS('SEANCE 1'!$B:$B, $B49, 'SEANCE 1'!$C:$C, AI$2, 'SEANCE 1'!$F:$F, AI$5)=0, "", COUNTIFS('SEANCE 1'!$B:$B, $B49, 'SEANCE 1'!$C:$C, AI$2, 'SEANCE 1'!$F:$F, AI$5))</f>
        <v/>
      </c>
      <c r="AJ49" s="64" t="str">
        <f ca="1">IF(COUNTIFS('SEANCE 1'!$B:$B, $B49, 'SEANCE 1'!$C:$C, AJ$2, 'SEANCE 1'!$F:$F, AJ$5)=0, "", COUNTIFS('SEANCE 1'!$B:$B, $B49, 'SEANCE 1'!$C:$C, AJ$2, 'SEANCE 1'!$F:$F, AJ$5))</f>
        <v/>
      </c>
      <c r="AK49" s="64" t="str">
        <f ca="1">IF(COUNTIFS('SEANCE 1'!$B:$B, $B49, 'SEANCE 1'!$C:$C, AK$2, 'SEANCE 1'!$F:$F, AK$5)=0, "", COUNTIFS('SEANCE 1'!$B:$B, $B49, 'SEANCE 1'!$C:$C, AK$2, 'SEANCE 1'!$F:$F, AK$5))</f>
        <v/>
      </c>
      <c r="AL49" s="64" t="str">
        <f ca="1">IF(COUNTIFS('SEANCE 1'!$B:$B, $B49, 'SEANCE 1'!$C:$C, AL$2, 'SEANCE 1'!$F:$F, AL$5)=0, "", COUNTIFS('SEANCE 1'!$B:$B, $B49, 'SEANCE 1'!$C:$C, AL$2, 'SEANCE 1'!$F:$F, AL$5))</f>
        <v/>
      </c>
      <c r="AM49" s="64" t="str">
        <f ca="1">IF(COUNTIFS('SEANCE 1'!$B:$B, $B49, 'SEANCE 1'!$C:$C, AM$2, 'SEANCE 1'!$F:$F, AM$5)=0, "", COUNTIFS('SEANCE 1'!$B:$B, $B49, 'SEANCE 1'!$C:$C, AM$2, 'SEANCE 1'!$F:$F, AM$5))</f>
        <v/>
      </c>
      <c r="AN49" s="64" t="str">
        <f ca="1">IF(COUNTIFS('SEANCE 1'!$B:$B, $B49, 'SEANCE 1'!$C:$C, AN$2, 'SEANCE 1'!$F:$F, AN$5)=0, "", COUNTIFS('SEANCE 1'!$B:$B, $B49, 'SEANCE 1'!$C:$C, AN$2, 'SEANCE 1'!$F:$F, AN$5))</f>
        <v/>
      </c>
      <c r="AO49" s="64" t="str">
        <f ca="1">IF(COUNTIFS('SEANCE 1'!$B:$B, $B49, 'SEANCE 1'!$C:$C, AO$2, 'SEANCE 1'!$F:$F, AO$5)=0, "", COUNTIFS('SEANCE 1'!$B:$B, $B49, 'SEANCE 1'!$C:$C, AO$2, 'SEANCE 1'!$F:$F, AO$5))</f>
        <v/>
      </c>
      <c r="AP49" s="64" t="str">
        <f ca="1">IF(COUNTIFS('SEANCE 1'!$B:$B, $B49, 'SEANCE 1'!$C:$C, AP$2, 'SEANCE 1'!$F:$F, AP$5)=0, "", COUNTIFS('SEANCE 1'!$B:$B, $B49, 'SEANCE 1'!$C:$C, AP$2, 'SEANCE 1'!$F:$F, AP$5))</f>
        <v/>
      </c>
      <c r="AQ49" s="64" t="str">
        <f ca="1">IF(COUNTIFS('SEANCE 1'!$B:$B, $B49, 'SEANCE 1'!$C:$C, AQ$2, 'SEANCE 1'!$F:$F, AQ$5)=0, "", COUNTIFS('SEANCE 1'!$B:$B, $B49, 'SEANCE 1'!$C:$C, AQ$2, 'SEANCE 1'!$F:$F, AQ$5))</f>
        <v/>
      </c>
      <c r="AR49" s="64" t="str">
        <f ca="1">IF(COUNTIFS('SEANCE 1'!$B:$B, $B49, 'SEANCE 1'!$C:$C, AR$2, 'SEANCE 1'!$F:$F, AR$5)=0, "", COUNTIFS('SEANCE 1'!$B:$B, $B49, 'SEANCE 1'!$C:$C, AR$2, 'SEANCE 1'!$F:$F, AR$5))</f>
        <v/>
      </c>
      <c r="AS49" s="64" t="str">
        <f ca="1">IF(COUNTIFS('SEANCE 1'!$B:$B, $B49, 'SEANCE 1'!$C:$C, AS$2, 'SEANCE 1'!$F:$F, AS$5)=0, "", COUNTIFS('SEANCE 1'!$B:$B, $B49, 'SEANCE 1'!$C:$C, AS$2, 'SEANCE 1'!$F:$F, AS$5))</f>
        <v/>
      </c>
      <c r="AT49" s="64" t="str">
        <f ca="1">IF(COUNTIFS('SEANCE 1'!$B:$B, $B49, 'SEANCE 1'!$C:$C, AT$2, 'SEANCE 1'!$F:$F, AT$5)=0, "", COUNTIFS('SEANCE 1'!$B:$B, $B49, 'SEANCE 1'!$C:$C, AT$2, 'SEANCE 1'!$F:$F, AT$5))</f>
        <v/>
      </c>
      <c r="AU49" s="64" t="str">
        <f ca="1">IF(COUNTIFS('SEANCE 1'!$B:$B, $B49, 'SEANCE 1'!$C:$C, AU$2, 'SEANCE 1'!$F:$F, AU$5)=0, "", COUNTIFS('SEANCE 1'!$B:$B, $B49, 'SEANCE 1'!$C:$C, AU$2, 'SEANCE 1'!$F:$F, AU$5))</f>
        <v/>
      </c>
      <c r="AV49" s="64" t="str">
        <f ca="1">IF(COUNTIFS('SEANCE 1'!$B:$B, $B49, 'SEANCE 1'!$C:$C, AV$2, 'SEANCE 1'!$F:$F, AV$5)=0, "", COUNTIFS('SEANCE 1'!$B:$B, $B49, 'SEANCE 1'!$C:$C, AV$2, 'SEANCE 1'!$F:$F, AV$5))</f>
        <v/>
      </c>
      <c r="AW49" s="64" t="str">
        <f ca="1">IF(COUNTIFS('SEANCE 1'!$B:$B, $B49, 'SEANCE 1'!$C:$C, AW$2, 'SEANCE 1'!$F:$F, AW$5)=0, "", COUNTIFS('SEANCE 1'!$B:$B, $B49, 'SEANCE 1'!$C:$C, AW$2, 'SEANCE 1'!$F:$F, AW$5))</f>
        <v/>
      </c>
      <c r="AX49" s="64" t="str">
        <f ca="1">IF(COUNTIFS('SEANCE 1'!$B:$B, $B49, 'SEANCE 1'!$C:$C, AX$2, 'SEANCE 1'!$F:$F, AX$5)=0, "", COUNTIFS('SEANCE 1'!$B:$B, $B49, 'SEANCE 1'!$C:$C, AX$2, 'SEANCE 1'!$F:$F, AX$5))</f>
        <v/>
      </c>
      <c r="AY49" s="64" t="str">
        <f ca="1">IF(COUNTIFS('SEANCE 1'!$B:$B, $B49, 'SEANCE 1'!$C:$C, AY$2, 'SEANCE 1'!$F:$F, AY$5)=0, "", COUNTIFS('SEANCE 1'!$B:$B, $B49, 'SEANCE 1'!$C:$C, AY$2, 'SEANCE 1'!$F:$F, AY$5))</f>
        <v/>
      </c>
      <c r="AZ49" s="32">
        <f t="shared" ca="1" si="0"/>
        <v>0</v>
      </c>
    </row>
    <row r="50" spans="1:52">
      <c r="A50" s="44" t="str">
        <f>IF('SEANCE 1'!$B46&lt;&gt;"",'SEANCE 1'!$A46,"")</f>
        <v/>
      </c>
      <c r="B50" s="44" t="str">
        <f t="array" aca="1" ref="B50" ca="1">IF(ISNA(INDEX(ListeB,MATCH(0,COUNTIF($B$5:B49,ListeB),0))),"",INDEX(ListeB,MATCH(0,COUNTIF($B$5:B49,ListeB),0)))</f>
        <v/>
      </c>
      <c r="C50" s="64" t="str">
        <f ca="1">IF(COUNTIFS('SEANCE 1'!$B:$B, $B50, 'SEANCE 1'!$C:$C, C$2, 'SEANCE 1'!$F:$F, C$5)=0, "", COUNTIFS('SEANCE 1'!$B:$B, $B50, 'SEANCE 1'!$C:$C, C$2, 'SEANCE 1'!$F:$F, C$5))</f>
        <v/>
      </c>
      <c r="D50" s="64" t="str">
        <f ca="1">IF(COUNTIFS('SEANCE 1'!$B:$B, $B50, 'SEANCE 1'!$C:$C, D$2, 'SEANCE 1'!$F:$F, D$5)=0, "", COUNTIFS('SEANCE 1'!$B:$B, $B50, 'SEANCE 1'!$C:$C, D$2, 'SEANCE 1'!$F:$F, D$5))</f>
        <v/>
      </c>
      <c r="E50" s="64" t="str">
        <f ca="1">IF(COUNTIFS('SEANCE 1'!$B:$B, $B50, 'SEANCE 1'!$C:$C, E$2, 'SEANCE 1'!$F:$F, E$5)=0, "", COUNTIFS('SEANCE 1'!$B:$B, $B50, 'SEANCE 1'!$C:$C, E$2, 'SEANCE 1'!$F:$F, E$5))</f>
        <v/>
      </c>
      <c r="F50" s="64" t="str">
        <f ca="1">IF(COUNTIFS('SEANCE 1'!$B:$B, $B50, 'SEANCE 1'!$C:$C, F$2, 'SEANCE 1'!$F:$F, F$5)=0, "", COUNTIFS('SEANCE 1'!$B:$B, $B50, 'SEANCE 1'!$C:$C, F$2, 'SEANCE 1'!$F:$F, F$5))</f>
        <v/>
      </c>
      <c r="G50" s="64" t="str">
        <f ca="1">IF(COUNTIFS('SEANCE 1'!$B:$B, $B50, 'SEANCE 1'!$C:$C, G$2, 'SEANCE 1'!$F:$F, G$5)=0, "", COUNTIFS('SEANCE 1'!$B:$B, $B50, 'SEANCE 1'!$C:$C, G$2, 'SEANCE 1'!$F:$F, G$5))</f>
        <v/>
      </c>
      <c r="H50" s="64" t="str">
        <f ca="1">IF(COUNTIFS('SEANCE 1'!$B:$B, $B50, 'SEANCE 1'!$C:$C, H$2, 'SEANCE 1'!$F:$F, H$5)=0, "", COUNTIFS('SEANCE 1'!$B:$B, $B50, 'SEANCE 1'!$C:$C, H$2, 'SEANCE 1'!$F:$F, H$5))</f>
        <v/>
      </c>
      <c r="I50" s="64" t="str">
        <f ca="1">IF(COUNTIFS('SEANCE 1'!$B:$B, $B50, 'SEANCE 1'!$C:$C, I$2, 'SEANCE 1'!$F:$F, I$5)=0, "", COUNTIFS('SEANCE 1'!$B:$B, $B50, 'SEANCE 1'!$C:$C, I$2, 'SEANCE 1'!$F:$F, I$5))</f>
        <v/>
      </c>
      <c r="J50" s="64" t="str">
        <f ca="1">IF(COUNTIFS('SEANCE 1'!$B:$B, $B50, 'SEANCE 1'!$C:$C, J$2, 'SEANCE 1'!$F:$F, J$5)=0, "", COUNTIFS('SEANCE 1'!$B:$B, $B50, 'SEANCE 1'!$C:$C, J$2, 'SEANCE 1'!$F:$F, J$5))</f>
        <v/>
      </c>
      <c r="K50" s="64" t="str">
        <f ca="1">IF(COUNTIFS('SEANCE 1'!$B:$B, $B50, 'SEANCE 1'!$C:$C, K$2, 'SEANCE 1'!$F:$F, K$5)=0, "", COUNTIFS('SEANCE 1'!$B:$B, $B50, 'SEANCE 1'!$C:$C, K$2, 'SEANCE 1'!$F:$F, K$5))</f>
        <v/>
      </c>
      <c r="L50" s="64" t="str">
        <f ca="1">IF(COUNTIFS('SEANCE 1'!$B:$B, $B50, 'SEANCE 1'!$C:$C, L$2, 'SEANCE 1'!$F:$F, L$5)=0, "", COUNTIFS('SEANCE 1'!$B:$B, $B50, 'SEANCE 1'!$C:$C, L$2, 'SEANCE 1'!$F:$F, L$5))</f>
        <v/>
      </c>
      <c r="M50" s="64" t="str">
        <f ca="1">IF(COUNTIFS('SEANCE 1'!$B:$B, $B50, 'SEANCE 1'!$C:$C, M$2, 'SEANCE 1'!$F:$F, M$5)=0, "", COUNTIFS('SEANCE 1'!$B:$B, $B50, 'SEANCE 1'!$C:$C, M$2, 'SEANCE 1'!$F:$F, M$5))</f>
        <v/>
      </c>
      <c r="N50" s="64" t="str">
        <f ca="1">IF(COUNTIFS('SEANCE 1'!$B:$B, $B50, 'SEANCE 1'!$C:$C, N$2, 'SEANCE 1'!$F:$F, N$5)=0, "", COUNTIFS('SEANCE 1'!$B:$B, $B50, 'SEANCE 1'!$C:$C, N$2, 'SEANCE 1'!$F:$F, N$5))</f>
        <v/>
      </c>
      <c r="O50" s="64" t="str">
        <f ca="1">IF(COUNTIFS('SEANCE 1'!$B:$B, $B50, 'SEANCE 1'!$C:$C, O$2, 'SEANCE 1'!$F:$F, O$5)=0, "", COUNTIFS('SEANCE 1'!$B:$B, $B50, 'SEANCE 1'!$C:$C, O$2, 'SEANCE 1'!$F:$F, O$5))</f>
        <v/>
      </c>
      <c r="P50" s="64" t="str">
        <f ca="1">IF(COUNTIFS('SEANCE 1'!$B:$B, $B50, 'SEANCE 1'!$C:$C, P$2, 'SEANCE 1'!$F:$F, P$5)=0, "", COUNTIFS('SEANCE 1'!$B:$B, $B50, 'SEANCE 1'!$C:$C, P$2, 'SEANCE 1'!$F:$F, P$5))</f>
        <v/>
      </c>
      <c r="Q50" s="64" t="str">
        <f ca="1">IF(COUNTIFS('SEANCE 1'!$B:$B, $B50, 'SEANCE 1'!$C:$C, Q$2, 'SEANCE 1'!$F:$F, Q$5)=0, "", COUNTIFS('SEANCE 1'!$B:$B, $B50, 'SEANCE 1'!$C:$C, Q$2, 'SEANCE 1'!$F:$F, Q$5))</f>
        <v/>
      </c>
      <c r="R50" s="64" t="str">
        <f ca="1">IF(COUNTIFS('SEANCE 1'!$B:$B, $B50, 'SEANCE 1'!$C:$C, R$2, 'SEANCE 1'!$F:$F, R$5)=0, "", COUNTIFS('SEANCE 1'!$B:$B, $B50, 'SEANCE 1'!$C:$C, R$2, 'SEANCE 1'!$F:$F, R$5))</f>
        <v/>
      </c>
      <c r="S50" s="64" t="str">
        <f ca="1">IF(COUNTIFS('SEANCE 1'!$B:$B, $B50, 'SEANCE 1'!$C:$C, S$2, 'SEANCE 1'!$F:$F, S$5)=0, "", COUNTIFS('SEANCE 1'!$B:$B, $B50, 'SEANCE 1'!$C:$C, S$2, 'SEANCE 1'!$F:$F, S$5))</f>
        <v/>
      </c>
      <c r="T50" s="64" t="str">
        <f ca="1">IF(COUNTIFS('SEANCE 1'!$B:$B, $B50, 'SEANCE 1'!$C:$C, T$2, 'SEANCE 1'!$F:$F, T$5)=0, "", COUNTIFS('SEANCE 1'!$B:$B, $B50, 'SEANCE 1'!$C:$C, T$2, 'SEANCE 1'!$F:$F, T$5))</f>
        <v/>
      </c>
      <c r="U50" s="64" t="str">
        <f ca="1">IF(COUNTIFS('SEANCE 1'!$B:$B, $B50, 'SEANCE 1'!$C:$C, U$2, 'SEANCE 1'!$F:$F, U$5)=0, "", COUNTIFS('SEANCE 1'!$B:$B, $B50, 'SEANCE 1'!$C:$C, U$2, 'SEANCE 1'!$F:$F, U$5))</f>
        <v/>
      </c>
      <c r="V50" s="64" t="str">
        <f ca="1">IF(COUNTIFS('SEANCE 1'!$B:$B, $B50, 'SEANCE 1'!$C:$C, V$2, 'SEANCE 1'!$F:$F, V$5)=0, "", COUNTIFS('SEANCE 1'!$B:$B, $B50, 'SEANCE 1'!$C:$C, V$2, 'SEANCE 1'!$F:$F, V$5))</f>
        <v/>
      </c>
      <c r="W50" s="64" t="str">
        <f ca="1">IF(COUNTIFS('SEANCE 1'!$B:$B, $B50, 'SEANCE 1'!$C:$C, W$2, 'SEANCE 1'!$F:$F, W$5)=0, "", COUNTIFS('SEANCE 1'!$B:$B, $B50, 'SEANCE 1'!$C:$C, W$2, 'SEANCE 1'!$F:$F, W$5))</f>
        <v/>
      </c>
      <c r="X50" s="64" t="str">
        <f ca="1">IF(COUNTIFS('SEANCE 1'!$B:$B, $B50, 'SEANCE 1'!$C:$C, X$2, 'SEANCE 1'!$F:$F, X$5)=0, "", COUNTIFS('SEANCE 1'!$B:$B, $B50, 'SEANCE 1'!$C:$C, X$2, 'SEANCE 1'!$F:$F, X$5))</f>
        <v/>
      </c>
      <c r="Y50" s="64" t="str">
        <f ca="1">IF(COUNTIFS('SEANCE 1'!$B:$B, $B50, 'SEANCE 1'!$C:$C, Y$2, 'SEANCE 1'!$F:$F, Y$5)=0, "", COUNTIFS('SEANCE 1'!$B:$B, $B50, 'SEANCE 1'!$C:$C, Y$2, 'SEANCE 1'!$F:$F, Y$5))</f>
        <v/>
      </c>
      <c r="Z50" s="64" t="str">
        <f ca="1">IF(COUNTIFS('SEANCE 1'!$B:$B, $B50, 'SEANCE 1'!$C:$C, Z$2, 'SEANCE 1'!$F:$F, Z$5)=0, "", COUNTIFS('SEANCE 1'!$B:$B, $B50, 'SEANCE 1'!$C:$C, Z$2, 'SEANCE 1'!$F:$F, Z$5))</f>
        <v/>
      </c>
      <c r="AA50" s="64" t="str">
        <f ca="1">IF(COUNTIFS('SEANCE 1'!$B:$B, $B50, 'SEANCE 1'!$C:$C, AA$2, 'SEANCE 1'!$F:$F, AA$5)=0, "", COUNTIFS('SEANCE 1'!$B:$B, $B50, 'SEANCE 1'!$C:$C, AA$2, 'SEANCE 1'!$F:$F, AA$5))</f>
        <v/>
      </c>
      <c r="AB50" s="64" t="str">
        <f ca="1">IF(COUNTIFS('SEANCE 1'!$B:$B, $B50, 'SEANCE 1'!$C:$C, AB$2, 'SEANCE 1'!$F:$F, AB$5)=0, "", COUNTIFS('SEANCE 1'!$B:$B, $B50, 'SEANCE 1'!$C:$C, AB$2, 'SEANCE 1'!$F:$F, AB$5))</f>
        <v/>
      </c>
      <c r="AC50" s="64" t="str">
        <f ca="1">IF(COUNTIFS('SEANCE 1'!$B:$B, $B50, 'SEANCE 1'!$C:$C, AC$2, 'SEANCE 1'!$F:$F, AC$5)=0, "", COUNTIFS('SEANCE 1'!$B:$B, $B50, 'SEANCE 1'!$C:$C, AC$2, 'SEANCE 1'!$F:$F, AC$5))</f>
        <v/>
      </c>
      <c r="AD50" s="64" t="str">
        <f ca="1">IF(COUNTIFS('SEANCE 1'!$B:$B, $B50, 'SEANCE 1'!$C:$C, AD$2, 'SEANCE 1'!$F:$F, AD$5)=0, "", COUNTIFS('SEANCE 1'!$B:$B, $B50, 'SEANCE 1'!$C:$C, AD$2, 'SEANCE 1'!$F:$F, AD$5))</f>
        <v/>
      </c>
      <c r="AE50" s="64" t="str">
        <f ca="1">IF(COUNTIFS('SEANCE 1'!$B:$B, $B50, 'SEANCE 1'!$C:$C, AE$2, 'SEANCE 1'!$F:$F, AE$5)=0, "", COUNTIFS('SEANCE 1'!$B:$B, $B50, 'SEANCE 1'!$C:$C, AE$2, 'SEANCE 1'!$F:$F, AE$5))</f>
        <v/>
      </c>
      <c r="AF50" s="64" t="str">
        <f ca="1">IF(COUNTIFS('SEANCE 1'!$B:$B, $B50, 'SEANCE 1'!$C:$C, AF$2, 'SEANCE 1'!$F:$F, AF$5)=0, "", COUNTIFS('SEANCE 1'!$B:$B, $B50, 'SEANCE 1'!$C:$C, AF$2, 'SEANCE 1'!$F:$F, AF$5))</f>
        <v/>
      </c>
      <c r="AG50" s="64" t="str">
        <f ca="1">IF(COUNTIFS('SEANCE 1'!$B:$B, $B50, 'SEANCE 1'!$C:$C, AG$2, 'SEANCE 1'!$F:$F, AG$5)=0, "", COUNTIFS('SEANCE 1'!$B:$B, $B50, 'SEANCE 1'!$C:$C, AG$2, 'SEANCE 1'!$F:$F, AG$5))</f>
        <v/>
      </c>
      <c r="AH50" s="64" t="str">
        <f ca="1">IF(COUNTIFS('SEANCE 1'!$B:$B, $B50, 'SEANCE 1'!$C:$C, AH$2, 'SEANCE 1'!$F:$F, AH$5)=0, "", COUNTIFS('SEANCE 1'!$B:$B, $B50, 'SEANCE 1'!$C:$C, AH$2, 'SEANCE 1'!$F:$F, AH$5))</f>
        <v/>
      </c>
      <c r="AI50" s="64" t="str">
        <f ca="1">IF(COUNTIFS('SEANCE 1'!$B:$B, $B50, 'SEANCE 1'!$C:$C, AI$2, 'SEANCE 1'!$F:$F, AI$5)=0, "", COUNTIFS('SEANCE 1'!$B:$B, $B50, 'SEANCE 1'!$C:$C, AI$2, 'SEANCE 1'!$F:$F, AI$5))</f>
        <v/>
      </c>
      <c r="AJ50" s="64" t="str">
        <f ca="1">IF(COUNTIFS('SEANCE 1'!$B:$B, $B50, 'SEANCE 1'!$C:$C, AJ$2, 'SEANCE 1'!$F:$F, AJ$5)=0, "", COUNTIFS('SEANCE 1'!$B:$B, $B50, 'SEANCE 1'!$C:$C, AJ$2, 'SEANCE 1'!$F:$F, AJ$5))</f>
        <v/>
      </c>
      <c r="AK50" s="64" t="str">
        <f ca="1">IF(COUNTIFS('SEANCE 1'!$B:$B, $B50, 'SEANCE 1'!$C:$C, AK$2, 'SEANCE 1'!$F:$F, AK$5)=0, "", COUNTIFS('SEANCE 1'!$B:$B, $B50, 'SEANCE 1'!$C:$C, AK$2, 'SEANCE 1'!$F:$F, AK$5))</f>
        <v/>
      </c>
      <c r="AL50" s="64" t="str">
        <f ca="1">IF(COUNTIFS('SEANCE 1'!$B:$B, $B50, 'SEANCE 1'!$C:$C, AL$2, 'SEANCE 1'!$F:$F, AL$5)=0, "", COUNTIFS('SEANCE 1'!$B:$B, $B50, 'SEANCE 1'!$C:$C, AL$2, 'SEANCE 1'!$F:$F, AL$5))</f>
        <v/>
      </c>
      <c r="AM50" s="64" t="str">
        <f ca="1">IF(COUNTIFS('SEANCE 1'!$B:$B, $B50, 'SEANCE 1'!$C:$C, AM$2, 'SEANCE 1'!$F:$F, AM$5)=0, "", COUNTIFS('SEANCE 1'!$B:$B, $B50, 'SEANCE 1'!$C:$C, AM$2, 'SEANCE 1'!$F:$F, AM$5))</f>
        <v/>
      </c>
      <c r="AN50" s="64" t="str">
        <f ca="1">IF(COUNTIFS('SEANCE 1'!$B:$B, $B50, 'SEANCE 1'!$C:$C, AN$2, 'SEANCE 1'!$F:$F, AN$5)=0, "", COUNTIFS('SEANCE 1'!$B:$B, $B50, 'SEANCE 1'!$C:$C, AN$2, 'SEANCE 1'!$F:$F, AN$5))</f>
        <v/>
      </c>
      <c r="AO50" s="64" t="str">
        <f ca="1">IF(COUNTIFS('SEANCE 1'!$B:$B, $B50, 'SEANCE 1'!$C:$C, AO$2, 'SEANCE 1'!$F:$F, AO$5)=0, "", COUNTIFS('SEANCE 1'!$B:$B, $B50, 'SEANCE 1'!$C:$C, AO$2, 'SEANCE 1'!$F:$F, AO$5))</f>
        <v/>
      </c>
      <c r="AP50" s="64" t="str">
        <f ca="1">IF(COUNTIFS('SEANCE 1'!$B:$B, $B50, 'SEANCE 1'!$C:$C, AP$2, 'SEANCE 1'!$F:$F, AP$5)=0, "", COUNTIFS('SEANCE 1'!$B:$B, $B50, 'SEANCE 1'!$C:$C, AP$2, 'SEANCE 1'!$F:$F, AP$5))</f>
        <v/>
      </c>
      <c r="AQ50" s="64" t="str">
        <f ca="1">IF(COUNTIFS('SEANCE 1'!$B:$B, $B50, 'SEANCE 1'!$C:$C, AQ$2, 'SEANCE 1'!$F:$F, AQ$5)=0, "", COUNTIFS('SEANCE 1'!$B:$B, $B50, 'SEANCE 1'!$C:$C, AQ$2, 'SEANCE 1'!$F:$F, AQ$5))</f>
        <v/>
      </c>
      <c r="AR50" s="64" t="str">
        <f ca="1">IF(COUNTIFS('SEANCE 1'!$B:$B, $B50, 'SEANCE 1'!$C:$C, AR$2, 'SEANCE 1'!$F:$F, AR$5)=0, "", COUNTIFS('SEANCE 1'!$B:$B, $B50, 'SEANCE 1'!$C:$C, AR$2, 'SEANCE 1'!$F:$F, AR$5))</f>
        <v/>
      </c>
      <c r="AS50" s="64" t="str">
        <f ca="1">IF(COUNTIFS('SEANCE 1'!$B:$B, $B50, 'SEANCE 1'!$C:$C, AS$2, 'SEANCE 1'!$F:$F, AS$5)=0, "", COUNTIFS('SEANCE 1'!$B:$B, $B50, 'SEANCE 1'!$C:$C, AS$2, 'SEANCE 1'!$F:$F, AS$5))</f>
        <v/>
      </c>
      <c r="AT50" s="64" t="str">
        <f ca="1">IF(COUNTIFS('SEANCE 1'!$B:$B, $B50, 'SEANCE 1'!$C:$C, AT$2, 'SEANCE 1'!$F:$F, AT$5)=0, "", COUNTIFS('SEANCE 1'!$B:$B, $B50, 'SEANCE 1'!$C:$C, AT$2, 'SEANCE 1'!$F:$F, AT$5))</f>
        <v/>
      </c>
      <c r="AU50" s="64" t="str">
        <f ca="1">IF(COUNTIFS('SEANCE 1'!$B:$B, $B50, 'SEANCE 1'!$C:$C, AU$2, 'SEANCE 1'!$F:$F, AU$5)=0, "", COUNTIFS('SEANCE 1'!$B:$B, $B50, 'SEANCE 1'!$C:$C, AU$2, 'SEANCE 1'!$F:$F, AU$5))</f>
        <v/>
      </c>
      <c r="AV50" s="64" t="str">
        <f ca="1">IF(COUNTIFS('SEANCE 1'!$B:$B, $B50, 'SEANCE 1'!$C:$C, AV$2, 'SEANCE 1'!$F:$F, AV$5)=0, "", COUNTIFS('SEANCE 1'!$B:$B, $B50, 'SEANCE 1'!$C:$C, AV$2, 'SEANCE 1'!$F:$F, AV$5))</f>
        <v/>
      </c>
      <c r="AW50" s="64" t="str">
        <f ca="1">IF(COUNTIFS('SEANCE 1'!$B:$B, $B50, 'SEANCE 1'!$C:$C, AW$2, 'SEANCE 1'!$F:$F, AW$5)=0, "", COUNTIFS('SEANCE 1'!$B:$B, $B50, 'SEANCE 1'!$C:$C, AW$2, 'SEANCE 1'!$F:$F, AW$5))</f>
        <v/>
      </c>
      <c r="AX50" s="64" t="str">
        <f ca="1">IF(COUNTIFS('SEANCE 1'!$B:$B, $B50, 'SEANCE 1'!$C:$C, AX$2, 'SEANCE 1'!$F:$F, AX$5)=0, "", COUNTIFS('SEANCE 1'!$B:$B, $B50, 'SEANCE 1'!$C:$C, AX$2, 'SEANCE 1'!$F:$F, AX$5))</f>
        <v/>
      </c>
      <c r="AY50" s="64" t="str">
        <f ca="1">IF(COUNTIFS('SEANCE 1'!$B:$B, $B50, 'SEANCE 1'!$C:$C, AY$2, 'SEANCE 1'!$F:$F, AY$5)=0, "", COUNTIFS('SEANCE 1'!$B:$B, $B50, 'SEANCE 1'!$C:$C, AY$2, 'SEANCE 1'!$F:$F, AY$5))</f>
        <v/>
      </c>
      <c r="AZ50" s="32">
        <f t="shared" ca="1" si="0"/>
        <v>0</v>
      </c>
    </row>
    <row r="51" spans="1:52">
      <c r="A51" s="44" t="str">
        <f>IF('SEANCE 1'!$B47&lt;&gt;"",'SEANCE 1'!$A47,"")</f>
        <v/>
      </c>
      <c r="B51" s="44" t="str">
        <f t="array" aca="1" ref="B51" ca="1">IF(ISNA(INDEX(ListeB,MATCH(0,COUNTIF($B$5:B50,ListeB),0))),"",INDEX(ListeB,MATCH(0,COUNTIF($B$5:B50,ListeB),0)))</f>
        <v/>
      </c>
      <c r="C51" s="64" t="str">
        <f ca="1">IF(COUNTIFS('SEANCE 1'!$B:$B, $B51, 'SEANCE 1'!$C:$C, C$2, 'SEANCE 1'!$F:$F, C$5)=0, "", COUNTIFS('SEANCE 1'!$B:$B, $B51, 'SEANCE 1'!$C:$C, C$2, 'SEANCE 1'!$F:$F, C$5))</f>
        <v/>
      </c>
      <c r="D51" s="64" t="str">
        <f ca="1">IF(COUNTIFS('SEANCE 1'!$B:$B, $B51, 'SEANCE 1'!$C:$C, D$2, 'SEANCE 1'!$F:$F, D$5)=0, "", COUNTIFS('SEANCE 1'!$B:$B, $B51, 'SEANCE 1'!$C:$C, D$2, 'SEANCE 1'!$F:$F, D$5))</f>
        <v/>
      </c>
      <c r="E51" s="64" t="str">
        <f ca="1">IF(COUNTIFS('SEANCE 1'!$B:$B, $B51, 'SEANCE 1'!$C:$C, E$2, 'SEANCE 1'!$F:$F, E$5)=0, "", COUNTIFS('SEANCE 1'!$B:$B, $B51, 'SEANCE 1'!$C:$C, E$2, 'SEANCE 1'!$F:$F, E$5))</f>
        <v/>
      </c>
      <c r="F51" s="64" t="str">
        <f ca="1">IF(COUNTIFS('SEANCE 1'!$B:$B, $B51, 'SEANCE 1'!$C:$C, F$2, 'SEANCE 1'!$F:$F, F$5)=0, "", COUNTIFS('SEANCE 1'!$B:$B, $B51, 'SEANCE 1'!$C:$C, F$2, 'SEANCE 1'!$F:$F, F$5))</f>
        <v/>
      </c>
      <c r="G51" s="64" t="str">
        <f ca="1">IF(COUNTIFS('SEANCE 1'!$B:$B, $B51, 'SEANCE 1'!$C:$C, G$2, 'SEANCE 1'!$F:$F, G$5)=0, "", COUNTIFS('SEANCE 1'!$B:$B, $B51, 'SEANCE 1'!$C:$C, G$2, 'SEANCE 1'!$F:$F, G$5))</f>
        <v/>
      </c>
      <c r="H51" s="64" t="str">
        <f ca="1">IF(COUNTIFS('SEANCE 1'!$B:$B, $B51, 'SEANCE 1'!$C:$C, H$2, 'SEANCE 1'!$F:$F, H$5)=0, "", COUNTIFS('SEANCE 1'!$B:$B, $B51, 'SEANCE 1'!$C:$C, H$2, 'SEANCE 1'!$F:$F, H$5))</f>
        <v/>
      </c>
      <c r="I51" s="64" t="str">
        <f ca="1">IF(COUNTIFS('SEANCE 1'!$B:$B, $B51, 'SEANCE 1'!$C:$C, I$2, 'SEANCE 1'!$F:$F, I$5)=0, "", COUNTIFS('SEANCE 1'!$B:$B, $B51, 'SEANCE 1'!$C:$C, I$2, 'SEANCE 1'!$F:$F, I$5))</f>
        <v/>
      </c>
      <c r="J51" s="64" t="str">
        <f ca="1">IF(COUNTIFS('SEANCE 1'!$B:$B, $B51, 'SEANCE 1'!$C:$C, J$2, 'SEANCE 1'!$F:$F, J$5)=0, "", COUNTIFS('SEANCE 1'!$B:$B, $B51, 'SEANCE 1'!$C:$C, J$2, 'SEANCE 1'!$F:$F, J$5))</f>
        <v/>
      </c>
      <c r="K51" s="64" t="str">
        <f ca="1">IF(COUNTIFS('SEANCE 1'!$B:$B, $B51, 'SEANCE 1'!$C:$C, K$2, 'SEANCE 1'!$F:$F, K$5)=0, "", COUNTIFS('SEANCE 1'!$B:$B, $B51, 'SEANCE 1'!$C:$C, K$2, 'SEANCE 1'!$F:$F, K$5))</f>
        <v/>
      </c>
      <c r="L51" s="64" t="str">
        <f ca="1">IF(COUNTIFS('SEANCE 1'!$B:$B, $B51, 'SEANCE 1'!$C:$C, L$2, 'SEANCE 1'!$F:$F, L$5)=0, "", COUNTIFS('SEANCE 1'!$B:$B, $B51, 'SEANCE 1'!$C:$C, L$2, 'SEANCE 1'!$F:$F, L$5))</f>
        <v/>
      </c>
      <c r="M51" s="64" t="str">
        <f ca="1">IF(COUNTIFS('SEANCE 1'!$B:$B, $B51, 'SEANCE 1'!$C:$C, M$2, 'SEANCE 1'!$F:$F, M$5)=0, "", COUNTIFS('SEANCE 1'!$B:$B, $B51, 'SEANCE 1'!$C:$C, M$2, 'SEANCE 1'!$F:$F, M$5))</f>
        <v/>
      </c>
      <c r="N51" s="64" t="str">
        <f ca="1">IF(COUNTIFS('SEANCE 1'!$B:$B, $B51, 'SEANCE 1'!$C:$C, N$2, 'SEANCE 1'!$F:$F, N$5)=0, "", COUNTIFS('SEANCE 1'!$B:$B, $B51, 'SEANCE 1'!$C:$C, N$2, 'SEANCE 1'!$F:$F, N$5))</f>
        <v/>
      </c>
      <c r="O51" s="64" t="str">
        <f ca="1">IF(COUNTIFS('SEANCE 1'!$B:$B, $B51, 'SEANCE 1'!$C:$C, O$2, 'SEANCE 1'!$F:$F, O$5)=0, "", COUNTIFS('SEANCE 1'!$B:$B, $B51, 'SEANCE 1'!$C:$C, O$2, 'SEANCE 1'!$F:$F, O$5))</f>
        <v/>
      </c>
      <c r="P51" s="64" t="str">
        <f ca="1">IF(COUNTIFS('SEANCE 1'!$B:$B, $B51, 'SEANCE 1'!$C:$C, P$2, 'SEANCE 1'!$F:$F, P$5)=0, "", COUNTIFS('SEANCE 1'!$B:$B, $B51, 'SEANCE 1'!$C:$C, P$2, 'SEANCE 1'!$F:$F, P$5))</f>
        <v/>
      </c>
      <c r="Q51" s="64" t="str">
        <f ca="1">IF(COUNTIFS('SEANCE 1'!$B:$B, $B51, 'SEANCE 1'!$C:$C, Q$2, 'SEANCE 1'!$F:$F, Q$5)=0, "", COUNTIFS('SEANCE 1'!$B:$B, $B51, 'SEANCE 1'!$C:$C, Q$2, 'SEANCE 1'!$F:$F, Q$5))</f>
        <v/>
      </c>
      <c r="R51" s="64" t="str">
        <f ca="1">IF(COUNTIFS('SEANCE 1'!$B:$B, $B51, 'SEANCE 1'!$C:$C, R$2, 'SEANCE 1'!$F:$F, R$5)=0, "", COUNTIFS('SEANCE 1'!$B:$B, $B51, 'SEANCE 1'!$C:$C, R$2, 'SEANCE 1'!$F:$F, R$5))</f>
        <v/>
      </c>
      <c r="S51" s="64" t="str">
        <f ca="1">IF(COUNTIFS('SEANCE 1'!$B:$B, $B51, 'SEANCE 1'!$C:$C, S$2, 'SEANCE 1'!$F:$F, S$5)=0, "", COUNTIFS('SEANCE 1'!$B:$B, $B51, 'SEANCE 1'!$C:$C, S$2, 'SEANCE 1'!$F:$F, S$5))</f>
        <v/>
      </c>
      <c r="T51" s="64" t="str">
        <f ca="1">IF(COUNTIFS('SEANCE 1'!$B:$B, $B51, 'SEANCE 1'!$C:$C, T$2, 'SEANCE 1'!$F:$F, T$5)=0, "", COUNTIFS('SEANCE 1'!$B:$B, $B51, 'SEANCE 1'!$C:$C, T$2, 'SEANCE 1'!$F:$F, T$5))</f>
        <v/>
      </c>
      <c r="U51" s="64" t="str">
        <f ca="1">IF(COUNTIFS('SEANCE 1'!$B:$B, $B51, 'SEANCE 1'!$C:$C, U$2, 'SEANCE 1'!$F:$F, U$5)=0, "", COUNTIFS('SEANCE 1'!$B:$B, $B51, 'SEANCE 1'!$C:$C, U$2, 'SEANCE 1'!$F:$F, U$5))</f>
        <v/>
      </c>
      <c r="V51" s="64" t="str">
        <f ca="1">IF(COUNTIFS('SEANCE 1'!$B:$B, $B51, 'SEANCE 1'!$C:$C, V$2, 'SEANCE 1'!$F:$F, V$5)=0, "", COUNTIFS('SEANCE 1'!$B:$B, $B51, 'SEANCE 1'!$C:$C, V$2, 'SEANCE 1'!$F:$F, V$5))</f>
        <v/>
      </c>
      <c r="W51" s="64" t="str">
        <f ca="1">IF(COUNTIFS('SEANCE 1'!$B:$B, $B51, 'SEANCE 1'!$C:$C, W$2, 'SEANCE 1'!$F:$F, W$5)=0, "", COUNTIFS('SEANCE 1'!$B:$B, $B51, 'SEANCE 1'!$C:$C, W$2, 'SEANCE 1'!$F:$F, W$5))</f>
        <v/>
      </c>
      <c r="X51" s="64" t="str">
        <f ca="1">IF(COUNTIFS('SEANCE 1'!$B:$B, $B51, 'SEANCE 1'!$C:$C, X$2, 'SEANCE 1'!$F:$F, X$5)=0, "", COUNTIFS('SEANCE 1'!$B:$B, $B51, 'SEANCE 1'!$C:$C, X$2, 'SEANCE 1'!$F:$F, X$5))</f>
        <v/>
      </c>
      <c r="Y51" s="64" t="str">
        <f ca="1">IF(COUNTIFS('SEANCE 1'!$B:$B, $B51, 'SEANCE 1'!$C:$C, Y$2, 'SEANCE 1'!$F:$F, Y$5)=0, "", COUNTIFS('SEANCE 1'!$B:$B, $B51, 'SEANCE 1'!$C:$C, Y$2, 'SEANCE 1'!$F:$F, Y$5))</f>
        <v/>
      </c>
      <c r="Z51" s="64" t="str">
        <f ca="1">IF(COUNTIFS('SEANCE 1'!$B:$B, $B51, 'SEANCE 1'!$C:$C, Z$2, 'SEANCE 1'!$F:$F, Z$5)=0, "", COUNTIFS('SEANCE 1'!$B:$B, $B51, 'SEANCE 1'!$C:$C, Z$2, 'SEANCE 1'!$F:$F, Z$5))</f>
        <v/>
      </c>
      <c r="AA51" s="64" t="str">
        <f ca="1">IF(COUNTIFS('SEANCE 1'!$B:$B, $B51, 'SEANCE 1'!$C:$C, AA$2, 'SEANCE 1'!$F:$F, AA$5)=0, "", COUNTIFS('SEANCE 1'!$B:$B, $B51, 'SEANCE 1'!$C:$C, AA$2, 'SEANCE 1'!$F:$F, AA$5))</f>
        <v/>
      </c>
      <c r="AB51" s="64" t="str">
        <f ca="1">IF(COUNTIFS('SEANCE 1'!$B:$B, $B51, 'SEANCE 1'!$C:$C, AB$2, 'SEANCE 1'!$F:$F, AB$5)=0, "", COUNTIFS('SEANCE 1'!$B:$B, $B51, 'SEANCE 1'!$C:$C, AB$2, 'SEANCE 1'!$F:$F, AB$5))</f>
        <v/>
      </c>
      <c r="AC51" s="64" t="str">
        <f ca="1">IF(COUNTIFS('SEANCE 1'!$B:$B, $B51, 'SEANCE 1'!$C:$C, AC$2, 'SEANCE 1'!$F:$F, AC$5)=0, "", COUNTIFS('SEANCE 1'!$B:$B, $B51, 'SEANCE 1'!$C:$C, AC$2, 'SEANCE 1'!$F:$F, AC$5))</f>
        <v/>
      </c>
      <c r="AD51" s="64" t="str">
        <f ca="1">IF(COUNTIFS('SEANCE 1'!$B:$B, $B51, 'SEANCE 1'!$C:$C, AD$2, 'SEANCE 1'!$F:$F, AD$5)=0, "", COUNTIFS('SEANCE 1'!$B:$B, $B51, 'SEANCE 1'!$C:$C, AD$2, 'SEANCE 1'!$F:$F, AD$5))</f>
        <v/>
      </c>
      <c r="AE51" s="64" t="str">
        <f ca="1">IF(COUNTIFS('SEANCE 1'!$B:$B, $B51, 'SEANCE 1'!$C:$C, AE$2, 'SEANCE 1'!$F:$F, AE$5)=0, "", COUNTIFS('SEANCE 1'!$B:$B, $B51, 'SEANCE 1'!$C:$C, AE$2, 'SEANCE 1'!$F:$F, AE$5))</f>
        <v/>
      </c>
      <c r="AF51" s="64" t="str">
        <f ca="1">IF(COUNTIFS('SEANCE 1'!$B:$B, $B51, 'SEANCE 1'!$C:$C, AF$2, 'SEANCE 1'!$F:$F, AF$5)=0, "", COUNTIFS('SEANCE 1'!$B:$B, $B51, 'SEANCE 1'!$C:$C, AF$2, 'SEANCE 1'!$F:$F, AF$5))</f>
        <v/>
      </c>
      <c r="AG51" s="64" t="str">
        <f ca="1">IF(COUNTIFS('SEANCE 1'!$B:$B, $B51, 'SEANCE 1'!$C:$C, AG$2, 'SEANCE 1'!$F:$F, AG$5)=0, "", COUNTIFS('SEANCE 1'!$B:$B, $B51, 'SEANCE 1'!$C:$C, AG$2, 'SEANCE 1'!$F:$F, AG$5))</f>
        <v/>
      </c>
      <c r="AH51" s="64" t="str">
        <f ca="1">IF(COUNTIFS('SEANCE 1'!$B:$B, $B51, 'SEANCE 1'!$C:$C, AH$2, 'SEANCE 1'!$F:$F, AH$5)=0, "", COUNTIFS('SEANCE 1'!$B:$B, $B51, 'SEANCE 1'!$C:$C, AH$2, 'SEANCE 1'!$F:$F, AH$5))</f>
        <v/>
      </c>
      <c r="AI51" s="64" t="str">
        <f ca="1">IF(COUNTIFS('SEANCE 1'!$B:$B, $B51, 'SEANCE 1'!$C:$C, AI$2, 'SEANCE 1'!$F:$F, AI$5)=0, "", COUNTIFS('SEANCE 1'!$B:$B, $B51, 'SEANCE 1'!$C:$C, AI$2, 'SEANCE 1'!$F:$F, AI$5))</f>
        <v/>
      </c>
      <c r="AJ51" s="64" t="str">
        <f ca="1">IF(COUNTIFS('SEANCE 1'!$B:$B, $B51, 'SEANCE 1'!$C:$C, AJ$2, 'SEANCE 1'!$F:$F, AJ$5)=0, "", COUNTIFS('SEANCE 1'!$B:$B, $B51, 'SEANCE 1'!$C:$C, AJ$2, 'SEANCE 1'!$F:$F, AJ$5))</f>
        <v/>
      </c>
      <c r="AK51" s="64" t="str">
        <f ca="1">IF(COUNTIFS('SEANCE 1'!$B:$B, $B51, 'SEANCE 1'!$C:$C, AK$2, 'SEANCE 1'!$F:$F, AK$5)=0, "", COUNTIFS('SEANCE 1'!$B:$B, $B51, 'SEANCE 1'!$C:$C, AK$2, 'SEANCE 1'!$F:$F, AK$5))</f>
        <v/>
      </c>
      <c r="AL51" s="64" t="str">
        <f ca="1">IF(COUNTIFS('SEANCE 1'!$B:$B, $B51, 'SEANCE 1'!$C:$C, AL$2, 'SEANCE 1'!$F:$F, AL$5)=0, "", COUNTIFS('SEANCE 1'!$B:$B, $B51, 'SEANCE 1'!$C:$C, AL$2, 'SEANCE 1'!$F:$F, AL$5))</f>
        <v/>
      </c>
      <c r="AM51" s="64" t="str">
        <f ca="1">IF(COUNTIFS('SEANCE 1'!$B:$B, $B51, 'SEANCE 1'!$C:$C, AM$2, 'SEANCE 1'!$F:$F, AM$5)=0, "", COUNTIFS('SEANCE 1'!$B:$B, $B51, 'SEANCE 1'!$C:$C, AM$2, 'SEANCE 1'!$F:$F, AM$5))</f>
        <v/>
      </c>
      <c r="AN51" s="64" t="str">
        <f ca="1">IF(COUNTIFS('SEANCE 1'!$B:$B, $B51, 'SEANCE 1'!$C:$C, AN$2, 'SEANCE 1'!$F:$F, AN$5)=0, "", COUNTIFS('SEANCE 1'!$B:$B, $B51, 'SEANCE 1'!$C:$C, AN$2, 'SEANCE 1'!$F:$F, AN$5))</f>
        <v/>
      </c>
      <c r="AO51" s="64" t="str">
        <f ca="1">IF(COUNTIFS('SEANCE 1'!$B:$B, $B51, 'SEANCE 1'!$C:$C, AO$2, 'SEANCE 1'!$F:$F, AO$5)=0, "", COUNTIFS('SEANCE 1'!$B:$B, $B51, 'SEANCE 1'!$C:$C, AO$2, 'SEANCE 1'!$F:$F, AO$5))</f>
        <v/>
      </c>
      <c r="AP51" s="64" t="str">
        <f ca="1">IF(COUNTIFS('SEANCE 1'!$B:$B, $B51, 'SEANCE 1'!$C:$C, AP$2, 'SEANCE 1'!$F:$F, AP$5)=0, "", COUNTIFS('SEANCE 1'!$B:$B, $B51, 'SEANCE 1'!$C:$C, AP$2, 'SEANCE 1'!$F:$F, AP$5))</f>
        <v/>
      </c>
      <c r="AQ51" s="64" t="str">
        <f ca="1">IF(COUNTIFS('SEANCE 1'!$B:$B, $B51, 'SEANCE 1'!$C:$C, AQ$2, 'SEANCE 1'!$F:$F, AQ$5)=0, "", COUNTIFS('SEANCE 1'!$B:$B, $B51, 'SEANCE 1'!$C:$C, AQ$2, 'SEANCE 1'!$F:$F, AQ$5))</f>
        <v/>
      </c>
      <c r="AR51" s="64" t="str">
        <f ca="1">IF(COUNTIFS('SEANCE 1'!$B:$B, $B51, 'SEANCE 1'!$C:$C, AR$2, 'SEANCE 1'!$F:$F, AR$5)=0, "", COUNTIFS('SEANCE 1'!$B:$B, $B51, 'SEANCE 1'!$C:$C, AR$2, 'SEANCE 1'!$F:$F, AR$5))</f>
        <v/>
      </c>
      <c r="AS51" s="64" t="str">
        <f ca="1">IF(COUNTIFS('SEANCE 1'!$B:$B, $B51, 'SEANCE 1'!$C:$C, AS$2, 'SEANCE 1'!$F:$F, AS$5)=0, "", COUNTIFS('SEANCE 1'!$B:$B, $B51, 'SEANCE 1'!$C:$C, AS$2, 'SEANCE 1'!$F:$F, AS$5))</f>
        <v/>
      </c>
      <c r="AT51" s="64" t="str">
        <f ca="1">IF(COUNTIFS('SEANCE 1'!$B:$B, $B51, 'SEANCE 1'!$C:$C, AT$2, 'SEANCE 1'!$F:$F, AT$5)=0, "", COUNTIFS('SEANCE 1'!$B:$B, $B51, 'SEANCE 1'!$C:$C, AT$2, 'SEANCE 1'!$F:$F, AT$5))</f>
        <v/>
      </c>
      <c r="AU51" s="64" t="str">
        <f ca="1">IF(COUNTIFS('SEANCE 1'!$B:$B, $B51, 'SEANCE 1'!$C:$C, AU$2, 'SEANCE 1'!$F:$F, AU$5)=0, "", COUNTIFS('SEANCE 1'!$B:$B, $B51, 'SEANCE 1'!$C:$C, AU$2, 'SEANCE 1'!$F:$F, AU$5))</f>
        <v/>
      </c>
      <c r="AV51" s="64" t="str">
        <f ca="1">IF(COUNTIFS('SEANCE 1'!$B:$B, $B51, 'SEANCE 1'!$C:$C, AV$2, 'SEANCE 1'!$F:$F, AV$5)=0, "", COUNTIFS('SEANCE 1'!$B:$B, $B51, 'SEANCE 1'!$C:$C, AV$2, 'SEANCE 1'!$F:$F, AV$5))</f>
        <v/>
      </c>
      <c r="AW51" s="64" t="str">
        <f ca="1">IF(COUNTIFS('SEANCE 1'!$B:$B, $B51, 'SEANCE 1'!$C:$C, AW$2, 'SEANCE 1'!$F:$F, AW$5)=0, "", COUNTIFS('SEANCE 1'!$B:$B, $B51, 'SEANCE 1'!$C:$C, AW$2, 'SEANCE 1'!$F:$F, AW$5))</f>
        <v/>
      </c>
      <c r="AX51" s="64" t="str">
        <f ca="1">IF(COUNTIFS('SEANCE 1'!$B:$B, $B51, 'SEANCE 1'!$C:$C, AX$2, 'SEANCE 1'!$F:$F, AX$5)=0, "", COUNTIFS('SEANCE 1'!$B:$B, $B51, 'SEANCE 1'!$C:$C, AX$2, 'SEANCE 1'!$F:$F, AX$5))</f>
        <v/>
      </c>
      <c r="AY51" s="64" t="str">
        <f ca="1">IF(COUNTIFS('SEANCE 1'!$B:$B, $B51, 'SEANCE 1'!$C:$C, AY$2, 'SEANCE 1'!$F:$F, AY$5)=0, "", COUNTIFS('SEANCE 1'!$B:$B, $B51, 'SEANCE 1'!$C:$C, AY$2, 'SEANCE 1'!$F:$F, AY$5))</f>
        <v/>
      </c>
      <c r="AZ51" s="32">
        <f t="shared" ca="1" si="0"/>
        <v>0</v>
      </c>
    </row>
    <row r="52" spans="1:52">
      <c r="A52" s="44" t="str">
        <f>IF('SEANCE 1'!$B48&lt;&gt;"",'SEANCE 1'!$A48,"")</f>
        <v/>
      </c>
      <c r="B52" s="44" t="str">
        <f t="array" aca="1" ref="B52" ca="1">IF(ISNA(INDEX(ListeB,MATCH(0,COUNTIF($B$5:B51,ListeB),0))),"",INDEX(ListeB,MATCH(0,COUNTIF($B$5:B51,ListeB),0)))</f>
        <v/>
      </c>
      <c r="C52" s="64" t="str">
        <f ca="1">IF(COUNTIFS('SEANCE 1'!$B:$B, $B52, 'SEANCE 1'!$C:$C, C$2, 'SEANCE 1'!$F:$F, C$5)=0, "", COUNTIFS('SEANCE 1'!$B:$B, $B52, 'SEANCE 1'!$C:$C, C$2, 'SEANCE 1'!$F:$F, C$5))</f>
        <v/>
      </c>
      <c r="D52" s="64" t="str">
        <f ca="1">IF(COUNTIFS('SEANCE 1'!$B:$B, $B52, 'SEANCE 1'!$C:$C, D$2, 'SEANCE 1'!$F:$F, D$5)=0, "", COUNTIFS('SEANCE 1'!$B:$B, $B52, 'SEANCE 1'!$C:$C, D$2, 'SEANCE 1'!$F:$F, D$5))</f>
        <v/>
      </c>
      <c r="E52" s="64" t="str">
        <f ca="1">IF(COUNTIFS('SEANCE 1'!$B:$B, $B52, 'SEANCE 1'!$C:$C, E$2, 'SEANCE 1'!$F:$F, E$5)=0, "", COUNTIFS('SEANCE 1'!$B:$B, $B52, 'SEANCE 1'!$C:$C, E$2, 'SEANCE 1'!$F:$F, E$5))</f>
        <v/>
      </c>
      <c r="F52" s="64" t="str">
        <f ca="1">IF(COUNTIFS('SEANCE 1'!$B:$B, $B52, 'SEANCE 1'!$C:$C, F$2, 'SEANCE 1'!$F:$F, F$5)=0, "", COUNTIFS('SEANCE 1'!$B:$B, $B52, 'SEANCE 1'!$C:$C, F$2, 'SEANCE 1'!$F:$F, F$5))</f>
        <v/>
      </c>
      <c r="G52" s="64" t="str">
        <f ca="1">IF(COUNTIFS('SEANCE 1'!$B:$B, $B52, 'SEANCE 1'!$C:$C, G$2, 'SEANCE 1'!$F:$F, G$5)=0, "", COUNTIFS('SEANCE 1'!$B:$B, $B52, 'SEANCE 1'!$C:$C, G$2, 'SEANCE 1'!$F:$F, G$5))</f>
        <v/>
      </c>
      <c r="H52" s="64" t="str">
        <f ca="1">IF(COUNTIFS('SEANCE 1'!$B:$B, $B52, 'SEANCE 1'!$C:$C, H$2, 'SEANCE 1'!$F:$F, H$5)=0, "", COUNTIFS('SEANCE 1'!$B:$B, $B52, 'SEANCE 1'!$C:$C, H$2, 'SEANCE 1'!$F:$F, H$5))</f>
        <v/>
      </c>
      <c r="I52" s="64" t="str">
        <f ca="1">IF(COUNTIFS('SEANCE 1'!$B:$B, $B52, 'SEANCE 1'!$C:$C, I$2, 'SEANCE 1'!$F:$F, I$5)=0, "", COUNTIFS('SEANCE 1'!$B:$B, $B52, 'SEANCE 1'!$C:$C, I$2, 'SEANCE 1'!$F:$F, I$5))</f>
        <v/>
      </c>
      <c r="J52" s="64" t="str">
        <f ca="1">IF(COUNTIFS('SEANCE 1'!$B:$B, $B52, 'SEANCE 1'!$C:$C, J$2, 'SEANCE 1'!$F:$F, J$5)=0, "", COUNTIFS('SEANCE 1'!$B:$B, $B52, 'SEANCE 1'!$C:$C, J$2, 'SEANCE 1'!$F:$F, J$5))</f>
        <v/>
      </c>
      <c r="K52" s="64" t="str">
        <f ca="1">IF(COUNTIFS('SEANCE 1'!$B:$B, $B52, 'SEANCE 1'!$C:$C, K$2, 'SEANCE 1'!$F:$F, K$5)=0, "", COUNTIFS('SEANCE 1'!$B:$B, $B52, 'SEANCE 1'!$C:$C, K$2, 'SEANCE 1'!$F:$F, K$5))</f>
        <v/>
      </c>
      <c r="L52" s="64" t="str">
        <f ca="1">IF(COUNTIFS('SEANCE 1'!$B:$B, $B52, 'SEANCE 1'!$C:$C, L$2, 'SEANCE 1'!$F:$F, L$5)=0, "", COUNTIFS('SEANCE 1'!$B:$B, $B52, 'SEANCE 1'!$C:$C, L$2, 'SEANCE 1'!$F:$F, L$5))</f>
        <v/>
      </c>
      <c r="M52" s="64" t="str">
        <f ca="1">IF(COUNTIFS('SEANCE 1'!$B:$B, $B52, 'SEANCE 1'!$C:$C, M$2, 'SEANCE 1'!$F:$F, M$5)=0, "", COUNTIFS('SEANCE 1'!$B:$B, $B52, 'SEANCE 1'!$C:$C, M$2, 'SEANCE 1'!$F:$F, M$5))</f>
        <v/>
      </c>
      <c r="N52" s="64" t="str">
        <f ca="1">IF(COUNTIFS('SEANCE 1'!$B:$B, $B52, 'SEANCE 1'!$C:$C, N$2, 'SEANCE 1'!$F:$F, N$5)=0, "", COUNTIFS('SEANCE 1'!$B:$B, $B52, 'SEANCE 1'!$C:$C, N$2, 'SEANCE 1'!$F:$F, N$5))</f>
        <v/>
      </c>
      <c r="O52" s="64" t="str">
        <f ca="1">IF(COUNTIFS('SEANCE 1'!$B:$B, $B52, 'SEANCE 1'!$C:$C, O$2, 'SEANCE 1'!$F:$F, O$5)=0, "", COUNTIFS('SEANCE 1'!$B:$B, $B52, 'SEANCE 1'!$C:$C, O$2, 'SEANCE 1'!$F:$F, O$5))</f>
        <v/>
      </c>
      <c r="P52" s="64" t="str">
        <f ca="1">IF(COUNTIFS('SEANCE 1'!$B:$B, $B52, 'SEANCE 1'!$C:$C, P$2, 'SEANCE 1'!$F:$F, P$5)=0, "", COUNTIFS('SEANCE 1'!$B:$B, $B52, 'SEANCE 1'!$C:$C, P$2, 'SEANCE 1'!$F:$F, P$5))</f>
        <v/>
      </c>
      <c r="Q52" s="64" t="str">
        <f ca="1">IF(COUNTIFS('SEANCE 1'!$B:$B, $B52, 'SEANCE 1'!$C:$C, Q$2, 'SEANCE 1'!$F:$F, Q$5)=0, "", COUNTIFS('SEANCE 1'!$B:$B, $B52, 'SEANCE 1'!$C:$C, Q$2, 'SEANCE 1'!$F:$F, Q$5))</f>
        <v/>
      </c>
      <c r="R52" s="64" t="str">
        <f ca="1">IF(COUNTIFS('SEANCE 1'!$B:$B, $B52, 'SEANCE 1'!$C:$C, R$2, 'SEANCE 1'!$F:$F, R$5)=0, "", COUNTIFS('SEANCE 1'!$B:$B, $B52, 'SEANCE 1'!$C:$C, R$2, 'SEANCE 1'!$F:$F, R$5))</f>
        <v/>
      </c>
      <c r="S52" s="64" t="str">
        <f ca="1">IF(COUNTIFS('SEANCE 1'!$B:$B, $B52, 'SEANCE 1'!$C:$C, S$2, 'SEANCE 1'!$F:$F, S$5)=0, "", COUNTIFS('SEANCE 1'!$B:$B, $B52, 'SEANCE 1'!$C:$C, S$2, 'SEANCE 1'!$F:$F, S$5))</f>
        <v/>
      </c>
      <c r="T52" s="64" t="str">
        <f ca="1">IF(COUNTIFS('SEANCE 1'!$B:$B, $B52, 'SEANCE 1'!$C:$C, T$2, 'SEANCE 1'!$F:$F, T$5)=0, "", COUNTIFS('SEANCE 1'!$B:$B, $B52, 'SEANCE 1'!$C:$C, T$2, 'SEANCE 1'!$F:$F, T$5))</f>
        <v/>
      </c>
      <c r="U52" s="64" t="str">
        <f ca="1">IF(COUNTIFS('SEANCE 1'!$B:$B, $B52, 'SEANCE 1'!$C:$C, U$2, 'SEANCE 1'!$F:$F, U$5)=0, "", COUNTIFS('SEANCE 1'!$B:$B, $B52, 'SEANCE 1'!$C:$C, U$2, 'SEANCE 1'!$F:$F, U$5))</f>
        <v/>
      </c>
      <c r="V52" s="64" t="str">
        <f ca="1">IF(COUNTIFS('SEANCE 1'!$B:$B, $B52, 'SEANCE 1'!$C:$C, V$2, 'SEANCE 1'!$F:$F, V$5)=0, "", COUNTIFS('SEANCE 1'!$B:$B, $B52, 'SEANCE 1'!$C:$C, V$2, 'SEANCE 1'!$F:$F, V$5))</f>
        <v/>
      </c>
      <c r="W52" s="64" t="str">
        <f ca="1">IF(COUNTIFS('SEANCE 1'!$B:$B, $B52, 'SEANCE 1'!$C:$C, W$2, 'SEANCE 1'!$F:$F, W$5)=0, "", COUNTIFS('SEANCE 1'!$B:$B, $B52, 'SEANCE 1'!$C:$C, W$2, 'SEANCE 1'!$F:$F, W$5))</f>
        <v/>
      </c>
      <c r="X52" s="64" t="str">
        <f ca="1">IF(COUNTIFS('SEANCE 1'!$B:$B, $B52, 'SEANCE 1'!$C:$C, X$2, 'SEANCE 1'!$F:$F, X$5)=0, "", COUNTIFS('SEANCE 1'!$B:$B, $B52, 'SEANCE 1'!$C:$C, X$2, 'SEANCE 1'!$F:$F, X$5))</f>
        <v/>
      </c>
      <c r="Y52" s="64" t="str">
        <f ca="1">IF(COUNTIFS('SEANCE 1'!$B:$B, $B52, 'SEANCE 1'!$C:$C, Y$2, 'SEANCE 1'!$F:$F, Y$5)=0, "", COUNTIFS('SEANCE 1'!$B:$B, $B52, 'SEANCE 1'!$C:$C, Y$2, 'SEANCE 1'!$F:$F, Y$5))</f>
        <v/>
      </c>
      <c r="Z52" s="64" t="str">
        <f ca="1">IF(COUNTIFS('SEANCE 1'!$B:$B, $B52, 'SEANCE 1'!$C:$C, Z$2, 'SEANCE 1'!$F:$F, Z$5)=0, "", COUNTIFS('SEANCE 1'!$B:$B, $B52, 'SEANCE 1'!$C:$C, Z$2, 'SEANCE 1'!$F:$F, Z$5))</f>
        <v/>
      </c>
      <c r="AA52" s="64" t="str">
        <f ca="1">IF(COUNTIFS('SEANCE 1'!$B:$B, $B52, 'SEANCE 1'!$C:$C, AA$2, 'SEANCE 1'!$F:$F, AA$5)=0, "", COUNTIFS('SEANCE 1'!$B:$B, $B52, 'SEANCE 1'!$C:$C, AA$2, 'SEANCE 1'!$F:$F, AA$5))</f>
        <v/>
      </c>
      <c r="AB52" s="64" t="str">
        <f ca="1">IF(COUNTIFS('SEANCE 1'!$B:$B, $B52, 'SEANCE 1'!$C:$C, AB$2, 'SEANCE 1'!$F:$F, AB$5)=0, "", COUNTIFS('SEANCE 1'!$B:$B, $B52, 'SEANCE 1'!$C:$C, AB$2, 'SEANCE 1'!$F:$F, AB$5))</f>
        <v/>
      </c>
      <c r="AC52" s="64" t="str">
        <f ca="1">IF(COUNTIFS('SEANCE 1'!$B:$B, $B52, 'SEANCE 1'!$C:$C, AC$2, 'SEANCE 1'!$F:$F, AC$5)=0, "", COUNTIFS('SEANCE 1'!$B:$B, $B52, 'SEANCE 1'!$C:$C, AC$2, 'SEANCE 1'!$F:$F, AC$5))</f>
        <v/>
      </c>
      <c r="AD52" s="64" t="str">
        <f ca="1">IF(COUNTIFS('SEANCE 1'!$B:$B, $B52, 'SEANCE 1'!$C:$C, AD$2, 'SEANCE 1'!$F:$F, AD$5)=0, "", COUNTIFS('SEANCE 1'!$B:$B, $B52, 'SEANCE 1'!$C:$C, AD$2, 'SEANCE 1'!$F:$F, AD$5))</f>
        <v/>
      </c>
      <c r="AE52" s="64" t="str">
        <f ca="1">IF(COUNTIFS('SEANCE 1'!$B:$B, $B52, 'SEANCE 1'!$C:$C, AE$2, 'SEANCE 1'!$F:$F, AE$5)=0, "", COUNTIFS('SEANCE 1'!$B:$B, $B52, 'SEANCE 1'!$C:$C, AE$2, 'SEANCE 1'!$F:$F, AE$5))</f>
        <v/>
      </c>
      <c r="AF52" s="64" t="str">
        <f ca="1">IF(COUNTIFS('SEANCE 1'!$B:$B, $B52, 'SEANCE 1'!$C:$C, AF$2, 'SEANCE 1'!$F:$F, AF$5)=0, "", COUNTIFS('SEANCE 1'!$B:$B, $B52, 'SEANCE 1'!$C:$C, AF$2, 'SEANCE 1'!$F:$F, AF$5))</f>
        <v/>
      </c>
      <c r="AG52" s="64" t="str">
        <f ca="1">IF(COUNTIFS('SEANCE 1'!$B:$B, $B52, 'SEANCE 1'!$C:$C, AG$2, 'SEANCE 1'!$F:$F, AG$5)=0, "", COUNTIFS('SEANCE 1'!$B:$B, $B52, 'SEANCE 1'!$C:$C, AG$2, 'SEANCE 1'!$F:$F, AG$5))</f>
        <v/>
      </c>
      <c r="AH52" s="64" t="str">
        <f ca="1">IF(COUNTIFS('SEANCE 1'!$B:$B, $B52, 'SEANCE 1'!$C:$C, AH$2, 'SEANCE 1'!$F:$F, AH$5)=0, "", COUNTIFS('SEANCE 1'!$B:$B, $B52, 'SEANCE 1'!$C:$C, AH$2, 'SEANCE 1'!$F:$F, AH$5))</f>
        <v/>
      </c>
      <c r="AI52" s="64" t="str">
        <f ca="1">IF(COUNTIFS('SEANCE 1'!$B:$B, $B52, 'SEANCE 1'!$C:$C, AI$2, 'SEANCE 1'!$F:$F, AI$5)=0, "", COUNTIFS('SEANCE 1'!$B:$B, $B52, 'SEANCE 1'!$C:$C, AI$2, 'SEANCE 1'!$F:$F, AI$5))</f>
        <v/>
      </c>
      <c r="AJ52" s="64" t="str">
        <f ca="1">IF(COUNTIFS('SEANCE 1'!$B:$B, $B52, 'SEANCE 1'!$C:$C, AJ$2, 'SEANCE 1'!$F:$F, AJ$5)=0, "", COUNTIFS('SEANCE 1'!$B:$B, $B52, 'SEANCE 1'!$C:$C, AJ$2, 'SEANCE 1'!$F:$F, AJ$5))</f>
        <v/>
      </c>
      <c r="AK52" s="64" t="str">
        <f ca="1">IF(COUNTIFS('SEANCE 1'!$B:$B, $B52, 'SEANCE 1'!$C:$C, AK$2, 'SEANCE 1'!$F:$F, AK$5)=0, "", COUNTIFS('SEANCE 1'!$B:$B, $B52, 'SEANCE 1'!$C:$C, AK$2, 'SEANCE 1'!$F:$F, AK$5))</f>
        <v/>
      </c>
      <c r="AL52" s="64" t="str">
        <f ca="1">IF(COUNTIFS('SEANCE 1'!$B:$B, $B52, 'SEANCE 1'!$C:$C, AL$2, 'SEANCE 1'!$F:$F, AL$5)=0, "", COUNTIFS('SEANCE 1'!$B:$B, $B52, 'SEANCE 1'!$C:$C, AL$2, 'SEANCE 1'!$F:$F, AL$5))</f>
        <v/>
      </c>
      <c r="AM52" s="64" t="str">
        <f ca="1">IF(COUNTIFS('SEANCE 1'!$B:$B, $B52, 'SEANCE 1'!$C:$C, AM$2, 'SEANCE 1'!$F:$F, AM$5)=0, "", COUNTIFS('SEANCE 1'!$B:$B, $B52, 'SEANCE 1'!$C:$C, AM$2, 'SEANCE 1'!$F:$F, AM$5))</f>
        <v/>
      </c>
      <c r="AN52" s="64" t="str">
        <f ca="1">IF(COUNTIFS('SEANCE 1'!$B:$B, $B52, 'SEANCE 1'!$C:$C, AN$2, 'SEANCE 1'!$F:$F, AN$5)=0, "", COUNTIFS('SEANCE 1'!$B:$B, $B52, 'SEANCE 1'!$C:$C, AN$2, 'SEANCE 1'!$F:$F, AN$5))</f>
        <v/>
      </c>
      <c r="AO52" s="64" t="str">
        <f ca="1">IF(COUNTIFS('SEANCE 1'!$B:$B, $B52, 'SEANCE 1'!$C:$C, AO$2, 'SEANCE 1'!$F:$F, AO$5)=0, "", COUNTIFS('SEANCE 1'!$B:$B, $B52, 'SEANCE 1'!$C:$C, AO$2, 'SEANCE 1'!$F:$F, AO$5))</f>
        <v/>
      </c>
      <c r="AP52" s="64" t="str">
        <f ca="1">IF(COUNTIFS('SEANCE 1'!$B:$B, $B52, 'SEANCE 1'!$C:$C, AP$2, 'SEANCE 1'!$F:$F, AP$5)=0, "", COUNTIFS('SEANCE 1'!$B:$B, $B52, 'SEANCE 1'!$C:$C, AP$2, 'SEANCE 1'!$F:$F, AP$5))</f>
        <v/>
      </c>
      <c r="AQ52" s="64" t="str">
        <f ca="1">IF(COUNTIFS('SEANCE 1'!$B:$B, $B52, 'SEANCE 1'!$C:$C, AQ$2, 'SEANCE 1'!$F:$F, AQ$5)=0, "", COUNTIFS('SEANCE 1'!$B:$B, $B52, 'SEANCE 1'!$C:$C, AQ$2, 'SEANCE 1'!$F:$F, AQ$5))</f>
        <v/>
      </c>
      <c r="AR52" s="64" t="str">
        <f ca="1">IF(COUNTIFS('SEANCE 1'!$B:$B, $B52, 'SEANCE 1'!$C:$C, AR$2, 'SEANCE 1'!$F:$F, AR$5)=0, "", COUNTIFS('SEANCE 1'!$B:$B, $B52, 'SEANCE 1'!$C:$C, AR$2, 'SEANCE 1'!$F:$F, AR$5))</f>
        <v/>
      </c>
      <c r="AS52" s="64" t="str">
        <f ca="1">IF(COUNTIFS('SEANCE 1'!$B:$B, $B52, 'SEANCE 1'!$C:$C, AS$2, 'SEANCE 1'!$F:$F, AS$5)=0, "", COUNTIFS('SEANCE 1'!$B:$B, $B52, 'SEANCE 1'!$C:$C, AS$2, 'SEANCE 1'!$F:$F, AS$5))</f>
        <v/>
      </c>
      <c r="AT52" s="64" t="str">
        <f ca="1">IF(COUNTIFS('SEANCE 1'!$B:$B, $B52, 'SEANCE 1'!$C:$C, AT$2, 'SEANCE 1'!$F:$F, AT$5)=0, "", COUNTIFS('SEANCE 1'!$B:$B, $B52, 'SEANCE 1'!$C:$C, AT$2, 'SEANCE 1'!$F:$F, AT$5))</f>
        <v/>
      </c>
      <c r="AU52" s="64" t="str">
        <f ca="1">IF(COUNTIFS('SEANCE 1'!$B:$B, $B52, 'SEANCE 1'!$C:$C, AU$2, 'SEANCE 1'!$F:$F, AU$5)=0, "", COUNTIFS('SEANCE 1'!$B:$B, $B52, 'SEANCE 1'!$C:$C, AU$2, 'SEANCE 1'!$F:$F, AU$5))</f>
        <v/>
      </c>
      <c r="AV52" s="64" t="str">
        <f ca="1">IF(COUNTIFS('SEANCE 1'!$B:$B, $B52, 'SEANCE 1'!$C:$C, AV$2, 'SEANCE 1'!$F:$F, AV$5)=0, "", COUNTIFS('SEANCE 1'!$B:$B, $B52, 'SEANCE 1'!$C:$C, AV$2, 'SEANCE 1'!$F:$F, AV$5))</f>
        <v/>
      </c>
      <c r="AW52" s="64" t="str">
        <f ca="1">IF(COUNTIFS('SEANCE 1'!$B:$B, $B52, 'SEANCE 1'!$C:$C, AW$2, 'SEANCE 1'!$F:$F, AW$5)=0, "", COUNTIFS('SEANCE 1'!$B:$B, $B52, 'SEANCE 1'!$C:$C, AW$2, 'SEANCE 1'!$F:$F, AW$5))</f>
        <v/>
      </c>
      <c r="AX52" s="64" t="str">
        <f ca="1">IF(COUNTIFS('SEANCE 1'!$B:$B, $B52, 'SEANCE 1'!$C:$C, AX$2, 'SEANCE 1'!$F:$F, AX$5)=0, "", COUNTIFS('SEANCE 1'!$B:$B, $B52, 'SEANCE 1'!$C:$C, AX$2, 'SEANCE 1'!$F:$F, AX$5))</f>
        <v/>
      </c>
      <c r="AY52" s="64" t="str">
        <f ca="1">IF(COUNTIFS('SEANCE 1'!$B:$B, $B52, 'SEANCE 1'!$C:$C, AY$2, 'SEANCE 1'!$F:$F, AY$5)=0, "", COUNTIFS('SEANCE 1'!$B:$B, $B52, 'SEANCE 1'!$C:$C, AY$2, 'SEANCE 1'!$F:$F, AY$5))</f>
        <v/>
      </c>
      <c r="AZ52" s="32">
        <f t="shared" ca="1" si="0"/>
        <v>0</v>
      </c>
    </row>
    <row r="53" spans="1:52">
      <c r="A53" s="44" t="str">
        <f>IF('SEANCE 1'!$B49&lt;&gt;"",'SEANCE 1'!$A49,"")</f>
        <v/>
      </c>
      <c r="B53" s="44" t="str">
        <f t="array" aca="1" ref="B53" ca="1">IF(ISNA(INDEX(ListeB,MATCH(0,COUNTIF($B$5:B52,ListeB),0))),"",INDEX(ListeB,MATCH(0,COUNTIF($B$5:B52,ListeB),0)))</f>
        <v/>
      </c>
      <c r="C53" s="64" t="str">
        <f ca="1">IF(COUNTIFS('SEANCE 1'!$B:$B, $B53, 'SEANCE 1'!$C:$C, C$2, 'SEANCE 1'!$F:$F, C$5)=0, "", COUNTIFS('SEANCE 1'!$B:$B, $B53, 'SEANCE 1'!$C:$C, C$2, 'SEANCE 1'!$F:$F, C$5))</f>
        <v/>
      </c>
      <c r="D53" s="64" t="str">
        <f ca="1">IF(COUNTIFS('SEANCE 1'!$B:$B, $B53, 'SEANCE 1'!$C:$C, D$2, 'SEANCE 1'!$F:$F, D$5)=0, "", COUNTIFS('SEANCE 1'!$B:$B, $B53, 'SEANCE 1'!$C:$C, D$2, 'SEANCE 1'!$F:$F, D$5))</f>
        <v/>
      </c>
      <c r="E53" s="64" t="str">
        <f ca="1">IF(COUNTIFS('SEANCE 1'!$B:$B, $B53, 'SEANCE 1'!$C:$C, E$2, 'SEANCE 1'!$F:$F, E$5)=0, "", COUNTIFS('SEANCE 1'!$B:$B, $B53, 'SEANCE 1'!$C:$C, E$2, 'SEANCE 1'!$F:$F, E$5))</f>
        <v/>
      </c>
      <c r="F53" s="64" t="str">
        <f ca="1">IF(COUNTIFS('SEANCE 1'!$B:$B, $B53, 'SEANCE 1'!$C:$C, F$2, 'SEANCE 1'!$F:$F, F$5)=0, "", COUNTIFS('SEANCE 1'!$B:$B, $B53, 'SEANCE 1'!$C:$C, F$2, 'SEANCE 1'!$F:$F, F$5))</f>
        <v/>
      </c>
      <c r="G53" s="64" t="str">
        <f ca="1">IF(COUNTIFS('SEANCE 1'!$B:$B, $B53, 'SEANCE 1'!$C:$C, G$2, 'SEANCE 1'!$F:$F, G$5)=0, "", COUNTIFS('SEANCE 1'!$B:$B, $B53, 'SEANCE 1'!$C:$C, G$2, 'SEANCE 1'!$F:$F, G$5))</f>
        <v/>
      </c>
      <c r="H53" s="64" t="str">
        <f ca="1">IF(COUNTIFS('SEANCE 1'!$B:$B, $B53, 'SEANCE 1'!$C:$C, H$2, 'SEANCE 1'!$F:$F, H$5)=0, "", COUNTIFS('SEANCE 1'!$B:$B, $B53, 'SEANCE 1'!$C:$C, H$2, 'SEANCE 1'!$F:$F, H$5))</f>
        <v/>
      </c>
      <c r="I53" s="64" t="str">
        <f ca="1">IF(COUNTIFS('SEANCE 1'!$B:$B, $B53, 'SEANCE 1'!$C:$C, I$2, 'SEANCE 1'!$F:$F, I$5)=0, "", COUNTIFS('SEANCE 1'!$B:$B, $B53, 'SEANCE 1'!$C:$C, I$2, 'SEANCE 1'!$F:$F, I$5))</f>
        <v/>
      </c>
      <c r="J53" s="64" t="str">
        <f ca="1">IF(COUNTIFS('SEANCE 1'!$B:$B, $B53, 'SEANCE 1'!$C:$C, J$2, 'SEANCE 1'!$F:$F, J$5)=0, "", COUNTIFS('SEANCE 1'!$B:$B, $B53, 'SEANCE 1'!$C:$C, J$2, 'SEANCE 1'!$F:$F, J$5))</f>
        <v/>
      </c>
      <c r="K53" s="64" t="str">
        <f ca="1">IF(COUNTIFS('SEANCE 1'!$B:$B, $B53, 'SEANCE 1'!$C:$C, K$2, 'SEANCE 1'!$F:$F, K$5)=0, "", COUNTIFS('SEANCE 1'!$B:$B, $B53, 'SEANCE 1'!$C:$C, K$2, 'SEANCE 1'!$F:$F, K$5))</f>
        <v/>
      </c>
      <c r="L53" s="64" t="str">
        <f ca="1">IF(COUNTIFS('SEANCE 1'!$B:$B, $B53, 'SEANCE 1'!$C:$C, L$2, 'SEANCE 1'!$F:$F, L$5)=0, "", COUNTIFS('SEANCE 1'!$B:$B, $B53, 'SEANCE 1'!$C:$C, L$2, 'SEANCE 1'!$F:$F, L$5))</f>
        <v/>
      </c>
      <c r="M53" s="64" t="str">
        <f ca="1">IF(COUNTIFS('SEANCE 1'!$B:$B, $B53, 'SEANCE 1'!$C:$C, M$2, 'SEANCE 1'!$F:$F, M$5)=0, "", COUNTIFS('SEANCE 1'!$B:$B, $B53, 'SEANCE 1'!$C:$C, M$2, 'SEANCE 1'!$F:$F, M$5))</f>
        <v/>
      </c>
      <c r="N53" s="64" t="str">
        <f ca="1">IF(COUNTIFS('SEANCE 1'!$B:$B, $B53, 'SEANCE 1'!$C:$C, N$2, 'SEANCE 1'!$F:$F, N$5)=0, "", COUNTIFS('SEANCE 1'!$B:$B, $B53, 'SEANCE 1'!$C:$C, N$2, 'SEANCE 1'!$F:$F, N$5))</f>
        <v/>
      </c>
      <c r="O53" s="64" t="str">
        <f ca="1">IF(COUNTIFS('SEANCE 1'!$B:$B, $B53, 'SEANCE 1'!$C:$C, O$2, 'SEANCE 1'!$F:$F, O$5)=0, "", COUNTIFS('SEANCE 1'!$B:$B, $B53, 'SEANCE 1'!$C:$C, O$2, 'SEANCE 1'!$F:$F, O$5))</f>
        <v/>
      </c>
      <c r="P53" s="64" t="str">
        <f ca="1">IF(COUNTIFS('SEANCE 1'!$B:$B, $B53, 'SEANCE 1'!$C:$C, P$2, 'SEANCE 1'!$F:$F, P$5)=0, "", COUNTIFS('SEANCE 1'!$B:$B, $B53, 'SEANCE 1'!$C:$C, P$2, 'SEANCE 1'!$F:$F, P$5))</f>
        <v/>
      </c>
      <c r="Q53" s="64" t="str">
        <f ca="1">IF(COUNTIFS('SEANCE 1'!$B:$B, $B53, 'SEANCE 1'!$C:$C, Q$2, 'SEANCE 1'!$F:$F, Q$5)=0, "", COUNTIFS('SEANCE 1'!$B:$B, $B53, 'SEANCE 1'!$C:$C, Q$2, 'SEANCE 1'!$F:$F, Q$5))</f>
        <v/>
      </c>
      <c r="R53" s="64" t="str">
        <f ca="1">IF(COUNTIFS('SEANCE 1'!$B:$B, $B53, 'SEANCE 1'!$C:$C, R$2, 'SEANCE 1'!$F:$F, R$5)=0, "", COUNTIFS('SEANCE 1'!$B:$B, $B53, 'SEANCE 1'!$C:$C, R$2, 'SEANCE 1'!$F:$F, R$5))</f>
        <v/>
      </c>
      <c r="S53" s="64" t="str">
        <f ca="1">IF(COUNTIFS('SEANCE 1'!$B:$B, $B53, 'SEANCE 1'!$C:$C, S$2, 'SEANCE 1'!$F:$F, S$5)=0, "", COUNTIFS('SEANCE 1'!$B:$B, $B53, 'SEANCE 1'!$C:$C, S$2, 'SEANCE 1'!$F:$F, S$5))</f>
        <v/>
      </c>
      <c r="T53" s="64" t="str">
        <f ca="1">IF(COUNTIFS('SEANCE 1'!$B:$B, $B53, 'SEANCE 1'!$C:$C, T$2, 'SEANCE 1'!$F:$F, T$5)=0, "", COUNTIFS('SEANCE 1'!$B:$B, $B53, 'SEANCE 1'!$C:$C, T$2, 'SEANCE 1'!$F:$F, T$5))</f>
        <v/>
      </c>
      <c r="U53" s="64" t="str">
        <f ca="1">IF(COUNTIFS('SEANCE 1'!$B:$B, $B53, 'SEANCE 1'!$C:$C, U$2, 'SEANCE 1'!$F:$F, U$5)=0, "", COUNTIFS('SEANCE 1'!$B:$B, $B53, 'SEANCE 1'!$C:$C, U$2, 'SEANCE 1'!$F:$F, U$5))</f>
        <v/>
      </c>
      <c r="V53" s="64" t="str">
        <f ca="1">IF(COUNTIFS('SEANCE 1'!$B:$B, $B53, 'SEANCE 1'!$C:$C, V$2, 'SEANCE 1'!$F:$F, V$5)=0, "", COUNTIFS('SEANCE 1'!$B:$B, $B53, 'SEANCE 1'!$C:$C, V$2, 'SEANCE 1'!$F:$F, V$5))</f>
        <v/>
      </c>
      <c r="W53" s="64" t="str">
        <f ca="1">IF(COUNTIFS('SEANCE 1'!$B:$B, $B53, 'SEANCE 1'!$C:$C, W$2, 'SEANCE 1'!$F:$F, W$5)=0, "", COUNTIFS('SEANCE 1'!$B:$B, $B53, 'SEANCE 1'!$C:$C, W$2, 'SEANCE 1'!$F:$F, W$5))</f>
        <v/>
      </c>
      <c r="X53" s="64" t="str">
        <f ca="1">IF(COUNTIFS('SEANCE 1'!$B:$B, $B53, 'SEANCE 1'!$C:$C, X$2, 'SEANCE 1'!$F:$F, X$5)=0, "", COUNTIFS('SEANCE 1'!$B:$B, $B53, 'SEANCE 1'!$C:$C, X$2, 'SEANCE 1'!$F:$F, X$5))</f>
        <v/>
      </c>
      <c r="Y53" s="64" t="str">
        <f ca="1">IF(COUNTIFS('SEANCE 1'!$B:$B, $B53, 'SEANCE 1'!$C:$C, Y$2, 'SEANCE 1'!$F:$F, Y$5)=0, "", COUNTIFS('SEANCE 1'!$B:$B, $B53, 'SEANCE 1'!$C:$C, Y$2, 'SEANCE 1'!$F:$F, Y$5))</f>
        <v/>
      </c>
      <c r="Z53" s="64" t="str">
        <f ca="1">IF(COUNTIFS('SEANCE 1'!$B:$B, $B53, 'SEANCE 1'!$C:$C, Z$2, 'SEANCE 1'!$F:$F, Z$5)=0, "", COUNTIFS('SEANCE 1'!$B:$B, $B53, 'SEANCE 1'!$C:$C, Z$2, 'SEANCE 1'!$F:$F, Z$5))</f>
        <v/>
      </c>
      <c r="AA53" s="64" t="str">
        <f ca="1">IF(COUNTIFS('SEANCE 1'!$B:$B, $B53, 'SEANCE 1'!$C:$C, AA$2, 'SEANCE 1'!$F:$F, AA$5)=0, "", COUNTIFS('SEANCE 1'!$B:$B, $B53, 'SEANCE 1'!$C:$C, AA$2, 'SEANCE 1'!$F:$F, AA$5))</f>
        <v/>
      </c>
      <c r="AB53" s="64" t="str">
        <f ca="1">IF(COUNTIFS('SEANCE 1'!$B:$B, $B53, 'SEANCE 1'!$C:$C, AB$2, 'SEANCE 1'!$F:$F, AB$5)=0, "", COUNTIFS('SEANCE 1'!$B:$B, $B53, 'SEANCE 1'!$C:$C, AB$2, 'SEANCE 1'!$F:$F, AB$5))</f>
        <v/>
      </c>
      <c r="AC53" s="64" t="str">
        <f ca="1">IF(COUNTIFS('SEANCE 1'!$B:$B, $B53, 'SEANCE 1'!$C:$C, AC$2, 'SEANCE 1'!$F:$F, AC$5)=0, "", COUNTIFS('SEANCE 1'!$B:$B, $B53, 'SEANCE 1'!$C:$C, AC$2, 'SEANCE 1'!$F:$F, AC$5))</f>
        <v/>
      </c>
      <c r="AD53" s="64" t="str">
        <f ca="1">IF(COUNTIFS('SEANCE 1'!$B:$B, $B53, 'SEANCE 1'!$C:$C, AD$2, 'SEANCE 1'!$F:$F, AD$5)=0, "", COUNTIFS('SEANCE 1'!$B:$B, $B53, 'SEANCE 1'!$C:$C, AD$2, 'SEANCE 1'!$F:$F, AD$5))</f>
        <v/>
      </c>
      <c r="AE53" s="64" t="str">
        <f ca="1">IF(COUNTIFS('SEANCE 1'!$B:$B, $B53, 'SEANCE 1'!$C:$C, AE$2, 'SEANCE 1'!$F:$F, AE$5)=0, "", COUNTIFS('SEANCE 1'!$B:$B, $B53, 'SEANCE 1'!$C:$C, AE$2, 'SEANCE 1'!$F:$F, AE$5))</f>
        <v/>
      </c>
      <c r="AF53" s="64" t="str">
        <f ca="1">IF(COUNTIFS('SEANCE 1'!$B:$B, $B53, 'SEANCE 1'!$C:$C, AF$2, 'SEANCE 1'!$F:$F, AF$5)=0, "", COUNTIFS('SEANCE 1'!$B:$B, $B53, 'SEANCE 1'!$C:$C, AF$2, 'SEANCE 1'!$F:$F, AF$5))</f>
        <v/>
      </c>
      <c r="AG53" s="64" t="str">
        <f ca="1">IF(COUNTIFS('SEANCE 1'!$B:$B, $B53, 'SEANCE 1'!$C:$C, AG$2, 'SEANCE 1'!$F:$F, AG$5)=0, "", COUNTIFS('SEANCE 1'!$B:$B, $B53, 'SEANCE 1'!$C:$C, AG$2, 'SEANCE 1'!$F:$F, AG$5))</f>
        <v/>
      </c>
      <c r="AH53" s="64" t="str">
        <f ca="1">IF(COUNTIFS('SEANCE 1'!$B:$B, $B53, 'SEANCE 1'!$C:$C, AH$2, 'SEANCE 1'!$F:$F, AH$5)=0, "", COUNTIFS('SEANCE 1'!$B:$B, $B53, 'SEANCE 1'!$C:$C, AH$2, 'SEANCE 1'!$F:$F, AH$5))</f>
        <v/>
      </c>
      <c r="AI53" s="64" t="str">
        <f ca="1">IF(COUNTIFS('SEANCE 1'!$B:$B, $B53, 'SEANCE 1'!$C:$C, AI$2, 'SEANCE 1'!$F:$F, AI$5)=0, "", COUNTIFS('SEANCE 1'!$B:$B, $B53, 'SEANCE 1'!$C:$C, AI$2, 'SEANCE 1'!$F:$F, AI$5))</f>
        <v/>
      </c>
      <c r="AJ53" s="64" t="str">
        <f ca="1">IF(COUNTIFS('SEANCE 1'!$B:$B, $B53, 'SEANCE 1'!$C:$C, AJ$2, 'SEANCE 1'!$F:$F, AJ$5)=0, "", COUNTIFS('SEANCE 1'!$B:$B, $B53, 'SEANCE 1'!$C:$C, AJ$2, 'SEANCE 1'!$F:$F, AJ$5))</f>
        <v/>
      </c>
      <c r="AK53" s="64" t="str">
        <f ca="1">IF(COUNTIFS('SEANCE 1'!$B:$B, $B53, 'SEANCE 1'!$C:$C, AK$2, 'SEANCE 1'!$F:$F, AK$5)=0, "", COUNTIFS('SEANCE 1'!$B:$B, $B53, 'SEANCE 1'!$C:$C, AK$2, 'SEANCE 1'!$F:$F, AK$5))</f>
        <v/>
      </c>
      <c r="AL53" s="64" t="str">
        <f ca="1">IF(COUNTIFS('SEANCE 1'!$B:$B, $B53, 'SEANCE 1'!$C:$C, AL$2, 'SEANCE 1'!$F:$F, AL$5)=0, "", COUNTIFS('SEANCE 1'!$B:$B, $B53, 'SEANCE 1'!$C:$C, AL$2, 'SEANCE 1'!$F:$F, AL$5))</f>
        <v/>
      </c>
      <c r="AM53" s="64" t="str">
        <f ca="1">IF(COUNTIFS('SEANCE 1'!$B:$B, $B53, 'SEANCE 1'!$C:$C, AM$2, 'SEANCE 1'!$F:$F, AM$5)=0, "", COUNTIFS('SEANCE 1'!$B:$B, $B53, 'SEANCE 1'!$C:$C, AM$2, 'SEANCE 1'!$F:$F, AM$5))</f>
        <v/>
      </c>
      <c r="AN53" s="64" t="str">
        <f ca="1">IF(COUNTIFS('SEANCE 1'!$B:$B, $B53, 'SEANCE 1'!$C:$C, AN$2, 'SEANCE 1'!$F:$F, AN$5)=0, "", COUNTIFS('SEANCE 1'!$B:$B, $B53, 'SEANCE 1'!$C:$C, AN$2, 'SEANCE 1'!$F:$F, AN$5))</f>
        <v/>
      </c>
      <c r="AO53" s="64" t="str">
        <f ca="1">IF(COUNTIFS('SEANCE 1'!$B:$B, $B53, 'SEANCE 1'!$C:$C, AO$2, 'SEANCE 1'!$F:$F, AO$5)=0, "", COUNTIFS('SEANCE 1'!$B:$B, $B53, 'SEANCE 1'!$C:$C, AO$2, 'SEANCE 1'!$F:$F, AO$5))</f>
        <v/>
      </c>
      <c r="AP53" s="64" t="str">
        <f ca="1">IF(COUNTIFS('SEANCE 1'!$B:$B, $B53, 'SEANCE 1'!$C:$C, AP$2, 'SEANCE 1'!$F:$F, AP$5)=0, "", COUNTIFS('SEANCE 1'!$B:$B, $B53, 'SEANCE 1'!$C:$C, AP$2, 'SEANCE 1'!$F:$F, AP$5))</f>
        <v/>
      </c>
      <c r="AQ53" s="64" t="str">
        <f ca="1">IF(COUNTIFS('SEANCE 1'!$B:$B, $B53, 'SEANCE 1'!$C:$C, AQ$2, 'SEANCE 1'!$F:$F, AQ$5)=0, "", COUNTIFS('SEANCE 1'!$B:$B, $B53, 'SEANCE 1'!$C:$C, AQ$2, 'SEANCE 1'!$F:$F, AQ$5))</f>
        <v/>
      </c>
      <c r="AR53" s="64" t="str">
        <f ca="1">IF(COUNTIFS('SEANCE 1'!$B:$B, $B53, 'SEANCE 1'!$C:$C, AR$2, 'SEANCE 1'!$F:$F, AR$5)=0, "", COUNTIFS('SEANCE 1'!$B:$B, $B53, 'SEANCE 1'!$C:$C, AR$2, 'SEANCE 1'!$F:$F, AR$5))</f>
        <v/>
      </c>
      <c r="AS53" s="64" t="str">
        <f ca="1">IF(COUNTIFS('SEANCE 1'!$B:$B, $B53, 'SEANCE 1'!$C:$C, AS$2, 'SEANCE 1'!$F:$F, AS$5)=0, "", COUNTIFS('SEANCE 1'!$B:$B, $B53, 'SEANCE 1'!$C:$C, AS$2, 'SEANCE 1'!$F:$F, AS$5))</f>
        <v/>
      </c>
      <c r="AT53" s="64" t="str">
        <f ca="1">IF(COUNTIFS('SEANCE 1'!$B:$B, $B53, 'SEANCE 1'!$C:$C, AT$2, 'SEANCE 1'!$F:$F, AT$5)=0, "", COUNTIFS('SEANCE 1'!$B:$B, $B53, 'SEANCE 1'!$C:$C, AT$2, 'SEANCE 1'!$F:$F, AT$5))</f>
        <v/>
      </c>
      <c r="AU53" s="64" t="str">
        <f ca="1">IF(COUNTIFS('SEANCE 1'!$B:$B, $B53, 'SEANCE 1'!$C:$C, AU$2, 'SEANCE 1'!$F:$F, AU$5)=0, "", COUNTIFS('SEANCE 1'!$B:$B, $B53, 'SEANCE 1'!$C:$C, AU$2, 'SEANCE 1'!$F:$F, AU$5))</f>
        <v/>
      </c>
      <c r="AV53" s="64" t="str">
        <f ca="1">IF(COUNTIFS('SEANCE 1'!$B:$B, $B53, 'SEANCE 1'!$C:$C, AV$2, 'SEANCE 1'!$F:$F, AV$5)=0, "", COUNTIFS('SEANCE 1'!$B:$B, $B53, 'SEANCE 1'!$C:$C, AV$2, 'SEANCE 1'!$F:$F, AV$5))</f>
        <v/>
      </c>
      <c r="AW53" s="64" t="str">
        <f ca="1">IF(COUNTIFS('SEANCE 1'!$B:$B, $B53, 'SEANCE 1'!$C:$C, AW$2, 'SEANCE 1'!$F:$F, AW$5)=0, "", COUNTIFS('SEANCE 1'!$B:$B, $B53, 'SEANCE 1'!$C:$C, AW$2, 'SEANCE 1'!$F:$F, AW$5))</f>
        <v/>
      </c>
      <c r="AX53" s="64" t="str">
        <f ca="1">IF(COUNTIFS('SEANCE 1'!$B:$B, $B53, 'SEANCE 1'!$C:$C, AX$2, 'SEANCE 1'!$F:$F, AX$5)=0, "", COUNTIFS('SEANCE 1'!$B:$B, $B53, 'SEANCE 1'!$C:$C, AX$2, 'SEANCE 1'!$F:$F, AX$5))</f>
        <v/>
      </c>
      <c r="AY53" s="64" t="str">
        <f ca="1">IF(COUNTIFS('SEANCE 1'!$B:$B, $B53, 'SEANCE 1'!$C:$C, AY$2, 'SEANCE 1'!$F:$F, AY$5)=0, "", COUNTIFS('SEANCE 1'!$B:$B, $B53, 'SEANCE 1'!$C:$C, AY$2, 'SEANCE 1'!$F:$F, AY$5))</f>
        <v/>
      </c>
      <c r="AZ53" s="32">
        <f t="shared" ca="1" si="0"/>
        <v>0</v>
      </c>
    </row>
    <row r="54" spans="1:52">
      <c r="A54" s="44" t="str">
        <f>IF('SEANCE 1'!$B50&lt;&gt;"",'SEANCE 1'!$A50,"")</f>
        <v/>
      </c>
      <c r="B54" s="44" t="str">
        <f t="array" aca="1" ref="B54" ca="1">IF(ISNA(INDEX(ListeB,MATCH(0,COUNTIF($B$5:B53,ListeB),0))),"",INDEX(ListeB,MATCH(0,COUNTIF($B$5:B53,ListeB),0)))</f>
        <v/>
      </c>
      <c r="C54" s="64" t="str">
        <f ca="1">IF(COUNTIFS('SEANCE 1'!$B:$B, $B54, 'SEANCE 1'!$C:$C, C$2, 'SEANCE 1'!$F:$F, C$5)=0, "", COUNTIFS('SEANCE 1'!$B:$B, $B54, 'SEANCE 1'!$C:$C, C$2, 'SEANCE 1'!$F:$F, C$5))</f>
        <v/>
      </c>
      <c r="D54" s="64" t="str">
        <f ca="1">IF(COUNTIFS('SEANCE 1'!$B:$B, $B54, 'SEANCE 1'!$C:$C, D$2, 'SEANCE 1'!$F:$F, D$5)=0, "", COUNTIFS('SEANCE 1'!$B:$B, $B54, 'SEANCE 1'!$C:$C, D$2, 'SEANCE 1'!$F:$F, D$5))</f>
        <v/>
      </c>
      <c r="E54" s="64" t="str">
        <f ca="1">IF(COUNTIFS('SEANCE 1'!$B:$B, $B54, 'SEANCE 1'!$C:$C, E$2, 'SEANCE 1'!$F:$F, E$5)=0, "", COUNTIFS('SEANCE 1'!$B:$B, $B54, 'SEANCE 1'!$C:$C, E$2, 'SEANCE 1'!$F:$F, E$5))</f>
        <v/>
      </c>
      <c r="F54" s="64" t="str">
        <f ca="1">IF(COUNTIFS('SEANCE 1'!$B:$B, $B54, 'SEANCE 1'!$C:$C, F$2, 'SEANCE 1'!$F:$F, F$5)=0, "", COUNTIFS('SEANCE 1'!$B:$B, $B54, 'SEANCE 1'!$C:$C, F$2, 'SEANCE 1'!$F:$F, F$5))</f>
        <v/>
      </c>
      <c r="G54" s="64" t="str">
        <f ca="1">IF(COUNTIFS('SEANCE 1'!$B:$B, $B54, 'SEANCE 1'!$C:$C, G$2, 'SEANCE 1'!$F:$F, G$5)=0, "", COUNTIFS('SEANCE 1'!$B:$B, $B54, 'SEANCE 1'!$C:$C, G$2, 'SEANCE 1'!$F:$F, G$5))</f>
        <v/>
      </c>
      <c r="H54" s="64" t="str">
        <f ca="1">IF(COUNTIFS('SEANCE 1'!$B:$B, $B54, 'SEANCE 1'!$C:$C, H$2, 'SEANCE 1'!$F:$F, H$5)=0, "", COUNTIFS('SEANCE 1'!$B:$B, $B54, 'SEANCE 1'!$C:$C, H$2, 'SEANCE 1'!$F:$F, H$5))</f>
        <v/>
      </c>
      <c r="I54" s="64" t="str">
        <f ca="1">IF(COUNTIFS('SEANCE 1'!$B:$B, $B54, 'SEANCE 1'!$C:$C, I$2, 'SEANCE 1'!$F:$F, I$5)=0, "", COUNTIFS('SEANCE 1'!$B:$B, $B54, 'SEANCE 1'!$C:$C, I$2, 'SEANCE 1'!$F:$F, I$5))</f>
        <v/>
      </c>
      <c r="J54" s="64" t="str">
        <f ca="1">IF(COUNTIFS('SEANCE 1'!$B:$B, $B54, 'SEANCE 1'!$C:$C, J$2, 'SEANCE 1'!$F:$F, J$5)=0, "", COUNTIFS('SEANCE 1'!$B:$B, $B54, 'SEANCE 1'!$C:$C, J$2, 'SEANCE 1'!$F:$F, J$5))</f>
        <v/>
      </c>
      <c r="K54" s="64" t="str">
        <f ca="1">IF(COUNTIFS('SEANCE 1'!$B:$B, $B54, 'SEANCE 1'!$C:$C, K$2, 'SEANCE 1'!$F:$F, K$5)=0, "", COUNTIFS('SEANCE 1'!$B:$B, $B54, 'SEANCE 1'!$C:$C, K$2, 'SEANCE 1'!$F:$F, K$5))</f>
        <v/>
      </c>
      <c r="L54" s="64" t="str">
        <f ca="1">IF(COUNTIFS('SEANCE 1'!$B:$B, $B54, 'SEANCE 1'!$C:$C, L$2, 'SEANCE 1'!$F:$F, L$5)=0, "", COUNTIFS('SEANCE 1'!$B:$B, $B54, 'SEANCE 1'!$C:$C, L$2, 'SEANCE 1'!$F:$F, L$5))</f>
        <v/>
      </c>
      <c r="M54" s="64" t="str">
        <f ca="1">IF(COUNTIFS('SEANCE 1'!$B:$B, $B54, 'SEANCE 1'!$C:$C, M$2, 'SEANCE 1'!$F:$F, M$5)=0, "", COUNTIFS('SEANCE 1'!$B:$B, $B54, 'SEANCE 1'!$C:$C, M$2, 'SEANCE 1'!$F:$F, M$5))</f>
        <v/>
      </c>
      <c r="N54" s="64" t="str">
        <f ca="1">IF(COUNTIFS('SEANCE 1'!$B:$B, $B54, 'SEANCE 1'!$C:$C, N$2, 'SEANCE 1'!$F:$F, N$5)=0, "", COUNTIFS('SEANCE 1'!$B:$B, $B54, 'SEANCE 1'!$C:$C, N$2, 'SEANCE 1'!$F:$F, N$5))</f>
        <v/>
      </c>
      <c r="O54" s="64" t="str">
        <f ca="1">IF(COUNTIFS('SEANCE 1'!$B:$B, $B54, 'SEANCE 1'!$C:$C, O$2, 'SEANCE 1'!$F:$F, O$5)=0, "", COUNTIFS('SEANCE 1'!$B:$B, $B54, 'SEANCE 1'!$C:$C, O$2, 'SEANCE 1'!$F:$F, O$5))</f>
        <v/>
      </c>
      <c r="P54" s="64" t="str">
        <f ca="1">IF(COUNTIFS('SEANCE 1'!$B:$B, $B54, 'SEANCE 1'!$C:$C, P$2, 'SEANCE 1'!$F:$F, P$5)=0, "", COUNTIFS('SEANCE 1'!$B:$B, $B54, 'SEANCE 1'!$C:$C, P$2, 'SEANCE 1'!$F:$F, P$5))</f>
        <v/>
      </c>
      <c r="Q54" s="64" t="str">
        <f ca="1">IF(COUNTIFS('SEANCE 1'!$B:$B, $B54, 'SEANCE 1'!$C:$C, Q$2, 'SEANCE 1'!$F:$F, Q$5)=0, "", COUNTIFS('SEANCE 1'!$B:$B, $B54, 'SEANCE 1'!$C:$C, Q$2, 'SEANCE 1'!$F:$F, Q$5))</f>
        <v/>
      </c>
      <c r="R54" s="64" t="str">
        <f ca="1">IF(COUNTIFS('SEANCE 1'!$B:$B, $B54, 'SEANCE 1'!$C:$C, R$2, 'SEANCE 1'!$F:$F, R$5)=0, "", COUNTIFS('SEANCE 1'!$B:$B, $B54, 'SEANCE 1'!$C:$C, R$2, 'SEANCE 1'!$F:$F, R$5))</f>
        <v/>
      </c>
      <c r="S54" s="64" t="str">
        <f ca="1">IF(COUNTIFS('SEANCE 1'!$B:$B, $B54, 'SEANCE 1'!$C:$C, S$2, 'SEANCE 1'!$F:$F, S$5)=0, "", COUNTIFS('SEANCE 1'!$B:$B, $B54, 'SEANCE 1'!$C:$C, S$2, 'SEANCE 1'!$F:$F, S$5))</f>
        <v/>
      </c>
      <c r="T54" s="64" t="str">
        <f ca="1">IF(COUNTIFS('SEANCE 1'!$B:$B, $B54, 'SEANCE 1'!$C:$C, T$2, 'SEANCE 1'!$F:$F, T$5)=0, "", COUNTIFS('SEANCE 1'!$B:$B, $B54, 'SEANCE 1'!$C:$C, T$2, 'SEANCE 1'!$F:$F, T$5))</f>
        <v/>
      </c>
      <c r="U54" s="64" t="str">
        <f ca="1">IF(COUNTIFS('SEANCE 1'!$B:$B, $B54, 'SEANCE 1'!$C:$C, U$2, 'SEANCE 1'!$F:$F, U$5)=0, "", COUNTIFS('SEANCE 1'!$B:$B, $B54, 'SEANCE 1'!$C:$C, U$2, 'SEANCE 1'!$F:$F, U$5))</f>
        <v/>
      </c>
      <c r="V54" s="64" t="str">
        <f ca="1">IF(COUNTIFS('SEANCE 1'!$B:$B, $B54, 'SEANCE 1'!$C:$C, V$2, 'SEANCE 1'!$F:$F, V$5)=0, "", COUNTIFS('SEANCE 1'!$B:$B, $B54, 'SEANCE 1'!$C:$C, V$2, 'SEANCE 1'!$F:$F, V$5))</f>
        <v/>
      </c>
      <c r="W54" s="64" t="str">
        <f ca="1">IF(COUNTIFS('SEANCE 1'!$B:$B, $B54, 'SEANCE 1'!$C:$C, W$2, 'SEANCE 1'!$F:$F, W$5)=0, "", COUNTIFS('SEANCE 1'!$B:$B, $B54, 'SEANCE 1'!$C:$C, W$2, 'SEANCE 1'!$F:$F, W$5))</f>
        <v/>
      </c>
      <c r="X54" s="64" t="str">
        <f ca="1">IF(COUNTIFS('SEANCE 1'!$B:$B, $B54, 'SEANCE 1'!$C:$C, X$2, 'SEANCE 1'!$F:$F, X$5)=0, "", COUNTIFS('SEANCE 1'!$B:$B, $B54, 'SEANCE 1'!$C:$C, X$2, 'SEANCE 1'!$F:$F, X$5))</f>
        <v/>
      </c>
      <c r="Y54" s="64" t="str">
        <f ca="1">IF(COUNTIFS('SEANCE 1'!$B:$B, $B54, 'SEANCE 1'!$C:$C, Y$2, 'SEANCE 1'!$F:$F, Y$5)=0, "", COUNTIFS('SEANCE 1'!$B:$B, $B54, 'SEANCE 1'!$C:$C, Y$2, 'SEANCE 1'!$F:$F, Y$5))</f>
        <v/>
      </c>
      <c r="Z54" s="64" t="str">
        <f ca="1">IF(COUNTIFS('SEANCE 1'!$B:$B, $B54, 'SEANCE 1'!$C:$C, Z$2, 'SEANCE 1'!$F:$F, Z$5)=0, "", COUNTIFS('SEANCE 1'!$B:$B, $B54, 'SEANCE 1'!$C:$C, Z$2, 'SEANCE 1'!$F:$F, Z$5))</f>
        <v/>
      </c>
      <c r="AA54" s="64" t="str">
        <f ca="1">IF(COUNTIFS('SEANCE 1'!$B:$B, $B54, 'SEANCE 1'!$C:$C, AA$2, 'SEANCE 1'!$F:$F, AA$5)=0, "", COUNTIFS('SEANCE 1'!$B:$B, $B54, 'SEANCE 1'!$C:$C, AA$2, 'SEANCE 1'!$F:$F, AA$5))</f>
        <v/>
      </c>
      <c r="AB54" s="64" t="str">
        <f ca="1">IF(COUNTIFS('SEANCE 1'!$B:$B, $B54, 'SEANCE 1'!$C:$C, AB$2, 'SEANCE 1'!$F:$F, AB$5)=0, "", COUNTIFS('SEANCE 1'!$B:$B, $B54, 'SEANCE 1'!$C:$C, AB$2, 'SEANCE 1'!$F:$F, AB$5))</f>
        <v/>
      </c>
      <c r="AC54" s="64" t="str">
        <f ca="1">IF(COUNTIFS('SEANCE 1'!$B:$B, $B54, 'SEANCE 1'!$C:$C, AC$2, 'SEANCE 1'!$F:$F, AC$5)=0, "", COUNTIFS('SEANCE 1'!$B:$B, $B54, 'SEANCE 1'!$C:$C, AC$2, 'SEANCE 1'!$F:$F, AC$5))</f>
        <v/>
      </c>
      <c r="AD54" s="64" t="str">
        <f ca="1">IF(COUNTIFS('SEANCE 1'!$B:$B, $B54, 'SEANCE 1'!$C:$C, AD$2, 'SEANCE 1'!$F:$F, AD$5)=0, "", COUNTIFS('SEANCE 1'!$B:$B, $B54, 'SEANCE 1'!$C:$C, AD$2, 'SEANCE 1'!$F:$F, AD$5))</f>
        <v/>
      </c>
      <c r="AE54" s="64" t="str">
        <f ca="1">IF(COUNTIFS('SEANCE 1'!$B:$B, $B54, 'SEANCE 1'!$C:$C, AE$2, 'SEANCE 1'!$F:$F, AE$5)=0, "", COUNTIFS('SEANCE 1'!$B:$B, $B54, 'SEANCE 1'!$C:$C, AE$2, 'SEANCE 1'!$F:$F, AE$5))</f>
        <v/>
      </c>
      <c r="AF54" s="64" t="str">
        <f ca="1">IF(COUNTIFS('SEANCE 1'!$B:$B, $B54, 'SEANCE 1'!$C:$C, AF$2, 'SEANCE 1'!$F:$F, AF$5)=0, "", COUNTIFS('SEANCE 1'!$B:$B, $B54, 'SEANCE 1'!$C:$C, AF$2, 'SEANCE 1'!$F:$F, AF$5))</f>
        <v/>
      </c>
      <c r="AG54" s="64" t="str">
        <f ca="1">IF(COUNTIFS('SEANCE 1'!$B:$B, $B54, 'SEANCE 1'!$C:$C, AG$2, 'SEANCE 1'!$F:$F, AG$5)=0, "", COUNTIFS('SEANCE 1'!$B:$B, $B54, 'SEANCE 1'!$C:$C, AG$2, 'SEANCE 1'!$F:$F, AG$5))</f>
        <v/>
      </c>
      <c r="AH54" s="64" t="str">
        <f ca="1">IF(COUNTIFS('SEANCE 1'!$B:$B, $B54, 'SEANCE 1'!$C:$C, AH$2, 'SEANCE 1'!$F:$F, AH$5)=0, "", COUNTIFS('SEANCE 1'!$B:$B, $B54, 'SEANCE 1'!$C:$C, AH$2, 'SEANCE 1'!$F:$F, AH$5))</f>
        <v/>
      </c>
      <c r="AI54" s="64" t="str">
        <f ca="1">IF(COUNTIFS('SEANCE 1'!$B:$B, $B54, 'SEANCE 1'!$C:$C, AI$2, 'SEANCE 1'!$F:$F, AI$5)=0, "", COUNTIFS('SEANCE 1'!$B:$B, $B54, 'SEANCE 1'!$C:$C, AI$2, 'SEANCE 1'!$F:$F, AI$5))</f>
        <v/>
      </c>
      <c r="AJ54" s="64" t="str">
        <f ca="1">IF(COUNTIFS('SEANCE 1'!$B:$B, $B54, 'SEANCE 1'!$C:$C, AJ$2, 'SEANCE 1'!$F:$F, AJ$5)=0, "", COUNTIFS('SEANCE 1'!$B:$B, $B54, 'SEANCE 1'!$C:$C, AJ$2, 'SEANCE 1'!$F:$F, AJ$5))</f>
        <v/>
      </c>
      <c r="AK54" s="64" t="str">
        <f ca="1">IF(COUNTIFS('SEANCE 1'!$B:$B, $B54, 'SEANCE 1'!$C:$C, AK$2, 'SEANCE 1'!$F:$F, AK$5)=0, "", COUNTIFS('SEANCE 1'!$B:$B, $B54, 'SEANCE 1'!$C:$C, AK$2, 'SEANCE 1'!$F:$F, AK$5))</f>
        <v/>
      </c>
      <c r="AL54" s="64" t="str">
        <f ca="1">IF(COUNTIFS('SEANCE 1'!$B:$B, $B54, 'SEANCE 1'!$C:$C, AL$2, 'SEANCE 1'!$F:$F, AL$5)=0, "", COUNTIFS('SEANCE 1'!$B:$B, $B54, 'SEANCE 1'!$C:$C, AL$2, 'SEANCE 1'!$F:$F, AL$5))</f>
        <v/>
      </c>
      <c r="AM54" s="64" t="str">
        <f ca="1">IF(COUNTIFS('SEANCE 1'!$B:$B, $B54, 'SEANCE 1'!$C:$C, AM$2, 'SEANCE 1'!$F:$F, AM$5)=0, "", COUNTIFS('SEANCE 1'!$B:$B, $B54, 'SEANCE 1'!$C:$C, AM$2, 'SEANCE 1'!$F:$F, AM$5))</f>
        <v/>
      </c>
      <c r="AN54" s="64" t="str">
        <f ca="1">IF(COUNTIFS('SEANCE 1'!$B:$B, $B54, 'SEANCE 1'!$C:$C, AN$2, 'SEANCE 1'!$F:$F, AN$5)=0, "", COUNTIFS('SEANCE 1'!$B:$B, $B54, 'SEANCE 1'!$C:$C, AN$2, 'SEANCE 1'!$F:$F, AN$5))</f>
        <v/>
      </c>
      <c r="AO54" s="64" t="str">
        <f ca="1">IF(COUNTIFS('SEANCE 1'!$B:$B, $B54, 'SEANCE 1'!$C:$C, AO$2, 'SEANCE 1'!$F:$F, AO$5)=0, "", COUNTIFS('SEANCE 1'!$B:$B, $B54, 'SEANCE 1'!$C:$C, AO$2, 'SEANCE 1'!$F:$F, AO$5))</f>
        <v/>
      </c>
      <c r="AP54" s="64" t="str">
        <f ca="1">IF(COUNTIFS('SEANCE 1'!$B:$B, $B54, 'SEANCE 1'!$C:$C, AP$2, 'SEANCE 1'!$F:$F, AP$5)=0, "", COUNTIFS('SEANCE 1'!$B:$B, $B54, 'SEANCE 1'!$C:$C, AP$2, 'SEANCE 1'!$F:$F, AP$5))</f>
        <v/>
      </c>
      <c r="AQ54" s="64" t="str">
        <f ca="1">IF(COUNTIFS('SEANCE 1'!$B:$B, $B54, 'SEANCE 1'!$C:$C, AQ$2, 'SEANCE 1'!$F:$F, AQ$5)=0, "", COUNTIFS('SEANCE 1'!$B:$B, $B54, 'SEANCE 1'!$C:$C, AQ$2, 'SEANCE 1'!$F:$F, AQ$5))</f>
        <v/>
      </c>
      <c r="AR54" s="64" t="str">
        <f ca="1">IF(COUNTIFS('SEANCE 1'!$B:$B, $B54, 'SEANCE 1'!$C:$C, AR$2, 'SEANCE 1'!$F:$F, AR$5)=0, "", COUNTIFS('SEANCE 1'!$B:$B, $B54, 'SEANCE 1'!$C:$C, AR$2, 'SEANCE 1'!$F:$F, AR$5))</f>
        <v/>
      </c>
      <c r="AS54" s="64" t="str">
        <f ca="1">IF(COUNTIFS('SEANCE 1'!$B:$B, $B54, 'SEANCE 1'!$C:$C, AS$2, 'SEANCE 1'!$F:$F, AS$5)=0, "", COUNTIFS('SEANCE 1'!$B:$B, $B54, 'SEANCE 1'!$C:$C, AS$2, 'SEANCE 1'!$F:$F, AS$5))</f>
        <v/>
      </c>
      <c r="AT54" s="64" t="str">
        <f ca="1">IF(COUNTIFS('SEANCE 1'!$B:$B, $B54, 'SEANCE 1'!$C:$C, AT$2, 'SEANCE 1'!$F:$F, AT$5)=0, "", COUNTIFS('SEANCE 1'!$B:$B, $B54, 'SEANCE 1'!$C:$C, AT$2, 'SEANCE 1'!$F:$F, AT$5))</f>
        <v/>
      </c>
      <c r="AU54" s="64" t="str">
        <f ca="1">IF(COUNTIFS('SEANCE 1'!$B:$B, $B54, 'SEANCE 1'!$C:$C, AU$2, 'SEANCE 1'!$F:$F, AU$5)=0, "", COUNTIFS('SEANCE 1'!$B:$B, $B54, 'SEANCE 1'!$C:$C, AU$2, 'SEANCE 1'!$F:$F, AU$5))</f>
        <v/>
      </c>
      <c r="AV54" s="64" t="str">
        <f ca="1">IF(COUNTIFS('SEANCE 1'!$B:$B, $B54, 'SEANCE 1'!$C:$C, AV$2, 'SEANCE 1'!$F:$F, AV$5)=0, "", COUNTIFS('SEANCE 1'!$B:$B, $B54, 'SEANCE 1'!$C:$C, AV$2, 'SEANCE 1'!$F:$F, AV$5))</f>
        <v/>
      </c>
      <c r="AW54" s="64" t="str">
        <f ca="1">IF(COUNTIFS('SEANCE 1'!$B:$B, $B54, 'SEANCE 1'!$C:$C, AW$2, 'SEANCE 1'!$F:$F, AW$5)=0, "", COUNTIFS('SEANCE 1'!$B:$B, $B54, 'SEANCE 1'!$C:$C, AW$2, 'SEANCE 1'!$F:$F, AW$5))</f>
        <v/>
      </c>
      <c r="AX54" s="64" t="str">
        <f ca="1">IF(COUNTIFS('SEANCE 1'!$B:$B, $B54, 'SEANCE 1'!$C:$C, AX$2, 'SEANCE 1'!$F:$F, AX$5)=0, "", COUNTIFS('SEANCE 1'!$B:$B, $B54, 'SEANCE 1'!$C:$C, AX$2, 'SEANCE 1'!$F:$F, AX$5))</f>
        <v/>
      </c>
      <c r="AY54" s="64" t="str">
        <f ca="1">IF(COUNTIFS('SEANCE 1'!$B:$B, $B54, 'SEANCE 1'!$C:$C, AY$2, 'SEANCE 1'!$F:$F, AY$5)=0, "", COUNTIFS('SEANCE 1'!$B:$B, $B54, 'SEANCE 1'!$C:$C, AY$2, 'SEANCE 1'!$F:$F, AY$5))</f>
        <v/>
      </c>
      <c r="AZ54" s="32">
        <f t="shared" ca="1" si="0"/>
        <v>0</v>
      </c>
    </row>
    <row r="55" spans="1:52">
      <c r="A55" s="44" t="str">
        <f>IF('SEANCE 1'!$B51&lt;&gt;"",'SEANCE 1'!$A51,"")</f>
        <v/>
      </c>
      <c r="B55" s="44" t="str">
        <f t="array" aca="1" ref="B55" ca="1">IF(ISNA(INDEX(ListeB,MATCH(0,COUNTIF($B$5:B54,ListeB),0))),"",INDEX(ListeB,MATCH(0,COUNTIF($B$5:B54,ListeB),0)))</f>
        <v/>
      </c>
      <c r="C55" s="64" t="str">
        <f ca="1">IF(COUNTIFS('SEANCE 1'!$B:$B, $B55, 'SEANCE 1'!$C:$C, C$2, 'SEANCE 1'!$F:$F, C$5)=0, "", COUNTIFS('SEANCE 1'!$B:$B, $B55, 'SEANCE 1'!$C:$C, C$2, 'SEANCE 1'!$F:$F, C$5))</f>
        <v/>
      </c>
      <c r="D55" s="64" t="str">
        <f ca="1">IF(COUNTIFS('SEANCE 1'!$B:$B, $B55, 'SEANCE 1'!$C:$C, D$2, 'SEANCE 1'!$F:$F, D$5)=0, "", COUNTIFS('SEANCE 1'!$B:$B, $B55, 'SEANCE 1'!$C:$C, D$2, 'SEANCE 1'!$F:$F, D$5))</f>
        <v/>
      </c>
      <c r="E55" s="64" t="str">
        <f ca="1">IF(COUNTIFS('SEANCE 1'!$B:$B, $B55, 'SEANCE 1'!$C:$C, E$2, 'SEANCE 1'!$F:$F, E$5)=0, "", COUNTIFS('SEANCE 1'!$B:$B, $B55, 'SEANCE 1'!$C:$C, E$2, 'SEANCE 1'!$F:$F, E$5))</f>
        <v/>
      </c>
      <c r="F55" s="64" t="str">
        <f ca="1">IF(COUNTIFS('SEANCE 1'!$B:$B, $B55, 'SEANCE 1'!$C:$C, F$2, 'SEANCE 1'!$F:$F, F$5)=0, "", COUNTIFS('SEANCE 1'!$B:$B, $B55, 'SEANCE 1'!$C:$C, F$2, 'SEANCE 1'!$F:$F, F$5))</f>
        <v/>
      </c>
      <c r="G55" s="64" t="str">
        <f ca="1">IF(COUNTIFS('SEANCE 1'!$B:$B, $B55, 'SEANCE 1'!$C:$C, G$2, 'SEANCE 1'!$F:$F, G$5)=0, "", COUNTIFS('SEANCE 1'!$B:$B, $B55, 'SEANCE 1'!$C:$C, G$2, 'SEANCE 1'!$F:$F, G$5))</f>
        <v/>
      </c>
      <c r="H55" s="64" t="str">
        <f ca="1">IF(COUNTIFS('SEANCE 1'!$B:$B, $B55, 'SEANCE 1'!$C:$C, H$2, 'SEANCE 1'!$F:$F, H$5)=0, "", COUNTIFS('SEANCE 1'!$B:$B, $B55, 'SEANCE 1'!$C:$C, H$2, 'SEANCE 1'!$F:$F, H$5))</f>
        <v/>
      </c>
      <c r="I55" s="64" t="str">
        <f ca="1">IF(COUNTIFS('SEANCE 1'!$B:$B, $B55, 'SEANCE 1'!$C:$C, I$2, 'SEANCE 1'!$F:$F, I$5)=0, "", COUNTIFS('SEANCE 1'!$B:$B, $B55, 'SEANCE 1'!$C:$C, I$2, 'SEANCE 1'!$F:$F, I$5))</f>
        <v/>
      </c>
      <c r="J55" s="64" t="str">
        <f ca="1">IF(COUNTIFS('SEANCE 1'!$B:$B, $B55, 'SEANCE 1'!$C:$C, J$2, 'SEANCE 1'!$F:$F, J$5)=0, "", COUNTIFS('SEANCE 1'!$B:$B, $B55, 'SEANCE 1'!$C:$C, J$2, 'SEANCE 1'!$F:$F, J$5))</f>
        <v/>
      </c>
      <c r="K55" s="64" t="str">
        <f ca="1">IF(COUNTIFS('SEANCE 1'!$B:$B, $B55, 'SEANCE 1'!$C:$C, K$2, 'SEANCE 1'!$F:$F, K$5)=0, "", COUNTIFS('SEANCE 1'!$B:$B, $B55, 'SEANCE 1'!$C:$C, K$2, 'SEANCE 1'!$F:$F, K$5))</f>
        <v/>
      </c>
      <c r="L55" s="64" t="str">
        <f ca="1">IF(COUNTIFS('SEANCE 1'!$B:$B, $B55, 'SEANCE 1'!$C:$C, L$2, 'SEANCE 1'!$F:$F, L$5)=0, "", COUNTIFS('SEANCE 1'!$B:$B, $B55, 'SEANCE 1'!$C:$C, L$2, 'SEANCE 1'!$F:$F, L$5))</f>
        <v/>
      </c>
      <c r="M55" s="64" t="str">
        <f ca="1">IF(COUNTIFS('SEANCE 1'!$B:$B, $B55, 'SEANCE 1'!$C:$C, M$2, 'SEANCE 1'!$F:$F, M$5)=0, "", COUNTIFS('SEANCE 1'!$B:$B, $B55, 'SEANCE 1'!$C:$C, M$2, 'SEANCE 1'!$F:$F, M$5))</f>
        <v/>
      </c>
      <c r="N55" s="64" t="str">
        <f ca="1">IF(COUNTIFS('SEANCE 1'!$B:$B, $B55, 'SEANCE 1'!$C:$C, N$2, 'SEANCE 1'!$F:$F, N$5)=0, "", COUNTIFS('SEANCE 1'!$B:$B, $B55, 'SEANCE 1'!$C:$C, N$2, 'SEANCE 1'!$F:$F, N$5))</f>
        <v/>
      </c>
      <c r="O55" s="64" t="str">
        <f ca="1">IF(COUNTIFS('SEANCE 1'!$B:$B, $B55, 'SEANCE 1'!$C:$C, O$2, 'SEANCE 1'!$F:$F, O$5)=0, "", COUNTIFS('SEANCE 1'!$B:$B, $B55, 'SEANCE 1'!$C:$C, O$2, 'SEANCE 1'!$F:$F, O$5))</f>
        <v/>
      </c>
      <c r="P55" s="64" t="str">
        <f ca="1">IF(COUNTIFS('SEANCE 1'!$B:$B, $B55, 'SEANCE 1'!$C:$C, P$2, 'SEANCE 1'!$F:$F, P$5)=0, "", COUNTIFS('SEANCE 1'!$B:$B, $B55, 'SEANCE 1'!$C:$C, P$2, 'SEANCE 1'!$F:$F, P$5))</f>
        <v/>
      </c>
      <c r="Q55" s="64" t="str">
        <f ca="1">IF(COUNTIFS('SEANCE 1'!$B:$B, $B55, 'SEANCE 1'!$C:$C, Q$2, 'SEANCE 1'!$F:$F, Q$5)=0, "", COUNTIFS('SEANCE 1'!$B:$B, $B55, 'SEANCE 1'!$C:$C, Q$2, 'SEANCE 1'!$F:$F, Q$5))</f>
        <v/>
      </c>
      <c r="R55" s="64" t="str">
        <f ca="1">IF(COUNTIFS('SEANCE 1'!$B:$B, $B55, 'SEANCE 1'!$C:$C, R$2, 'SEANCE 1'!$F:$F, R$5)=0, "", COUNTIFS('SEANCE 1'!$B:$B, $B55, 'SEANCE 1'!$C:$C, R$2, 'SEANCE 1'!$F:$F, R$5))</f>
        <v/>
      </c>
      <c r="S55" s="64" t="str">
        <f ca="1">IF(COUNTIFS('SEANCE 1'!$B:$B, $B55, 'SEANCE 1'!$C:$C, S$2, 'SEANCE 1'!$F:$F, S$5)=0, "", COUNTIFS('SEANCE 1'!$B:$B, $B55, 'SEANCE 1'!$C:$C, S$2, 'SEANCE 1'!$F:$F, S$5))</f>
        <v/>
      </c>
      <c r="T55" s="64" t="str">
        <f ca="1">IF(COUNTIFS('SEANCE 1'!$B:$B, $B55, 'SEANCE 1'!$C:$C, T$2, 'SEANCE 1'!$F:$F, T$5)=0, "", COUNTIFS('SEANCE 1'!$B:$B, $B55, 'SEANCE 1'!$C:$C, T$2, 'SEANCE 1'!$F:$F, T$5))</f>
        <v/>
      </c>
      <c r="U55" s="64" t="str">
        <f ca="1">IF(COUNTIFS('SEANCE 1'!$B:$B, $B55, 'SEANCE 1'!$C:$C, U$2, 'SEANCE 1'!$F:$F, U$5)=0, "", COUNTIFS('SEANCE 1'!$B:$B, $B55, 'SEANCE 1'!$C:$C, U$2, 'SEANCE 1'!$F:$F, U$5))</f>
        <v/>
      </c>
      <c r="V55" s="64" t="str">
        <f ca="1">IF(COUNTIFS('SEANCE 1'!$B:$B, $B55, 'SEANCE 1'!$C:$C, V$2, 'SEANCE 1'!$F:$F, V$5)=0, "", COUNTIFS('SEANCE 1'!$B:$B, $B55, 'SEANCE 1'!$C:$C, V$2, 'SEANCE 1'!$F:$F, V$5))</f>
        <v/>
      </c>
      <c r="W55" s="64" t="str">
        <f ca="1">IF(COUNTIFS('SEANCE 1'!$B:$B, $B55, 'SEANCE 1'!$C:$C, W$2, 'SEANCE 1'!$F:$F, W$5)=0, "", COUNTIFS('SEANCE 1'!$B:$B, $B55, 'SEANCE 1'!$C:$C, W$2, 'SEANCE 1'!$F:$F, W$5))</f>
        <v/>
      </c>
      <c r="X55" s="64" t="str">
        <f ca="1">IF(COUNTIFS('SEANCE 1'!$B:$B, $B55, 'SEANCE 1'!$C:$C, X$2, 'SEANCE 1'!$F:$F, X$5)=0, "", COUNTIFS('SEANCE 1'!$B:$B, $B55, 'SEANCE 1'!$C:$C, X$2, 'SEANCE 1'!$F:$F, X$5))</f>
        <v/>
      </c>
      <c r="Y55" s="64" t="str">
        <f ca="1">IF(COUNTIFS('SEANCE 1'!$B:$B, $B55, 'SEANCE 1'!$C:$C, Y$2, 'SEANCE 1'!$F:$F, Y$5)=0, "", COUNTIFS('SEANCE 1'!$B:$B, $B55, 'SEANCE 1'!$C:$C, Y$2, 'SEANCE 1'!$F:$F, Y$5))</f>
        <v/>
      </c>
      <c r="Z55" s="64" t="str">
        <f ca="1">IF(COUNTIFS('SEANCE 1'!$B:$B, $B55, 'SEANCE 1'!$C:$C, Z$2, 'SEANCE 1'!$F:$F, Z$5)=0, "", COUNTIFS('SEANCE 1'!$B:$B, $B55, 'SEANCE 1'!$C:$C, Z$2, 'SEANCE 1'!$F:$F, Z$5))</f>
        <v/>
      </c>
      <c r="AA55" s="64" t="str">
        <f ca="1">IF(COUNTIFS('SEANCE 1'!$B:$B, $B55, 'SEANCE 1'!$C:$C, AA$2, 'SEANCE 1'!$F:$F, AA$5)=0, "", COUNTIFS('SEANCE 1'!$B:$B, $B55, 'SEANCE 1'!$C:$C, AA$2, 'SEANCE 1'!$F:$F, AA$5))</f>
        <v/>
      </c>
      <c r="AB55" s="64" t="str">
        <f ca="1">IF(COUNTIFS('SEANCE 1'!$B:$B, $B55, 'SEANCE 1'!$C:$C, AB$2, 'SEANCE 1'!$F:$F, AB$5)=0, "", COUNTIFS('SEANCE 1'!$B:$B, $B55, 'SEANCE 1'!$C:$C, AB$2, 'SEANCE 1'!$F:$F, AB$5))</f>
        <v/>
      </c>
      <c r="AC55" s="64" t="str">
        <f ca="1">IF(COUNTIFS('SEANCE 1'!$B:$B, $B55, 'SEANCE 1'!$C:$C, AC$2, 'SEANCE 1'!$F:$F, AC$5)=0, "", COUNTIFS('SEANCE 1'!$B:$B, $B55, 'SEANCE 1'!$C:$C, AC$2, 'SEANCE 1'!$F:$F, AC$5))</f>
        <v/>
      </c>
      <c r="AD55" s="64" t="str">
        <f ca="1">IF(COUNTIFS('SEANCE 1'!$B:$B, $B55, 'SEANCE 1'!$C:$C, AD$2, 'SEANCE 1'!$F:$F, AD$5)=0, "", COUNTIFS('SEANCE 1'!$B:$B, $B55, 'SEANCE 1'!$C:$C, AD$2, 'SEANCE 1'!$F:$F, AD$5))</f>
        <v/>
      </c>
      <c r="AE55" s="64" t="str">
        <f ca="1">IF(COUNTIFS('SEANCE 1'!$B:$B, $B55, 'SEANCE 1'!$C:$C, AE$2, 'SEANCE 1'!$F:$F, AE$5)=0, "", COUNTIFS('SEANCE 1'!$B:$B, $B55, 'SEANCE 1'!$C:$C, AE$2, 'SEANCE 1'!$F:$F, AE$5))</f>
        <v/>
      </c>
      <c r="AF55" s="64" t="str">
        <f ca="1">IF(COUNTIFS('SEANCE 1'!$B:$B, $B55, 'SEANCE 1'!$C:$C, AF$2, 'SEANCE 1'!$F:$F, AF$5)=0, "", COUNTIFS('SEANCE 1'!$B:$B, $B55, 'SEANCE 1'!$C:$C, AF$2, 'SEANCE 1'!$F:$F, AF$5))</f>
        <v/>
      </c>
      <c r="AG55" s="64" t="str">
        <f ca="1">IF(COUNTIFS('SEANCE 1'!$B:$B, $B55, 'SEANCE 1'!$C:$C, AG$2, 'SEANCE 1'!$F:$F, AG$5)=0, "", COUNTIFS('SEANCE 1'!$B:$B, $B55, 'SEANCE 1'!$C:$C, AG$2, 'SEANCE 1'!$F:$F, AG$5))</f>
        <v/>
      </c>
      <c r="AH55" s="64" t="str">
        <f ca="1">IF(COUNTIFS('SEANCE 1'!$B:$B, $B55, 'SEANCE 1'!$C:$C, AH$2, 'SEANCE 1'!$F:$F, AH$5)=0, "", COUNTIFS('SEANCE 1'!$B:$B, $B55, 'SEANCE 1'!$C:$C, AH$2, 'SEANCE 1'!$F:$F, AH$5))</f>
        <v/>
      </c>
      <c r="AI55" s="64" t="str">
        <f ca="1">IF(COUNTIFS('SEANCE 1'!$B:$B, $B55, 'SEANCE 1'!$C:$C, AI$2, 'SEANCE 1'!$F:$F, AI$5)=0, "", COUNTIFS('SEANCE 1'!$B:$B, $B55, 'SEANCE 1'!$C:$C, AI$2, 'SEANCE 1'!$F:$F, AI$5))</f>
        <v/>
      </c>
      <c r="AJ55" s="64" t="str">
        <f ca="1">IF(COUNTIFS('SEANCE 1'!$B:$B, $B55, 'SEANCE 1'!$C:$C, AJ$2, 'SEANCE 1'!$F:$F, AJ$5)=0, "", COUNTIFS('SEANCE 1'!$B:$B, $B55, 'SEANCE 1'!$C:$C, AJ$2, 'SEANCE 1'!$F:$F, AJ$5))</f>
        <v/>
      </c>
      <c r="AK55" s="64" t="str">
        <f ca="1">IF(COUNTIFS('SEANCE 1'!$B:$B, $B55, 'SEANCE 1'!$C:$C, AK$2, 'SEANCE 1'!$F:$F, AK$5)=0, "", COUNTIFS('SEANCE 1'!$B:$B, $B55, 'SEANCE 1'!$C:$C, AK$2, 'SEANCE 1'!$F:$F, AK$5))</f>
        <v/>
      </c>
      <c r="AL55" s="64" t="str">
        <f ca="1">IF(COUNTIFS('SEANCE 1'!$B:$B, $B55, 'SEANCE 1'!$C:$C, AL$2, 'SEANCE 1'!$F:$F, AL$5)=0, "", COUNTIFS('SEANCE 1'!$B:$B, $B55, 'SEANCE 1'!$C:$C, AL$2, 'SEANCE 1'!$F:$F, AL$5))</f>
        <v/>
      </c>
      <c r="AM55" s="64" t="str">
        <f ca="1">IF(COUNTIFS('SEANCE 1'!$B:$B, $B55, 'SEANCE 1'!$C:$C, AM$2, 'SEANCE 1'!$F:$F, AM$5)=0, "", COUNTIFS('SEANCE 1'!$B:$B, $B55, 'SEANCE 1'!$C:$C, AM$2, 'SEANCE 1'!$F:$F, AM$5))</f>
        <v/>
      </c>
      <c r="AN55" s="64" t="str">
        <f ca="1">IF(COUNTIFS('SEANCE 1'!$B:$B, $B55, 'SEANCE 1'!$C:$C, AN$2, 'SEANCE 1'!$F:$F, AN$5)=0, "", COUNTIFS('SEANCE 1'!$B:$B, $B55, 'SEANCE 1'!$C:$C, AN$2, 'SEANCE 1'!$F:$F, AN$5))</f>
        <v/>
      </c>
      <c r="AO55" s="64" t="str">
        <f ca="1">IF(COUNTIFS('SEANCE 1'!$B:$B, $B55, 'SEANCE 1'!$C:$C, AO$2, 'SEANCE 1'!$F:$F, AO$5)=0, "", COUNTIFS('SEANCE 1'!$B:$B, $B55, 'SEANCE 1'!$C:$C, AO$2, 'SEANCE 1'!$F:$F, AO$5))</f>
        <v/>
      </c>
      <c r="AP55" s="64" t="str">
        <f ca="1">IF(COUNTIFS('SEANCE 1'!$B:$B, $B55, 'SEANCE 1'!$C:$C, AP$2, 'SEANCE 1'!$F:$F, AP$5)=0, "", COUNTIFS('SEANCE 1'!$B:$B, $B55, 'SEANCE 1'!$C:$C, AP$2, 'SEANCE 1'!$F:$F, AP$5))</f>
        <v/>
      </c>
      <c r="AQ55" s="64" t="str">
        <f ca="1">IF(COUNTIFS('SEANCE 1'!$B:$B, $B55, 'SEANCE 1'!$C:$C, AQ$2, 'SEANCE 1'!$F:$F, AQ$5)=0, "", COUNTIFS('SEANCE 1'!$B:$B, $B55, 'SEANCE 1'!$C:$C, AQ$2, 'SEANCE 1'!$F:$F, AQ$5))</f>
        <v/>
      </c>
      <c r="AR55" s="64" t="str">
        <f ca="1">IF(COUNTIFS('SEANCE 1'!$B:$B, $B55, 'SEANCE 1'!$C:$C, AR$2, 'SEANCE 1'!$F:$F, AR$5)=0, "", COUNTIFS('SEANCE 1'!$B:$B, $B55, 'SEANCE 1'!$C:$C, AR$2, 'SEANCE 1'!$F:$F, AR$5))</f>
        <v/>
      </c>
      <c r="AS55" s="64" t="str">
        <f ca="1">IF(COUNTIFS('SEANCE 1'!$B:$B, $B55, 'SEANCE 1'!$C:$C, AS$2, 'SEANCE 1'!$F:$F, AS$5)=0, "", COUNTIFS('SEANCE 1'!$B:$B, $B55, 'SEANCE 1'!$C:$C, AS$2, 'SEANCE 1'!$F:$F, AS$5))</f>
        <v/>
      </c>
      <c r="AT55" s="64" t="str">
        <f ca="1">IF(COUNTIFS('SEANCE 1'!$B:$B, $B55, 'SEANCE 1'!$C:$C, AT$2, 'SEANCE 1'!$F:$F, AT$5)=0, "", COUNTIFS('SEANCE 1'!$B:$B, $B55, 'SEANCE 1'!$C:$C, AT$2, 'SEANCE 1'!$F:$F, AT$5))</f>
        <v/>
      </c>
      <c r="AU55" s="64" t="str">
        <f ca="1">IF(COUNTIFS('SEANCE 1'!$B:$B, $B55, 'SEANCE 1'!$C:$C, AU$2, 'SEANCE 1'!$F:$F, AU$5)=0, "", COUNTIFS('SEANCE 1'!$B:$B, $B55, 'SEANCE 1'!$C:$C, AU$2, 'SEANCE 1'!$F:$F, AU$5))</f>
        <v/>
      </c>
      <c r="AV55" s="64" t="str">
        <f ca="1">IF(COUNTIFS('SEANCE 1'!$B:$B, $B55, 'SEANCE 1'!$C:$C, AV$2, 'SEANCE 1'!$F:$F, AV$5)=0, "", COUNTIFS('SEANCE 1'!$B:$B, $B55, 'SEANCE 1'!$C:$C, AV$2, 'SEANCE 1'!$F:$F, AV$5))</f>
        <v/>
      </c>
      <c r="AW55" s="64" t="str">
        <f ca="1">IF(COUNTIFS('SEANCE 1'!$B:$B, $B55, 'SEANCE 1'!$C:$C, AW$2, 'SEANCE 1'!$F:$F, AW$5)=0, "", COUNTIFS('SEANCE 1'!$B:$B, $B55, 'SEANCE 1'!$C:$C, AW$2, 'SEANCE 1'!$F:$F, AW$5))</f>
        <v/>
      </c>
      <c r="AX55" s="64" t="str">
        <f ca="1">IF(COUNTIFS('SEANCE 1'!$B:$B, $B55, 'SEANCE 1'!$C:$C, AX$2, 'SEANCE 1'!$F:$F, AX$5)=0, "", COUNTIFS('SEANCE 1'!$B:$B, $B55, 'SEANCE 1'!$C:$C, AX$2, 'SEANCE 1'!$F:$F, AX$5))</f>
        <v/>
      </c>
      <c r="AY55" s="64" t="str">
        <f ca="1">IF(COUNTIFS('SEANCE 1'!$B:$B, $B55, 'SEANCE 1'!$C:$C, AY$2, 'SEANCE 1'!$F:$F, AY$5)=0, "", COUNTIFS('SEANCE 1'!$B:$B, $B55, 'SEANCE 1'!$C:$C, AY$2, 'SEANCE 1'!$F:$F, AY$5))</f>
        <v/>
      </c>
      <c r="AZ55" s="32">
        <f t="shared" ca="1" si="0"/>
        <v>0</v>
      </c>
    </row>
    <row r="56" spans="1:52">
      <c r="A56" s="44" t="str">
        <f>IF('SEANCE 1'!$B52&lt;&gt;"",'SEANCE 1'!$A52,"")</f>
        <v/>
      </c>
      <c r="B56" s="44" t="str">
        <f t="array" aca="1" ref="B56" ca="1">IF(ISNA(INDEX(ListeB,MATCH(0,COUNTIF($B$5:B55,ListeB),0))),"",INDEX(ListeB,MATCH(0,COUNTIF($B$5:B55,ListeB),0)))</f>
        <v/>
      </c>
      <c r="C56" s="64" t="str">
        <f ca="1">IF(COUNTIFS('SEANCE 1'!$B:$B, $B56, 'SEANCE 1'!$C:$C, C$2, 'SEANCE 1'!$F:$F, C$5)=0, "", COUNTIFS('SEANCE 1'!$B:$B, $B56, 'SEANCE 1'!$C:$C, C$2, 'SEANCE 1'!$F:$F, C$5))</f>
        <v/>
      </c>
      <c r="D56" s="64" t="str">
        <f ca="1">IF(COUNTIFS('SEANCE 1'!$B:$B, $B56, 'SEANCE 1'!$C:$C, D$2, 'SEANCE 1'!$F:$F, D$5)=0, "", COUNTIFS('SEANCE 1'!$B:$B, $B56, 'SEANCE 1'!$C:$C, D$2, 'SEANCE 1'!$F:$F, D$5))</f>
        <v/>
      </c>
      <c r="E56" s="64" t="str">
        <f ca="1">IF(COUNTIFS('SEANCE 1'!$B:$B, $B56, 'SEANCE 1'!$C:$C, E$2, 'SEANCE 1'!$F:$F, E$5)=0, "", COUNTIFS('SEANCE 1'!$B:$B, $B56, 'SEANCE 1'!$C:$C, E$2, 'SEANCE 1'!$F:$F, E$5))</f>
        <v/>
      </c>
      <c r="F56" s="64" t="str">
        <f ca="1">IF(COUNTIFS('SEANCE 1'!$B:$B, $B56, 'SEANCE 1'!$C:$C, F$2, 'SEANCE 1'!$F:$F, F$5)=0, "", COUNTIFS('SEANCE 1'!$B:$B, $B56, 'SEANCE 1'!$C:$C, F$2, 'SEANCE 1'!$F:$F, F$5))</f>
        <v/>
      </c>
      <c r="G56" s="64" t="str">
        <f ca="1">IF(COUNTIFS('SEANCE 1'!$B:$B, $B56, 'SEANCE 1'!$C:$C, G$2, 'SEANCE 1'!$F:$F, G$5)=0, "", COUNTIFS('SEANCE 1'!$B:$B, $B56, 'SEANCE 1'!$C:$C, G$2, 'SEANCE 1'!$F:$F, G$5))</f>
        <v/>
      </c>
      <c r="H56" s="64" t="str">
        <f ca="1">IF(COUNTIFS('SEANCE 1'!$B:$B, $B56, 'SEANCE 1'!$C:$C, H$2, 'SEANCE 1'!$F:$F, H$5)=0, "", COUNTIFS('SEANCE 1'!$B:$B, $B56, 'SEANCE 1'!$C:$C, H$2, 'SEANCE 1'!$F:$F, H$5))</f>
        <v/>
      </c>
      <c r="I56" s="64" t="str">
        <f ca="1">IF(COUNTIFS('SEANCE 1'!$B:$B, $B56, 'SEANCE 1'!$C:$C, I$2, 'SEANCE 1'!$F:$F, I$5)=0, "", COUNTIFS('SEANCE 1'!$B:$B, $B56, 'SEANCE 1'!$C:$C, I$2, 'SEANCE 1'!$F:$F, I$5))</f>
        <v/>
      </c>
      <c r="J56" s="64" t="str">
        <f ca="1">IF(COUNTIFS('SEANCE 1'!$B:$B, $B56, 'SEANCE 1'!$C:$C, J$2, 'SEANCE 1'!$F:$F, J$5)=0, "", COUNTIFS('SEANCE 1'!$B:$B, $B56, 'SEANCE 1'!$C:$C, J$2, 'SEANCE 1'!$F:$F, J$5))</f>
        <v/>
      </c>
      <c r="K56" s="64" t="str">
        <f ca="1">IF(COUNTIFS('SEANCE 1'!$B:$B, $B56, 'SEANCE 1'!$C:$C, K$2, 'SEANCE 1'!$F:$F, K$5)=0, "", COUNTIFS('SEANCE 1'!$B:$B, $B56, 'SEANCE 1'!$C:$C, K$2, 'SEANCE 1'!$F:$F, K$5))</f>
        <v/>
      </c>
      <c r="L56" s="64" t="str">
        <f ca="1">IF(COUNTIFS('SEANCE 1'!$B:$B, $B56, 'SEANCE 1'!$C:$C, L$2, 'SEANCE 1'!$F:$F, L$5)=0, "", COUNTIFS('SEANCE 1'!$B:$B, $B56, 'SEANCE 1'!$C:$C, L$2, 'SEANCE 1'!$F:$F, L$5))</f>
        <v/>
      </c>
      <c r="M56" s="64" t="str">
        <f ca="1">IF(COUNTIFS('SEANCE 1'!$B:$B, $B56, 'SEANCE 1'!$C:$C, M$2, 'SEANCE 1'!$F:$F, M$5)=0, "", COUNTIFS('SEANCE 1'!$B:$B, $B56, 'SEANCE 1'!$C:$C, M$2, 'SEANCE 1'!$F:$F, M$5))</f>
        <v/>
      </c>
      <c r="N56" s="64" t="str">
        <f ca="1">IF(COUNTIFS('SEANCE 1'!$B:$B, $B56, 'SEANCE 1'!$C:$C, N$2, 'SEANCE 1'!$F:$F, N$5)=0, "", COUNTIFS('SEANCE 1'!$B:$B, $B56, 'SEANCE 1'!$C:$C, N$2, 'SEANCE 1'!$F:$F, N$5))</f>
        <v/>
      </c>
      <c r="O56" s="64" t="str">
        <f ca="1">IF(COUNTIFS('SEANCE 1'!$B:$B, $B56, 'SEANCE 1'!$C:$C, O$2, 'SEANCE 1'!$F:$F, O$5)=0, "", COUNTIFS('SEANCE 1'!$B:$B, $B56, 'SEANCE 1'!$C:$C, O$2, 'SEANCE 1'!$F:$F, O$5))</f>
        <v/>
      </c>
      <c r="P56" s="64" t="str">
        <f ca="1">IF(COUNTIFS('SEANCE 1'!$B:$B, $B56, 'SEANCE 1'!$C:$C, P$2, 'SEANCE 1'!$F:$F, P$5)=0, "", COUNTIFS('SEANCE 1'!$B:$B, $B56, 'SEANCE 1'!$C:$C, P$2, 'SEANCE 1'!$F:$F, P$5))</f>
        <v/>
      </c>
      <c r="Q56" s="64" t="str">
        <f ca="1">IF(COUNTIFS('SEANCE 1'!$B:$B, $B56, 'SEANCE 1'!$C:$C, Q$2, 'SEANCE 1'!$F:$F, Q$5)=0, "", COUNTIFS('SEANCE 1'!$B:$B, $B56, 'SEANCE 1'!$C:$C, Q$2, 'SEANCE 1'!$F:$F, Q$5))</f>
        <v/>
      </c>
      <c r="R56" s="64" t="str">
        <f ca="1">IF(COUNTIFS('SEANCE 1'!$B:$B, $B56, 'SEANCE 1'!$C:$C, R$2, 'SEANCE 1'!$F:$F, R$5)=0, "", COUNTIFS('SEANCE 1'!$B:$B, $B56, 'SEANCE 1'!$C:$C, R$2, 'SEANCE 1'!$F:$F, R$5))</f>
        <v/>
      </c>
      <c r="S56" s="64" t="str">
        <f ca="1">IF(COUNTIFS('SEANCE 1'!$B:$B, $B56, 'SEANCE 1'!$C:$C, S$2, 'SEANCE 1'!$F:$F, S$5)=0, "", COUNTIFS('SEANCE 1'!$B:$B, $B56, 'SEANCE 1'!$C:$C, S$2, 'SEANCE 1'!$F:$F, S$5))</f>
        <v/>
      </c>
      <c r="T56" s="64" t="str">
        <f ca="1">IF(COUNTIFS('SEANCE 1'!$B:$B, $B56, 'SEANCE 1'!$C:$C, T$2, 'SEANCE 1'!$F:$F, T$5)=0, "", COUNTIFS('SEANCE 1'!$B:$B, $B56, 'SEANCE 1'!$C:$C, T$2, 'SEANCE 1'!$F:$F, T$5))</f>
        <v/>
      </c>
      <c r="U56" s="64" t="str">
        <f ca="1">IF(COUNTIFS('SEANCE 1'!$B:$B, $B56, 'SEANCE 1'!$C:$C, U$2, 'SEANCE 1'!$F:$F, U$5)=0, "", COUNTIFS('SEANCE 1'!$B:$B, $B56, 'SEANCE 1'!$C:$C, U$2, 'SEANCE 1'!$F:$F, U$5))</f>
        <v/>
      </c>
      <c r="V56" s="64" t="str">
        <f ca="1">IF(COUNTIFS('SEANCE 1'!$B:$B, $B56, 'SEANCE 1'!$C:$C, V$2, 'SEANCE 1'!$F:$F, V$5)=0, "", COUNTIFS('SEANCE 1'!$B:$B, $B56, 'SEANCE 1'!$C:$C, V$2, 'SEANCE 1'!$F:$F, V$5))</f>
        <v/>
      </c>
      <c r="W56" s="64" t="str">
        <f ca="1">IF(COUNTIFS('SEANCE 1'!$B:$B, $B56, 'SEANCE 1'!$C:$C, W$2, 'SEANCE 1'!$F:$F, W$5)=0, "", COUNTIFS('SEANCE 1'!$B:$B, $B56, 'SEANCE 1'!$C:$C, W$2, 'SEANCE 1'!$F:$F, W$5))</f>
        <v/>
      </c>
      <c r="X56" s="64" t="str">
        <f ca="1">IF(COUNTIFS('SEANCE 1'!$B:$B, $B56, 'SEANCE 1'!$C:$C, X$2, 'SEANCE 1'!$F:$F, X$5)=0, "", COUNTIFS('SEANCE 1'!$B:$B, $B56, 'SEANCE 1'!$C:$C, X$2, 'SEANCE 1'!$F:$F, X$5))</f>
        <v/>
      </c>
      <c r="Y56" s="64" t="str">
        <f ca="1">IF(COUNTIFS('SEANCE 1'!$B:$B, $B56, 'SEANCE 1'!$C:$C, Y$2, 'SEANCE 1'!$F:$F, Y$5)=0, "", COUNTIFS('SEANCE 1'!$B:$B, $B56, 'SEANCE 1'!$C:$C, Y$2, 'SEANCE 1'!$F:$F, Y$5))</f>
        <v/>
      </c>
      <c r="Z56" s="64" t="str">
        <f ca="1">IF(COUNTIFS('SEANCE 1'!$B:$B, $B56, 'SEANCE 1'!$C:$C, Z$2, 'SEANCE 1'!$F:$F, Z$5)=0, "", COUNTIFS('SEANCE 1'!$B:$B, $B56, 'SEANCE 1'!$C:$C, Z$2, 'SEANCE 1'!$F:$F, Z$5))</f>
        <v/>
      </c>
      <c r="AA56" s="64" t="str">
        <f ca="1">IF(COUNTIFS('SEANCE 1'!$B:$B, $B56, 'SEANCE 1'!$C:$C, AA$2, 'SEANCE 1'!$F:$F, AA$5)=0, "", COUNTIFS('SEANCE 1'!$B:$B, $B56, 'SEANCE 1'!$C:$C, AA$2, 'SEANCE 1'!$F:$F, AA$5))</f>
        <v/>
      </c>
      <c r="AB56" s="64" t="str">
        <f ca="1">IF(COUNTIFS('SEANCE 1'!$B:$B, $B56, 'SEANCE 1'!$C:$C, AB$2, 'SEANCE 1'!$F:$F, AB$5)=0, "", COUNTIFS('SEANCE 1'!$B:$B, $B56, 'SEANCE 1'!$C:$C, AB$2, 'SEANCE 1'!$F:$F, AB$5))</f>
        <v/>
      </c>
      <c r="AC56" s="64" t="str">
        <f ca="1">IF(COUNTIFS('SEANCE 1'!$B:$B, $B56, 'SEANCE 1'!$C:$C, AC$2, 'SEANCE 1'!$F:$F, AC$5)=0, "", COUNTIFS('SEANCE 1'!$B:$B, $B56, 'SEANCE 1'!$C:$C, AC$2, 'SEANCE 1'!$F:$F, AC$5))</f>
        <v/>
      </c>
      <c r="AD56" s="64" t="str">
        <f ca="1">IF(COUNTIFS('SEANCE 1'!$B:$B, $B56, 'SEANCE 1'!$C:$C, AD$2, 'SEANCE 1'!$F:$F, AD$5)=0, "", COUNTIFS('SEANCE 1'!$B:$B, $B56, 'SEANCE 1'!$C:$C, AD$2, 'SEANCE 1'!$F:$F, AD$5))</f>
        <v/>
      </c>
      <c r="AE56" s="64" t="str">
        <f ca="1">IF(COUNTIFS('SEANCE 1'!$B:$B, $B56, 'SEANCE 1'!$C:$C, AE$2, 'SEANCE 1'!$F:$F, AE$5)=0, "", COUNTIFS('SEANCE 1'!$B:$B, $B56, 'SEANCE 1'!$C:$C, AE$2, 'SEANCE 1'!$F:$F, AE$5))</f>
        <v/>
      </c>
      <c r="AF56" s="64" t="str">
        <f ca="1">IF(COUNTIFS('SEANCE 1'!$B:$B, $B56, 'SEANCE 1'!$C:$C, AF$2, 'SEANCE 1'!$F:$F, AF$5)=0, "", COUNTIFS('SEANCE 1'!$B:$B, $B56, 'SEANCE 1'!$C:$C, AF$2, 'SEANCE 1'!$F:$F, AF$5))</f>
        <v/>
      </c>
      <c r="AG56" s="64" t="str">
        <f ca="1">IF(COUNTIFS('SEANCE 1'!$B:$B, $B56, 'SEANCE 1'!$C:$C, AG$2, 'SEANCE 1'!$F:$F, AG$5)=0, "", COUNTIFS('SEANCE 1'!$B:$B, $B56, 'SEANCE 1'!$C:$C, AG$2, 'SEANCE 1'!$F:$F, AG$5))</f>
        <v/>
      </c>
      <c r="AH56" s="64" t="str">
        <f ca="1">IF(COUNTIFS('SEANCE 1'!$B:$B, $B56, 'SEANCE 1'!$C:$C, AH$2, 'SEANCE 1'!$F:$F, AH$5)=0, "", COUNTIFS('SEANCE 1'!$B:$B, $B56, 'SEANCE 1'!$C:$C, AH$2, 'SEANCE 1'!$F:$F, AH$5))</f>
        <v/>
      </c>
      <c r="AI56" s="64" t="str">
        <f ca="1">IF(COUNTIFS('SEANCE 1'!$B:$B, $B56, 'SEANCE 1'!$C:$C, AI$2, 'SEANCE 1'!$F:$F, AI$5)=0, "", COUNTIFS('SEANCE 1'!$B:$B, $B56, 'SEANCE 1'!$C:$C, AI$2, 'SEANCE 1'!$F:$F, AI$5))</f>
        <v/>
      </c>
      <c r="AJ56" s="64" t="str">
        <f ca="1">IF(COUNTIFS('SEANCE 1'!$B:$B, $B56, 'SEANCE 1'!$C:$C, AJ$2, 'SEANCE 1'!$F:$F, AJ$5)=0, "", COUNTIFS('SEANCE 1'!$B:$B, $B56, 'SEANCE 1'!$C:$C, AJ$2, 'SEANCE 1'!$F:$F, AJ$5))</f>
        <v/>
      </c>
      <c r="AK56" s="64" t="str">
        <f ca="1">IF(COUNTIFS('SEANCE 1'!$B:$B, $B56, 'SEANCE 1'!$C:$C, AK$2, 'SEANCE 1'!$F:$F, AK$5)=0, "", COUNTIFS('SEANCE 1'!$B:$B, $B56, 'SEANCE 1'!$C:$C, AK$2, 'SEANCE 1'!$F:$F, AK$5))</f>
        <v/>
      </c>
      <c r="AL56" s="64" t="str">
        <f ca="1">IF(COUNTIFS('SEANCE 1'!$B:$B, $B56, 'SEANCE 1'!$C:$C, AL$2, 'SEANCE 1'!$F:$F, AL$5)=0, "", COUNTIFS('SEANCE 1'!$B:$B, $B56, 'SEANCE 1'!$C:$C, AL$2, 'SEANCE 1'!$F:$F, AL$5))</f>
        <v/>
      </c>
      <c r="AM56" s="64" t="str">
        <f ca="1">IF(COUNTIFS('SEANCE 1'!$B:$B, $B56, 'SEANCE 1'!$C:$C, AM$2, 'SEANCE 1'!$F:$F, AM$5)=0, "", COUNTIFS('SEANCE 1'!$B:$B, $B56, 'SEANCE 1'!$C:$C, AM$2, 'SEANCE 1'!$F:$F, AM$5))</f>
        <v/>
      </c>
      <c r="AN56" s="64" t="str">
        <f ca="1">IF(COUNTIFS('SEANCE 1'!$B:$B, $B56, 'SEANCE 1'!$C:$C, AN$2, 'SEANCE 1'!$F:$F, AN$5)=0, "", COUNTIFS('SEANCE 1'!$B:$B, $B56, 'SEANCE 1'!$C:$C, AN$2, 'SEANCE 1'!$F:$F, AN$5))</f>
        <v/>
      </c>
      <c r="AO56" s="64" t="str">
        <f ca="1">IF(COUNTIFS('SEANCE 1'!$B:$B, $B56, 'SEANCE 1'!$C:$C, AO$2, 'SEANCE 1'!$F:$F, AO$5)=0, "", COUNTIFS('SEANCE 1'!$B:$B, $B56, 'SEANCE 1'!$C:$C, AO$2, 'SEANCE 1'!$F:$F, AO$5))</f>
        <v/>
      </c>
      <c r="AP56" s="64" t="str">
        <f ca="1">IF(COUNTIFS('SEANCE 1'!$B:$B, $B56, 'SEANCE 1'!$C:$C, AP$2, 'SEANCE 1'!$F:$F, AP$5)=0, "", COUNTIFS('SEANCE 1'!$B:$B, $B56, 'SEANCE 1'!$C:$C, AP$2, 'SEANCE 1'!$F:$F, AP$5))</f>
        <v/>
      </c>
      <c r="AQ56" s="64" t="str">
        <f ca="1">IF(COUNTIFS('SEANCE 1'!$B:$B, $B56, 'SEANCE 1'!$C:$C, AQ$2, 'SEANCE 1'!$F:$F, AQ$5)=0, "", COUNTIFS('SEANCE 1'!$B:$B, $B56, 'SEANCE 1'!$C:$C, AQ$2, 'SEANCE 1'!$F:$F, AQ$5))</f>
        <v/>
      </c>
      <c r="AR56" s="64" t="str">
        <f ca="1">IF(COUNTIFS('SEANCE 1'!$B:$B, $B56, 'SEANCE 1'!$C:$C, AR$2, 'SEANCE 1'!$F:$F, AR$5)=0, "", COUNTIFS('SEANCE 1'!$B:$B, $B56, 'SEANCE 1'!$C:$C, AR$2, 'SEANCE 1'!$F:$F, AR$5))</f>
        <v/>
      </c>
      <c r="AS56" s="64" t="str">
        <f ca="1">IF(COUNTIFS('SEANCE 1'!$B:$B, $B56, 'SEANCE 1'!$C:$C, AS$2, 'SEANCE 1'!$F:$F, AS$5)=0, "", COUNTIFS('SEANCE 1'!$B:$B, $B56, 'SEANCE 1'!$C:$C, AS$2, 'SEANCE 1'!$F:$F, AS$5))</f>
        <v/>
      </c>
      <c r="AT56" s="64" t="str">
        <f ca="1">IF(COUNTIFS('SEANCE 1'!$B:$B, $B56, 'SEANCE 1'!$C:$C, AT$2, 'SEANCE 1'!$F:$F, AT$5)=0, "", COUNTIFS('SEANCE 1'!$B:$B, $B56, 'SEANCE 1'!$C:$C, AT$2, 'SEANCE 1'!$F:$F, AT$5))</f>
        <v/>
      </c>
      <c r="AU56" s="64" t="str">
        <f ca="1">IF(COUNTIFS('SEANCE 1'!$B:$B, $B56, 'SEANCE 1'!$C:$C, AU$2, 'SEANCE 1'!$F:$F, AU$5)=0, "", COUNTIFS('SEANCE 1'!$B:$B, $B56, 'SEANCE 1'!$C:$C, AU$2, 'SEANCE 1'!$F:$F, AU$5))</f>
        <v/>
      </c>
      <c r="AV56" s="64" t="str">
        <f ca="1">IF(COUNTIFS('SEANCE 1'!$B:$B, $B56, 'SEANCE 1'!$C:$C, AV$2, 'SEANCE 1'!$F:$F, AV$5)=0, "", COUNTIFS('SEANCE 1'!$B:$B, $B56, 'SEANCE 1'!$C:$C, AV$2, 'SEANCE 1'!$F:$F, AV$5))</f>
        <v/>
      </c>
      <c r="AW56" s="64" t="str">
        <f ca="1">IF(COUNTIFS('SEANCE 1'!$B:$B, $B56, 'SEANCE 1'!$C:$C, AW$2, 'SEANCE 1'!$F:$F, AW$5)=0, "", COUNTIFS('SEANCE 1'!$B:$B, $B56, 'SEANCE 1'!$C:$C, AW$2, 'SEANCE 1'!$F:$F, AW$5))</f>
        <v/>
      </c>
      <c r="AX56" s="64" t="str">
        <f ca="1">IF(COUNTIFS('SEANCE 1'!$B:$B, $B56, 'SEANCE 1'!$C:$C, AX$2, 'SEANCE 1'!$F:$F, AX$5)=0, "", COUNTIFS('SEANCE 1'!$B:$B, $B56, 'SEANCE 1'!$C:$C, AX$2, 'SEANCE 1'!$F:$F, AX$5))</f>
        <v/>
      </c>
      <c r="AY56" s="64" t="str">
        <f ca="1">IF(COUNTIFS('SEANCE 1'!$B:$B, $B56, 'SEANCE 1'!$C:$C, AY$2, 'SEANCE 1'!$F:$F, AY$5)=0, "", COUNTIFS('SEANCE 1'!$B:$B, $B56, 'SEANCE 1'!$C:$C, AY$2, 'SEANCE 1'!$F:$F, AY$5))</f>
        <v/>
      </c>
      <c r="AZ56" s="32">
        <f t="shared" ca="1" si="0"/>
        <v>0</v>
      </c>
    </row>
    <row r="57" spans="1:52">
      <c r="A57" s="44" t="str">
        <f>IF('SEANCE 1'!$B53&lt;&gt;"",'SEANCE 1'!$A53,"")</f>
        <v/>
      </c>
      <c r="B57" s="44" t="str">
        <f t="array" aca="1" ref="B57" ca="1">IF(ISNA(INDEX(ListeB,MATCH(0,COUNTIF($B$5:B56,ListeB),0))),"",INDEX(ListeB,MATCH(0,COUNTIF($B$5:B56,ListeB),0)))</f>
        <v/>
      </c>
      <c r="C57" s="64" t="str">
        <f ca="1">IF(COUNTIFS('SEANCE 1'!$B:$B, $B57, 'SEANCE 1'!$C:$C, C$2, 'SEANCE 1'!$F:$F, C$5)=0, "", COUNTIFS('SEANCE 1'!$B:$B, $B57, 'SEANCE 1'!$C:$C, C$2, 'SEANCE 1'!$F:$F, C$5))</f>
        <v/>
      </c>
      <c r="D57" s="64" t="str">
        <f ca="1">IF(COUNTIFS('SEANCE 1'!$B:$B, $B57, 'SEANCE 1'!$C:$C, D$2, 'SEANCE 1'!$F:$F, D$5)=0, "", COUNTIFS('SEANCE 1'!$B:$B, $B57, 'SEANCE 1'!$C:$C, D$2, 'SEANCE 1'!$F:$F, D$5))</f>
        <v/>
      </c>
      <c r="E57" s="64" t="str">
        <f ca="1">IF(COUNTIFS('SEANCE 1'!$B:$B, $B57, 'SEANCE 1'!$C:$C, E$2, 'SEANCE 1'!$F:$F, E$5)=0, "", COUNTIFS('SEANCE 1'!$B:$B, $B57, 'SEANCE 1'!$C:$C, E$2, 'SEANCE 1'!$F:$F, E$5))</f>
        <v/>
      </c>
      <c r="F57" s="64" t="str">
        <f ca="1">IF(COUNTIFS('SEANCE 1'!$B:$B, $B57, 'SEANCE 1'!$C:$C, F$2, 'SEANCE 1'!$F:$F, F$5)=0, "", COUNTIFS('SEANCE 1'!$B:$B, $B57, 'SEANCE 1'!$C:$C, F$2, 'SEANCE 1'!$F:$F, F$5))</f>
        <v/>
      </c>
      <c r="G57" s="64" t="str">
        <f ca="1">IF(COUNTIFS('SEANCE 1'!$B:$B, $B57, 'SEANCE 1'!$C:$C, G$2, 'SEANCE 1'!$F:$F, G$5)=0, "", COUNTIFS('SEANCE 1'!$B:$B, $B57, 'SEANCE 1'!$C:$C, G$2, 'SEANCE 1'!$F:$F, G$5))</f>
        <v/>
      </c>
      <c r="H57" s="64" t="str">
        <f ca="1">IF(COUNTIFS('SEANCE 1'!$B:$B, $B57, 'SEANCE 1'!$C:$C, H$2, 'SEANCE 1'!$F:$F, H$5)=0, "", COUNTIFS('SEANCE 1'!$B:$B, $B57, 'SEANCE 1'!$C:$C, H$2, 'SEANCE 1'!$F:$F, H$5))</f>
        <v/>
      </c>
      <c r="I57" s="64" t="str">
        <f ca="1">IF(COUNTIFS('SEANCE 1'!$B:$B, $B57, 'SEANCE 1'!$C:$C, I$2, 'SEANCE 1'!$F:$F, I$5)=0, "", COUNTIFS('SEANCE 1'!$B:$B, $B57, 'SEANCE 1'!$C:$C, I$2, 'SEANCE 1'!$F:$F, I$5))</f>
        <v/>
      </c>
      <c r="J57" s="64" t="str">
        <f ca="1">IF(COUNTIFS('SEANCE 1'!$B:$B, $B57, 'SEANCE 1'!$C:$C, J$2, 'SEANCE 1'!$F:$F, J$5)=0, "", COUNTIFS('SEANCE 1'!$B:$B, $B57, 'SEANCE 1'!$C:$C, J$2, 'SEANCE 1'!$F:$F, J$5))</f>
        <v/>
      </c>
      <c r="K57" s="64" t="str">
        <f ca="1">IF(COUNTIFS('SEANCE 1'!$B:$B, $B57, 'SEANCE 1'!$C:$C, K$2, 'SEANCE 1'!$F:$F, K$5)=0, "", COUNTIFS('SEANCE 1'!$B:$B, $B57, 'SEANCE 1'!$C:$C, K$2, 'SEANCE 1'!$F:$F, K$5))</f>
        <v/>
      </c>
      <c r="L57" s="64" t="str">
        <f ca="1">IF(COUNTIFS('SEANCE 1'!$B:$B, $B57, 'SEANCE 1'!$C:$C, L$2, 'SEANCE 1'!$F:$F, L$5)=0, "", COUNTIFS('SEANCE 1'!$B:$B, $B57, 'SEANCE 1'!$C:$C, L$2, 'SEANCE 1'!$F:$F, L$5))</f>
        <v/>
      </c>
      <c r="M57" s="64" t="str">
        <f ca="1">IF(COUNTIFS('SEANCE 1'!$B:$B, $B57, 'SEANCE 1'!$C:$C, M$2, 'SEANCE 1'!$F:$F, M$5)=0, "", COUNTIFS('SEANCE 1'!$B:$B, $B57, 'SEANCE 1'!$C:$C, M$2, 'SEANCE 1'!$F:$F, M$5))</f>
        <v/>
      </c>
      <c r="N57" s="64" t="str">
        <f ca="1">IF(COUNTIFS('SEANCE 1'!$B:$B, $B57, 'SEANCE 1'!$C:$C, N$2, 'SEANCE 1'!$F:$F, N$5)=0, "", COUNTIFS('SEANCE 1'!$B:$B, $B57, 'SEANCE 1'!$C:$C, N$2, 'SEANCE 1'!$F:$F, N$5))</f>
        <v/>
      </c>
      <c r="O57" s="64" t="str">
        <f ca="1">IF(COUNTIFS('SEANCE 1'!$B:$B, $B57, 'SEANCE 1'!$C:$C, O$2, 'SEANCE 1'!$F:$F, O$5)=0, "", COUNTIFS('SEANCE 1'!$B:$B, $B57, 'SEANCE 1'!$C:$C, O$2, 'SEANCE 1'!$F:$F, O$5))</f>
        <v/>
      </c>
      <c r="P57" s="64" t="str">
        <f ca="1">IF(COUNTIFS('SEANCE 1'!$B:$B, $B57, 'SEANCE 1'!$C:$C, P$2, 'SEANCE 1'!$F:$F, P$5)=0, "", COUNTIFS('SEANCE 1'!$B:$B, $B57, 'SEANCE 1'!$C:$C, P$2, 'SEANCE 1'!$F:$F, P$5))</f>
        <v/>
      </c>
      <c r="Q57" s="64" t="str">
        <f ca="1">IF(COUNTIFS('SEANCE 1'!$B:$B, $B57, 'SEANCE 1'!$C:$C, Q$2, 'SEANCE 1'!$F:$F, Q$5)=0, "", COUNTIFS('SEANCE 1'!$B:$B, $B57, 'SEANCE 1'!$C:$C, Q$2, 'SEANCE 1'!$F:$F, Q$5))</f>
        <v/>
      </c>
      <c r="R57" s="64" t="str">
        <f ca="1">IF(COUNTIFS('SEANCE 1'!$B:$B, $B57, 'SEANCE 1'!$C:$C, R$2, 'SEANCE 1'!$F:$F, R$5)=0, "", COUNTIFS('SEANCE 1'!$B:$B, $B57, 'SEANCE 1'!$C:$C, R$2, 'SEANCE 1'!$F:$F, R$5))</f>
        <v/>
      </c>
      <c r="S57" s="64" t="str">
        <f ca="1">IF(COUNTIFS('SEANCE 1'!$B:$B, $B57, 'SEANCE 1'!$C:$C, S$2, 'SEANCE 1'!$F:$F, S$5)=0, "", COUNTIFS('SEANCE 1'!$B:$B, $B57, 'SEANCE 1'!$C:$C, S$2, 'SEANCE 1'!$F:$F, S$5))</f>
        <v/>
      </c>
      <c r="T57" s="64" t="str">
        <f ca="1">IF(COUNTIFS('SEANCE 1'!$B:$B, $B57, 'SEANCE 1'!$C:$C, T$2, 'SEANCE 1'!$F:$F, T$5)=0, "", COUNTIFS('SEANCE 1'!$B:$B, $B57, 'SEANCE 1'!$C:$C, T$2, 'SEANCE 1'!$F:$F, T$5))</f>
        <v/>
      </c>
      <c r="U57" s="64" t="str">
        <f ca="1">IF(COUNTIFS('SEANCE 1'!$B:$B, $B57, 'SEANCE 1'!$C:$C, U$2, 'SEANCE 1'!$F:$F, U$5)=0, "", COUNTIFS('SEANCE 1'!$B:$B, $B57, 'SEANCE 1'!$C:$C, U$2, 'SEANCE 1'!$F:$F, U$5))</f>
        <v/>
      </c>
      <c r="V57" s="64" t="str">
        <f ca="1">IF(COUNTIFS('SEANCE 1'!$B:$B, $B57, 'SEANCE 1'!$C:$C, V$2, 'SEANCE 1'!$F:$F, V$5)=0, "", COUNTIFS('SEANCE 1'!$B:$B, $B57, 'SEANCE 1'!$C:$C, V$2, 'SEANCE 1'!$F:$F, V$5))</f>
        <v/>
      </c>
      <c r="W57" s="64" t="str">
        <f ca="1">IF(COUNTIFS('SEANCE 1'!$B:$B, $B57, 'SEANCE 1'!$C:$C, W$2, 'SEANCE 1'!$F:$F, W$5)=0, "", COUNTIFS('SEANCE 1'!$B:$B, $B57, 'SEANCE 1'!$C:$C, W$2, 'SEANCE 1'!$F:$F, W$5))</f>
        <v/>
      </c>
      <c r="X57" s="64" t="str">
        <f ca="1">IF(COUNTIFS('SEANCE 1'!$B:$B, $B57, 'SEANCE 1'!$C:$C, X$2, 'SEANCE 1'!$F:$F, X$5)=0, "", COUNTIFS('SEANCE 1'!$B:$B, $B57, 'SEANCE 1'!$C:$C, X$2, 'SEANCE 1'!$F:$F, X$5))</f>
        <v/>
      </c>
      <c r="Y57" s="64" t="str">
        <f ca="1">IF(COUNTIFS('SEANCE 1'!$B:$B, $B57, 'SEANCE 1'!$C:$C, Y$2, 'SEANCE 1'!$F:$F, Y$5)=0, "", COUNTIFS('SEANCE 1'!$B:$B, $B57, 'SEANCE 1'!$C:$C, Y$2, 'SEANCE 1'!$F:$F, Y$5))</f>
        <v/>
      </c>
      <c r="Z57" s="64" t="str">
        <f ca="1">IF(COUNTIFS('SEANCE 1'!$B:$B, $B57, 'SEANCE 1'!$C:$C, Z$2, 'SEANCE 1'!$F:$F, Z$5)=0, "", COUNTIFS('SEANCE 1'!$B:$B, $B57, 'SEANCE 1'!$C:$C, Z$2, 'SEANCE 1'!$F:$F, Z$5))</f>
        <v/>
      </c>
      <c r="AA57" s="64" t="str">
        <f ca="1">IF(COUNTIFS('SEANCE 1'!$B:$B, $B57, 'SEANCE 1'!$C:$C, AA$2, 'SEANCE 1'!$F:$F, AA$5)=0, "", COUNTIFS('SEANCE 1'!$B:$B, $B57, 'SEANCE 1'!$C:$C, AA$2, 'SEANCE 1'!$F:$F, AA$5))</f>
        <v/>
      </c>
      <c r="AB57" s="64" t="str">
        <f ca="1">IF(COUNTIFS('SEANCE 1'!$B:$B, $B57, 'SEANCE 1'!$C:$C, AB$2, 'SEANCE 1'!$F:$F, AB$5)=0, "", COUNTIFS('SEANCE 1'!$B:$B, $B57, 'SEANCE 1'!$C:$C, AB$2, 'SEANCE 1'!$F:$F, AB$5))</f>
        <v/>
      </c>
      <c r="AC57" s="64" t="str">
        <f ca="1">IF(COUNTIFS('SEANCE 1'!$B:$B, $B57, 'SEANCE 1'!$C:$C, AC$2, 'SEANCE 1'!$F:$F, AC$5)=0, "", COUNTIFS('SEANCE 1'!$B:$B, $B57, 'SEANCE 1'!$C:$C, AC$2, 'SEANCE 1'!$F:$F, AC$5))</f>
        <v/>
      </c>
      <c r="AD57" s="64" t="str">
        <f ca="1">IF(COUNTIFS('SEANCE 1'!$B:$B, $B57, 'SEANCE 1'!$C:$C, AD$2, 'SEANCE 1'!$F:$F, AD$5)=0, "", COUNTIFS('SEANCE 1'!$B:$B, $B57, 'SEANCE 1'!$C:$C, AD$2, 'SEANCE 1'!$F:$F, AD$5))</f>
        <v/>
      </c>
      <c r="AE57" s="64" t="str">
        <f ca="1">IF(COUNTIFS('SEANCE 1'!$B:$B, $B57, 'SEANCE 1'!$C:$C, AE$2, 'SEANCE 1'!$F:$F, AE$5)=0, "", COUNTIFS('SEANCE 1'!$B:$B, $B57, 'SEANCE 1'!$C:$C, AE$2, 'SEANCE 1'!$F:$F, AE$5))</f>
        <v/>
      </c>
      <c r="AF57" s="64" t="str">
        <f ca="1">IF(COUNTIFS('SEANCE 1'!$B:$B, $B57, 'SEANCE 1'!$C:$C, AF$2, 'SEANCE 1'!$F:$F, AF$5)=0, "", COUNTIFS('SEANCE 1'!$B:$B, $B57, 'SEANCE 1'!$C:$C, AF$2, 'SEANCE 1'!$F:$F, AF$5))</f>
        <v/>
      </c>
      <c r="AG57" s="64" t="str">
        <f ca="1">IF(COUNTIFS('SEANCE 1'!$B:$B, $B57, 'SEANCE 1'!$C:$C, AG$2, 'SEANCE 1'!$F:$F, AG$5)=0, "", COUNTIFS('SEANCE 1'!$B:$B, $B57, 'SEANCE 1'!$C:$C, AG$2, 'SEANCE 1'!$F:$F, AG$5))</f>
        <v/>
      </c>
      <c r="AH57" s="64" t="str">
        <f ca="1">IF(COUNTIFS('SEANCE 1'!$B:$B, $B57, 'SEANCE 1'!$C:$C, AH$2, 'SEANCE 1'!$F:$F, AH$5)=0, "", COUNTIFS('SEANCE 1'!$B:$B, $B57, 'SEANCE 1'!$C:$C, AH$2, 'SEANCE 1'!$F:$F, AH$5))</f>
        <v/>
      </c>
      <c r="AI57" s="64" t="str">
        <f ca="1">IF(COUNTIFS('SEANCE 1'!$B:$B, $B57, 'SEANCE 1'!$C:$C, AI$2, 'SEANCE 1'!$F:$F, AI$5)=0, "", COUNTIFS('SEANCE 1'!$B:$B, $B57, 'SEANCE 1'!$C:$C, AI$2, 'SEANCE 1'!$F:$F, AI$5))</f>
        <v/>
      </c>
      <c r="AJ57" s="64" t="str">
        <f ca="1">IF(COUNTIFS('SEANCE 1'!$B:$B, $B57, 'SEANCE 1'!$C:$C, AJ$2, 'SEANCE 1'!$F:$F, AJ$5)=0, "", COUNTIFS('SEANCE 1'!$B:$B, $B57, 'SEANCE 1'!$C:$C, AJ$2, 'SEANCE 1'!$F:$F, AJ$5))</f>
        <v/>
      </c>
      <c r="AK57" s="64" t="str">
        <f ca="1">IF(COUNTIFS('SEANCE 1'!$B:$B, $B57, 'SEANCE 1'!$C:$C, AK$2, 'SEANCE 1'!$F:$F, AK$5)=0, "", COUNTIFS('SEANCE 1'!$B:$B, $B57, 'SEANCE 1'!$C:$C, AK$2, 'SEANCE 1'!$F:$F, AK$5))</f>
        <v/>
      </c>
      <c r="AL57" s="64" t="str">
        <f ca="1">IF(COUNTIFS('SEANCE 1'!$B:$B, $B57, 'SEANCE 1'!$C:$C, AL$2, 'SEANCE 1'!$F:$F, AL$5)=0, "", COUNTIFS('SEANCE 1'!$B:$B, $B57, 'SEANCE 1'!$C:$C, AL$2, 'SEANCE 1'!$F:$F, AL$5))</f>
        <v/>
      </c>
      <c r="AM57" s="64" t="str">
        <f ca="1">IF(COUNTIFS('SEANCE 1'!$B:$B, $B57, 'SEANCE 1'!$C:$C, AM$2, 'SEANCE 1'!$F:$F, AM$5)=0, "", COUNTIFS('SEANCE 1'!$B:$B, $B57, 'SEANCE 1'!$C:$C, AM$2, 'SEANCE 1'!$F:$F, AM$5))</f>
        <v/>
      </c>
      <c r="AN57" s="64" t="str">
        <f ca="1">IF(COUNTIFS('SEANCE 1'!$B:$B, $B57, 'SEANCE 1'!$C:$C, AN$2, 'SEANCE 1'!$F:$F, AN$5)=0, "", COUNTIFS('SEANCE 1'!$B:$B, $B57, 'SEANCE 1'!$C:$C, AN$2, 'SEANCE 1'!$F:$F, AN$5))</f>
        <v/>
      </c>
      <c r="AO57" s="64" t="str">
        <f ca="1">IF(COUNTIFS('SEANCE 1'!$B:$B, $B57, 'SEANCE 1'!$C:$C, AO$2, 'SEANCE 1'!$F:$F, AO$5)=0, "", COUNTIFS('SEANCE 1'!$B:$B, $B57, 'SEANCE 1'!$C:$C, AO$2, 'SEANCE 1'!$F:$F, AO$5))</f>
        <v/>
      </c>
      <c r="AP57" s="64" t="str">
        <f ca="1">IF(COUNTIFS('SEANCE 1'!$B:$B, $B57, 'SEANCE 1'!$C:$C, AP$2, 'SEANCE 1'!$F:$F, AP$5)=0, "", COUNTIFS('SEANCE 1'!$B:$B, $B57, 'SEANCE 1'!$C:$C, AP$2, 'SEANCE 1'!$F:$F, AP$5))</f>
        <v/>
      </c>
      <c r="AQ57" s="64" t="str">
        <f ca="1">IF(COUNTIFS('SEANCE 1'!$B:$B, $B57, 'SEANCE 1'!$C:$C, AQ$2, 'SEANCE 1'!$F:$F, AQ$5)=0, "", COUNTIFS('SEANCE 1'!$B:$B, $B57, 'SEANCE 1'!$C:$C, AQ$2, 'SEANCE 1'!$F:$F, AQ$5))</f>
        <v/>
      </c>
      <c r="AR57" s="64" t="str">
        <f ca="1">IF(COUNTIFS('SEANCE 1'!$B:$B, $B57, 'SEANCE 1'!$C:$C, AR$2, 'SEANCE 1'!$F:$F, AR$5)=0, "", COUNTIFS('SEANCE 1'!$B:$B, $B57, 'SEANCE 1'!$C:$C, AR$2, 'SEANCE 1'!$F:$F, AR$5))</f>
        <v/>
      </c>
      <c r="AS57" s="64" t="str">
        <f ca="1">IF(COUNTIFS('SEANCE 1'!$B:$B, $B57, 'SEANCE 1'!$C:$C, AS$2, 'SEANCE 1'!$F:$F, AS$5)=0, "", COUNTIFS('SEANCE 1'!$B:$B, $B57, 'SEANCE 1'!$C:$C, AS$2, 'SEANCE 1'!$F:$F, AS$5))</f>
        <v/>
      </c>
      <c r="AT57" s="64" t="str">
        <f ca="1">IF(COUNTIFS('SEANCE 1'!$B:$B, $B57, 'SEANCE 1'!$C:$C, AT$2, 'SEANCE 1'!$F:$F, AT$5)=0, "", COUNTIFS('SEANCE 1'!$B:$B, $B57, 'SEANCE 1'!$C:$C, AT$2, 'SEANCE 1'!$F:$F, AT$5))</f>
        <v/>
      </c>
      <c r="AU57" s="64" t="str">
        <f ca="1">IF(COUNTIFS('SEANCE 1'!$B:$B, $B57, 'SEANCE 1'!$C:$C, AU$2, 'SEANCE 1'!$F:$F, AU$5)=0, "", COUNTIFS('SEANCE 1'!$B:$B, $B57, 'SEANCE 1'!$C:$C, AU$2, 'SEANCE 1'!$F:$F, AU$5))</f>
        <v/>
      </c>
      <c r="AV57" s="64" t="str">
        <f ca="1">IF(COUNTIFS('SEANCE 1'!$B:$B, $B57, 'SEANCE 1'!$C:$C, AV$2, 'SEANCE 1'!$F:$F, AV$5)=0, "", COUNTIFS('SEANCE 1'!$B:$B, $B57, 'SEANCE 1'!$C:$C, AV$2, 'SEANCE 1'!$F:$F, AV$5))</f>
        <v/>
      </c>
      <c r="AW57" s="64" t="str">
        <f ca="1">IF(COUNTIFS('SEANCE 1'!$B:$B, $B57, 'SEANCE 1'!$C:$C, AW$2, 'SEANCE 1'!$F:$F, AW$5)=0, "", COUNTIFS('SEANCE 1'!$B:$B, $B57, 'SEANCE 1'!$C:$C, AW$2, 'SEANCE 1'!$F:$F, AW$5))</f>
        <v/>
      </c>
      <c r="AX57" s="64" t="str">
        <f ca="1">IF(COUNTIFS('SEANCE 1'!$B:$B, $B57, 'SEANCE 1'!$C:$C, AX$2, 'SEANCE 1'!$F:$F, AX$5)=0, "", COUNTIFS('SEANCE 1'!$B:$B, $B57, 'SEANCE 1'!$C:$C, AX$2, 'SEANCE 1'!$F:$F, AX$5))</f>
        <v/>
      </c>
      <c r="AY57" s="64" t="str">
        <f ca="1">IF(COUNTIFS('SEANCE 1'!$B:$B, $B57, 'SEANCE 1'!$C:$C, AY$2, 'SEANCE 1'!$F:$F, AY$5)=0, "", COUNTIFS('SEANCE 1'!$B:$B, $B57, 'SEANCE 1'!$C:$C, AY$2, 'SEANCE 1'!$F:$F, AY$5))</f>
        <v/>
      </c>
      <c r="AZ57" s="32">
        <f t="shared" ca="1" si="0"/>
        <v>0</v>
      </c>
    </row>
    <row r="58" spans="1:52">
      <c r="A58" s="44" t="str">
        <f>IF('SEANCE 1'!$B54&lt;&gt;"",'SEANCE 1'!$A54,"")</f>
        <v/>
      </c>
      <c r="B58" s="44" t="str">
        <f t="array" aca="1" ref="B58" ca="1">IF(ISNA(INDEX(ListeB,MATCH(0,COUNTIF($B$5:B57,ListeB),0))),"",INDEX(ListeB,MATCH(0,COUNTIF($B$5:B57,ListeB),0)))</f>
        <v/>
      </c>
      <c r="C58" s="64" t="str">
        <f ca="1">IF(COUNTIFS('SEANCE 1'!$B:$B, $B58, 'SEANCE 1'!$C:$C, C$2, 'SEANCE 1'!$F:$F, C$5)=0, "", COUNTIFS('SEANCE 1'!$B:$B, $B58, 'SEANCE 1'!$C:$C, C$2, 'SEANCE 1'!$F:$F, C$5))</f>
        <v/>
      </c>
      <c r="D58" s="64" t="str">
        <f ca="1">IF(COUNTIFS('SEANCE 1'!$B:$B, $B58, 'SEANCE 1'!$C:$C, D$2, 'SEANCE 1'!$F:$F, D$5)=0, "", COUNTIFS('SEANCE 1'!$B:$B, $B58, 'SEANCE 1'!$C:$C, D$2, 'SEANCE 1'!$F:$F, D$5))</f>
        <v/>
      </c>
      <c r="E58" s="64" t="str">
        <f ca="1">IF(COUNTIFS('SEANCE 1'!$B:$B, $B58, 'SEANCE 1'!$C:$C, E$2, 'SEANCE 1'!$F:$F, E$5)=0, "", COUNTIFS('SEANCE 1'!$B:$B, $B58, 'SEANCE 1'!$C:$C, E$2, 'SEANCE 1'!$F:$F, E$5))</f>
        <v/>
      </c>
      <c r="F58" s="64" t="str">
        <f ca="1">IF(COUNTIFS('SEANCE 1'!$B:$B, $B58, 'SEANCE 1'!$C:$C, F$2, 'SEANCE 1'!$F:$F, F$5)=0, "", COUNTIFS('SEANCE 1'!$B:$B, $B58, 'SEANCE 1'!$C:$C, F$2, 'SEANCE 1'!$F:$F, F$5))</f>
        <v/>
      </c>
      <c r="G58" s="64" t="str">
        <f ca="1">IF(COUNTIFS('SEANCE 1'!$B:$B, $B58, 'SEANCE 1'!$C:$C, G$2, 'SEANCE 1'!$F:$F, G$5)=0, "", COUNTIFS('SEANCE 1'!$B:$B, $B58, 'SEANCE 1'!$C:$C, G$2, 'SEANCE 1'!$F:$F, G$5))</f>
        <v/>
      </c>
      <c r="H58" s="64" t="str">
        <f ca="1">IF(COUNTIFS('SEANCE 1'!$B:$B, $B58, 'SEANCE 1'!$C:$C, H$2, 'SEANCE 1'!$F:$F, H$5)=0, "", COUNTIFS('SEANCE 1'!$B:$B, $B58, 'SEANCE 1'!$C:$C, H$2, 'SEANCE 1'!$F:$F, H$5))</f>
        <v/>
      </c>
      <c r="I58" s="64" t="str">
        <f ca="1">IF(COUNTIFS('SEANCE 1'!$B:$B, $B58, 'SEANCE 1'!$C:$C, I$2, 'SEANCE 1'!$F:$F, I$5)=0, "", COUNTIFS('SEANCE 1'!$B:$B, $B58, 'SEANCE 1'!$C:$C, I$2, 'SEANCE 1'!$F:$F, I$5))</f>
        <v/>
      </c>
      <c r="J58" s="64" t="str">
        <f ca="1">IF(COUNTIFS('SEANCE 1'!$B:$B, $B58, 'SEANCE 1'!$C:$C, J$2, 'SEANCE 1'!$F:$F, J$5)=0, "", COUNTIFS('SEANCE 1'!$B:$B, $B58, 'SEANCE 1'!$C:$C, J$2, 'SEANCE 1'!$F:$F, J$5))</f>
        <v/>
      </c>
      <c r="K58" s="64" t="str">
        <f ca="1">IF(COUNTIFS('SEANCE 1'!$B:$B, $B58, 'SEANCE 1'!$C:$C, K$2, 'SEANCE 1'!$F:$F, K$5)=0, "", COUNTIFS('SEANCE 1'!$B:$B, $B58, 'SEANCE 1'!$C:$C, K$2, 'SEANCE 1'!$F:$F, K$5))</f>
        <v/>
      </c>
      <c r="L58" s="64" t="str">
        <f ca="1">IF(COUNTIFS('SEANCE 1'!$B:$B, $B58, 'SEANCE 1'!$C:$C, L$2, 'SEANCE 1'!$F:$F, L$5)=0, "", COUNTIFS('SEANCE 1'!$B:$B, $B58, 'SEANCE 1'!$C:$C, L$2, 'SEANCE 1'!$F:$F, L$5))</f>
        <v/>
      </c>
      <c r="M58" s="64" t="str">
        <f ca="1">IF(COUNTIFS('SEANCE 1'!$B:$B, $B58, 'SEANCE 1'!$C:$C, M$2, 'SEANCE 1'!$F:$F, M$5)=0, "", COUNTIFS('SEANCE 1'!$B:$B, $B58, 'SEANCE 1'!$C:$C, M$2, 'SEANCE 1'!$F:$F, M$5))</f>
        <v/>
      </c>
      <c r="N58" s="64" t="str">
        <f ca="1">IF(COUNTIFS('SEANCE 1'!$B:$B, $B58, 'SEANCE 1'!$C:$C, N$2, 'SEANCE 1'!$F:$F, N$5)=0, "", COUNTIFS('SEANCE 1'!$B:$B, $B58, 'SEANCE 1'!$C:$C, N$2, 'SEANCE 1'!$F:$F, N$5))</f>
        <v/>
      </c>
      <c r="O58" s="64" t="str">
        <f ca="1">IF(COUNTIFS('SEANCE 1'!$B:$B, $B58, 'SEANCE 1'!$C:$C, O$2, 'SEANCE 1'!$F:$F, O$5)=0, "", COUNTIFS('SEANCE 1'!$B:$B, $B58, 'SEANCE 1'!$C:$C, O$2, 'SEANCE 1'!$F:$F, O$5))</f>
        <v/>
      </c>
      <c r="P58" s="64" t="str">
        <f ca="1">IF(COUNTIFS('SEANCE 1'!$B:$B, $B58, 'SEANCE 1'!$C:$C, P$2, 'SEANCE 1'!$F:$F, P$5)=0, "", COUNTIFS('SEANCE 1'!$B:$B, $B58, 'SEANCE 1'!$C:$C, P$2, 'SEANCE 1'!$F:$F, P$5))</f>
        <v/>
      </c>
      <c r="Q58" s="64" t="str">
        <f ca="1">IF(COUNTIFS('SEANCE 1'!$B:$B, $B58, 'SEANCE 1'!$C:$C, Q$2, 'SEANCE 1'!$F:$F, Q$5)=0, "", COUNTIFS('SEANCE 1'!$B:$B, $B58, 'SEANCE 1'!$C:$C, Q$2, 'SEANCE 1'!$F:$F, Q$5))</f>
        <v/>
      </c>
      <c r="R58" s="64" t="str">
        <f ca="1">IF(COUNTIFS('SEANCE 1'!$B:$B, $B58, 'SEANCE 1'!$C:$C, R$2, 'SEANCE 1'!$F:$F, R$5)=0, "", COUNTIFS('SEANCE 1'!$B:$B, $B58, 'SEANCE 1'!$C:$C, R$2, 'SEANCE 1'!$F:$F, R$5))</f>
        <v/>
      </c>
      <c r="S58" s="64" t="str">
        <f ca="1">IF(COUNTIFS('SEANCE 1'!$B:$B, $B58, 'SEANCE 1'!$C:$C, S$2, 'SEANCE 1'!$F:$F, S$5)=0, "", COUNTIFS('SEANCE 1'!$B:$B, $B58, 'SEANCE 1'!$C:$C, S$2, 'SEANCE 1'!$F:$F, S$5))</f>
        <v/>
      </c>
      <c r="T58" s="64" t="str">
        <f ca="1">IF(COUNTIFS('SEANCE 1'!$B:$B, $B58, 'SEANCE 1'!$C:$C, T$2, 'SEANCE 1'!$F:$F, T$5)=0, "", COUNTIFS('SEANCE 1'!$B:$B, $B58, 'SEANCE 1'!$C:$C, T$2, 'SEANCE 1'!$F:$F, T$5))</f>
        <v/>
      </c>
      <c r="U58" s="64" t="str">
        <f ca="1">IF(COUNTIFS('SEANCE 1'!$B:$B, $B58, 'SEANCE 1'!$C:$C, U$2, 'SEANCE 1'!$F:$F, U$5)=0, "", COUNTIFS('SEANCE 1'!$B:$B, $B58, 'SEANCE 1'!$C:$C, U$2, 'SEANCE 1'!$F:$F, U$5))</f>
        <v/>
      </c>
      <c r="V58" s="64" t="str">
        <f ca="1">IF(COUNTIFS('SEANCE 1'!$B:$B, $B58, 'SEANCE 1'!$C:$C, V$2, 'SEANCE 1'!$F:$F, V$5)=0, "", COUNTIFS('SEANCE 1'!$B:$B, $B58, 'SEANCE 1'!$C:$C, V$2, 'SEANCE 1'!$F:$F, V$5))</f>
        <v/>
      </c>
      <c r="W58" s="64" t="str">
        <f ca="1">IF(COUNTIFS('SEANCE 1'!$B:$B, $B58, 'SEANCE 1'!$C:$C, W$2, 'SEANCE 1'!$F:$F, W$5)=0, "", COUNTIFS('SEANCE 1'!$B:$B, $B58, 'SEANCE 1'!$C:$C, W$2, 'SEANCE 1'!$F:$F, W$5))</f>
        <v/>
      </c>
      <c r="X58" s="64" t="str">
        <f ca="1">IF(COUNTIFS('SEANCE 1'!$B:$B, $B58, 'SEANCE 1'!$C:$C, X$2, 'SEANCE 1'!$F:$F, X$5)=0, "", COUNTIFS('SEANCE 1'!$B:$B, $B58, 'SEANCE 1'!$C:$C, X$2, 'SEANCE 1'!$F:$F, X$5))</f>
        <v/>
      </c>
      <c r="Y58" s="64" t="str">
        <f ca="1">IF(COUNTIFS('SEANCE 1'!$B:$B, $B58, 'SEANCE 1'!$C:$C, Y$2, 'SEANCE 1'!$F:$F, Y$5)=0, "", COUNTIFS('SEANCE 1'!$B:$B, $B58, 'SEANCE 1'!$C:$C, Y$2, 'SEANCE 1'!$F:$F, Y$5))</f>
        <v/>
      </c>
      <c r="Z58" s="64" t="str">
        <f ca="1">IF(COUNTIFS('SEANCE 1'!$B:$B, $B58, 'SEANCE 1'!$C:$C, Z$2, 'SEANCE 1'!$F:$F, Z$5)=0, "", COUNTIFS('SEANCE 1'!$B:$B, $B58, 'SEANCE 1'!$C:$C, Z$2, 'SEANCE 1'!$F:$F, Z$5))</f>
        <v/>
      </c>
      <c r="AA58" s="64" t="str">
        <f ca="1">IF(COUNTIFS('SEANCE 1'!$B:$B, $B58, 'SEANCE 1'!$C:$C, AA$2, 'SEANCE 1'!$F:$F, AA$5)=0, "", COUNTIFS('SEANCE 1'!$B:$B, $B58, 'SEANCE 1'!$C:$C, AA$2, 'SEANCE 1'!$F:$F, AA$5))</f>
        <v/>
      </c>
      <c r="AB58" s="64" t="str">
        <f ca="1">IF(COUNTIFS('SEANCE 1'!$B:$B, $B58, 'SEANCE 1'!$C:$C, AB$2, 'SEANCE 1'!$F:$F, AB$5)=0, "", COUNTIFS('SEANCE 1'!$B:$B, $B58, 'SEANCE 1'!$C:$C, AB$2, 'SEANCE 1'!$F:$F, AB$5))</f>
        <v/>
      </c>
      <c r="AC58" s="64" t="str">
        <f ca="1">IF(COUNTIFS('SEANCE 1'!$B:$B, $B58, 'SEANCE 1'!$C:$C, AC$2, 'SEANCE 1'!$F:$F, AC$5)=0, "", COUNTIFS('SEANCE 1'!$B:$B, $B58, 'SEANCE 1'!$C:$C, AC$2, 'SEANCE 1'!$F:$F, AC$5))</f>
        <v/>
      </c>
      <c r="AD58" s="64" t="str">
        <f ca="1">IF(COUNTIFS('SEANCE 1'!$B:$B, $B58, 'SEANCE 1'!$C:$C, AD$2, 'SEANCE 1'!$F:$F, AD$5)=0, "", COUNTIFS('SEANCE 1'!$B:$B, $B58, 'SEANCE 1'!$C:$C, AD$2, 'SEANCE 1'!$F:$F, AD$5))</f>
        <v/>
      </c>
      <c r="AE58" s="64" t="str">
        <f ca="1">IF(COUNTIFS('SEANCE 1'!$B:$B, $B58, 'SEANCE 1'!$C:$C, AE$2, 'SEANCE 1'!$F:$F, AE$5)=0, "", COUNTIFS('SEANCE 1'!$B:$B, $B58, 'SEANCE 1'!$C:$C, AE$2, 'SEANCE 1'!$F:$F, AE$5))</f>
        <v/>
      </c>
      <c r="AF58" s="64" t="str">
        <f ca="1">IF(COUNTIFS('SEANCE 1'!$B:$B, $B58, 'SEANCE 1'!$C:$C, AF$2, 'SEANCE 1'!$F:$F, AF$5)=0, "", COUNTIFS('SEANCE 1'!$B:$B, $B58, 'SEANCE 1'!$C:$C, AF$2, 'SEANCE 1'!$F:$F, AF$5))</f>
        <v/>
      </c>
      <c r="AG58" s="64" t="str">
        <f ca="1">IF(COUNTIFS('SEANCE 1'!$B:$B, $B58, 'SEANCE 1'!$C:$C, AG$2, 'SEANCE 1'!$F:$F, AG$5)=0, "", COUNTIFS('SEANCE 1'!$B:$B, $B58, 'SEANCE 1'!$C:$C, AG$2, 'SEANCE 1'!$F:$F, AG$5))</f>
        <v/>
      </c>
      <c r="AH58" s="64" t="str">
        <f ca="1">IF(COUNTIFS('SEANCE 1'!$B:$B, $B58, 'SEANCE 1'!$C:$C, AH$2, 'SEANCE 1'!$F:$F, AH$5)=0, "", COUNTIFS('SEANCE 1'!$B:$B, $B58, 'SEANCE 1'!$C:$C, AH$2, 'SEANCE 1'!$F:$F, AH$5))</f>
        <v/>
      </c>
      <c r="AI58" s="64" t="str">
        <f ca="1">IF(COUNTIFS('SEANCE 1'!$B:$B, $B58, 'SEANCE 1'!$C:$C, AI$2, 'SEANCE 1'!$F:$F, AI$5)=0, "", COUNTIFS('SEANCE 1'!$B:$B, $B58, 'SEANCE 1'!$C:$C, AI$2, 'SEANCE 1'!$F:$F, AI$5))</f>
        <v/>
      </c>
      <c r="AJ58" s="64" t="str">
        <f ca="1">IF(COUNTIFS('SEANCE 1'!$B:$B, $B58, 'SEANCE 1'!$C:$C, AJ$2, 'SEANCE 1'!$F:$F, AJ$5)=0, "", COUNTIFS('SEANCE 1'!$B:$B, $B58, 'SEANCE 1'!$C:$C, AJ$2, 'SEANCE 1'!$F:$F, AJ$5))</f>
        <v/>
      </c>
      <c r="AK58" s="64" t="str">
        <f ca="1">IF(COUNTIFS('SEANCE 1'!$B:$B, $B58, 'SEANCE 1'!$C:$C, AK$2, 'SEANCE 1'!$F:$F, AK$5)=0, "", COUNTIFS('SEANCE 1'!$B:$B, $B58, 'SEANCE 1'!$C:$C, AK$2, 'SEANCE 1'!$F:$F, AK$5))</f>
        <v/>
      </c>
      <c r="AL58" s="64" t="str">
        <f ca="1">IF(COUNTIFS('SEANCE 1'!$B:$B, $B58, 'SEANCE 1'!$C:$C, AL$2, 'SEANCE 1'!$F:$F, AL$5)=0, "", COUNTIFS('SEANCE 1'!$B:$B, $B58, 'SEANCE 1'!$C:$C, AL$2, 'SEANCE 1'!$F:$F, AL$5))</f>
        <v/>
      </c>
      <c r="AM58" s="64" t="str">
        <f ca="1">IF(COUNTIFS('SEANCE 1'!$B:$B, $B58, 'SEANCE 1'!$C:$C, AM$2, 'SEANCE 1'!$F:$F, AM$5)=0, "", COUNTIFS('SEANCE 1'!$B:$B, $B58, 'SEANCE 1'!$C:$C, AM$2, 'SEANCE 1'!$F:$F, AM$5))</f>
        <v/>
      </c>
      <c r="AN58" s="64" t="str">
        <f ca="1">IF(COUNTIFS('SEANCE 1'!$B:$B, $B58, 'SEANCE 1'!$C:$C, AN$2, 'SEANCE 1'!$F:$F, AN$5)=0, "", COUNTIFS('SEANCE 1'!$B:$B, $B58, 'SEANCE 1'!$C:$C, AN$2, 'SEANCE 1'!$F:$F, AN$5))</f>
        <v/>
      </c>
      <c r="AO58" s="64" t="str">
        <f ca="1">IF(COUNTIFS('SEANCE 1'!$B:$B, $B58, 'SEANCE 1'!$C:$C, AO$2, 'SEANCE 1'!$F:$F, AO$5)=0, "", COUNTIFS('SEANCE 1'!$B:$B, $B58, 'SEANCE 1'!$C:$C, AO$2, 'SEANCE 1'!$F:$F, AO$5))</f>
        <v/>
      </c>
      <c r="AP58" s="64" t="str">
        <f ca="1">IF(COUNTIFS('SEANCE 1'!$B:$B, $B58, 'SEANCE 1'!$C:$C, AP$2, 'SEANCE 1'!$F:$F, AP$5)=0, "", COUNTIFS('SEANCE 1'!$B:$B, $B58, 'SEANCE 1'!$C:$C, AP$2, 'SEANCE 1'!$F:$F, AP$5))</f>
        <v/>
      </c>
      <c r="AQ58" s="64" t="str">
        <f ca="1">IF(COUNTIFS('SEANCE 1'!$B:$B, $B58, 'SEANCE 1'!$C:$C, AQ$2, 'SEANCE 1'!$F:$F, AQ$5)=0, "", COUNTIFS('SEANCE 1'!$B:$B, $B58, 'SEANCE 1'!$C:$C, AQ$2, 'SEANCE 1'!$F:$F, AQ$5))</f>
        <v/>
      </c>
      <c r="AR58" s="64" t="str">
        <f ca="1">IF(COUNTIFS('SEANCE 1'!$B:$B, $B58, 'SEANCE 1'!$C:$C, AR$2, 'SEANCE 1'!$F:$F, AR$5)=0, "", COUNTIFS('SEANCE 1'!$B:$B, $B58, 'SEANCE 1'!$C:$C, AR$2, 'SEANCE 1'!$F:$F, AR$5))</f>
        <v/>
      </c>
      <c r="AS58" s="64" t="str">
        <f ca="1">IF(COUNTIFS('SEANCE 1'!$B:$B, $B58, 'SEANCE 1'!$C:$C, AS$2, 'SEANCE 1'!$F:$F, AS$5)=0, "", COUNTIFS('SEANCE 1'!$B:$B, $B58, 'SEANCE 1'!$C:$C, AS$2, 'SEANCE 1'!$F:$F, AS$5))</f>
        <v/>
      </c>
      <c r="AT58" s="64" t="str">
        <f ca="1">IF(COUNTIFS('SEANCE 1'!$B:$B, $B58, 'SEANCE 1'!$C:$C, AT$2, 'SEANCE 1'!$F:$F, AT$5)=0, "", COUNTIFS('SEANCE 1'!$B:$B, $B58, 'SEANCE 1'!$C:$C, AT$2, 'SEANCE 1'!$F:$F, AT$5))</f>
        <v/>
      </c>
      <c r="AU58" s="64" t="str">
        <f ca="1">IF(COUNTIFS('SEANCE 1'!$B:$B, $B58, 'SEANCE 1'!$C:$C, AU$2, 'SEANCE 1'!$F:$F, AU$5)=0, "", COUNTIFS('SEANCE 1'!$B:$B, $B58, 'SEANCE 1'!$C:$C, AU$2, 'SEANCE 1'!$F:$F, AU$5))</f>
        <v/>
      </c>
      <c r="AV58" s="64" t="str">
        <f ca="1">IF(COUNTIFS('SEANCE 1'!$B:$B, $B58, 'SEANCE 1'!$C:$C, AV$2, 'SEANCE 1'!$F:$F, AV$5)=0, "", COUNTIFS('SEANCE 1'!$B:$B, $B58, 'SEANCE 1'!$C:$C, AV$2, 'SEANCE 1'!$F:$F, AV$5))</f>
        <v/>
      </c>
      <c r="AW58" s="64" t="str">
        <f ca="1">IF(COUNTIFS('SEANCE 1'!$B:$B, $B58, 'SEANCE 1'!$C:$C, AW$2, 'SEANCE 1'!$F:$F, AW$5)=0, "", COUNTIFS('SEANCE 1'!$B:$B, $B58, 'SEANCE 1'!$C:$C, AW$2, 'SEANCE 1'!$F:$F, AW$5))</f>
        <v/>
      </c>
      <c r="AX58" s="64" t="str">
        <f ca="1">IF(COUNTIFS('SEANCE 1'!$B:$B, $B58, 'SEANCE 1'!$C:$C, AX$2, 'SEANCE 1'!$F:$F, AX$5)=0, "", COUNTIFS('SEANCE 1'!$B:$B, $B58, 'SEANCE 1'!$C:$C, AX$2, 'SEANCE 1'!$F:$F, AX$5))</f>
        <v/>
      </c>
      <c r="AY58" s="64" t="str">
        <f ca="1">IF(COUNTIFS('SEANCE 1'!$B:$B, $B58, 'SEANCE 1'!$C:$C, AY$2, 'SEANCE 1'!$F:$F, AY$5)=0, "", COUNTIFS('SEANCE 1'!$B:$B, $B58, 'SEANCE 1'!$C:$C, AY$2, 'SEANCE 1'!$F:$F, AY$5))</f>
        <v/>
      </c>
      <c r="AZ58" s="32">
        <f t="shared" ca="1" si="0"/>
        <v>0</v>
      </c>
    </row>
    <row r="59" spans="1:52">
      <c r="A59" s="44" t="str">
        <f>IF('SEANCE 1'!$B55&lt;&gt;"",'SEANCE 1'!$A55,"")</f>
        <v/>
      </c>
      <c r="B59" s="44" t="str">
        <f t="array" aca="1" ref="B59" ca="1">IF(ISNA(INDEX(ListeB,MATCH(0,COUNTIF($B$5:B58,ListeB),0))),"",INDEX(ListeB,MATCH(0,COUNTIF($B$5:B58,ListeB),0)))</f>
        <v/>
      </c>
      <c r="C59" s="64" t="str">
        <f ca="1">IF(COUNTIFS('SEANCE 1'!$B:$B, $B59, 'SEANCE 1'!$C:$C, C$2, 'SEANCE 1'!$F:$F, C$5)=0, "", COUNTIFS('SEANCE 1'!$B:$B, $B59, 'SEANCE 1'!$C:$C, C$2, 'SEANCE 1'!$F:$F, C$5))</f>
        <v/>
      </c>
      <c r="D59" s="64" t="str">
        <f ca="1">IF(COUNTIFS('SEANCE 1'!$B:$B, $B59, 'SEANCE 1'!$C:$C, D$2, 'SEANCE 1'!$F:$F, D$5)=0, "", COUNTIFS('SEANCE 1'!$B:$B, $B59, 'SEANCE 1'!$C:$C, D$2, 'SEANCE 1'!$F:$F, D$5))</f>
        <v/>
      </c>
      <c r="E59" s="64" t="str">
        <f ca="1">IF(COUNTIFS('SEANCE 1'!$B:$B, $B59, 'SEANCE 1'!$C:$C, E$2, 'SEANCE 1'!$F:$F, E$5)=0, "", COUNTIFS('SEANCE 1'!$B:$B, $B59, 'SEANCE 1'!$C:$C, E$2, 'SEANCE 1'!$F:$F, E$5))</f>
        <v/>
      </c>
      <c r="F59" s="64" t="str">
        <f ca="1">IF(COUNTIFS('SEANCE 1'!$B:$B, $B59, 'SEANCE 1'!$C:$C, F$2, 'SEANCE 1'!$F:$F, F$5)=0, "", COUNTIFS('SEANCE 1'!$B:$B, $B59, 'SEANCE 1'!$C:$C, F$2, 'SEANCE 1'!$F:$F, F$5))</f>
        <v/>
      </c>
      <c r="G59" s="64" t="str">
        <f ca="1">IF(COUNTIFS('SEANCE 1'!$B:$B, $B59, 'SEANCE 1'!$C:$C, G$2, 'SEANCE 1'!$F:$F, G$5)=0, "", COUNTIFS('SEANCE 1'!$B:$B, $B59, 'SEANCE 1'!$C:$C, G$2, 'SEANCE 1'!$F:$F, G$5))</f>
        <v/>
      </c>
      <c r="H59" s="64" t="str">
        <f ca="1">IF(COUNTIFS('SEANCE 1'!$B:$B, $B59, 'SEANCE 1'!$C:$C, H$2, 'SEANCE 1'!$F:$F, H$5)=0, "", COUNTIFS('SEANCE 1'!$B:$B, $B59, 'SEANCE 1'!$C:$C, H$2, 'SEANCE 1'!$F:$F, H$5))</f>
        <v/>
      </c>
      <c r="I59" s="64" t="str">
        <f ca="1">IF(COUNTIFS('SEANCE 1'!$B:$B, $B59, 'SEANCE 1'!$C:$C, I$2, 'SEANCE 1'!$F:$F, I$5)=0, "", COUNTIFS('SEANCE 1'!$B:$B, $B59, 'SEANCE 1'!$C:$C, I$2, 'SEANCE 1'!$F:$F, I$5))</f>
        <v/>
      </c>
      <c r="J59" s="64" t="str">
        <f ca="1">IF(COUNTIFS('SEANCE 1'!$B:$B, $B59, 'SEANCE 1'!$C:$C, J$2, 'SEANCE 1'!$F:$F, J$5)=0, "", COUNTIFS('SEANCE 1'!$B:$B, $B59, 'SEANCE 1'!$C:$C, J$2, 'SEANCE 1'!$F:$F, J$5))</f>
        <v/>
      </c>
      <c r="K59" s="64" t="str">
        <f ca="1">IF(COUNTIFS('SEANCE 1'!$B:$B, $B59, 'SEANCE 1'!$C:$C, K$2, 'SEANCE 1'!$F:$F, K$5)=0, "", COUNTIFS('SEANCE 1'!$B:$B, $B59, 'SEANCE 1'!$C:$C, K$2, 'SEANCE 1'!$F:$F, K$5))</f>
        <v/>
      </c>
      <c r="L59" s="64" t="str">
        <f ca="1">IF(COUNTIFS('SEANCE 1'!$B:$B, $B59, 'SEANCE 1'!$C:$C, L$2, 'SEANCE 1'!$F:$F, L$5)=0, "", COUNTIFS('SEANCE 1'!$B:$B, $B59, 'SEANCE 1'!$C:$C, L$2, 'SEANCE 1'!$F:$F, L$5))</f>
        <v/>
      </c>
      <c r="M59" s="64" t="str">
        <f ca="1">IF(COUNTIFS('SEANCE 1'!$B:$B, $B59, 'SEANCE 1'!$C:$C, M$2, 'SEANCE 1'!$F:$F, M$5)=0, "", COUNTIFS('SEANCE 1'!$B:$B, $B59, 'SEANCE 1'!$C:$C, M$2, 'SEANCE 1'!$F:$F, M$5))</f>
        <v/>
      </c>
      <c r="N59" s="64" t="str">
        <f ca="1">IF(COUNTIFS('SEANCE 1'!$B:$B, $B59, 'SEANCE 1'!$C:$C, N$2, 'SEANCE 1'!$F:$F, N$5)=0, "", COUNTIFS('SEANCE 1'!$B:$B, $B59, 'SEANCE 1'!$C:$C, N$2, 'SEANCE 1'!$F:$F, N$5))</f>
        <v/>
      </c>
      <c r="O59" s="64" t="str">
        <f ca="1">IF(COUNTIFS('SEANCE 1'!$B:$B, $B59, 'SEANCE 1'!$C:$C, O$2, 'SEANCE 1'!$F:$F, O$5)=0, "", COUNTIFS('SEANCE 1'!$B:$B, $B59, 'SEANCE 1'!$C:$C, O$2, 'SEANCE 1'!$F:$F, O$5))</f>
        <v/>
      </c>
      <c r="P59" s="64" t="str">
        <f ca="1">IF(COUNTIFS('SEANCE 1'!$B:$B, $B59, 'SEANCE 1'!$C:$C, P$2, 'SEANCE 1'!$F:$F, P$5)=0, "", COUNTIFS('SEANCE 1'!$B:$B, $B59, 'SEANCE 1'!$C:$C, P$2, 'SEANCE 1'!$F:$F, P$5))</f>
        <v/>
      </c>
      <c r="Q59" s="64" t="str">
        <f ca="1">IF(COUNTIFS('SEANCE 1'!$B:$B, $B59, 'SEANCE 1'!$C:$C, Q$2, 'SEANCE 1'!$F:$F, Q$5)=0, "", COUNTIFS('SEANCE 1'!$B:$B, $B59, 'SEANCE 1'!$C:$C, Q$2, 'SEANCE 1'!$F:$F, Q$5))</f>
        <v/>
      </c>
      <c r="R59" s="64" t="str">
        <f ca="1">IF(COUNTIFS('SEANCE 1'!$B:$B, $B59, 'SEANCE 1'!$C:$C, R$2, 'SEANCE 1'!$F:$F, R$5)=0, "", COUNTIFS('SEANCE 1'!$B:$B, $B59, 'SEANCE 1'!$C:$C, R$2, 'SEANCE 1'!$F:$F, R$5))</f>
        <v/>
      </c>
      <c r="S59" s="64" t="str">
        <f ca="1">IF(COUNTIFS('SEANCE 1'!$B:$B, $B59, 'SEANCE 1'!$C:$C, S$2, 'SEANCE 1'!$F:$F, S$5)=0, "", COUNTIFS('SEANCE 1'!$B:$B, $B59, 'SEANCE 1'!$C:$C, S$2, 'SEANCE 1'!$F:$F, S$5))</f>
        <v/>
      </c>
      <c r="T59" s="64" t="str">
        <f ca="1">IF(COUNTIFS('SEANCE 1'!$B:$B, $B59, 'SEANCE 1'!$C:$C, T$2, 'SEANCE 1'!$F:$F, T$5)=0, "", COUNTIFS('SEANCE 1'!$B:$B, $B59, 'SEANCE 1'!$C:$C, T$2, 'SEANCE 1'!$F:$F, T$5))</f>
        <v/>
      </c>
      <c r="U59" s="64" t="str">
        <f ca="1">IF(COUNTIFS('SEANCE 1'!$B:$B, $B59, 'SEANCE 1'!$C:$C, U$2, 'SEANCE 1'!$F:$F, U$5)=0, "", COUNTIFS('SEANCE 1'!$B:$B, $B59, 'SEANCE 1'!$C:$C, U$2, 'SEANCE 1'!$F:$F, U$5))</f>
        <v/>
      </c>
      <c r="V59" s="64" t="str">
        <f ca="1">IF(COUNTIFS('SEANCE 1'!$B:$B, $B59, 'SEANCE 1'!$C:$C, V$2, 'SEANCE 1'!$F:$F, V$5)=0, "", COUNTIFS('SEANCE 1'!$B:$B, $B59, 'SEANCE 1'!$C:$C, V$2, 'SEANCE 1'!$F:$F, V$5))</f>
        <v/>
      </c>
      <c r="W59" s="64" t="str">
        <f ca="1">IF(COUNTIFS('SEANCE 1'!$B:$B, $B59, 'SEANCE 1'!$C:$C, W$2, 'SEANCE 1'!$F:$F, W$5)=0, "", COUNTIFS('SEANCE 1'!$B:$B, $B59, 'SEANCE 1'!$C:$C, W$2, 'SEANCE 1'!$F:$F, W$5))</f>
        <v/>
      </c>
      <c r="X59" s="64" t="str">
        <f ca="1">IF(COUNTIFS('SEANCE 1'!$B:$B, $B59, 'SEANCE 1'!$C:$C, X$2, 'SEANCE 1'!$F:$F, X$5)=0, "", COUNTIFS('SEANCE 1'!$B:$B, $B59, 'SEANCE 1'!$C:$C, X$2, 'SEANCE 1'!$F:$F, X$5))</f>
        <v/>
      </c>
      <c r="Y59" s="64" t="str">
        <f ca="1">IF(COUNTIFS('SEANCE 1'!$B:$B, $B59, 'SEANCE 1'!$C:$C, Y$2, 'SEANCE 1'!$F:$F, Y$5)=0, "", COUNTIFS('SEANCE 1'!$B:$B, $B59, 'SEANCE 1'!$C:$C, Y$2, 'SEANCE 1'!$F:$F, Y$5))</f>
        <v/>
      </c>
      <c r="Z59" s="64" t="str">
        <f ca="1">IF(COUNTIFS('SEANCE 1'!$B:$B, $B59, 'SEANCE 1'!$C:$C, Z$2, 'SEANCE 1'!$F:$F, Z$5)=0, "", COUNTIFS('SEANCE 1'!$B:$B, $B59, 'SEANCE 1'!$C:$C, Z$2, 'SEANCE 1'!$F:$F, Z$5))</f>
        <v/>
      </c>
      <c r="AA59" s="64" t="str">
        <f ca="1">IF(COUNTIFS('SEANCE 1'!$B:$B, $B59, 'SEANCE 1'!$C:$C, AA$2, 'SEANCE 1'!$F:$F, AA$5)=0, "", COUNTIFS('SEANCE 1'!$B:$B, $B59, 'SEANCE 1'!$C:$C, AA$2, 'SEANCE 1'!$F:$F, AA$5))</f>
        <v/>
      </c>
      <c r="AB59" s="64" t="str">
        <f ca="1">IF(COUNTIFS('SEANCE 1'!$B:$B, $B59, 'SEANCE 1'!$C:$C, AB$2, 'SEANCE 1'!$F:$F, AB$5)=0, "", COUNTIFS('SEANCE 1'!$B:$B, $B59, 'SEANCE 1'!$C:$C, AB$2, 'SEANCE 1'!$F:$F, AB$5))</f>
        <v/>
      </c>
      <c r="AC59" s="64" t="str">
        <f ca="1">IF(COUNTIFS('SEANCE 1'!$B:$B, $B59, 'SEANCE 1'!$C:$C, AC$2, 'SEANCE 1'!$F:$F, AC$5)=0, "", COUNTIFS('SEANCE 1'!$B:$B, $B59, 'SEANCE 1'!$C:$C, AC$2, 'SEANCE 1'!$F:$F, AC$5))</f>
        <v/>
      </c>
      <c r="AD59" s="64" t="str">
        <f ca="1">IF(COUNTIFS('SEANCE 1'!$B:$B, $B59, 'SEANCE 1'!$C:$C, AD$2, 'SEANCE 1'!$F:$F, AD$5)=0, "", COUNTIFS('SEANCE 1'!$B:$B, $B59, 'SEANCE 1'!$C:$C, AD$2, 'SEANCE 1'!$F:$F, AD$5))</f>
        <v/>
      </c>
      <c r="AE59" s="64" t="str">
        <f ca="1">IF(COUNTIFS('SEANCE 1'!$B:$B, $B59, 'SEANCE 1'!$C:$C, AE$2, 'SEANCE 1'!$F:$F, AE$5)=0, "", COUNTIFS('SEANCE 1'!$B:$B, $B59, 'SEANCE 1'!$C:$C, AE$2, 'SEANCE 1'!$F:$F, AE$5))</f>
        <v/>
      </c>
      <c r="AF59" s="64" t="str">
        <f ca="1">IF(COUNTIFS('SEANCE 1'!$B:$B, $B59, 'SEANCE 1'!$C:$C, AF$2, 'SEANCE 1'!$F:$F, AF$5)=0, "", COUNTIFS('SEANCE 1'!$B:$B, $B59, 'SEANCE 1'!$C:$C, AF$2, 'SEANCE 1'!$F:$F, AF$5))</f>
        <v/>
      </c>
      <c r="AG59" s="64" t="str">
        <f ca="1">IF(COUNTIFS('SEANCE 1'!$B:$B, $B59, 'SEANCE 1'!$C:$C, AG$2, 'SEANCE 1'!$F:$F, AG$5)=0, "", COUNTIFS('SEANCE 1'!$B:$B, $B59, 'SEANCE 1'!$C:$C, AG$2, 'SEANCE 1'!$F:$F, AG$5))</f>
        <v/>
      </c>
      <c r="AH59" s="64" t="str">
        <f ca="1">IF(COUNTIFS('SEANCE 1'!$B:$B, $B59, 'SEANCE 1'!$C:$C, AH$2, 'SEANCE 1'!$F:$F, AH$5)=0, "", COUNTIFS('SEANCE 1'!$B:$B, $B59, 'SEANCE 1'!$C:$C, AH$2, 'SEANCE 1'!$F:$F, AH$5))</f>
        <v/>
      </c>
      <c r="AI59" s="64" t="str">
        <f ca="1">IF(COUNTIFS('SEANCE 1'!$B:$B, $B59, 'SEANCE 1'!$C:$C, AI$2, 'SEANCE 1'!$F:$F, AI$5)=0, "", COUNTIFS('SEANCE 1'!$B:$B, $B59, 'SEANCE 1'!$C:$C, AI$2, 'SEANCE 1'!$F:$F, AI$5))</f>
        <v/>
      </c>
      <c r="AJ59" s="64" t="str">
        <f ca="1">IF(COUNTIFS('SEANCE 1'!$B:$B, $B59, 'SEANCE 1'!$C:$C, AJ$2, 'SEANCE 1'!$F:$F, AJ$5)=0, "", COUNTIFS('SEANCE 1'!$B:$B, $B59, 'SEANCE 1'!$C:$C, AJ$2, 'SEANCE 1'!$F:$F, AJ$5))</f>
        <v/>
      </c>
      <c r="AK59" s="64" t="str">
        <f ca="1">IF(COUNTIFS('SEANCE 1'!$B:$B, $B59, 'SEANCE 1'!$C:$C, AK$2, 'SEANCE 1'!$F:$F, AK$5)=0, "", COUNTIFS('SEANCE 1'!$B:$B, $B59, 'SEANCE 1'!$C:$C, AK$2, 'SEANCE 1'!$F:$F, AK$5))</f>
        <v/>
      </c>
      <c r="AL59" s="64" t="str">
        <f ca="1">IF(COUNTIFS('SEANCE 1'!$B:$B, $B59, 'SEANCE 1'!$C:$C, AL$2, 'SEANCE 1'!$F:$F, AL$5)=0, "", COUNTIFS('SEANCE 1'!$B:$B, $B59, 'SEANCE 1'!$C:$C, AL$2, 'SEANCE 1'!$F:$F, AL$5))</f>
        <v/>
      </c>
      <c r="AM59" s="64" t="str">
        <f ca="1">IF(COUNTIFS('SEANCE 1'!$B:$B, $B59, 'SEANCE 1'!$C:$C, AM$2, 'SEANCE 1'!$F:$F, AM$5)=0, "", COUNTIFS('SEANCE 1'!$B:$B, $B59, 'SEANCE 1'!$C:$C, AM$2, 'SEANCE 1'!$F:$F, AM$5))</f>
        <v/>
      </c>
      <c r="AN59" s="64" t="str">
        <f ca="1">IF(COUNTIFS('SEANCE 1'!$B:$B, $B59, 'SEANCE 1'!$C:$C, AN$2, 'SEANCE 1'!$F:$F, AN$5)=0, "", COUNTIFS('SEANCE 1'!$B:$B, $B59, 'SEANCE 1'!$C:$C, AN$2, 'SEANCE 1'!$F:$F, AN$5))</f>
        <v/>
      </c>
      <c r="AO59" s="64" t="str">
        <f ca="1">IF(COUNTIFS('SEANCE 1'!$B:$B, $B59, 'SEANCE 1'!$C:$C, AO$2, 'SEANCE 1'!$F:$F, AO$5)=0, "", COUNTIFS('SEANCE 1'!$B:$B, $B59, 'SEANCE 1'!$C:$C, AO$2, 'SEANCE 1'!$F:$F, AO$5))</f>
        <v/>
      </c>
      <c r="AP59" s="64" t="str">
        <f ca="1">IF(COUNTIFS('SEANCE 1'!$B:$B, $B59, 'SEANCE 1'!$C:$C, AP$2, 'SEANCE 1'!$F:$F, AP$5)=0, "", COUNTIFS('SEANCE 1'!$B:$B, $B59, 'SEANCE 1'!$C:$C, AP$2, 'SEANCE 1'!$F:$F, AP$5))</f>
        <v/>
      </c>
      <c r="AQ59" s="64" t="str">
        <f ca="1">IF(COUNTIFS('SEANCE 1'!$B:$B, $B59, 'SEANCE 1'!$C:$C, AQ$2, 'SEANCE 1'!$F:$F, AQ$5)=0, "", COUNTIFS('SEANCE 1'!$B:$B, $B59, 'SEANCE 1'!$C:$C, AQ$2, 'SEANCE 1'!$F:$F, AQ$5))</f>
        <v/>
      </c>
      <c r="AR59" s="64" t="str">
        <f ca="1">IF(COUNTIFS('SEANCE 1'!$B:$B, $B59, 'SEANCE 1'!$C:$C, AR$2, 'SEANCE 1'!$F:$F, AR$5)=0, "", COUNTIFS('SEANCE 1'!$B:$B, $B59, 'SEANCE 1'!$C:$C, AR$2, 'SEANCE 1'!$F:$F, AR$5))</f>
        <v/>
      </c>
      <c r="AS59" s="64" t="str">
        <f ca="1">IF(COUNTIFS('SEANCE 1'!$B:$B, $B59, 'SEANCE 1'!$C:$C, AS$2, 'SEANCE 1'!$F:$F, AS$5)=0, "", COUNTIFS('SEANCE 1'!$B:$B, $B59, 'SEANCE 1'!$C:$C, AS$2, 'SEANCE 1'!$F:$F, AS$5))</f>
        <v/>
      </c>
      <c r="AT59" s="64" t="str">
        <f ca="1">IF(COUNTIFS('SEANCE 1'!$B:$B, $B59, 'SEANCE 1'!$C:$C, AT$2, 'SEANCE 1'!$F:$F, AT$5)=0, "", COUNTIFS('SEANCE 1'!$B:$B, $B59, 'SEANCE 1'!$C:$C, AT$2, 'SEANCE 1'!$F:$F, AT$5))</f>
        <v/>
      </c>
      <c r="AU59" s="64" t="str">
        <f ca="1">IF(COUNTIFS('SEANCE 1'!$B:$B, $B59, 'SEANCE 1'!$C:$C, AU$2, 'SEANCE 1'!$F:$F, AU$5)=0, "", COUNTIFS('SEANCE 1'!$B:$B, $B59, 'SEANCE 1'!$C:$C, AU$2, 'SEANCE 1'!$F:$F, AU$5))</f>
        <v/>
      </c>
      <c r="AV59" s="64" t="str">
        <f ca="1">IF(COUNTIFS('SEANCE 1'!$B:$B, $B59, 'SEANCE 1'!$C:$C, AV$2, 'SEANCE 1'!$F:$F, AV$5)=0, "", COUNTIFS('SEANCE 1'!$B:$B, $B59, 'SEANCE 1'!$C:$C, AV$2, 'SEANCE 1'!$F:$F, AV$5))</f>
        <v/>
      </c>
      <c r="AW59" s="64" t="str">
        <f ca="1">IF(COUNTIFS('SEANCE 1'!$B:$B, $B59, 'SEANCE 1'!$C:$C, AW$2, 'SEANCE 1'!$F:$F, AW$5)=0, "", COUNTIFS('SEANCE 1'!$B:$B, $B59, 'SEANCE 1'!$C:$C, AW$2, 'SEANCE 1'!$F:$F, AW$5))</f>
        <v/>
      </c>
      <c r="AX59" s="64" t="str">
        <f ca="1">IF(COUNTIFS('SEANCE 1'!$B:$B, $B59, 'SEANCE 1'!$C:$C, AX$2, 'SEANCE 1'!$F:$F, AX$5)=0, "", COUNTIFS('SEANCE 1'!$B:$B, $B59, 'SEANCE 1'!$C:$C, AX$2, 'SEANCE 1'!$F:$F, AX$5))</f>
        <v/>
      </c>
      <c r="AY59" s="64" t="str">
        <f ca="1">IF(COUNTIFS('SEANCE 1'!$B:$B, $B59, 'SEANCE 1'!$C:$C, AY$2, 'SEANCE 1'!$F:$F, AY$5)=0, "", COUNTIFS('SEANCE 1'!$B:$B, $B59, 'SEANCE 1'!$C:$C, AY$2, 'SEANCE 1'!$F:$F, AY$5))</f>
        <v/>
      </c>
      <c r="AZ59" s="32">
        <f t="shared" ca="1" si="0"/>
        <v>0</v>
      </c>
    </row>
    <row r="60" spans="1:52">
      <c r="A60" s="44" t="str">
        <f>IF('SEANCE 1'!$B56&lt;&gt;"",'SEANCE 1'!$A56,"")</f>
        <v/>
      </c>
      <c r="B60" s="44" t="str">
        <f t="array" aca="1" ref="B60" ca="1">IF(ISNA(INDEX(ListeB,MATCH(0,COUNTIF($B$5:B59,ListeB),0))),"",INDEX(ListeB,MATCH(0,COUNTIF($B$5:B59,ListeB),0)))</f>
        <v/>
      </c>
      <c r="C60" s="64" t="str">
        <f ca="1">IF(COUNTIFS('SEANCE 1'!$B:$B, $B60, 'SEANCE 1'!$C:$C, C$2, 'SEANCE 1'!$F:$F, C$5)=0, "", COUNTIFS('SEANCE 1'!$B:$B, $B60, 'SEANCE 1'!$C:$C, C$2, 'SEANCE 1'!$F:$F, C$5))</f>
        <v/>
      </c>
      <c r="D60" s="64" t="str">
        <f ca="1">IF(COUNTIFS('SEANCE 1'!$B:$B, $B60, 'SEANCE 1'!$C:$C, D$2, 'SEANCE 1'!$F:$F, D$5)=0, "", COUNTIFS('SEANCE 1'!$B:$B, $B60, 'SEANCE 1'!$C:$C, D$2, 'SEANCE 1'!$F:$F, D$5))</f>
        <v/>
      </c>
      <c r="E60" s="64" t="str">
        <f ca="1">IF(COUNTIFS('SEANCE 1'!$B:$B, $B60, 'SEANCE 1'!$C:$C, E$2, 'SEANCE 1'!$F:$F, E$5)=0, "", COUNTIFS('SEANCE 1'!$B:$B, $B60, 'SEANCE 1'!$C:$C, E$2, 'SEANCE 1'!$F:$F, E$5))</f>
        <v/>
      </c>
      <c r="F60" s="64" t="str">
        <f ca="1">IF(COUNTIFS('SEANCE 1'!$B:$B, $B60, 'SEANCE 1'!$C:$C, F$2, 'SEANCE 1'!$F:$F, F$5)=0, "", COUNTIFS('SEANCE 1'!$B:$B, $B60, 'SEANCE 1'!$C:$C, F$2, 'SEANCE 1'!$F:$F, F$5))</f>
        <v/>
      </c>
      <c r="G60" s="64" t="str">
        <f ca="1">IF(COUNTIFS('SEANCE 1'!$B:$B, $B60, 'SEANCE 1'!$C:$C, G$2, 'SEANCE 1'!$F:$F, G$5)=0, "", COUNTIFS('SEANCE 1'!$B:$B, $B60, 'SEANCE 1'!$C:$C, G$2, 'SEANCE 1'!$F:$F, G$5))</f>
        <v/>
      </c>
      <c r="H60" s="64" t="str">
        <f ca="1">IF(COUNTIFS('SEANCE 1'!$B:$B, $B60, 'SEANCE 1'!$C:$C, H$2, 'SEANCE 1'!$F:$F, H$5)=0, "", COUNTIFS('SEANCE 1'!$B:$B, $B60, 'SEANCE 1'!$C:$C, H$2, 'SEANCE 1'!$F:$F, H$5))</f>
        <v/>
      </c>
      <c r="I60" s="64" t="str">
        <f ca="1">IF(COUNTIFS('SEANCE 1'!$B:$B, $B60, 'SEANCE 1'!$C:$C, I$2, 'SEANCE 1'!$F:$F, I$5)=0, "", COUNTIFS('SEANCE 1'!$B:$B, $B60, 'SEANCE 1'!$C:$C, I$2, 'SEANCE 1'!$F:$F, I$5))</f>
        <v/>
      </c>
      <c r="J60" s="64" t="str">
        <f ca="1">IF(COUNTIFS('SEANCE 1'!$B:$B, $B60, 'SEANCE 1'!$C:$C, J$2, 'SEANCE 1'!$F:$F, J$5)=0, "", COUNTIFS('SEANCE 1'!$B:$B, $B60, 'SEANCE 1'!$C:$C, J$2, 'SEANCE 1'!$F:$F, J$5))</f>
        <v/>
      </c>
      <c r="K60" s="64" t="str">
        <f ca="1">IF(COUNTIFS('SEANCE 1'!$B:$B, $B60, 'SEANCE 1'!$C:$C, K$2, 'SEANCE 1'!$F:$F, K$5)=0, "", COUNTIFS('SEANCE 1'!$B:$B, $B60, 'SEANCE 1'!$C:$C, K$2, 'SEANCE 1'!$F:$F, K$5))</f>
        <v/>
      </c>
      <c r="L60" s="64" t="str">
        <f ca="1">IF(COUNTIFS('SEANCE 1'!$B:$B, $B60, 'SEANCE 1'!$C:$C, L$2, 'SEANCE 1'!$F:$F, L$5)=0, "", COUNTIFS('SEANCE 1'!$B:$B, $B60, 'SEANCE 1'!$C:$C, L$2, 'SEANCE 1'!$F:$F, L$5))</f>
        <v/>
      </c>
      <c r="M60" s="64" t="str">
        <f ca="1">IF(COUNTIFS('SEANCE 1'!$B:$B, $B60, 'SEANCE 1'!$C:$C, M$2, 'SEANCE 1'!$F:$F, M$5)=0, "", COUNTIFS('SEANCE 1'!$B:$B, $B60, 'SEANCE 1'!$C:$C, M$2, 'SEANCE 1'!$F:$F, M$5))</f>
        <v/>
      </c>
      <c r="N60" s="64" t="str">
        <f ca="1">IF(COUNTIFS('SEANCE 1'!$B:$B, $B60, 'SEANCE 1'!$C:$C, N$2, 'SEANCE 1'!$F:$F, N$5)=0, "", COUNTIFS('SEANCE 1'!$B:$B, $B60, 'SEANCE 1'!$C:$C, N$2, 'SEANCE 1'!$F:$F, N$5))</f>
        <v/>
      </c>
      <c r="O60" s="64" t="str">
        <f ca="1">IF(COUNTIFS('SEANCE 1'!$B:$B, $B60, 'SEANCE 1'!$C:$C, O$2, 'SEANCE 1'!$F:$F, O$5)=0, "", COUNTIFS('SEANCE 1'!$B:$B, $B60, 'SEANCE 1'!$C:$C, O$2, 'SEANCE 1'!$F:$F, O$5))</f>
        <v/>
      </c>
      <c r="P60" s="64" t="str">
        <f ca="1">IF(COUNTIFS('SEANCE 1'!$B:$B, $B60, 'SEANCE 1'!$C:$C, P$2, 'SEANCE 1'!$F:$F, P$5)=0, "", COUNTIFS('SEANCE 1'!$B:$B, $B60, 'SEANCE 1'!$C:$C, P$2, 'SEANCE 1'!$F:$F, P$5))</f>
        <v/>
      </c>
      <c r="Q60" s="64" t="str">
        <f ca="1">IF(COUNTIFS('SEANCE 1'!$B:$B, $B60, 'SEANCE 1'!$C:$C, Q$2, 'SEANCE 1'!$F:$F, Q$5)=0, "", COUNTIFS('SEANCE 1'!$B:$B, $B60, 'SEANCE 1'!$C:$C, Q$2, 'SEANCE 1'!$F:$F, Q$5))</f>
        <v/>
      </c>
      <c r="R60" s="64" t="str">
        <f ca="1">IF(COUNTIFS('SEANCE 1'!$B:$B, $B60, 'SEANCE 1'!$C:$C, R$2, 'SEANCE 1'!$F:$F, R$5)=0, "", COUNTIFS('SEANCE 1'!$B:$B, $B60, 'SEANCE 1'!$C:$C, R$2, 'SEANCE 1'!$F:$F, R$5))</f>
        <v/>
      </c>
      <c r="S60" s="64" t="str">
        <f ca="1">IF(COUNTIFS('SEANCE 1'!$B:$B, $B60, 'SEANCE 1'!$C:$C, S$2, 'SEANCE 1'!$F:$F, S$5)=0, "", COUNTIFS('SEANCE 1'!$B:$B, $B60, 'SEANCE 1'!$C:$C, S$2, 'SEANCE 1'!$F:$F, S$5))</f>
        <v/>
      </c>
      <c r="T60" s="64" t="str">
        <f ca="1">IF(COUNTIFS('SEANCE 1'!$B:$B, $B60, 'SEANCE 1'!$C:$C, T$2, 'SEANCE 1'!$F:$F, T$5)=0, "", COUNTIFS('SEANCE 1'!$B:$B, $B60, 'SEANCE 1'!$C:$C, T$2, 'SEANCE 1'!$F:$F, T$5))</f>
        <v/>
      </c>
      <c r="U60" s="64" t="str">
        <f ca="1">IF(COUNTIFS('SEANCE 1'!$B:$B, $B60, 'SEANCE 1'!$C:$C, U$2, 'SEANCE 1'!$F:$F, U$5)=0, "", COUNTIFS('SEANCE 1'!$B:$B, $B60, 'SEANCE 1'!$C:$C, U$2, 'SEANCE 1'!$F:$F, U$5))</f>
        <v/>
      </c>
      <c r="V60" s="64" t="str">
        <f ca="1">IF(COUNTIFS('SEANCE 1'!$B:$B, $B60, 'SEANCE 1'!$C:$C, V$2, 'SEANCE 1'!$F:$F, V$5)=0, "", COUNTIFS('SEANCE 1'!$B:$B, $B60, 'SEANCE 1'!$C:$C, V$2, 'SEANCE 1'!$F:$F, V$5))</f>
        <v/>
      </c>
      <c r="W60" s="64" t="str">
        <f ca="1">IF(COUNTIFS('SEANCE 1'!$B:$B, $B60, 'SEANCE 1'!$C:$C, W$2, 'SEANCE 1'!$F:$F, W$5)=0, "", COUNTIFS('SEANCE 1'!$B:$B, $B60, 'SEANCE 1'!$C:$C, W$2, 'SEANCE 1'!$F:$F, W$5))</f>
        <v/>
      </c>
      <c r="X60" s="64" t="str">
        <f ca="1">IF(COUNTIFS('SEANCE 1'!$B:$B, $B60, 'SEANCE 1'!$C:$C, X$2, 'SEANCE 1'!$F:$F, X$5)=0, "", COUNTIFS('SEANCE 1'!$B:$B, $B60, 'SEANCE 1'!$C:$C, X$2, 'SEANCE 1'!$F:$F, X$5))</f>
        <v/>
      </c>
      <c r="Y60" s="64" t="str">
        <f ca="1">IF(COUNTIFS('SEANCE 1'!$B:$B, $B60, 'SEANCE 1'!$C:$C, Y$2, 'SEANCE 1'!$F:$F, Y$5)=0, "", COUNTIFS('SEANCE 1'!$B:$B, $B60, 'SEANCE 1'!$C:$C, Y$2, 'SEANCE 1'!$F:$F, Y$5))</f>
        <v/>
      </c>
      <c r="Z60" s="64" t="str">
        <f ca="1">IF(COUNTIFS('SEANCE 1'!$B:$B, $B60, 'SEANCE 1'!$C:$C, Z$2, 'SEANCE 1'!$F:$F, Z$5)=0, "", COUNTIFS('SEANCE 1'!$B:$B, $B60, 'SEANCE 1'!$C:$C, Z$2, 'SEANCE 1'!$F:$F, Z$5))</f>
        <v/>
      </c>
      <c r="AA60" s="64" t="str">
        <f ca="1">IF(COUNTIFS('SEANCE 1'!$B:$B, $B60, 'SEANCE 1'!$C:$C, AA$2, 'SEANCE 1'!$F:$F, AA$5)=0, "", COUNTIFS('SEANCE 1'!$B:$B, $B60, 'SEANCE 1'!$C:$C, AA$2, 'SEANCE 1'!$F:$F, AA$5))</f>
        <v/>
      </c>
      <c r="AB60" s="64" t="str">
        <f ca="1">IF(COUNTIFS('SEANCE 1'!$B:$B, $B60, 'SEANCE 1'!$C:$C, AB$2, 'SEANCE 1'!$F:$F, AB$5)=0, "", COUNTIFS('SEANCE 1'!$B:$B, $B60, 'SEANCE 1'!$C:$C, AB$2, 'SEANCE 1'!$F:$F, AB$5))</f>
        <v/>
      </c>
      <c r="AC60" s="64" t="str">
        <f ca="1">IF(COUNTIFS('SEANCE 1'!$B:$B, $B60, 'SEANCE 1'!$C:$C, AC$2, 'SEANCE 1'!$F:$F, AC$5)=0, "", COUNTIFS('SEANCE 1'!$B:$B, $B60, 'SEANCE 1'!$C:$C, AC$2, 'SEANCE 1'!$F:$F, AC$5))</f>
        <v/>
      </c>
      <c r="AD60" s="64" t="str">
        <f ca="1">IF(COUNTIFS('SEANCE 1'!$B:$B, $B60, 'SEANCE 1'!$C:$C, AD$2, 'SEANCE 1'!$F:$F, AD$5)=0, "", COUNTIFS('SEANCE 1'!$B:$B, $B60, 'SEANCE 1'!$C:$C, AD$2, 'SEANCE 1'!$F:$F, AD$5))</f>
        <v/>
      </c>
      <c r="AE60" s="64" t="str">
        <f ca="1">IF(COUNTIFS('SEANCE 1'!$B:$B, $B60, 'SEANCE 1'!$C:$C, AE$2, 'SEANCE 1'!$F:$F, AE$5)=0, "", COUNTIFS('SEANCE 1'!$B:$B, $B60, 'SEANCE 1'!$C:$C, AE$2, 'SEANCE 1'!$F:$F, AE$5))</f>
        <v/>
      </c>
      <c r="AF60" s="64" t="str">
        <f ca="1">IF(COUNTIFS('SEANCE 1'!$B:$B, $B60, 'SEANCE 1'!$C:$C, AF$2, 'SEANCE 1'!$F:$F, AF$5)=0, "", COUNTIFS('SEANCE 1'!$B:$B, $B60, 'SEANCE 1'!$C:$C, AF$2, 'SEANCE 1'!$F:$F, AF$5))</f>
        <v/>
      </c>
      <c r="AG60" s="64" t="str">
        <f ca="1">IF(COUNTIFS('SEANCE 1'!$B:$B, $B60, 'SEANCE 1'!$C:$C, AG$2, 'SEANCE 1'!$F:$F, AG$5)=0, "", COUNTIFS('SEANCE 1'!$B:$B, $B60, 'SEANCE 1'!$C:$C, AG$2, 'SEANCE 1'!$F:$F, AG$5))</f>
        <v/>
      </c>
      <c r="AH60" s="64" t="str">
        <f ca="1">IF(COUNTIFS('SEANCE 1'!$B:$B, $B60, 'SEANCE 1'!$C:$C, AH$2, 'SEANCE 1'!$F:$F, AH$5)=0, "", COUNTIFS('SEANCE 1'!$B:$B, $B60, 'SEANCE 1'!$C:$C, AH$2, 'SEANCE 1'!$F:$F, AH$5))</f>
        <v/>
      </c>
      <c r="AI60" s="64" t="str">
        <f ca="1">IF(COUNTIFS('SEANCE 1'!$B:$B, $B60, 'SEANCE 1'!$C:$C, AI$2, 'SEANCE 1'!$F:$F, AI$5)=0, "", COUNTIFS('SEANCE 1'!$B:$B, $B60, 'SEANCE 1'!$C:$C, AI$2, 'SEANCE 1'!$F:$F, AI$5))</f>
        <v/>
      </c>
      <c r="AJ60" s="64" t="str">
        <f ca="1">IF(COUNTIFS('SEANCE 1'!$B:$B, $B60, 'SEANCE 1'!$C:$C, AJ$2, 'SEANCE 1'!$F:$F, AJ$5)=0, "", COUNTIFS('SEANCE 1'!$B:$B, $B60, 'SEANCE 1'!$C:$C, AJ$2, 'SEANCE 1'!$F:$F, AJ$5))</f>
        <v/>
      </c>
      <c r="AK60" s="64" t="str">
        <f ca="1">IF(COUNTIFS('SEANCE 1'!$B:$B, $B60, 'SEANCE 1'!$C:$C, AK$2, 'SEANCE 1'!$F:$F, AK$5)=0, "", COUNTIFS('SEANCE 1'!$B:$B, $B60, 'SEANCE 1'!$C:$C, AK$2, 'SEANCE 1'!$F:$F, AK$5))</f>
        <v/>
      </c>
      <c r="AL60" s="64" t="str">
        <f ca="1">IF(COUNTIFS('SEANCE 1'!$B:$B, $B60, 'SEANCE 1'!$C:$C, AL$2, 'SEANCE 1'!$F:$F, AL$5)=0, "", COUNTIFS('SEANCE 1'!$B:$B, $B60, 'SEANCE 1'!$C:$C, AL$2, 'SEANCE 1'!$F:$F, AL$5))</f>
        <v/>
      </c>
      <c r="AM60" s="64" t="str">
        <f ca="1">IF(COUNTIFS('SEANCE 1'!$B:$B, $B60, 'SEANCE 1'!$C:$C, AM$2, 'SEANCE 1'!$F:$F, AM$5)=0, "", COUNTIFS('SEANCE 1'!$B:$B, $B60, 'SEANCE 1'!$C:$C, AM$2, 'SEANCE 1'!$F:$F, AM$5))</f>
        <v/>
      </c>
      <c r="AN60" s="64" t="str">
        <f ca="1">IF(COUNTIFS('SEANCE 1'!$B:$B, $B60, 'SEANCE 1'!$C:$C, AN$2, 'SEANCE 1'!$F:$F, AN$5)=0, "", COUNTIFS('SEANCE 1'!$B:$B, $B60, 'SEANCE 1'!$C:$C, AN$2, 'SEANCE 1'!$F:$F, AN$5))</f>
        <v/>
      </c>
      <c r="AO60" s="64" t="str">
        <f ca="1">IF(COUNTIFS('SEANCE 1'!$B:$B, $B60, 'SEANCE 1'!$C:$C, AO$2, 'SEANCE 1'!$F:$F, AO$5)=0, "", COUNTIFS('SEANCE 1'!$B:$B, $B60, 'SEANCE 1'!$C:$C, AO$2, 'SEANCE 1'!$F:$F, AO$5))</f>
        <v/>
      </c>
      <c r="AP60" s="64" t="str">
        <f ca="1">IF(COUNTIFS('SEANCE 1'!$B:$B, $B60, 'SEANCE 1'!$C:$C, AP$2, 'SEANCE 1'!$F:$F, AP$5)=0, "", COUNTIFS('SEANCE 1'!$B:$B, $B60, 'SEANCE 1'!$C:$C, AP$2, 'SEANCE 1'!$F:$F, AP$5))</f>
        <v/>
      </c>
      <c r="AQ60" s="64" t="str">
        <f ca="1">IF(COUNTIFS('SEANCE 1'!$B:$B, $B60, 'SEANCE 1'!$C:$C, AQ$2, 'SEANCE 1'!$F:$F, AQ$5)=0, "", COUNTIFS('SEANCE 1'!$B:$B, $B60, 'SEANCE 1'!$C:$C, AQ$2, 'SEANCE 1'!$F:$F, AQ$5))</f>
        <v/>
      </c>
      <c r="AR60" s="64" t="str">
        <f ca="1">IF(COUNTIFS('SEANCE 1'!$B:$B, $B60, 'SEANCE 1'!$C:$C, AR$2, 'SEANCE 1'!$F:$F, AR$5)=0, "", COUNTIFS('SEANCE 1'!$B:$B, $B60, 'SEANCE 1'!$C:$C, AR$2, 'SEANCE 1'!$F:$F, AR$5))</f>
        <v/>
      </c>
      <c r="AS60" s="64" t="str">
        <f ca="1">IF(COUNTIFS('SEANCE 1'!$B:$B, $B60, 'SEANCE 1'!$C:$C, AS$2, 'SEANCE 1'!$F:$F, AS$5)=0, "", COUNTIFS('SEANCE 1'!$B:$B, $B60, 'SEANCE 1'!$C:$C, AS$2, 'SEANCE 1'!$F:$F, AS$5))</f>
        <v/>
      </c>
      <c r="AT60" s="64" t="str">
        <f ca="1">IF(COUNTIFS('SEANCE 1'!$B:$B, $B60, 'SEANCE 1'!$C:$C, AT$2, 'SEANCE 1'!$F:$F, AT$5)=0, "", COUNTIFS('SEANCE 1'!$B:$B, $B60, 'SEANCE 1'!$C:$C, AT$2, 'SEANCE 1'!$F:$F, AT$5))</f>
        <v/>
      </c>
      <c r="AU60" s="64" t="str">
        <f ca="1">IF(COUNTIFS('SEANCE 1'!$B:$B, $B60, 'SEANCE 1'!$C:$C, AU$2, 'SEANCE 1'!$F:$F, AU$5)=0, "", COUNTIFS('SEANCE 1'!$B:$B, $B60, 'SEANCE 1'!$C:$C, AU$2, 'SEANCE 1'!$F:$F, AU$5))</f>
        <v/>
      </c>
      <c r="AV60" s="64" t="str">
        <f ca="1">IF(COUNTIFS('SEANCE 1'!$B:$B, $B60, 'SEANCE 1'!$C:$C, AV$2, 'SEANCE 1'!$F:$F, AV$5)=0, "", COUNTIFS('SEANCE 1'!$B:$B, $B60, 'SEANCE 1'!$C:$C, AV$2, 'SEANCE 1'!$F:$F, AV$5))</f>
        <v/>
      </c>
      <c r="AW60" s="64" t="str">
        <f ca="1">IF(COUNTIFS('SEANCE 1'!$B:$B, $B60, 'SEANCE 1'!$C:$C, AW$2, 'SEANCE 1'!$F:$F, AW$5)=0, "", COUNTIFS('SEANCE 1'!$B:$B, $B60, 'SEANCE 1'!$C:$C, AW$2, 'SEANCE 1'!$F:$F, AW$5))</f>
        <v/>
      </c>
      <c r="AX60" s="64" t="str">
        <f ca="1">IF(COUNTIFS('SEANCE 1'!$B:$B, $B60, 'SEANCE 1'!$C:$C, AX$2, 'SEANCE 1'!$F:$F, AX$5)=0, "", COUNTIFS('SEANCE 1'!$B:$B, $B60, 'SEANCE 1'!$C:$C, AX$2, 'SEANCE 1'!$F:$F, AX$5))</f>
        <v/>
      </c>
      <c r="AY60" s="64" t="str">
        <f ca="1">IF(COUNTIFS('SEANCE 1'!$B:$B, $B60, 'SEANCE 1'!$C:$C, AY$2, 'SEANCE 1'!$F:$F, AY$5)=0, "", COUNTIFS('SEANCE 1'!$B:$B, $B60, 'SEANCE 1'!$C:$C, AY$2, 'SEANCE 1'!$F:$F, AY$5))</f>
        <v/>
      </c>
      <c r="AZ60" s="32">
        <f t="shared" ca="1" si="0"/>
        <v>0</v>
      </c>
    </row>
    <row r="61" spans="1:52">
      <c r="A61" s="44" t="str">
        <f>IF('SEANCE 1'!$B57&lt;&gt;"",'SEANCE 1'!$A57,"")</f>
        <v/>
      </c>
      <c r="B61" s="44" t="str">
        <f t="array" aca="1" ref="B61" ca="1">IF(ISNA(INDEX(ListeB,MATCH(0,COUNTIF($B$5:B60,ListeB),0))),"",INDEX(ListeB,MATCH(0,COUNTIF($B$5:B60,ListeB),0)))</f>
        <v/>
      </c>
      <c r="C61" s="64" t="str">
        <f ca="1">IF(COUNTIFS('SEANCE 1'!$B:$B, $B61, 'SEANCE 1'!$C:$C, C$2, 'SEANCE 1'!$F:$F, C$5)=0, "", COUNTIFS('SEANCE 1'!$B:$B, $B61, 'SEANCE 1'!$C:$C, C$2, 'SEANCE 1'!$F:$F, C$5))</f>
        <v/>
      </c>
      <c r="D61" s="64" t="str">
        <f ca="1">IF(COUNTIFS('SEANCE 1'!$B:$B, $B61, 'SEANCE 1'!$C:$C, D$2, 'SEANCE 1'!$F:$F, D$5)=0, "", COUNTIFS('SEANCE 1'!$B:$B, $B61, 'SEANCE 1'!$C:$C, D$2, 'SEANCE 1'!$F:$F, D$5))</f>
        <v/>
      </c>
      <c r="E61" s="64" t="str">
        <f ca="1">IF(COUNTIFS('SEANCE 1'!$B:$B, $B61, 'SEANCE 1'!$C:$C, E$2, 'SEANCE 1'!$F:$F, E$5)=0, "", COUNTIFS('SEANCE 1'!$B:$B, $B61, 'SEANCE 1'!$C:$C, E$2, 'SEANCE 1'!$F:$F, E$5))</f>
        <v/>
      </c>
      <c r="F61" s="64" t="str">
        <f ca="1">IF(COUNTIFS('SEANCE 1'!$B:$B, $B61, 'SEANCE 1'!$C:$C, F$2, 'SEANCE 1'!$F:$F, F$5)=0, "", COUNTIFS('SEANCE 1'!$B:$B, $B61, 'SEANCE 1'!$C:$C, F$2, 'SEANCE 1'!$F:$F, F$5))</f>
        <v/>
      </c>
      <c r="G61" s="64" t="str">
        <f ca="1">IF(COUNTIFS('SEANCE 1'!$B:$B, $B61, 'SEANCE 1'!$C:$C, G$2, 'SEANCE 1'!$F:$F, G$5)=0, "", COUNTIFS('SEANCE 1'!$B:$B, $B61, 'SEANCE 1'!$C:$C, G$2, 'SEANCE 1'!$F:$F, G$5))</f>
        <v/>
      </c>
      <c r="H61" s="64" t="str">
        <f ca="1">IF(COUNTIFS('SEANCE 1'!$B:$B, $B61, 'SEANCE 1'!$C:$C, H$2, 'SEANCE 1'!$F:$F, H$5)=0, "", COUNTIFS('SEANCE 1'!$B:$B, $B61, 'SEANCE 1'!$C:$C, H$2, 'SEANCE 1'!$F:$F, H$5))</f>
        <v/>
      </c>
      <c r="I61" s="64" t="str">
        <f ca="1">IF(COUNTIFS('SEANCE 1'!$B:$B, $B61, 'SEANCE 1'!$C:$C, I$2, 'SEANCE 1'!$F:$F, I$5)=0, "", COUNTIFS('SEANCE 1'!$B:$B, $B61, 'SEANCE 1'!$C:$C, I$2, 'SEANCE 1'!$F:$F, I$5))</f>
        <v/>
      </c>
      <c r="J61" s="64" t="str">
        <f ca="1">IF(COUNTIFS('SEANCE 1'!$B:$B, $B61, 'SEANCE 1'!$C:$C, J$2, 'SEANCE 1'!$F:$F, J$5)=0, "", COUNTIFS('SEANCE 1'!$B:$B, $B61, 'SEANCE 1'!$C:$C, J$2, 'SEANCE 1'!$F:$F, J$5))</f>
        <v/>
      </c>
      <c r="K61" s="64" t="str">
        <f ca="1">IF(COUNTIFS('SEANCE 1'!$B:$B, $B61, 'SEANCE 1'!$C:$C, K$2, 'SEANCE 1'!$F:$F, K$5)=0, "", COUNTIFS('SEANCE 1'!$B:$B, $B61, 'SEANCE 1'!$C:$C, K$2, 'SEANCE 1'!$F:$F, K$5))</f>
        <v/>
      </c>
      <c r="L61" s="64" t="str">
        <f ca="1">IF(COUNTIFS('SEANCE 1'!$B:$B, $B61, 'SEANCE 1'!$C:$C, L$2, 'SEANCE 1'!$F:$F, L$5)=0, "", COUNTIFS('SEANCE 1'!$B:$B, $B61, 'SEANCE 1'!$C:$C, L$2, 'SEANCE 1'!$F:$F, L$5))</f>
        <v/>
      </c>
      <c r="M61" s="64" t="str">
        <f ca="1">IF(COUNTIFS('SEANCE 1'!$B:$B, $B61, 'SEANCE 1'!$C:$C, M$2, 'SEANCE 1'!$F:$F, M$5)=0, "", COUNTIFS('SEANCE 1'!$B:$B, $B61, 'SEANCE 1'!$C:$C, M$2, 'SEANCE 1'!$F:$F, M$5))</f>
        <v/>
      </c>
      <c r="N61" s="64" t="str">
        <f ca="1">IF(COUNTIFS('SEANCE 1'!$B:$B, $B61, 'SEANCE 1'!$C:$C, N$2, 'SEANCE 1'!$F:$F, N$5)=0, "", COUNTIFS('SEANCE 1'!$B:$B, $B61, 'SEANCE 1'!$C:$C, N$2, 'SEANCE 1'!$F:$F, N$5))</f>
        <v/>
      </c>
      <c r="O61" s="64" t="str">
        <f ca="1">IF(COUNTIFS('SEANCE 1'!$B:$B, $B61, 'SEANCE 1'!$C:$C, O$2, 'SEANCE 1'!$F:$F, O$5)=0, "", COUNTIFS('SEANCE 1'!$B:$B, $B61, 'SEANCE 1'!$C:$C, O$2, 'SEANCE 1'!$F:$F, O$5))</f>
        <v/>
      </c>
      <c r="P61" s="64" t="str">
        <f ca="1">IF(COUNTIFS('SEANCE 1'!$B:$B, $B61, 'SEANCE 1'!$C:$C, P$2, 'SEANCE 1'!$F:$F, P$5)=0, "", COUNTIFS('SEANCE 1'!$B:$B, $B61, 'SEANCE 1'!$C:$C, P$2, 'SEANCE 1'!$F:$F, P$5))</f>
        <v/>
      </c>
      <c r="Q61" s="64" t="str">
        <f ca="1">IF(COUNTIFS('SEANCE 1'!$B:$B, $B61, 'SEANCE 1'!$C:$C, Q$2, 'SEANCE 1'!$F:$F, Q$5)=0, "", COUNTIFS('SEANCE 1'!$B:$B, $B61, 'SEANCE 1'!$C:$C, Q$2, 'SEANCE 1'!$F:$F, Q$5))</f>
        <v/>
      </c>
      <c r="R61" s="64" t="str">
        <f ca="1">IF(COUNTIFS('SEANCE 1'!$B:$B, $B61, 'SEANCE 1'!$C:$C, R$2, 'SEANCE 1'!$F:$F, R$5)=0, "", COUNTIFS('SEANCE 1'!$B:$B, $B61, 'SEANCE 1'!$C:$C, R$2, 'SEANCE 1'!$F:$F, R$5))</f>
        <v/>
      </c>
      <c r="S61" s="64" t="str">
        <f ca="1">IF(COUNTIFS('SEANCE 1'!$B:$B, $B61, 'SEANCE 1'!$C:$C, S$2, 'SEANCE 1'!$F:$F, S$5)=0, "", COUNTIFS('SEANCE 1'!$B:$B, $B61, 'SEANCE 1'!$C:$C, S$2, 'SEANCE 1'!$F:$F, S$5))</f>
        <v/>
      </c>
      <c r="T61" s="64" t="str">
        <f ca="1">IF(COUNTIFS('SEANCE 1'!$B:$B, $B61, 'SEANCE 1'!$C:$C, T$2, 'SEANCE 1'!$F:$F, T$5)=0, "", COUNTIFS('SEANCE 1'!$B:$B, $B61, 'SEANCE 1'!$C:$C, T$2, 'SEANCE 1'!$F:$F, T$5))</f>
        <v/>
      </c>
      <c r="U61" s="64" t="str">
        <f ca="1">IF(COUNTIFS('SEANCE 1'!$B:$B, $B61, 'SEANCE 1'!$C:$C, U$2, 'SEANCE 1'!$F:$F, U$5)=0, "", COUNTIFS('SEANCE 1'!$B:$B, $B61, 'SEANCE 1'!$C:$C, U$2, 'SEANCE 1'!$F:$F, U$5))</f>
        <v/>
      </c>
      <c r="V61" s="64" t="str">
        <f ca="1">IF(COUNTIFS('SEANCE 1'!$B:$B, $B61, 'SEANCE 1'!$C:$C, V$2, 'SEANCE 1'!$F:$F, V$5)=0, "", COUNTIFS('SEANCE 1'!$B:$B, $B61, 'SEANCE 1'!$C:$C, V$2, 'SEANCE 1'!$F:$F, V$5))</f>
        <v/>
      </c>
      <c r="W61" s="64" t="str">
        <f ca="1">IF(COUNTIFS('SEANCE 1'!$B:$B, $B61, 'SEANCE 1'!$C:$C, W$2, 'SEANCE 1'!$F:$F, W$5)=0, "", COUNTIFS('SEANCE 1'!$B:$B, $B61, 'SEANCE 1'!$C:$C, W$2, 'SEANCE 1'!$F:$F, W$5))</f>
        <v/>
      </c>
      <c r="X61" s="64" t="str">
        <f ca="1">IF(COUNTIFS('SEANCE 1'!$B:$B, $B61, 'SEANCE 1'!$C:$C, X$2, 'SEANCE 1'!$F:$F, X$5)=0, "", COUNTIFS('SEANCE 1'!$B:$B, $B61, 'SEANCE 1'!$C:$C, X$2, 'SEANCE 1'!$F:$F, X$5))</f>
        <v/>
      </c>
      <c r="Y61" s="64" t="str">
        <f ca="1">IF(COUNTIFS('SEANCE 1'!$B:$B, $B61, 'SEANCE 1'!$C:$C, Y$2, 'SEANCE 1'!$F:$F, Y$5)=0, "", COUNTIFS('SEANCE 1'!$B:$B, $B61, 'SEANCE 1'!$C:$C, Y$2, 'SEANCE 1'!$F:$F, Y$5))</f>
        <v/>
      </c>
      <c r="Z61" s="64" t="str">
        <f ca="1">IF(COUNTIFS('SEANCE 1'!$B:$B, $B61, 'SEANCE 1'!$C:$C, Z$2, 'SEANCE 1'!$F:$F, Z$5)=0, "", COUNTIFS('SEANCE 1'!$B:$B, $B61, 'SEANCE 1'!$C:$C, Z$2, 'SEANCE 1'!$F:$F, Z$5))</f>
        <v/>
      </c>
      <c r="AA61" s="64" t="str">
        <f ca="1">IF(COUNTIFS('SEANCE 1'!$B:$B, $B61, 'SEANCE 1'!$C:$C, AA$2, 'SEANCE 1'!$F:$F, AA$5)=0, "", COUNTIFS('SEANCE 1'!$B:$B, $B61, 'SEANCE 1'!$C:$C, AA$2, 'SEANCE 1'!$F:$F, AA$5))</f>
        <v/>
      </c>
      <c r="AB61" s="64" t="str">
        <f ca="1">IF(COUNTIFS('SEANCE 1'!$B:$B, $B61, 'SEANCE 1'!$C:$C, AB$2, 'SEANCE 1'!$F:$F, AB$5)=0, "", COUNTIFS('SEANCE 1'!$B:$B, $B61, 'SEANCE 1'!$C:$C, AB$2, 'SEANCE 1'!$F:$F, AB$5))</f>
        <v/>
      </c>
      <c r="AC61" s="64" t="str">
        <f ca="1">IF(COUNTIFS('SEANCE 1'!$B:$B, $B61, 'SEANCE 1'!$C:$C, AC$2, 'SEANCE 1'!$F:$F, AC$5)=0, "", COUNTIFS('SEANCE 1'!$B:$B, $B61, 'SEANCE 1'!$C:$C, AC$2, 'SEANCE 1'!$F:$F, AC$5))</f>
        <v/>
      </c>
      <c r="AD61" s="64" t="str">
        <f ca="1">IF(COUNTIFS('SEANCE 1'!$B:$B, $B61, 'SEANCE 1'!$C:$C, AD$2, 'SEANCE 1'!$F:$F, AD$5)=0, "", COUNTIFS('SEANCE 1'!$B:$B, $B61, 'SEANCE 1'!$C:$C, AD$2, 'SEANCE 1'!$F:$F, AD$5))</f>
        <v/>
      </c>
      <c r="AE61" s="64" t="str">
        <f ca="1">IF(COUNTIFS('SEANCE 1'!$B:$B, $B61, 'SEANCE 1'!$C:$C, AE$2, 'SEANCE 1'!$F:$F, AE$5)=0, "", COUNTIFS('SEANCE 1'!$B:$B, $B61, 'SEANCE 1'!$C:$C, AE$2, 'SEANCE 1'!$F:$F, AE$5))</f>
        <v/>
      </c>
      <c r="AF61" s="64" t="str">
        <f ca="1">IF(COUNTIFS('SEANCE 1'!$B:$B, $B61, 'SEANCE 1'!$C:$C, AF$2, 'SEANCE 1'!$F:$F, AF$5)=0, "", COUNTIFS('SEANCE 1'!$B:$B, $B61, 'SEANCE 1'!$C:$C, AF$2, 'SEANCE 1'!$F:$F, AF$5))</f>
        <v/>
      </c>
      <c r="AG61" s="64" t="str">
        <f ca="1">IF(COUNTIFS('SEANCE 1'!$B:$B, $B61, 'SEANCE 1'!$C:$C, AG$2, 'SEANCE 1'!$F:$F, AG$5)=0, "", COUNTIFS('SEANCE 1'!$B:$B, $B61, 'SEANCE 1'!$C:$C, AG$2, 'SEANCE 1'!$F:$F, AG$5))</f>
        <v/>
      </c>
      <c r="AH61" s="64" t="str">
        <f ca="1">IF(COUNTIFS('SEANCE 1'!$B:$B, $B61, 'SEANCE 1'!$C:$C, AH$2, 'SEANCE 1'!$F:$F, AH$5)=0, "", COUNTIFS('SEANCE 1'!$B:$B, $B61, 'SEANCE 1'!$C:$C, AH$2, 'SEANCE 1'!$F:$F, AH$5))</f>
        <v/>
      </c>
      <c r="AI61" s="64" t="str">
        <f ca="1">IF(COUNTIFS('SEANCE 1'!$B:$B, $B61, 'SEANCE 1'!$C:$C, AI$2, 'SEANCE 1'!$F:$F, AI$5)=0, "", COUNTIFS('SEANCE 1'!$B:$B, $B61, 'SEANCE 1'!$C:$C, AI$2, 'SEANCE 1'!$F:$F, AI$5))</f>
        <v/>
      </c>
      <c r="AJ61" s="64" t="str">
        <f ca="1">IF(COUNTIFS('SEANCE 1'!$B:$B, $B61, 'SEANCE 1'!$C:$C, AJ$2, 'SEANCE 1'!$F:$F, AJ$5)=0, "", COUNTIFS('SEANCE 1'!$B:$B, $B61, 'SEANCE 1'!$C:$C, AJ$2, 'SEANCE 1'!$F:$F, AJ$5))</f>
        <v/>
      </c>
      <c r="AK61" s="64" t="str">
        <f ca="1">IF(COUNTIFS('SEANCE 1'!$B:$B, $B61, 'SEANCE 1'!$C:$C, AK$2, 'SEANCE 1'!$F:$F, AK$5)=0, "", COUNTIFS('SEANCE 1'!$B:$B, $B61, 'SEANCE 1'!$C:$C, AK$2, 'SEANCE 1'!$F:$F, AK$5))</f>
        <v/>
      </c>
      <c r="AL61" s="64" t="str">
        <f ca="1">IF(COUNTIFS('SEANCE 1'!$B:$B, $B61, 'SEANCE 1'!$C:$C, AL$2, 'SEANCE 1'!$F:$F, AL$5)=0, "", COUNTIFS('SEANCE 1'!$B:$B, $B61, 'SEANCE 1'!$C:$C, AL$2, 'SEANCE 1'!$F:$F, AL$5))</f>
        <v/>
      </c>
      <c r="AM61" s="64" t="str">
        <f ca="1">IF(COUNTIFS('SEANCE 1'!$B:$B, $B61, 'SEANCE 1'!$C:$C, AM$2, 'SEANCE 1'!$F:$F, AM$5)=0, "", COUNTIFS('SEANCE 1'!$B:$B, $B61, 'SEANCE 1'!$C:$C, AM$2, 'SEANCE 1'!$F:$F, AM$5))</f>
        <v/>
      </c>
      <c r="AN61" s="64" t="str">
        <f ca="1">IF(COUNTIFS('SEANCE 1'!$B:$B, $B61, 'SEANCE 1'!$C:$C, AN$2, 'SEANCE 1'!$F:$F, AN$5)=0, "", COUNTIFS('SEANCE 1'!$B:$B, $B61, 'SEANCE 1'!$C:$C, AN$2, 'SEANCE 1'!$F:$F, AN$5))</f>
        <v/>
      </c>
      <c r="AO61" s="64" t="str">
        <f ca="1">IF(COUNTIFS('SEANCE 1'!$B:$B, $B61, 'SEANCE 1'!$C:$C, AO$2, 'SEANCE 1'!$F:$F, AO$5)=0, "", COUNTIFS('SEANCE 1'!$B:$B, $B61, 'SEANCE 1'!$C:$C, AO$2, 'SEANCE 1'!$F:$F, AO$5))</f>
        <v/>
      </c>
      <c r="AP61" s="64" t="str">
        <f ca="1">IF(COUNTIFS('SEANCE 1'!$B:$B, $B61, 'SEANCE 1'!$C:$C, AP$2, 'SEANCE 1'!$F:$F, AP$5)=0, "", COUNTIFS('SEANCE 1'!$B:$B, $B61, 'SEANCE 1'!$C:$C, AP$2, 'SEANCE 1'!$F:$F, AP$5))</f>
        <v/>
      </c>
      <c r="AQ61" s="64" t="str">
        <f ca="1">IF(COUNTIFS('SEANCE 1'!$B:$B, $B61, 'SEANCE 1'!$C:$C, AQ$2, 'SEANCE 1'!$F:$F, AQ$5)=0, "", COUNTIFS('SEANCE 1'!$B:$B, $B61, 'SEANCE 1'!$C:$C, AQ$2, 'SEANCE 1'!$F:$F, AQ$5))</f>
        <v/>
      </c>
      <c r="AR61" s="64" t="str">
        <f ca="1">IF(COUNTIFS('SEANCE 1'!$B:$B, $B61, 'SEANCE 1'!$C:$C, AR$2, 'SEANCE 1'!$F:$F, AR$5)=0, "", COUNTIFS('SEANCE 1'!$B:$B, $B61, 'SEANCE 1'!$C:$C, AR$2, 'SEANCE 1'!$F:$F, AR$5))</f>
        <v/>
      </c>
      <c r="AS61" s="64" t="str">
        <f ca="1">IF(COUNTIFS('SEANCE 1'!$B:$B, $B61, 'SEANCE 1'!$C:$C, AS$2, 'SEANCE 1'!$F:$F, AS$5)=0, "", COUNTIFS('SEANCE 1'!$B:$B, $B61, 'SEANCE 1'!$C:$C, AS$2, 'SEANCE 1'!$F:$F, AS$5))</f>
        <v/>
      </c>
      <c r="AT61" s="64" t="str">
        <f ca="1">IF(COUNTIFS('SEANCE 1'!$B:$B, $B61, 'SEANCE 1'!$C:$C, AT$2, 'SEANCE 1'!$F:$F, AT$5)=0, "", COUNTIFS('SEANCE 1'!$B:$B, $B61, 'SEANCE 1'!$C:$C, AT$2, 'SEANCE 1'!$F:$F, AT$5))</f>
        <v/>
      </c>
      <c r="AU61" s="64" t="str">
        <f ca="1">IF(COUNTIFS('SEANCE 1'!$B:$B, $B61, 'SEANCE 1'!$C:$C, AU$2, 'SEANCE 1'!$F:$F, AU$5)=0, "", COUNTIFS('SEANCE 1'!$B:$B, $B61, 'SEANCE 1'!$C:$C, AU$2, 'SEANCE 1'!$F:$F, AU$5))</f>
        <v/>
      </c>
      <c r="AV61" s="64" t="str">
        <f ca="1">IF(COUNTIFS('SEANCE 1'!$B:$B, $B61, 'SEANCE 1'!$C:$C, AV$2, 'SEANCE 1'!$F:$F, AV$5)=0, "", COUNTIFS('SEANCE 1'!$B:$B, $B61, 'SEANCE 1'!$C:$C, AV$2, 'SEANCE 1'!$F:$F, AV$5))</f>
        <v/>
      </c>
      <c r="AW61" s="64" t="str">
        <f ca="1">IF(COUNTIFS('SEANCE 1'!$B:$B, $B61, 'SEANCE 1'!$C:$C, AW$2, 'SEANCE 1'!$F:$F, AW$5)=0, "", COUNTIFS('SEANCE 1'!$B:$B, $B61, 'SEANCE 1'!$C:$C, AW$2, 'SEANCE 1'!$F:$F, AW$5))</f>
        <v/>
      </c>
      <c r="AX61" s="64" t="str">
        <f ca="1">IF(COUNTIFS('SEANCE 1'!$B:$B, $B61, 'SEANCE 1'!$C:$C, AX$2, 'SEANCE 1'!$F:$F, AX$5)=0, "", COUNTIFS('SEANCE 1'!$B:$B, $B61, 'SEANCE 1'!$C:$C, AX$2, 'SEANCE 1'!$F:$F, AX$5))</f>
        <v/>
      </c>
      <c r="AY61" s="64" t="str">
        <f ca="1">IF(COUNTIFS('SEANCE 1'!$B:$B, $B61, 'SEANCE 1'!$C:$C, AY$2, 'SEANCE 1'!$F:$F, AY$5)=0, "", COUNTIFS('SEANCE 1'!$B:$B, $B61, 'SEANCE 1'!$C:$C, AY$2, 'SEANCE 1'!$F:$F, AY$5))</f>
        <v/>
      </c>
      <c r="AZ61" s="32">
        <f t="shared" ca="1" si="0"/>
        <v>0</v>
      </c>
    </row>
    <row r="62" spans="1:52">
      <c r="A62" s="44" t="str">
        <f>IF('SEANCE 1'!$B58&lt;&gt;"",'SEANCE 1'!$A58,"")</f>
        <v/>
      </c>
      <c r="B62" s="44" t="str">
        <f t="array" aca="1" ref="B62" ca="1">IF(ISNA(INDEX(ListeB,MATCH(0,COUNTIF($B$5:B61,ListeB),0))),"",INDEX(ListeB,MATCH(0,COUNTIF($B$5:B61,ListeB),0)))</f>
        <v/>
      </c>
      <c r="C62" s="64" t="str">
        <f ca="1">IF(COUNTIFS('SEANCE 1'!$B:$B, $B62, 'SEANCE 1'!$C:$C, C$2, 'SEANCE 1'!$F:$F, C$5)=0, "", COUNTIFS('SEANCE 1'!$B:$B, $B62, 'SEANCE 1'!$C:$C, C$2, 'SEANCE 1'!$F:$F, C$5))</f>
        <v/>
      </c>
      <c r="D62" s="64" t="str">
        <f ca="1">IF(COUNTIFS('SEANCE 1'!$B:$B, $B62, 'SEANCE 1'!$C:$C, D$2, 'SEANCE 1'!$F:$F, D$5)=0, "", COUNTIFS('SEANCE 1'!$B:$B, $B62, 'SEANCE 1'!$C:$C, D$2, 'SEANCE 1'!$F:$F, D$5))</f>
        <v/>
      </c>
      <c r="E62" s="64" t="str">
        <f ca="1">IF(COUNTIFS('SEANCE 1'!$B:$B, $B62, 'SEANCE 1'!$C:$C, E$2, 'SEANCE 1'!$F:$F, E$5)=0, "", COUNTIFS('SEANCE 1'!$B:$B, $B62, 'SEANCE 1'!$C:$C, E$2, 'SEANCE 1'!$F:$F, E$5))</f>
        <v/>
      </c>
      <c r="F62" s="64" t="str">
        <f ca="1">IF(COUNTIFS('SEANCE 1'!$B:$B, $B62, 'SEANCE 1'!$C:$C, F$2, 'SEANCE 1'!$F:$F, F$5)=0, "", COUNTIFS('SEANCE 1'!$B:$B, $B62, 'SEANCE 1'!$C:$C, F$2, 'SEANCE 1'!$F:$F, F$5))</f>
        <v/>
      </c>
      <c r="G62" s="64" t="str">
        <f ca="1">IF(COUNTIFS('SEANCE 1'!$B:$B, $B62, 'SEANCE 1'!$C:$C, G$2, 'SEANCE 1'!$F:$F, G$5)=0, "", COUNTIFS('SEANCE 1'!$B:$B, $B62, 'SEANCE 1'!$C:$C, G$2, 'SEANCE 1'!$F:$F, G$5))</f>
        <v/>
      </c>
      <c r="H62" s="64" t="str">
        <f ca="1">IF(COUNTIFS('SEANCE 1'!$B:$B, $B62, 'SEANCE 1'!$C:$C, H$2, 'SEANCE 1'!$F:$F, H$5)=0, "", COUNTIFS('SEANCE 1'!$B:$B, $B62, 'SEANCE 1'!$C:$C, H$2, 'SEANCE 1'!$F:$F, H$5))</f>
        <v/>
      </c>
      <c r="I62" s="64" t="str">
        <f ca="1">IF(COUNTIFS('SEANCE 1'!$B:$B, $B62, 'SEANCE 1'!$C:$C, I$2, 'SEANCE 1'!$F:$F, I$5)=0, "", COUNTIFS('SEANCE 1'!$B:$B, $B62, 'SEANCE 1'!$C:$C, I$2, 'SEANCE 1'!$F:$F, I$5))</f>
        <v/>
      </c>
      <c r="J62" s="64" t="str">
        <f ca="1">IF(COUNTIFS('SEANCE 1'!$B:$B, $B62, 'SEANCE 1'!$C:$C, J$2, 'SEANCE 1'!$F:$F, J$5)=0, "", COUNTIFS('SEANCE 1'!$B:$B, $B62, 'SEANCE 1'!$C:$C, J$2, 'SEANCE 1'!$F:$F, J$5))</f>
        <v/>
      </c>
      <c r="K62" s="64" t="str">
        <f ca="1">IF(COUNTIFS('SEANCE 1'!$B:$B, $B62, 'SEANCE 1'!$C:$C, K$2, 'SEANCE 1'!$F:$F, K$5)=0, "", COUNTIFS('SEANCE 1'!$B:$B, $B62, 'SEANCE 1'!$C:$C, K$2, 'SEANCE 1'!$F:$F, K$5))</f>
        <v/>
      </c>
      <c r="L62" s="64" t="str">
        <f ca="1">IF(COUNTIFS('SEANCE 1'!$B:$B, $B62, 'SEANCE 1'!$C:$C, L$2, 'SEANCE 1'!$F:$F, L$5)=0, "", COUNTIFS('SEANCE 1'!$B:$B, $B62, 'SEANCE 1'!$C:$C, L$2, 'SEANCE 1'!$F:$F, L$5))</f>
        <v/>
      </c>
      <c r="M62" s="64" t="str">
        <f ca="1">IF(COUNTIFS('SEANCE 1'!$B:$B, $B62, 'SEANCE 1'!$C:$C, M$2, 'SEANCE 1'!$F:$F, M$5)=0, "", COUNTIFS('SEANCE 1'!$B:$B, $B62, 'SEANCE 1'!$C:$C, M$2, 'SEANCE 1'!$F:$F, M$5))</f>
        <v/>
      </c>
      <c r="N62" s="64" t="str">
        <f ca="1">IF(COUNTIFS('SEANCE 1'!$B:$B, $B62, 'SEANCE 1'!$C:$C, N$2, 'SEANCE 1'!$F:$F, N$5)=0, "", COUNTIFS('SEANCE 1'!$B:$B, $B62, 'SEANCE 1'!$C:$C, N$2, 'SEANCE 1'!$F:$F, N$5))</f>
        <v/>
      </c>
      <c r="O62" s="64" t="str">
        <f ca="1">IF(COUNTIFS('SEANCE 1'!$B:$B, $B62, 'SEANCE 1'!$C:$C, O$2, 'SEANCE 1'!$F:$F, O$5)=0, "", COUNTIFS('SEANCE 1'!$B:$B, $B62, 'SEANCE 1'!$C:$C, O$2, 'SEANCE 1'!$F:$F, O$5))</f>
        <v/>
      </c>
      <c r="P62" s="64" t="str">
        <f ca="1">IF(COUNTIFS('SEANCE 1'!$B:$B, $B62, 'SEANCE 1'!$C:$C, P$2, 'SEANCE 1'!$F:$F, P$5)=0, "", COUNTIFS('SEANCE 1'!$B:$B, $B62, 'SEANCE 1'!$C:$C, P$2, 'SEANCE 1'!$F:$F, P$5))</f>
        <v/>
      </c>
      <c r="Q62" s="64" t="str">
        <f ca="1">IF(COUNTIFS('SEANCE 1'!$B:$B, $B62, 'SEANCE 1'!$C:$C, Q$2, 'SEANCE 1'!$F:$F, Q$5)=0, "", COUNTIFS('SEANCE 1'!$B:$B, $B62, 'SEANCE 1'!$C:$C, Q$2, 'SEANCE 1'!$F:$F, Q$5))</f>
        <v/>
      </c>
      <c r="R62" s="64" t="str">
        <f ca="1">IF(COUNTIFS('SEANCE 1'!$B:$B, $B62, 'SEANCE 1'!$C:$C, R$2, 'SEANCE 1'!$F:$F, R$5)=0, "", COUNTIFS('SEANCE 1'!$B:$B, $B62, 'SEANCE 1'!$C:$C, R$2, 'SEANCE 1'!$F:$F, R$5))</f>
        <v/>
      </c>
      <c r="S62" s="64" t="str">
        <f ca="1">IF(COUNTIFS('SEANCE 1'!$B:$B, $B62, 'SEANCE 1'!$C:$C, S$2, 'SEANCE 1'!$F:$F, S$5)=0, "", COUNTIFS('SEANCE 1'!$B:$B, $B62, 'SEANCE 1'!$C:$C, S$2, 'SEANCE 1'!$F:$F, S$5))</f>
        <v/>
      </c>
      <c r="T62" s="64" t="str">
        <f ca="1">IF(COUNTIFS('SEANCE 1'!$B:$B, $B62, 'SEANCE 1'!$C:$C, T$2, 'SEANCE 1'!$F:$F, T$5)=0, "", COUNTIFS('SEANCE 1'!$B:$B, $B62, 'SEANCE 1'!$C:$C, T$2, 'SEANCE 1'!$F:$F, T$5))</f>
        <v/>
      </c>
      <c r="U62" s="64" t="str">
        <f ca="1">IF(COUNTIFS('SEANCE 1'!$B:$B, $B62, 'SEANCE 1'!$C:$C, U$2, 'SEANCE 1'!$F:$F, U$5)=0, "", COUNTIFS('SEANCE 1'!$B:$B, $B62, 'SEANCE 1'!$C:$C, U$2, 'SEANCE 1'!$F:$F, U$5))</f>
        <v/>
      </c>
      <c r="V62" s="64" t="str">
        <f ca="1">IF(COUNTIFS('SEANCE 1'!$B:$B, $B62, 'SEANCE 1'!$C:$C, V$2, 'SEANCE 1'!$F:$F, V$5)=0, "", COUNTIFS('SEANCE 1'!$B:$B, $B62, 'SEANCE 1'!$C:$C, V$2, 'SEANCE 1'!$F:$F, V$5))</f>
        <v/>
      </c>
      <c r="W62" s="64" t="str">
        <f ca="1">IF(COUNTIFS('SEANCE 1'!$B:$B, $B62, 'SEANCE 1'!$C:$C, W$2, 'SEANCE 1'!$F:$F, W$5)=0, "", COUNTIFS('SEANCE 1'!$B:$B, $B62, 'SEANCE 1'!$C:$C, W$2, 'SEANCE 1'!$F:$F, W$5))</f>
        <v/>
      </c>
      <c r="X62" s="64" t="str">
        <f ca="1">IF(COUNTIFS('SEANCE 1'!$B:$B, $B62, 'SEANCE 1'!$C:$C, X$2, 'SEANCE 1'!$F:$F, X$5)=0, "", COUNTIFS('SEANCE 1'!$B:$B, $B62, 'SEANCE 1'!$C:$C, X$2, 'SEANCE 1'!$F:$F, X$5))</f>
        <v/>
      </c>
      <c r="Y62" s="64" t="str">
        <f ca="1">IF(COUNTIFS('SEANCE 1'!$B:$B, $B62, 'SEANCE 1'!$C:$C, Y$2, 'SEANCE 1'!$F:$F, Y$5)=0, "", COUNTIFS('SEANCE 1'!$B:$B, $B62, 'SEANCE 1'!$C:$C, Y$2, 'SEANCE 1'!$F:$F, Y$5))</f>
        <v/>
      </c>
      <c r="Z62" s="64" t="str">
        <f ca="1">IF(COUNTIFS('SEANCE 1'!$B:$B, $B62, 'SEANCE 1'!$C:$C, Z$2, 'SEANCE 1'!$F:$F, Z$5)=0, "", COUNTIFS('SEANCE 1'!$B:$B, $B62, 'SEANCE 1'!$C:$C, Z$2, 'SEANCE 1'!$F:$F, Z$5))</f>
        <v/>
      </c>
      <c r="AA62" s="64" t="str">
        <f ca="1">IF(COUNTIFS('SEANCE 1'!$B:$B, $B62, 'SEANCE 1'!$C:$C, AA$2, 'SEANCE 1'!$F:$F, AA$5)=0, "", COUNTIFS('SEANCE 1'!$B:$B, $B62, 'SEANCE 1'!$C:$C, AA$2, 'SEANCE 1'!$F:$F, AA$5))</f>
        <v/>
      </c>
      <c r="AB62" s="64" t="str">
        <f ca="1">IF(COUNTIFS('SEANCE 1'!$B:$B, $B62, 'SEANCE 1'!$C:$C, AB$2, 'SEANCE 1'!$F:$F, AB$5)=0, "", COUNTIFS('SEANCE 1'!$B:$B, $B62, 'SEANCE 1'!$C:$C, AB$2, 'SEANCE 1'!$F:$F, AB$5))</f>
        <v/>
      </c>
      <c r="AC62" s="64" t="str">
        <f ca="1">IF(COUNTIFS('SEANCE 1'!$B:$B, $B62, 'SEANCE 1'!$C:$C, AC$2, 'SEANCE 1'!$F:$F, AC$5)=0, "", COUNTIFS('SEANCE 1'!$B:$B, $B62, 'SEANCE 1'!$C:$C, AC$2, 'SEANCE 1'!$F:$F, AC$5))</f>
        <v/>
      </c>
      <c r="AD62" s="64" t="str">
        <f ca="1">IF(COUNTIFS('SEANCE 1'!$B:$B, $B62, 'SEANCE 1'!$C:$C, AD$2, 'SEANCE 1'!$F:$F, AD$5)=0, "", COUNTIFS('SEANCE 1'!$B:$B, $B62, 'SEANCE 1'!$C:$C, AD$2, 'SEANCE 1'!$F:$F, AD$5))</f>
        <v/>
      </c>
      <c r="AE62" s="64" t="str">
        <f ca="1">IF(COUNTIFS('SEANCE 1'!$B:$B, $B62, 'SEANCE 1'!$C:$C, AE$2, 'SEANCE 1'!$F:$F, AE$5)=0, "", COUNTIFS('SEANCE 1'!$B:$B, $B62, 'SEANCE 1'!$C:$C, AE$2, 'SEANCE 1'!$F:$F, AE$5))</f>
        <v/>
      </c>
      <c r="AF62" s="64" t="str">
        <f ca="1">IF(COUNTIFS('SEANCE 1'!$B:$B, $B62, 'SEANCE 1'!$C:$C, AF$2, 'SEANCE 1'!$F:$F, AF$5)=0, "", COUNTIFS('SEANCE 1'!$B:$B, $B62, 'SEANCE 1'!$C:$C, AF$2, 'SEANCE 1'!$F:$F, AF$5))</f>
        <v/>
      </c>
      <c r="AG62" s="64" t="str">
        <f ca="1">IF(COUNTIFS('SEANCE 1'!$B:$B, $B62, 'SEANCE 1'!$C:$C, AG$2, 'SEANCE 1'!$F:$F, AG$5)=0, "", COUNTIFS('SEANCE 1'!$B:$B, $B62, 'SEANCE 1'!$C:$C, AG$2, 'SEANCE 1'!$F:$F, AG$5))</f>
        <v/>
      </c>
      <c r="AH62" s="64" t="str">
        <f ca="1">IF(COUNTIFS('SEANCE 1'!$B:$B, $B62, 'SEANCE 1'!$C:$C, AH$2, 'SEANCE 1'!$F:$F, AH$5)=0, "", COUNTIFS('SEANCE 1'!$B:$B, $B62, 'SEANCE 1'!$C:$C, AH$2, 'SEANCE 1'!$F:$F, AH$5))</f>
        <v/>
      </c>
      <c r="AI62" s="64" t="str">
        <f ca="1">IF(COUNTIFS('SEANCE 1'!$B:$B, $B62, 'SEANCE 1'!$C:$C, AI$2, 'SEANCE 1'!$F:$F, AI$5)=0, "", COUNTIFS('SEANCE 1'!$B:$B, $B62, 'SEANCE 1'!$C:$C, AI$2, 'SEANCE 1'!$F:$F, AI$5))</f>
        <v/>
      </c>
      <c r="AJ62" s="64" t="str">
        <f ca="1">IF(COUNTIFS('SEANCE 1'!$B:$B, $B62, 'SEANCE 1'!$C:$C, AJ$2, 'SEANCE 1'!$F:$F, AJ$5)=0, "", COUNTIFS('SEANCE 1'!$B:$B, $B62, 'SEANCE 1'!$C:$C, AJ$2, 'SEANCE 1'!$F:$F, AJ$5))</f>
        <v/>
      </c>
      <c r="AK62" s="64" t="str">
        <f ca="1">IF(COUNTIFS('SEANCE 1'!$B:$B, $B62, 'SEANCE 1'!$C:$C, AK$2, 'SEANCE 1'!$F:$F, AK$5)=0, "", COUNTIFS('SEANCE 1'!$B:$B, $B62, 'SEANCE 1'!$C:$C, AK$2, 'SEANCE 1'!$F:$F, AK$5))</f>
        <v/>
      </c>
      <c r="AL62" s="64" t="str">
        <f ca="1">IF(COUNTIFS('SEANCE 1'!$B:$B, $B62, 'SEANCE 1'!$C:$C, AL$2, 'SEANCE 1'!$F:$F, AL$5)=0, "", COUNTIFS('SEANCE 1'!$B:$B, $B62, 'SEANCE 1'!$C:$C, AL$2, 'SEANCE 1'!$F:$F, AL$5))</f>
        <v/>
      </c>
      <c r="AM62" s="64" t="str">
        <f ca="1">IF(COUNTIFS('SEANCE 1'!$B:$B, $B62, 'SEANCE 1'!$C:$C, AM$2, 'SEANCE 1'!$F:$F, AM$5)=0, "", COUNTIFS('SEANCE 1'!$B:$B, $B62, 'SEANCE 1'!$C:$C, AM$2, 'SEANCE 1'!$F:$F, AM$5))</f>
        <v/>
      </c>
      <c r="AN62" s="64" t="str">
        <f ca="1">IF(COUNTIFS('SEANCE 1'!$B:$B, $B62, 'SEANCE 1'!$C:$C, AN$2, 'SEANCE 1'!$F:$F, AN$5)=0, "", COUNTIFS('SEANCE 1'!$B:$B, $B62, 'SEANCE 1'!$C:$C, AN$2, 'SEANCE 1'!$F:$F, AN$5))</f>
        <v/>
      </c>
      <c r="AO62" s="64" t="str">
        <f ca="1">IF(COUNTIFS('SEANCE 1'!$B:$B, $B62, 'SEANCE 1'!$C:$C, AO$2, 'SEANCE 1'!$F:$F, AO$5)=0, "", COUNTIFS('SEANCE 1'!$B:$B, $B62, 'SEANCE 1'!$C:$C, AO$2, 'SEANCE 1'!$F:$F, AO$5))</f>
        <v/>
      </c>
      <c r="AP62" s="64" t="str">
        <f ca="1">IF(COUNTIFS('SEANCE 1'!$B:$B, $B62, 'SEANCE 1'!$C:$C, AP$2, 'SEANCE 1'!$F:$F, AP$5)=0, "", COUNTIFS('SEANCE 1'!$B:$B, $B62, 'SEANCE 1'!$C:$C, AP$2, 'SEANCE 1'!$F:$F, AP$5))</f>
        <v/>
      </c>
      <c r="AQ62" s="64" t="str">
        <f ca="1">IF(COUNTIFS('SEANCE 1'!$B:$B, $B62, 'SEANCE 1'!$C:$C, AQ$2, 'SEANCE 1'!$F:$F, AQ$5)=0, "", COUNTIFS('SEANCE 1'!$B:$B, $B62, 'SEANCE 1'!$C:$C, AQ$2, 'SEANCE 1'!$F:$F, AQ$5))</f>
        <v/>
      </c>
      <c r="AR62" s="64" t="str">
        <f ca="1">IF(COUNTIFS('SEANCE 1'!$B:$B, $B62, 'SEANCE 1'!$C:$C, AR$2, 'SEANCE 1'!$F:$F, AR$5)=0, "", COUNTIFS('SEANCE 1'!$B:$B, $B62, 'SEANCE 1'!$C:$C, AR$2, 'SEANCE 1'!$F:$F, AR$5))</f>
        <v/>
      </c>
      <c r="AS62" s="64" t="str">
        <f ca="1">IF(COUNTIFS('SEANCE 1'!$B:$B, $B62, 'SEANCE 1'!$C:$C, AS$2, 'SEANCE 1'!$F:$F, AS$5)=0, "", COUNTIFS('SEANCE 1'!$B:$B, $B62, 'SEANCE 1'!$C:$C, AS$2, 'SEANCE 1'!$F:$F, AS$5))</f>
        <v/>
      </c>
      <c r="AT62" s="64" t="str">
        <f ca="1">IF(COUNTIFS('SEANCE 1'!$B:$B, $B62, 'SEANCE 1'!$C:$C, AT$2, 'SEANCE 1'!$F:$F, AT$5)=0, "", COUNTIFS('SEANCE 1'!$B:$B, $B62, 'SEANCE 1'!$C:$C, AT$2, 'SEANCE 1'!$F:$F, AT$5))</f>
        <v/>
      </c>
      <c r="AU62" s="64" t="str">
        <f ca="1">IF(COUNTIFS('SEANCE 1'!$B:$B, $B62, 'SEANCE 1'!$C:$C, AU$2, 'SEANCE 1'!$F:$F, AU$5)=0, "", COUNTIFS('SEANCE 1'!$B:$B, $B62, 'SEANCE 1'!$C:$C, AU$2, 'SEANCE 1'!$F:$F, AU$5))</f>
        <v/>
      </c>
      <c r="AV62" s="64" t="str">
        <f ca="1">IF(COUNTIFS('SEANCE 1'!$B:$B, $B62, 'SEANCE 1'!$C:$C, AV$2, 'SEANCE 1'!$F:$F, AV$5)=0, "", COUNTIFS('SEANCE 1'!$B:$B, $B62, 'SEANCE 1'!$C:$C, AV$2, 'SEANCE 1'!$F:$F, AV$5))</f>
        <v/>
      </c>
      <c r="AW62" s="64" t="str">
        <f ca="1">IF(COUNTIFS('SEANCE 1'!$B:$B, $B62, 'SEANCE 1'!$C:$C, AW$2, 'SEANCE 1'!$F:$F, AW$5)=0, "", COUNTIFS('SEANCE 1'!$B:$B, $B62, 'SEANCE 1'!$C:$C, AW$2, 'SEANCE 1'!$F:$F, AW$5))</f>
        <v/>
      </c>
      <c r="AX62" s="64" t="str">
        <f ca="1">IF(COUNTIFS('SEANCE 1'!$B:$B, $B62, 'SEANCE 1'!$C:$C, AX$2, 'SEANCE 1'!$F:$F, AX$5)=0, "", COUNTIFS('SEANCE 1'!$B:$B, $B62, 'SEANCE 1'!$C:$C, AX$2, 'SEANCE 1'!$F:$F, AX$5))</f>
        <v/>
      </c>
      <c r="AY62" s="64" t="str">
        <f ca="1">IF(COUNTIFS('SEANCE 1'!$B:$B, $B62, 'SEANCE 1'!$C:$C, AY$2, 'SEANCE 1'!$F:$F, AY$5)=0, "", COUNTIFS('SEANCE 1'!$B:$B, $B62, 'SEANCE 1'!$C:$C, AY$2, 'SEANCE 1'!$F:$F, AY$5))</f>
        <v/>
      </c>
      <c r="AZ62" s="32">
        <f t="shared" ca="1" si="0"/>
        <v>0</v>
      </c>
    </row>
    <row r="63" spans="1:52">
      <c r="A63" s="44" t="str">
        <f>IF('SEANCE 1'!$B59&lt;&gt;"",'SEANCE 1'!$A59,"")</f>
        <v/>
      </c>
      <c r="B63" s="44" t="str">
        <f t="array" aca="1" ref="B63" ca="1">IF(ISNA(INDEX(ListeB,MATCH(0,COUNTIF($B$5:B62,ListeB),0))),"",INDEX(ListeB,MATCH(0,COUNTIF($B$5:B62,ListeB),0)))</f>
        <v/>
      </c>
      <c r="C63" s="64" t="str">
        <f ca="1">IF(COUNTIFS('SEANCE 1'!$B:$B, $B63, 'SEANCE 1'!$C:$C, C$2, 'SEANCE 1'!$F:$F, C$5)=0, "", COUNTIFS('SEANCE 1'!$B:$B, $B63, 'SEANCE 1'!$C:$C, C$2, 'SEANCE 1'!$F:$F, C$5))</f>
        <v/>
      </c>
      <c r="D63" s="64" t="str">
        <f ca="1">IF(COUNTIFS('SEANCE 1'!$B:$B, $B63, 'SEANCE 1'!$C:$C, D$2, 'SEANCE 1'!$F:$F, D$5)=0, "", COUNTIFS('SEANCE 1'!$B:$B, $B63, 'SEANCE 1'!$C:$C, D$2, 'SEANCE 1'!$F:$F, D$5))</f>
        <v/>
      </c>
      <c r="E63" s="64" t="str">
        <f ca="1">IF(COUNTIFS('SEANCE 1'!$B:$B, $B63, 'SEANCE 1'!$C:$C, E$2, 'SEANCE 1'!$F:$F, E$5)=0, "", COUNTIFS('SEANCE 1'!$B:$B, $B63, 'SEANCE 1'!$C:$C, E$2, 'SEANCE 1'!$F:$F, E$5))</f>
        <v/>
      </c>
      <c r="F63" s="64" t="str">
        <f ca="1">IF(COUNTIFS('SEANCE 1'!$B:$B, $B63, 'SEANCE 1'!$C:$C, F$2, 'SEANCE 1'!$F:$F, F$5)=0, "", COUNTIFS('SEANCE 1'!$B:$B, $B63, 'SEANCE 1'!$C:$C, F$2, 'SEANCE 1'!$F:$F, F$5))</f>
        <v/>
      </c>
      <c r="G63" s="64" t="str">
        <f ca="1">IF(COUNTIFS('SEANCE 1'!$B:$B, $B63, 'SEANCE 1'!$C:$C, G$2, 'SEANCE 1'!$F:$F, G$5)=0, "", COUNTIFS('SEANCE 1'!$B:$B, $B63, 'SEANCE 1'!$C:$C, G$2, 'SEANCE 1'!$F:$F, G$5))</f>
        <v/>
      </c>
      <c r="H63" s="64" t="str">
        <f ca="1">IF(COUNTIFS('SEANCE 1'!$B:$B, $B63, 'SEANCE 1'!$C:$C, H$2, 'SEANCE 1'!$F:$F, H$5)=0, "", COUNTIFS('SEANCE 1'!$B:$B, $B63, 'SEANCE 1'!$C:$C, H$2, 'SEANCE 1'!$F:$F, H$5))</f>
        <v/>
      </c>
      <c r="I63" s="64" t="str">
        <f ca="1">IF(COUNTIFS('SEANCE 1'!$B:$B, $B63, 'SEANCE 1'!$C:$C, I$2, 'SEANCE 1'!$F:$F, I$5)=0, "", COUNTIFS('SEANCE 1'!$B:$B, $B63, 'SEANCE 1'!$C:$C, I$2, 'SEANCE 1'!$F:$F, I$5))</f>
        <v/>
      </c>
      <c r="J63" s="64" t="str">
        <f ca="1">IF(COUNTIFS('SEANCE 1'!$B:$B, $B63, 'SEANCE 1'!$C:$C, J$2, 'SEANCE 1'!$F:$F, J$5)=0, "", COUNTIFS('SEANCE 1'!$B:$B, $B63, 'SEANCE 1'!$C:$C, J$2, 'SEANCE 1'!$F:$F, J$5))</f>
        <v/>
      </c>
      <c r="K63" s="64" t="str">
        <f ca="1">IF(COUNTIFS('SEANCE 1'!$B:$B, $B63, 'SEANCE 1'!$C:$C, K$2, 'SEANCE 1'!$F:$F, K$5)=0, "", COUNTIFS('SEANCE 1'!$B:$B, $B63, 'SEANCE 1'!$C:$C, K$2, 'SEANCE 1'!$F:$F, K$5))</f>
        <v/>
      </c>
      <c r="L63" s="64" t="str">
        <f ca="1">IF(COUNTIFS('SEANCE 1'!$B:$B, $B63, 'SEANCE 1'!$C:$C, L$2, 'SEANCE 1'!$F:$F, L$5)=0, "", COUNTIFS('SEANCE 1'!$B:$B, $B63, 'SEANCE 1'!$C:$C, L$2, 'SEANCE 1'!$F:$F, L$5))</f>
        <v/>
      </c>
      <c r="M63" s="64" t="str">
        <f ca="1">IF(COUNTIFS('SEANCE 1'!$B:$B, $B63, 'SEANCE 1'!$C:$C, M$2, 'SEANCE 1'!$F:$F, M$5)=0, "", COUNTIFS('SEANCE 1'!$B:$B, $B63, 'SEANCE 1'!$C:$C, M$2, 'SEANCE 1'!$F:$F, M$5))</f>
        <v/>
      </c>
      <c r="N63" s="64" t="str">
        <f ca="1">IF(COUNTIFS('SEANCE 1'!$B:$B, $B63, 'SEANCE 1'!$C:$C, N$2, 'SEANCE 1'!$F:$F, N$5)=0, "", COUNTIFS('SEANCE 1'!$B:$B, $B63, 'SEANCE 1'!$C:$C, N$2, 'SEANCE 1'!$F:$F, N$5))</f>
        <v/>
      </c>
      <c r="O63" s="64" t="str">
        <f ca="1">IF(COUNTIFS('SEANCE 1'!$B:$B, $B63, 'SEANCE 1'!$C:$C, O$2, 'SEANCE 1'!$F:$F, O$5)=0, "", COUNTIFS('SEANCE 1'!$B:$B, $B63, 'SEANCE 1'!$C:$C, O$2, 'SEANCE 1'!$F:$F, O$5))</f>
        <v/>
      </c>
      <c r="P63" s="64" t="str">
        <f ca="1">IF(COUNTIFS('SEANCE 1'!$B:$B, $B63, 'SEANCE 1'!$C:$C, P$2, 'SEANCE 1'!$F:$F, P$5)=0, "", COUNTIFS('SEANCE 1'!$B:$B, $B63, 'SEANCE 1'!$C:$C, P$2, 'SEANCE 1'!$F:$F, P$5))</f>
        <v/>
      </c>
      <c r="Q63" s="64" t="str">
        <f ca="1">IF(COUNTIFS('SEANCE 1'!$B:$B, $B63, 'SEANCE 1'!$C:$C, Q$2, 'SEANCE 1'!$F:$F, Q$5)=0, "", COUNTIFS('SEANCE 1'!$B:$B, $B63, 'SEANCE 1'!$C:$C, Q$2, 'SEANCE 1'!$F:$F, Q$5))</f>
        <v/>
      </c>
      <c r="R63" s="64" t="str">
        <f ca="1">IF(COUNTIFS('SEANCE 1'!$B:$B, $B63, 'SEANCE 1'!$C:$C, R$2, 'SEANCE 1'!$F:$F, R$5)=0, "", COUNTIFS('SEANCE 1'!$B:$B, $B63, 'SEANCE 1'!$C:$C, R$2, 'SEANCE 1'!$F:$F, R$5))</f>
        <v/>
      </c>
      <c r="S63" s="64" t="str">
        <f ca="1">IF(COUNTIFS('SEANCE 1'!$B:$B, $B63, 'SEANCE 1'!$C:$C, S$2, 'SEANCE 1'!$F:$F, S$5)=0, "", COUNTIFS('SEANCE 1'!$B:$B, $B63, 'SEANCE 1'!$C:$C, S$2, 'SEANCE 1'!$F:$F, S$5))</f>
        <v/>
      </c>
      <c r="T63" s="64" t="str">
        <f ca="1">IF(COUNTIFS('SEANCE 1'!$B:$B, $B63, 'SEANCE 1'!$C:$C, T$2, 'SEANCE 1'!$F:$F, T$5)=0, "", COUNTIFS('SEANCE 1'!$B:$B, $B63, 'SEANCE 1'!$C:$C, T$2, 'SEANCE 1'!$F:$F, T$5))</f>
        <v/>
      </c>
      <c r="U63" s="64" t="str">
        <f ca="1">IF(COUNTIFS('SEANCE 1'!$B:$B, $B63, 'SEANCE 1'!$C:$C, U$2, 'SEANCE 1'!$F:$F, U$5)=0, "", COUNTIFS('SEANCE 1'!$B:$B, $B63, 'SEANCE 1'!$C:$C, U$2, 'SEANCE 1'!$F:$F, U$5))</f>
        <v/>
      </c>
      <c r="V63" s="64" t="str">
        <f ca="1">IF(COUNTIFS('SEANCE 1'!$B:$B, $B63, 'SEANCE 1'!$C:$C, V$2, 'SEANCE 1'!$F:$F, V$5)=0, "", COUNTIFS('SEANCE 1'!$B:$B, $B63, 'SEANCE 1'!$C:$C, V$2, 'SEANCE 1'!$F:$F, V$5))</f>
        <v/>
      </c>
      <c r="W63" s="64" t="str">
        <f ca="1">IF(COUNTIFS('SEANCE 1'!$B:$B, $B63, 'SEANCE 1'!$C:$C, W$2, 'SEANCE 1'!$F:$F, W$5)=0, "", COUNTIFS('SEANCE 1'!$B:$B, $B63, 'SEANCE 1'!$C:$C, W$2, 'SEANCE 1'!$F:$F, W$5))</f>
        <v/>
      </c>
      <c r="X63" s="64" t="str">
        <f ca="1">IF(COUNTIFS('SEANCE 1'!$B:$B, $B63, 'SEANCE 1'!$C:$C, X$2, 'SEANCE 1'!$F:$F, X$5)=0, "", COUNTIFS('SEANCE 1'!$B:$B, $B63, 'SEANCE 1'!$C:$C, X$2, 'SEANCE 1'!$F:$F, X$5))</f>
        <v/>
      </c>
      <c r="Y63" s="64" t="str">
        <f ca="1">IF(COUNTIFS('SEANCE 1'!$B:$B, $B63, 'SEANCE 1'!$C:$C, Y$2, 'SEANCE 1'!$F:$F, Y$5)=0, "", COUNTIFS('SEANCE 1'!$B:$B, $B63, 'SEANCE 1'!$C:$C, Y$2, 'SEANCE 1'!$F:$F, Y$5))</f>
        <v/>
      </c>
      <c r="Z63" s="64" t="str">
        <f ca="1">IF(COUNTIFS('SEANCE 1'!$B:$B, $B63, 'SEANCE 1'!$C:$C, Z$2, 'SEANCE 1'!$F:$F, Z$5)=0, "", COUNTIFS('SEANCE 1'!$B:$B, $B63, 'SEANCE 1'!$C:$C, Z$2, 'SEANCE 1'!$F:$F, Z$5))</f>
        <v/>
      </c>
      <c r="AA63" s="64" t="str">
        <f ca="1">IF(COUNTIFS('SEANCE 1'!$B:$B, $B63, 'SEANCE 1'!$C:$C, AA$2, 'SEANCE 1'!$F:$F, AA$5)=0, "", COUNTIFS('SEANCE 1'!$B:$B, $B63, 'SEANCE 1'!$C:$C, AA$2, 'SEANCE 1'!$F:$F, AA$5))</f>
        <v/>
      </c>
      <c r="AB63" s="64" t="str">
        <f ca="1">IF(COUNTIFS('SEANCE 1'!$B:$B, $B63, 'SEANCE 1'!$C:$C, AB$2, 'SEANCE 1'!$F:$F, AB$5)=0, "", COUNTIFS('SEANCE 1'!$B:$B, $B63, 'SEANCE 1'!$C:$C, AB$2, 'SEANCE 1'!$F:$F, AB$5))</f>
        <v/>
      </c>
      <c r="AC63" s="64" t="str">
        <f ca="1">IF(COUNTIFS('SEANCE 1'!$B:$B, $B63, 'SEANCE 1'!$C:$C, AC$2, 'SEANCE 1'!$F:$F, AC$5)=0, "", COUNTIFS('SEANCE 1'!$B:$B, $B63, 'SEANCE 1'!$C:$C, AC$2, 'SEANCE 1'!$F:$F, AC$5))</f>
        <v/>
      </c>
      <c r="AD63" s="64" t="str">
        <f ca="1">IF(COUNTIFS('SEANCE 1'!$B:$B, $B63, 'SEANCE 1'!$C:$C, AD$2, 'SEANCE 1'!$F:$F, AD$5)=0, "", COUNTIFS('SEANCE 1'!$B:$B, $B63, 'SEANCE 1'!$C:$C, AD$2, 'SEANCE 1'!$F:$F, AD$5))</f>
        <v/>
      </c>
      <c r="AE63" s="64" t="str">
        <f ca="1">IF(COUNTIFS('SEANCE 1'!$B:$B, $B63, 'SEANCE 1'!$C:$C, AE$2, 'SEANCE 1'!$F:$F, AE$5)=0, "", COUNTIFS('SEANCE 1'!$B:$B, $B63, 'SEANCE 1'!$C:$C, AE$2, 'SEANCE 1'!$F:$F, AE$5))</f>
        <v/>
      </c>
      <c r="AF63" s="64" t="str">
        <f ca="1">IF(COUNTIFS('SEANCE 1'!$B:$B, $B63, 'SEANCE 1'!$C:$C, AF$2, 'SEANCE 1'!$F:$F, AF$5)=0, "", COUNTIFS('SEANCE 1'!$B:$B, $B63, 'SEANCE 1'!$C:$C, AF$2, 'SEANCE 1'!$F:$F, AF$5))</f>
        <v/>
      </c>
      <c r="AG63" s="64" t="str">
        <f ca="1">IF(COUNTIFS('SEANCE 1'!$B:$B, $B63, 'SEANCE 1'!$C:$C, AG$2, 'SEANCE 1'!$F:$F, AG$5)=0, "", COUNTIFS('SEANCE 1'!$B:$B, $B63, 'SEANCE 1'!$C:$C, AG$2, 'SEANCE 1'!$F:$F, AG$5))</f>
        <v/>
      </c>
      <c r="AH63" s="64" t="str">
        <f ca="1">IF(COUNTIFS('SEANCE 1'!$B:$B, $B63, 'SEANCE 1'!$C:$C, AH$2, 'SEANCE 1'!$F:$F, AH$5)=0, "", COUNTIFS('SEANCE 1'!$B:$B, $B63, 'SEANCE 1'!$C:$C, AH$2, 'SEANCE 1'!$F:$F, AH$5))</f>
        <v/>
      </c>
      <c r="AI63" s="64" t="str">
        <f ca="1">IF(COUNTIFS('SEANCE 1'!$B:$B, $B63, 'SEANCE 1'!$C:$C, AI$2, 'SEANCE 1'!$F:$F, AI$5)=0, "", COUNTIFS('SEANCE 1'!$B:$B, $B63, 'SEANCE 1'!$C:$C, AI$2, 'SEANCE 1'!$F:$F, AI$5))</f>
        <v/>
      </c>
      <c r="AJ63" s="64" t="str">
        <f ca="1">IF(COUNTIFS('SEANCE 1'!$B:$B, $B63, 'SEANCE 1'!$C:$C, AJ$2, 'SEANCE 1'!$F:$F, AJ$5)=0, "", COUNTIFS('SEANCE 1'!$B:$B, $B63, 'SEANCE 1'!$C:$C, AJ$2, 'SEANCE 1'!$F:$F, AJ$5))</f>
        <v/>
      </c>
      <c r="AK63" s="64" t="str">
        <f ca="1">IF(COUNTIFS('SEANCE 1'!$B:$B, $B63, 'SEANCE 1'!$C:$C, AK$2, 'SEANCE 1'!$F:$F, AK$5)=0, "", COUNTIFS('SEANCE 1'!$B:$B, $B63, 'SEANCE 1'!$C:$C, AK$2, 'SEANCE 1'!$F:$F, AK$5))</f>
        <v/>
      </c>
      <c r="AL63" s="64" t="str">
        <f ca="1">IF(COUNTIFS('SEANCE 1'!$B:$B, $B63, 'SEANCE 1'!$C:$C, AL$2, 'SEANCE 1'!$F:$F, AL$5)=0, "", COUNTIFS('SEANCE 1'!$B:$B, $B63, 'SEANCE 1'!$C:$C, AL$2, 'SEANCE 1'!$F:$F, AL$5))</f>
        <v/>
      </c>
      <c r="AM63" s="64" t="str">
        <f ca="1">IF(COUNTIFS('SEANCE 1'!$B:$B, $B63, 'SEANCE 1'!$C:$C, AM$2, 'SEANCE 1'!$F:$F, AM$5)=0, "", COUNTIFS('SEANCE 1'!$B:$B, $B63, 'SEANCE 1'!$C:$C, AM$2, 'SEANCE 1'!$F:$F, AM$5))</f>
        <v/>
      </c>
      <c r="AN63" s="64" t="str">
        <f ca="1">IF(COUNTIFS('SEANCE 1'!$B:$B, $B63, 'SEANCE 1'!$C:$C, AN$2, 'SEANCE 1'!$F:$F, AN$5)=0, "", COUNTIFS('SEANCE 1'!$B:$B, $B63, 'SEANCE 1'!$C:$C, AN$2, 'SEANCE 1'!$F:$F, AN$5))</f>
        <v/>
      </c>
      <c r="AO63" s="64" t="str">
        <f ca="1">IF(COUNTIFS('SEANCE 1'!$B:$B, $B63, 'SEANCE 1'!$C:$C, AO$2, 'SEANCE 1'!$F:$F, AO$5)=0, "", COUNTIFS('SEANCE 1'!$B:$B, $B63, 'SEANCE 1'!$C:$C, AO$2, 'SEANCE 1'!$F:$F, AO$5))</f>
        <v/>
      </c>
      <c r="AP63" s="64" t="str">
        <f ca="1">IF(COUNTIFS('SEANCE 1'!$B:$B, $B63, 'SEANCE 1'!$C:$C, AP$2, 'SEANCE 1'!$F:$F, AP$5)=0, "", COUNTIFS('SEANCE 1'!$B:$B, $B63, 'SEANCE 1'!$C:$C, AP$2, 'SEANCE 1'!$F:$F, AP$5))</f>
        <v/>
      </c>
      <c r="AQ63" s="64" t="str">
        <f ca="1">IF(COUNTIFS('SEANCE 1'!$B:$B, $B63, 'SEANCE 1'!$C:$C, AQ$2, 'SEANCE 1'!$F:$F, AQ$5)=0, "", COUNTIFS('SEANCE 1'!$B:$B, $B63, 'SEANCE 1'!$C:$C, AQ$2, 'SEANCE 1'!$F:$F, AQ$5))</f>
        <v/>
      </c>
      <c r="AR63" s="64" t="str">
        <f ca="1">IF(COUNTIFS('SEANCE 1'!$B:$B, $B63, 'SEANCE 1'!$C:$C, AR$2, 'SEANCE 1'!$F:$F, AR$5)=0, "", COUNTIFS('SEANCE 1'!$B:$B, $B63, 'SEANCE 1'!$C:$C, AR$2, 'SEANCE 1'!$F:$F, AR$5))</f>
        <v/>
      </c>
      <c r="AS63" s="64" t="str">
        <f ca="1">IF(COUNTIFS('SEANCE 1'!$B:$B, $B63, 'SEANCE 1'!$C:$C, AS$2, 'SEANCE 1'!$F:$F, AS$5)=0, "", COUNTIFS('SEANCE 1'!$B:$B, $B63, 'SEANCE 1'!$C:$C, AS$2, 'SEANCE 1'!$F:$F, AS$5))</f>
        <v/>
      </c>
      <c r="AT63" s="64" t="str">
        <f ca="1">IF(COUNTIFS('SEANCE 1'!$B:$B, $B63, 'SEANCE 1'!$C:$C, AT$2, 'SEANCE 1'!$F:$F, AT$5)=0, "", COUNTIFS('SEANCE 1'!$B:$B, $B63, 'SEANCE 1'!$C:$C, AT$2, 'SEANCE 1'!$F:$F, AT$5))</f>
        <v/>
      </c>
      <c r="AU63" s="64" t="str">
        <f ca="1">IF(COUNTIFS('SEANCE 1'!$B:$B, $B63, 'SEANCE 1'!$C:$C, AU$2, 'SEANCE 1'!$F:$F, AU$5)=0, "", COUNTIFS('SEANCE 1'!$B:$B, $B63, 'SEANCE 1'!$C:$C, AU$2, 'SEANCE 1'!$F:$F, AU$5))</f>
        <v/>
      </c>
      <c r="AV63" s="64" t="str">
        <f ca="1">IF(COUNTIFS('SEANCE 1'!$B:$B, $B63, 'SEANCE 1'!$C:$C, AV$2, 'SEANCE 1'!$F:$F, AV$5)=0, "", COUNTIFS('SEANCE 1'!$B:$B, $B63, 'SEANCE 1'!$C:$C, AV$2, 'SEANCE 1'!$F:$F, AV$5))</f>
        <v/>
      </c>
      <c r="AW63" s="64" t="str">
        <f ca="1">IF(COUNTIFS('SEANCE 1'!$B:$B, $B63, 'SEANCE 1'!$C:$C, AW$2, 'SEANCE 1'!$F:$F, AW$5)=0, "", COUNTIFS('SEANCE 1'!$B:$B, $B63, 'SEANCE 1'!$C:$C, AW$2, 'SEANCE 1'!$F:$F, AW$5))</f>
        <v/>
      </c>
      <c r="AX63" s="64" t="str">
        <f ca="1">IF(COUNTIFS('SEANCE 1'!$B:$B, $B63, 'SEANCE 1'!$C:$C, AX$2, 'SEANCE 1'!$F:$F, AX$5)=0, "", COUNTIFS('SEANCE 1'!$B:$B, $B63, 'SEANCE 1'!$C:$C, AX$2, 'SEANCE 1'!$F:$F, AX$5))</f>
        <v/>
      </c>
      <c r="AY63" s="64" t="str">
        <f ca="1">IF(COUNTIFS('SEANCE 1'!$B:$B, $B63, 'SEANCE 1'!$C:$C, AY$2, 'SEANCE 1'!$F:$F, AY$5)=0, "", COUNTIFS('SEANCE 1'!$B:$B, $B63, 'SEANCE 1'!$C:$C, AY$2, 'SEANCE 1'!$F:$F, AY$5))</f>
        <v/>
      </c>
      <c r="AZ63" s="32">
        <f t="shared" ca="1" si="0"/>
        <v>0</v>
      </c>
    </row>
    <row r="64" spans="1:52">
      <c r="A64" s="44" t="str">
        <f>IF('SEANCE 1'!$B60&lt;&gt;"",'SEANCE 1'!$A60,"")</f>
        <v/>
      </c>
      <c r="B64" s="44" t="str">
        <f t="array" aca="1" ref="B64" ca="1">IF(ISNA(INDEX(ListeB,MATCH(0,COUNTIF($B$5:B63,ListeB),0))),"",INDEX(ListeB,MATCH(0,COUNTIF($B$5:B63,ListeB),0)))</f>
        <v/>
      </c>
      <c r="C64" s="64" t="str">
        <f ca="1">IF(COUNTIFS('SEANCE 1'!$B:$B, $B64, 'SEANCE 1'!$C:$C, C$2, 'SEANCE 1'!$F:$F, C$5)=0, "", COUNTIFS('SEANCE 1'!$B:$B, $B64, 'SEANCE 1'!$C:$C, C$2, 'SEANCE 1'!$F:$F, C$5))</f>
        <v/>
      </c>
      <c r="D64" s="64" t="str">
        <f ca="1">IF(COUNTIFS('SEANCE 1'!$B:$B, $B64, 'SEANCE 1'!$C:$C, D$2, 'SEANCE 1'!$F:$F, D$5)=0, "", COUNTIFS('SEANCE 1'!$B:$B, $B64, 'SEANCE 1'!$C:$C, D$2, 'SEANCE 1'!$F:$F, D$5))</f>
        <v/>
      </c>
      <c r="E64" s="64" t="str">
        <f ca="1">IF(COUNTIFS('SEANCE 1'!$B:$B, $B64, 'SEANCE 1'!$C:$C, E$2, 'SEANCE 1'!$F:$F, E$5)=0, "", COUNTIFS('SEANCE 1'!$B:$B, $B64, 'SEANCE 1'!$C:$C, E$2, 'SEANCE 1'!$F:$F, E$5))</f>
        <v/>
      </c>
      <c r="F64" s="64" t="str">
        <f ca="1">IF(COUNTIFS('SEANCE 1'!$B:$B, $B64, 'SEANCE 1'!$C:$C, F$2, 'SEANCE 1'!$F:$F, F$5)=0, "", COUNTIFS('SEANCE 1'!$B:$B, $B64, 'SEANCE 1'!$C:$C, F$2, 'SEANCE 1'!$F:$F, F$5))</f>
        <v/>
      </c>
      <c r="G64" s="64" t="str">
        <f ca="1">IF(COUNTIFS('SEANCE 1'!$B:$B, $B64, 'SEANCE 1'!$C:$C, G$2, 'SEANCE 1'!$F:$F, G$5)=0, "", COUNTIFS('SEANCE 1'!$B:$B, $B64, 'SEANCE 1'!$C:$C, G$2, 'SEANCE 1'!$F:$F, G$5))</f>
        <v/>
      </c>
      <c r="H64" s="64" t="str">
        <f ca="1">IF(COUNTIFS('SEANCE 1'!$B:$B, $B64, 'SEANCE 1'!$C:$C, H$2, 'SEANCE 1'!$F:$F, H$5)=0, "", COUNTIFS('SEANCE 1'!$B:$B, $B64, 'SEANCE 1'!$C:$C, H$2, 'SEANCE 1'!$F:$F, H$5))</f>
        <v/>
      </c>
      <c r="I64" s="64" t="str">
        <f ca="1">IF(COUNTIFS('SEANCE 1'!$B:$B, $B64, 'SEANCE 1'!$C:$C, I$2, 'SEANCE 1'!$F:$F, I$5)=0, "", COUNTIFS('SEANCE 1'!$B:$B, $B64, 'SEANCE 1'!$C:$C, I$2, 'SEANCE 1'!$F:$F, I$5))</f>
        <v/>
      </c>
      <c r="J64" s="64" t="str">
        <f ca="1">IF(COUNTIFS('SEANCE 1'!$B:$B, $B64, 'SEANCE 1'!$C:$C, J$2, 'SEANCE 1'!$F:$F, J$5)=0, "", COUNTIFS('SEANCE 1'!$B:$B, $B64, 'SEANCE 1'!$C:$C, J$2, 'SEANCE 1'!$F:$F, J$5))</f>
        <v/>
      </c>
      <c r="K64" s="64" t="str">
        <f ca="1">IF(COUNTIFS('SEANCE 1'!$B:$B, $B64, 'SEANCE 1'!$C:$C, K$2, 'SEANCE 1'!$F:$F, K$5)=0, "", COUNTIFS('SEANCE 1'!$B:$B, $B64, 'SEANCE 1'!$C:$C, K$2, 'SEANCE 1'!$F:$F, K$5))</f>
        <v/>
      </c>
      <c r="L64" s="64" t="str">
        <f ca="1">IF(COUNTIFS('SEANCE 1'!$B:$B, $B64, 'SEANCE 1'!$C:$C, L$2, 'SEANCE 1'!$F:$F, L$5)=0, "", COUNTIFS('SEANCE 1'!$B:$B, $B64, 'SEANCE 1'!$C:$C, L$2, 'SEANCE 1'!$F:$F, L$5))</f>
        <v/>
      </c>
      <c r="M64" s="64" t="str">
        <f ca="1">IF(COUNTIFS('SEANCE 1'!$B:$B, $B64, 'SEANCE 1'!$C:$C, M$2, 'SEANCE 1'!$F:$F, M$5)=0, "", COUNTIFS('SEANCE 1'!$B:$B, $B64, 'SEANCE 1'!$C:$C, M$2, 'SEANCE 1'!$F:$F, M$5))</f>
        <v/>
      </c>
      <c r="N64" s="64" t="str">
        <f ca="1">IF(COUNTIFS('SEANCE 1'!$B:$B, $B64, 'SEANCE 1'!$C:$C, N$2, 'SEANCE 1'!$F:$F, N$5)=0, "", COUNTIFS('SEANCE 1'!$B:$B, $B64, 'SEANCE 1'!$C:$C, N$2, 'SEANCE 1'!$F:$F, N$5))</f>
        <v/>
      </c>
      <c r="O64" s="64" t="str">
        <f ca="1">IF(COUNTIFS('SEANCE 1'!$B:$B, $B64, 'SEANCE 1'!$C:$C, O$2, 'SEANCE 1'!$F:$F, O$5)=0, "", COUNTIFS('SEANCE 1'!$B:$B, $B64, 'SEANCE 1'!$C:$C, O$2, 'SEANCE 1'!$F:$F, O$5))</f>
        <v/>
      </c>
      <c r="P64" s="64" t="str">
        <f ca="1">IF(COUNTIFS('SEANCE 1'!$B:$B, $B64, 'SEANCE 1'!$C:$C, P$2, 'SEANCE 1'!$F:$F, P$5)=0, "", COUNTIFS('SEANCE 1'!$B:$B, $B64, 'SEANCE 1'!$C:$C, P$2, 'SEANCE 1'!$F:$F, P$5))</f>
        <v/>
      </c>
      <c r="Q64" s="64" t="str">
        <f ca="1">IF(COUNTIFS('SEANCE 1'!$B:$B, $B64, 'SEANCE 1'!$C:$C, Q$2, 'SEANCE 1'!$F:$F, Q$5)=0, "", COUNTIFS('SEANCE 1'!$B:$B, $B64, 'SEANCE 1'!$C:$C, Q$2, 'SEANCE 1'!$F:$F, Q$5))</f>
        <v/>
      </c>
      <c r="R64" s="64" t="str">
        <f ca="1">IF(COUNTIFS('SEANCE 1'!$B:$B, $B64, 'SEANCE 1'!$C:$C, R$2, 'SEANCE 1'!$F:$F, R$5)=0, "", COUNTIFS('SEANCE 1'!$B:$B, $B64, 'SEANCE 1'!$C:$C, R$2, 'SEANCE 1'!$F:$F, R$5))</f>
        <v/>
      </c>
      <c r="S64" s="64" t="str">
        <f ca="1">IF(COUNTIFS('SEANCE 1'!$B:$B, $B64, 'SEANCE 1'!$C:$C, S$2, 'SEANCE 1'!$F:$F, S$5)=0, "", COUNTIFS('SEANCE 1'!$B:$B, $B64, 'SEANCE 1'!$C:$C, S$2, 'SEANCE 1'!$F:$F, S$5))</f>
        <v/>
      </c>
      <c r="T64" s="64" t="str">
        <f ca="1">IF(COUNTIFS('SEANCE 1'!$B:$B, $B64, 'SEANCE 1'!$C:$C, T$2, 'SEANCE 1'!$F:$F, T$5)=0, "", COUNTIFS('SEANCE 1'!$B:$B, $B64, 'SEANCE 1'!$C:$C, T$2, 'SEANCE 1'!$F:$F, T$5))</f>
        <v/>
      </c>
      <c r="U64" s="64" t="str">
        <f ca="1">IF(COUNTIFS('SEANCE 1'!$B:$B, $B64, 'SEANCE 1'!$C:$C, U$2, 'SEANCE 1'!$F:$F, U$5)=0, "", COUNTIFS('SEANCE 1'!$B:$B, $B64, 'SEANCE 1'!$C:$C, U$2, 'SEANCE 1'!$F:$F, U$5))</f>
        <v/>
      </c>
      <c r="V64" s="64" t="str">
        <f ca="1">IF(COUNTIFS('SEANCE 1'!$B:$B, $B64, 'SEANCE 1'!$C:$C, V$2, 'SEANCE 1'!$F:$F, V$5)=0, "", COUNTIFS('SEANCE 1'!$B:$B, $B64, 'SEANCE 1'!$C:$C, V$2, 'SEANCE 1'!$F:$F, V$5))</f>
        <v/>
      </c>
      <c r="W64" s="64" t="str">
        <f ca="1">IF(COUNTIFS('SEANCE 1'!$B:$B, $B64, 'SEANCE 1'!$C:$C, W$2, 'SEANCE 1'!$F:$F, W$5)=0, "", COUNTIFS('SEANCE 1'!$B:$B, $B64, 'SEANCE 1'!$C:$C, W$2, 'SEANCE 1'!$F:$F, W$5))</f>
        <v/>
      </c>
      <c r="X64" s="64" t="str">
        <f ca="1">IF(COUNTIFS('SEANCE 1'!$B:$B, $B64, 'SEANCE 1'!$C:$C, X$2, 'SEANCE 1'!$F:$F, X$5)=0, "", COUNTIFS('SEANCE 1'!$B:$B, $B64, 'SEANCE 1'!$C:$C, X$2, 'SEANCE 1'!$F:$F, X$5))</f>
        <v/>
      </c>
      <c r="Y64" s="64" t="str">
        <f ca="1">IF(COUNTIFS('SEANCE 1'!$B:$B, $B64, 'SEANCE 1'!$C:$C, Y$2, 'SEANCE 1'!$F:$F, Y$5)=0, "", COUNTIFS('SEANCE 1'!$B:$B, $B64, 'SEANCE 1'!$C:$C, Y$2, 'SEANCE 1'!$F:$F, Y$5))</f>
        <v/>
      </c>
      <c r="Z64" s="64" t="str">
        <f ca="1">IF(COUNTIFS('SEANCE 1'!$B:$B, $B64, 'SEANCE 1'!$C:$C, Z$2, 'SEANCE 1'!$F:$F, Z$5)=0, "", COUNTIFS('SEANCE 1'!$B:$B, $B64, 'SEANCE 1'!$C:$C, Z$2, 'SEANCE 1'!$F:$F, Z$5))</f>
        <v/>
      </c>
      <c r="AA64" s="64" t="str">
        <f ca="1">IF(COUNTIFS('SEANCE 1'!$B:$B, $B64, 'SEANCE 1'!$C:$C, AA$2, 'SEANCE 1'!$F:$F, AA$5)=0, "", COUNTIFS('SEANCE 1'!$B:$B, $B64, 'SEANCE 1'!$C:$C, AA$2, 'SEANCE 1'!$F:$F, AA$5))</f>
        <v/>
      </c>
      <c r="AB64" s="64" t="str">
        <f ca="1">IF(COUNTIFS('SEANCE 1'!$B:$B, $B64, 'SEANCE 1'!$C:$C, AB$2, 'SEANCE 1'!$F:$F, AB$5)=0, "", COUNTIFS('SEANCE 1'!$B:$B, $B64, 'SEANCE 1'!$C:$C, AB$2, 'SEANCE 1'!$F:$F, AB$5))</f>
        <v/>
      </c>
      <c r="AC64" s="64" t="str">
        <f ca="1">IF(COUNTIFS('SEANCE 1'!$B:$B, $B64, 'SEANCE 1'!$C:$C, AC$2, 'SEANCE 1'!$F:$F, AC$5)=0, "", COUNTIFS('SEANCE 1'!$B:$B, $B64, 'SEANCE 1'!$C:$C, AC$2, 'SEANCE 1'!$F:$F, AC$5))</f>
        <v/>
      </c>
      <c r="AD64" s="64" t="str">
        <f ca="1">IF(COUNTIFS('SEANCE 1'!$B:$B, $B64, 'SEANCE 1'!$C:$C, AD$2, 'SEANCE 1'!$F:$F, AD$5)=0, "", COUNTIFS('SEANCE 1'!$B:$B, $B64, 'SEANCE 1'!$C:$C, AD$2, 'SEANCE 1'!$F:$F, AD$5))</f>
        <v/>
      </c>
      <c r="AE64" s="64" t="str">
        <f ca="1">IF(COUNTIFS('SEANCE 1'!$B:$B, $B64, 'SEANCE 1'!$C:$C, AE$2, 'SEANCE 1'!$F:$F, AE$5)=0, "", COUNTIFS('SEANCE 1'!$B:$B, $B64, 'SEANCE 1'!$C:$C, AE$2, 'SEANCE 1'!$F:$F, AE$5))</f>
        <v/>
      </c>
      <c r="AF64" s="64" t="str">
        <f ca="1">IF(COUNTIFS('SEANCE 1'!$B:$B, $B64, 'SEANCE 1'!$C:$C, AF$2, 'SEANCE 1'!$F:$F, AF$5)=0, "", COUNTIFS('SEANCE 1'!$B:$B, $B64, 'SEANCE 1'!$C:$C, AF$2, 'SEANCE 1'!$F:$F, AF$5))</f>
        <v/>
      </c>
      <c r="AG64" s="64" t="str">
        <f ca="1">IF(COUNTIFS('SEANCE 1'!$B:$B, $B64, 'SEANCE 1'!$C:$C, AG$2, 'SEANCE 1'!$F:$F, AG$5)=0, "", COUNTIFS('SEANCE 1'!$B:$B, $B64, 'SEANCE 1'!$C:$C, AG$2, 'SEANCE 1'!$F:$F, AG$5))</f>
        <v/>
      </c>
      <c r="AH64" s="64" t="str">
        <f ca="1">IF(COUNTIFS('SEANCE 1'!$B:$B, $B64, 'SEANCE 1'!$C:$C, AH$2, 'SEANCE 1'!$F:$F, AH$5)=0, "", COUNTIFS('SEANCE 1'!$B:$B, $B64, 'SEANCE 1'!$C:$C, AH$2, 'SEANCE 1'!$F:$F, AH$5))</f>
        <v/>
      </c>
      <c r="AI64" s="64" t="str">
        <f ca="1">IF(COUNTIFS('SEANCE 1'!$B:$B, $B64, 'SEANCE 1'!$C:$C, AI$2, 'SEANCE 1'!$F:$F, AI$5)=0, "", COUNTIFS('SEANCE 1'!$B:$B, $B64, 'SEANCE 1'!$C:$C, AI$2, 'SEANCE 1'!$F:$F, AI$5))</f>
        <v/>
      </c>
      <c r="AJ64" s="64" t="str">
        <f ca="1">IF(COUNTIFS('SEANCE 1'!$B:$B, $B64, 'SEANCE 1'!$C:$C, AJ$2, 'SEANCE 1'!$F:$F, AJ$5)=0, "", COUNTIFS('SEANCE 1'!$B:$B, $B64, 'SEANCE 1'!$C:$C, AJ$2, 'SEANCE 1'!$F:$F, AJ$5))</f>
        <v/>
      </c>
      <c r="AK64" s="64" t="str">
        <f ca="1">IF(COUNTIFS('SEANCE 1'!$B:$B, $B64, 'SEANCE 1'!$C:$C, AK$2, 'SEANCE 1'!$F:$F, AK$5)=0, "", COUNTIFS('SEANCE 1'!$B:$B, $B64, 'SEANCE 1'!$C:$C, AK$2, 'SEANCE 1'!$F:$F, AK$5))</f>
        <v/>
      </c>
      <c r="AL64" s="64" t="str">
        <f ca="1">IF(COUNTIFS('SEANCE 1'!$B:$B, $B64, 'SEANCE 1'!$C:$C, AL$2, 'SEANCE 1'!$F:$F, AL$5)=0, "", COUNTIFS('SEANCE 1'!$B:$B, $B64, 'SEANCE 1'!$C:$C, AL$2, 'SEANCE 1'!$F:$F, AL$5))</f>
        <v/>
      </c>
      <c r="AM64" s="64" t="str">
        <f ca="1">IF(COUNTIFS('SEANCE 1'!$B:$B, $B64, 'SEANCE 1'!$C:$C, AM$2, 'SEANCE 1'!$F:$F, AM$5)=0, "", COUNTIFS('SEANCE 1'!$B:$B, $B64, 'SEANCE 1'!$C:$C, AM$2, 'SEANCE 1'!$F:$F, AM$5))</f>
        <v/>
      </c>
      <c r="AN64" s="64" t="str">
        <f ca="1">IF(COUNTIFS('SEANCE 1'!$B:$B, $B64, 'SEANCE 1'!$C:$C, AN$2, 'SEANCE 1'!$F:$F, AN$5)=0, "", COUNTIFS('SEANCE 1'!$B:$B, $B64, 'SEANCE 1'!$C:$C, AN$2, 'SEANCE 1'!$F:$F, AN$5))</f>
        <v/>
      </c>
      <c r="AO64" s="64" t="str">
        <f ca="1">IF(COUNTIFS('SEANCE 1'!$B:$B, $B64, 'SEANCE 1'!$C:$C, AO$2, 'SEANCE 1'!$F:$F, AO$5)=0, "", COUNTIFS('SEANCE 1'!$B:$B, $B64, 'SEANCE 1'!$C:$C, AO$2, 'SEANCE 1'!$F:$F, AO$5))</f>
        <v/>
      </c>
      <c r="AP64" s="64" t="str">
        <f ca="1">IF(COUNTIFS('SEANCE 1'!$B:$B, $B64, 'SEANCE 1'!$C:$C, AP$2, 'SEANCE 1'!$F:$F, AP$5)=0, "", COUNTIFS('SEANCE 1'!$B:$B, $B64, 'SEANCE 1'!$C:$C, AP$2, 'SEANCE 1'!$F:$F, AP$5))</f>
        <v/>
      </c>
      <c r="AQ64" s="64" t="str">
        <f ca="1">IF(COUNTIFS('SEANCE 1'!$B:$B, $B64, 'SEANCE 1'!$C:$C, AQ$2, 'SEANCE 1'!$F:$F, AQ$5)=0, "", COUNTIFS('SEANCE 1'!$B:$B, $B64, 'SEANCE 1'!$C:$C, AQ$2, 'SEANCE 1'!$F:$F, AQ$5))</f>
        <v/>
      </c>
      <c r="AR64" s="64" t="str">
        <f ca="1">IF(COUNTIFS('SEANCE 1'!$B:$B, $B64, 'SEANCE 1'!$C:$C, AR$2, 'SEANCE 1'!$F:$F, AR$5)=0, "", COUNTIFS('SEANCE 1'!$B:$B, $B64, 'SEANCE 1'!$C:$C, AR$2, 'SEANCE 1'!$F:$F, AR$5))</f>
        <v/>
      </c>
      <c r="AS64" s="64" t="str">
        <f ca="1">IF(COUNTIFS('SEANCE 1'!$B:$B, $B64, 'SEANCE 1'!$C:$C, AS$2, 'SEANCE 1'!$F:$F, AS$5)=0, "", COUNTIFS('SEANCE 1'!$B:$B, $B64, 'SEANCE 1'!$C:$C, AS$2, 'SEANCE 1'!$F:$F, AS$5))</f>
        <v/>
      </c>
      <c r="AT64" s="64" t="str">
        <f ca="1">IF(COUNTIFS('SEANCE 1'!$B:$B, $B64, 'SEANCE 1'!$C:$C, AT$2, 'SEANCE 1'!$F:$F, AT$5)=0, "", COUNTIFS('SEANCE 1'!$B:$B, $B64, 'SEANCE 1'!$C:$C, AT$2, 'SEANCE 1'!$F:$F, AT$5))</f>
        <v/>
      </c>
      <c r="AU64" s="64" t="str">
        <f ca="1">IF(COUNTIFS('SEANCE 1'!$B:$B, $B64, 'SEANCE 1'!$C:$C, AU$2, 'SEANCE 1'!$F:$F, AU$5)=0, "", COUNTIFS('SEANCE 1'!$B:$B, $B64, 'SEANCE 1'!$C:$C, AU$2, 'SEANCE 1'!$F:$F, AU$5))</f>
        <v/>
      </c>
      <c r="AV64" s="64" t="str">
        <f ca="1">IF(COUNTIFS('SEANCE 1'!$B:$B, $B64, 'SEANCE 1'!$C:$C, AV$2, 'SEANCE 1'!$F:$F, AV$5)=0, "", COUNTIFS('SEANCE 1'!$B:$B, $B64, 'SEANCE 1'!$C:$C, AV$2, 'SEANCE 1'!$F:$F, AV$5))</f>
        <v/>
      </c>
      <c r="AW64" s="64" t="str">
        <f ca="1">IF(COUNTIFS('SEANCE 1'!$B:$B, $B64, 'SEANCE 1'!$C:$C, AW$2, 'SEANCE 1'!$F:$F, AW$5)=0, "", COUNTIFS('SEANCE 1'!$B:$B, $B64, 'SEANCE 1'!$C:$C, AW$2, 'SEANCE 1'!$F:$F, AW$5))</f>
        <v/>
      </c>
      <c r="AX64" s="64" t="str">
        <f ca="1">IF(COUNTIFS('SEANCE 1'!$B:$B, $B64, 'SEANCE 1'!$C:$C, AX$2, 'SEANCE 1'!$F:$F, AX$5)=0, "", COUNTIFS('SEANCE 1'!$B:$B, $B64, 'SEANCE 1'!$C:$C, AX$2, 'SEANCE 1'!$F:$F, AX$5))</f>
        <v/>
      </c>
      <c r="AY64" s="64" t="str">
        <f ca="1">IF(COUNTIFS('SEANCE 1'!$B:$B, $B64, 'SEANCE 1'!$C:$C, AY$2, 'SEANCE 1'!$F:$F, AY$5)=0, "", COUNTIFS('SEANCE 1'!$B:$B, $B64, 'SEANCE 1'!$C:$C, AY$2, 'SEANCE 1'!$F:$F, AY$5))</f>
        <v/>
      </c>
      <c r="AZ64" s="32">
        <f t="shared" ca="1" si="0"/>
        <v>0</v>
      </c>
    </row>
    <row r="65" spans="1:52">
      <c r="A65" s="44" t="str">
        <f>IF('SEANCE 1'!$B61&lt;&gt;"",'SEANCE 1'!$A61,"")</f>
        <v/>
      </c>
      <c r="B65" s="44" t="str">
        <f t="array" aca="1" ref="B65" ca="1">IF(ISNA(INDEX(ListeB,MATCH(0,COUNTIF($B$5:B64,ListeB),0))),"",INDEX(ListeB,MATCH(0,COUNTIF($B$5:B64,ListeB),0)))</f>
        <v/>
      </c>
      <c r="C65" s="64" t="str">
        <f ca="1">IF(COUNTIFS('SEANCE 1'!$B:$B, $B65, 'SEANCE 1'!$C:$C, C$2, 'SEANCE 1'!$F:$F, C$5)=0, "", COUNTIFS('SEANCE 1'!$B:$B, $B65, 'SEANCE 1'!$C:$C, C$2, 'SEANCE 1'!$F:$F, C$5))</f>
        <v/>
      </c>
      <c r="D65" s="64" t="str">
        <f ca="1">IF(COUNTIFS('SEANCE 1'!$B:$B, $B65, 'SEANCE 1'!$C:$C, D$2, 'SEANCE 1'!$F:$F, D$5)=0, "", COUNTIFS('SEANCE 1'!$B:$B, $B65, 'SEANCE 1'!$C:$C, D$2, 'SEANCE 1'!$F:$F, D$5))</f>
        <v/>
      </c>
      <c r="E65" s="64" t="str">
        <f ca="1">IF(COUNTIFS('SEANCE 1'!$B:$B, $B65, 'SEANCE 1'!$C:$C, E$2, 'SEANCE 1'!$F:$F, E$5)=0, "", COUNTIFS('SEANCE 1'!$B:$B, $B65, 'SEANCE 1'!$C:$C, E$2, 'SEANCE 1'!$F:$F, E$5))</f>
        <v/>
      </c>
      <c r="F65" s="64" t="str">
        <f ca="1">IF(COUNTIFS('SEANCE 1'!$B:$B, $B65, 'SEANCE 1'!$C:$C, F$2, 'SEANCE 1'!$F:$F, F$5)=0, "", COUNTIFS('SEANCE 1'!$B:$B, $B65, 'SEANCE 1'!$C:$C, F$2, 'SEANCE 1'!$F:$F, F$5))</f>
        <v/>
      </c>
      <c r="G65" s="64" t="str">
        <f ca="1">IF(COUNTIFS('SEANCE 1'!$B:$B, $B65, 'SEANCE 1'!$C:$C, G$2, 'SEANCE 1'!$F:$F, G$5)=0, "", COUNTIFS('SEANCE 1'!$B:$B, $B65, 'SEANCE 1'!$C:$C, G$2, 'SEANCE 1'!$F:$F, G$5))</f>
        <v/>
      </c>
      <c r="H65" s="64" t="str">
        <f ca="1">IF(COUNTIFS('SEANCE 1'!$B:$B, $B65, 'SEANCE 1'!$C:$C, H$2, 'SEANCE 1'!$F:$F, H$5)=0, "", COUNTIFS('SEANCE 1'!$B:$B, $B65, 'SEANCE 1'!$C:$C, H$2, 'SEANCE 1'!$F:$F, H$5))</f>
        <v/>
      </c>
      <c r="I65" s="64" t="str">
        <f ca="1">IF(COUNTIFS('SEANCE 1'!$B:$B, $B65, 'SEANCE 1'!$C:$C, I$2, 'SEANCE 1'!$F:$F, I$5)=0, "", COUNTIFS('SEANCE 1'!$B:$B, $B65, 'SEANCE 1'!$C:$C, I$2, 'SEANCE 1'!$F:$F, I$5))</f>
        <v/>
      </c>
      <c r="J65" s="64" t="str">
        <f ca="1">IF(COUNTIFS('SEANCE 1'!$B:$B, $B65, 'SEANCE 1'!$C:$C, J$2, 'SEANCE 1'!$F:$F, J$5)=0, "", COUNTIFS('SEANCE 1'!$B:$B, $B65, 'SEANCE 1'!$C:$C, J$2, 'SEANCE 1'!$F:$F, J$5))</f>
        <v/>
      </c>
      <c r="K65" s="64" t="str">
        <f ca="1">IF(COUNTIFS('SEANCE 1'!$B:$B, $B65, 'SEANCE 1'!$C:$C, K$2, 'SEANCE 1'!$F:$F, K$5)=0, "", COUNTIFS('SEANCE 1'!$B:$B, $B65, 'SEANCE 1'!$C:$C, K$2, 'SEANCE 1'!$F:$F, K$5))</f>
        <v/>
      </c>
      <c r="L65" s="64" t="str">
        <f ca="1">IF(COUNTIFS('SEANCE 1'!$B:$B, $B65, 'SEANCE 1'!$C:$C, L$2, 'SEANCE 1'!$F:$F, L$5)=0, "", COUNTIFS('SEANCE 1'!$B:$B, $B65, 'SEANCE 1'!$C:$C, L$2, 'SEANCE 1'!$F:$F, L$5))</f>
        <v/>
      </c>
      <c r="M65" s="64" t="str">
        <f ca="1">IF(COUNTIFS('SEANCE 1'!$B:$B, $B65, 'SEANCE 1'!$C:$C, M$2, 'SEANCE 1'!$F:$F, M$5)=0, "", COUNTIFS('SEANCE 1'!$B:$B, $B65, 'SEANCE 1'!$C:$C, M$2, 'SEANCE 1'!$F:$F, M$5))</f>
        <v/>
      </c>
      <c r="N65" s="64" t="str">
        <f ca="1">IF(COUNTIFS('SEANCE 1'!$B:$B, $B65, 'SEANCE 1'!$C:$C, N$2, 'SEANCE 1'!$F:$F, N$5)=0, "", COUNTIFS('SEANCE 1'!$B:$B, $B65, 'SEANCE 1'!$C:$C, N$2, 'SEANCE 1'!$F:$F, N$5))</f>
        <v/>
      </c>
      <c r="O65" s="64" t="str">
        <f ca="1">IF(COUNTIFS('SEANCE 1'!$B:$B, $B65, 'SEANCE 1'!$C:$C, O$2, 'SEANCE 1'!$F:$F, O$5)=0, "", COUNTIFS('SEANCE 1'!$B:$B, $B65, 'SEANCE 1'!$C:$C, O$2, 'SEANCE 1'!$F:$F, O$5))</f>
        <v/>
      </c>
      <c r="P65" s="64" t="str">
        <f ca="1">IF(COUNTIFS('SEANCE 1'!$B:$B, $B65, 'SEANCE 1'!$C:$C, P$2, 'SEANCE 1'!$F:$F, P$5)=0, "", COUNTIFS('SEANCE 1'!$B:$B, $B65, 'SEANCE 1'!$C:$C, P$2, 'SEANCE 1'!$F:$F, P$5))</f>
        <v/>
      </c>
      <c r="Q65" s="64" t="str">
        <f ca="1">IF(COUNTIFS('SEANCE 1'!$B:$B, $B65, 'SEANCE 1'!$C:$C, Q$2, 'SEANCE 1'!$F:$F, Q$5)=0, "", COUNTIFS('SEANCE 1'!$B:$B, $B65, 'SEANCE 1'!$C:$C, Q$2, 'SEANCE 1'!$F:$F, Q$5))</f>
        <v/>
      </c>
      <c r="R65" s="64" t="str">
        <f ca="1">IF(COUNTIFS('SEANCE 1'!$B:$B, $B65, 'SEANCE 1'!$C:$C, R$2, 'SEANCE 1'!$F:$F, R$5)=0, "", COUNTIFS('SEANCE 1'!$B:$B, $B65, 'SEANCE 1'!$C:$C, R$2, 'SEANCE 1'!$F:$F, R$5))</f>
        <v/>
      </c>
      <c r="S65" s="64" t="str">
        <f ca="1">IF(COUNTIFS('SEANCE 1'!$B:$B, $B65, 'SEANCE 1'!$C:$C, S$2, 'SEANCE 1'!$F:$F, S$5)=0, "", COUNTIFS('SEANCE 1'!$B:$B, $B65, 'SEANCE 1'!$C:$C, S$2, 'SEANCE 1'!$F:$F, S$5))</f>
        <v/>
      </c>
      <c r="T65" s="64" t="str">
        <f ca="1">IF(COUNTIFS('SEANCE 1'!$B:$B, $B65, 'SEANCE 1'!$C:$C, T$2, 'SEANCE 1'!$F:$F, T$5)=0, "", COUNTIFS('SEANCE 1'!$B:$B, $B65, 'SEANCE 1'!$C:$C, T$2, 'SEANCE 1'!$F:$F, T$5))</f>
        <v/>
      </c>
      <c r="U65" s="64" t="str">
        <f ca="1">IF(COUNTIFS('SEANCE 1'!$B:$B, $B65, 'SEANCE 1'!$C:$C, U$2, 'SEANCE 1'!$F:$F, U$5)=0, "", COUNTIFS('SEANCE 1'!$B:$B, $B65, 'SEANCE 1'!$C:$C, U$2, 'SEANCE 1'!$F:$F, U$5))</f>
        <v/>
      </c>
      <c r="V65" s="64" t="str">
        <f ca="1">IF(COUNTIFS('SEANCE 1'!$B:$B, $B65, 'SEANCE 1'!$C:$C, V$2, 'SEANCE 1'!$F:$F, V$5)=0, "", COUNTIFS('SEANCE 1'!$B:$B, $B65, 'SEANCE 1'!$C:$C, V$2, 'SEANCE 1'!$F:$F, V$5))</f>
        <v/>
      </c>
      <c r="W65" s="64" t="str">
        <f ca="1">IF(COUNTIFS('SEANCE 1'!$B:$B, $B65, 'SEANCE 1'!$C:$C, W$2, 'SEANCE 1'!$F:$F, W$5)=0, "", COUNTIFS('SEANCE 1'!$B:$B, $B65, 'SEANCE 1'!$C:$C, W$2, 'SEANCE 1'!$F:$F, W$5))</f>
        <v/>
      </c>
      <c r="X65" s="64" t="str">
        <f ca="1">IF(COUNTIFS('SEANCE 1'!$B:$B, $B65, 'SEANCE 1'!$C:$C, X$2, 'SEANCE 1'!$F:$F, X$5)=0, "", COUNTIFS('SEANCE 1'!$B:$B, $B65, 'SEANCE 1'!$C:$C, X$2, 'SEANCE 1'!$F:$F, X$5))</f>
        <v/>
      </c>
      <c r="Y65" s="64" t="str">
        <f ca="1">IF(COUNTIFS('SEANCE 1'!$B:$B, $B65, 'SEANCE 1'!$C:$C, Y$2, 'SEANCE 1'!$F:$F, Y$5)=0, "", COUNTIFS('SEANCE 1'!$B:$B, $B65, 'SEANCE 1'!$C:$C, Y$2, 'SEANCE 1'!$F:$F, Y$5))</f>
        <v/>
      </c>
      <c r="Z65" s="64" t="str">
        <f ca="1">IF(COUNTIFS('SEANCE 1'!$B:$B, $B65, 'SEANCE 1'!$C:$C, Z$2, 'SEANCE 1'!$F:$F, Z$5)=0, "", COUNTIFS('SEANCE 1'!$B:$B, $B65, 'SEANCE 1'!$C:$C, Z$2, 'SEANCE 1'!$F:$F, Z$5))</f>
        <v/>
      </c>
      <c r="AA65" s="64" t="str">
        <f ca="1">IF(COUNTIFS('SEANCE 1'!$B:$B, $B65, 'SEANCE 1'!$C:$C, AA$2, 'SEANCE 1'!$F:$F, AA$5)=0, "", COUNTIFS('SEANCE 1'!$B:$B, $B65, 'SEANCE 1'!$C:$C, AA$2, 'SEANCE 1'!$F:$F, AA$5))</f>
        <v/>
      </c>
      <c r="AB65" s="64" t="str">
        <f ca="1">IF(COUNTIFS('SEANCE 1'!$B:$B, $B65, 'SEANCE 1'!$C:$C, AB$2, 'SEANCE 1'!$F:$F, AB$5)=0, "", COUNTIFS('SEANCE 1'!$B:$B, $B65, 'SEANCE 1'!$C:$C, AB$2, 'SEANCE 1'!$F:$F, AB$5))</f>
        <v/>
      </c>
      <c r="AC65" s="64" t="str">
        <f ca="1">IF(COUNTIFS('SEANCE 1'!$B:$B, $B65, 'SEANCE 1'!$C:$C, AC$2, 'SEANCE 1'!$F:$F, AC$5)=0, "", COUNTIFS('SEANCE 1'!$B:$B, $B65, 'SEANCE 1'!$C:$C, AC$2, 'SEANCE 1'!$F:$F, AC$5))</f>
        <v/>
      </c>
      <c r="AD65" s="64" t="str">
        <f ca="1">IF(COUNTIFS('SEANCE 1'!$B:$B, $B65, 'SEANCE 1'!$C:$C, AD$2, 'SEANCE 1'!$F:$F, AD$5)=0, "", COUNTIFS('SEANCE 1'!$B:$B, $B65, 'SEANCE 1'!$C:$C, AD$2, 'SEANCE 1'!$F:$F, AD$5))</f>
        <v/>
      </c>
      <c r="AE65" s="64" t="str">
        <f ca="1">IF(COUNTIFS('SEANCE 1'!$B:$B, $B65, 'SEANCE 1'!$C:$C, AE$2, 'SEANCE 1'!$F:$F, AE$5)=0, "", COUNTIFS('SEANCE 1'!$B:$B, $B65, 'SEANCE 1'!$C:$C, AE$2, 'SEANCE 1'!$F:$F, AE$5))</f>
        <v/>
      </c>
      <c r="AF65" s="64" t="str">
        <f ca="1">IF(COUNTIFS('SEANCE 1'!$B:$B, $B65, 'SEANCE 1'!$C:$C, AF$2, 'SEANCE 1'!$F:$F, AF$5)=0, "", COUNTIFS('SEANCE 1'!$B:$B, $B65, 'SEANCE 1'!$C:$C, AF$2, 'SEANCE 1'!$F:$F, AF$5))</f>
        <v/>
      </c>
      <c r="AG65" s="64" t="str">
        <f ca="1">IF(COUNTIFS('SEANCE 1'!$B:$B, $B65, 'SEANCE 1'!$C:$C, AG$2, 'SEANCE 1'!$F:$F, AG$5)=0, "", COUNTIFS('SEANCE 1'!$B:$B, $B65, 'SEANCE 1'!$C:$C, AG$2, 'SEANCE 1'!$F:$F, AG$5))</f>
        <v/>
      </c>
      <c r="AH65" s="64" t="str">
        <f ca="1">IF(COUNTIFS('SEANCE 1'!$B:$B, $B65, 'SEANCE 1'!$C:$C, AH$2, 'SEANCE 1'!$F:$F, AH$5)=0, "", COUNTIFS('SEANCE 1'!$B:$B, $B65, 'SEANCE 1'!$C:$C, AH$2, 'SEANCE 1'!$F:$F, AH$5))</f>
        <v/>
      </c>
      <c r="AI65" s="64" t="str">
        <f ca="1">IF(COUNTIFS('SEANCE 1'!$B:$B, $B65, 'SEANCE 1'!$C:$C, AI$2, 'SEANCE 1'!$F:$F, AI$5)=0, "", COUNTIFS('SEANCE 1'!$B:$B, $B65, 'SEANCE 1'!$C:$C, AI$2, 'SEANCE 1'!$F:$F, AI$5))</f>
        <v/>
      </c>
      <c r="AJ65" s="64" t="str">
        <f ca="1">IF(COUNTIFS('SEANCE 1'!$B:$B, $B65, 'SEANCE 1'!$C:$C, AJ$2, 'SEANCE 1'!$F:$F, AJ$5)=0, "", COUNTIFS('SEANCE 1'!$B:$B, $B65, 'SEANCE 1'!$C:$C, AJ$2, 'SEANCE 1'!$F:$F, AJ$5))</f>
        <v/>
      </c>
      <c r="AK65" s="64" t="str">
        <f ca="1">IF(COUNTIFS('SEANCE 1'!$B:$B, $B65, 'SEANCE 1'!$C:$C, AK$2, 'SEANCE 1'!$F:$F, AK$5)=0, "", COUNTIFS('SEANCE 1'!$B:$B, $B65, 'SEANCE 1'!$C:$C, AK$2, 'SEANCE 1'!$F:$F, AK$5))</f>
        <v/>
      </c>
      <c r="AL65" s="64" t="str">
        <f ca="1">IF(COUNTIFS('SEANCE 1'!$B:$B, $B65, 'SEANCE 1'!$C:$C, AL$2, 'SEANCE 1'!$F:$F, AL$5)=0, "", COUNTIFS('SEANCE 1'!$B:$B, $B65, 'SEANCE 1'!$C:$C, AL$2, 'SEANCE 1'!$F:$F, AL$5))</f>
        <v/>
      </c>
      <c r="AM65" s="64" t="str">
        <f ca="1">IF(COUNTIFS('SEANCE 1'!$B:$B, $B65, 'SEANCE 1'!$C:$C, AM$2, 'SEANCE 1'!$F:$F, AM$5)=0, "", COUNTIFS('SEANCE 1'!$B:$B, $B65, 'SEANCE 1'!$C:$C, AM$2, 'SEANCE 1'!$F:$F, AM$5))</f>
        <v/>
      </c>
      <c r="AN65" s="64" t="str">
        <f ca="1">IF(COUNTIFS('SEANCE 1'!$B:$B, $B65, 'SEANCE 1'!$C:$C, AN$2, 'SEANCE 1'!$F:$F, AN$5)=0, "", COUNTIFS('SEANCE 1'!$B:$B, $B65, 'SEANCE 1'!$C:$C, AN$2, 'SEANCE 1'!$F:$F, AN$5))</f>
        <v/>
      </c>
      <c r="AO65" s="64" t="str">
        <f ca="1">IF(COUNTIFS('SEANCE 1'!$B:$B, $B65, 'SEANCE 1'!$C:$C, AO$2, 'SEANCE 1'!$F:$F, AO$5)=0, "", COUNTIFS('SEANCE 1'!$B:$B, $B65, 'SEANCE 1'!$C:$C, AO$2, 'SEANCE 1'!$F:$F, AO$5))</f>
        <v/>
      </c>
      <c r="AP65" s="64" t="str">
        <f ca="1">IF(COUNTIFS('SEANCE 1'!$B:$B, $B65, 'SEANCE 1'!$C:$C, AP$2, 'SEANCE 1'!$F:$F, AP$5)=0, "", COUNTIFS('SEANCE 1'!$B:$B, $B65, 'SEANCE 1'!$C:$C, AP$2, 'SEANCE 1'!$F:$F, AP$5))</f>
        <v/>
      </c>
      <c r="AQ65" s="64" t="str">
        <f ca="1">IF(COUNTIFS('SEANCE 1'!$B:$B, $B65, 'SEANCE 1'!$C:$C, AQ$2, 'SEANCE 1'!$F:$F, AQ$5)=0, "", COUNTIFS('SEANCE 1'!$B:$B, $B65, 'SEANCE 1'!$C:$C, AQ$2, 'SEANCE 1'!$F:$F, AQ$5))</f>
        <v/>
      </c>
      <c r="AR65" s="64" t="str">
        <f ca="1">IF(COUNTIFS('SEANCE 1'!$B:$B, $B65, 'SEANCE 1'!$C:$C, AR$2, 'SEANCE 1'!$F:$F, AR$5)=0, "", COUNTIFS('SEANCE 1'!$B:$B, $B65, 'SEANCE 1'!$C:$C, AR$2, 'SEANCE 1'!$F:$F, AR$5))</f>
        <v/>
      </c>
      <c r="AS65" s="64" t="str">
        <f ca="1">IF(COUNTIFS('SEANCE 1'!$B:$B, $B65, 'SEANCE 1'!$C:$C, AS$2, 'SEANCE 1'!$F:$F, AS$5)=0, "", COUNTIFS('SEANCE 1'!$B:$B, $B65, 'SEANCE 1'!$C:$C, AS$2, 'SEANCE 1'!$F:$F, AS$5))</f>
        <v/>
      </c>
      <c r="AT65" s="64" t="str">
        <f ca="1">IF(COUNTIFS('SEANCE 1'!$B:$B, $B65, 'SEANCE 1'!$C:$C, AT$2, 'SEANCE 1'!$F:$F, AT$5)=0, "", COUNTIFS('SEANCE 1'!$B:$B, $B65, 'SEANCE 1'!$C:$C, AT$2, 'SEANCE 1'!$F:$F, AT$5))</f>
        <v/>
      </c>
      <c r="AU65" s="64" t="str">
        <f ca="1">IF(COUNTIFS('SEANCE 1'!$B:$B, $B65, 'SEANCE 1'!$C:$C, AU$2, 'SEANCE 1'!$F:$F, AU$5)=0, "", COUNTIFS('SEANCE 1'!$B:$B, $B65, 'SEANCE 1'!$C:$C, AU$2, 'SEANCE 1'!$F:$F, AU$5))</f>
        <v/>
      </c>
      <c r="AV65" s="64" t="str">
        <f ca="1">IF(COUNTIFS('SEANCE 1'!$B:$B, $B65, 'SEANCE 1'!$C:$C, AV$2, 'SEANCE 1'!$F:$F, AV$5)=0, "", COUNTIFS('SEANCE 1'!$B:$B, $B65, 'SEANCE 1'!$C:$C, AV$2, 'SEANCE 1'!$F:$F, AV$5))</f>
        <v/>
      </c>
      <c r="AW65" s="64" t="str">
        <f ca="1">IF(COUNTIFS('SEANCE 1'!$B:$B, $B65, 'SEANCE 1'!$C:$C, AW$2, 'SEANCE 1'!$F:$F, AW$5)=0, "", COUNTIFS('SEANCE 1'!$B:$B, $B65, 'SEANCE 1'!$C:$C, AW$2, 'SEANCE 1'!$F:$F, AW$5))</f>
        <v/>
      </c>
      <c r="AX65" s="64" t="str">
        <f ca="1">IF(COUNTIFS('SEANCE 1'!$B:$B, $B65, 'SEANCE 1'!$C:$C, AX$2, 'SEANCE 1'!$F:$F, AX$5)=0, "", COUNTIFS('SEANCE 1'!$B:$B, $B65, 'SEANCE 1'!$C:$C, AX$2, 'SEANCE 1'!$F:$F, AX$5))</f>
        <v/>
      </c>
      <c r="AY65" s="64" t="str">
        <f ca="1">IF(COUNTIFS('SEANCE 1'!$B:$B, $B65, 'SEANCE 1'!$C:$C, AY$2, 'SEANCE 1'!$F:$F, AY$5)=0, "", COUNTIFS('SEANCE 1'!$B:$B, $B65, 'SEANCE 1'!$C:$C, AY$2, 'SEANCE 1'!$F:$F, AY$5))</f>
        <v/>
      </c>
      <c r="AZ65" s="32">
        <f t="shared" ca="1" si="0"/>
        <v>0</v>
      </c>
    </row>
    <row r="66" spans="1:52">
      <c r="A66" s="44" t="str">
        <f>IF('SEANCE 1'!$B62&lt;&gt;"",'SEANCE 1'!$A62,"")</f>
        <v/>
      </c>
      <c r="B66" s="44" t="str">
        <f t="array" aca="1" ref="B66" ca="1">IF(ISNA(INDEX(ListeB,MATCH(0,COUNTIF($B$5:B65,ListeB),0))),"",INDEX(ListeB,MATCH(0,COUNTIF($B$5:B65,ListeB),0)))</f>
        <v/>
      </c>
      <c r="C66" s="64" t="str">
        <f ca="1">IF(COUNTIFS('SEANCE 1'!$B:$B, $B66, 'SEANCE 1'!$C:$C, C$2, 'SEANCE 1'!$F:$F, C$5)=0, "", COUNTIFS('SEANCE 1'!$B:$B, $B66, 'SEANCE 1'!$C:$C, C$2, 'SEANCE 1'!$F:$F, C$5))</f>
        <v/>
      </c>
      <c r="D66" s="64" t="str">
        <f ca="1">IF(COUNTIFS('SEANCE 1'!$B:$B, $B66, 'SEANCE 1'!$C:$C, D$2, 'SEANCE 1'!$F:$F, D$5)=0, "", COUNTIFS('SEANCE 1'!$B:$B, $B66, 'SEANCE 1'!$C:$C, D$2, 'SEANCE 1'!$F:$F, D$5))</f>
        <v/>
      </c>
      <c r="E66" s="64" t="str">
        <f ca="1">IF(COUNTIFS('SEANCE 1'!$B:$B, $B66, 'SEANCE 1'!$C:$C, E$2, 'SEANCE 1'!$F:$F, E$5)=0, "", COUNTIFS('SEANCE 1'!$B:$B, $B66, 'SEANCE 1'!$C:$C, E$2, 'SEANCE 1'!$F:$F, E$5))</f>
        <v/>
      </c>
      <c r="F66" s="64" t="str">
        <f ca="1">IF(COUNTIFS('SEANCE 1'!$B:$B, $B66, 'SEANCE 1'!$C:$C, F$2, 'SEANCE 1'!$F:$F, F$5)=0, "", COUNTIFS('SEANCE 1'!$B:$B, $B66, 'SEANCE 1'!$C:$C, F$2, 'SEANCE 1'!$F:$F, F$5))</f>
        <v/>
      </c>
      <c r="G66" s="64" t="str">
        <f ca="1">IF(COUNTIFS('SEANCE 1'!$B:$B, $B66, 'SEANCE 1'!$C:$C, G$2, 'SEANCE 1'!$F:$F, G$5)=0, "", COUNTIFS('SEANCE 1'!$B:$B, $B66, 'SEANCE 1'!$C:$C, G$2, 'SEANCE 1'!$F:$F, G$5))</f>
        <v/>
      </c>
      <c r="H66" s="64" t="str">
        <f ca="1">IF(COUNTIFS('SEANCE 1'!$B:$B, $B66, 'SEANCE 1'!$C:$C, H$2, 'SEANCE 1'!$F:$F, H$5)=0, "", COUNTIFS('SEANCE 1'!$B:$B, $B66, 'SEANCE 1'!$C:$C, H$2, 'SEANCE 1'!$F:$F, H$5))</f>
        <v/>
      </c>
      <c r="I66" s="64" t="str">
        <f ca="1">IF(COUNTIFS('SEANCE 1'!$B:$B, $B66, 'SEANCE 1'!$C:$C, I$2, 'SEANCE 1'!$F:$F, I$5)=0, "", COUNTIFS('SEANCE 1'!$B:$B, $B66, 'SEANCE 1'!$C:$C, I$2, 'SEANCE 1'!$F:$F, I$5))</f>
        <v/>
      </c>
      <c r="J66" s="64" t="str">
        <f ca="1">IF(COUNTIFS('SEANCE 1'!$B:$B, $B66, 'SEANCE 1'!$C:$C, J$2, 'SEANCE 1'!$F:$F, J$5)=0, "", COUNTIFS('SEANCE 1'!$B:$B, $B66, 'SEANCE 1'!$C:$C, J$2, 'SEANCE 1'!$F:$F, J$5))</f>
        <v/>
      </c>
      <c r="K66" s="64" t="str">
        <f ca="1">IF(COUNTIFS('SEANCE 1'!$B:$B, $B66, 'SEANCE 1'!$C:$C, K$2, 'SEANCE 1'!$F:$F, K$5)=0, "", COUNTIFS('SEANCE 1'!$B:$B, $B66, 'SEANCE 1'!$C:$C, K$2, 'SEANCE 1'!$F:$F, K$5))</f>
        <v/>
      </c>
      <c r="L66" s="64" t="str">
        <f ca="1">IF(COUNTIFS('SEANCE 1'!$B:$B, $B66, 'SEANCE 1'!$C:$C, L$2, 'SEANCE 1'!$F:$F, L$5)=0, "", COUNTIFS('SEANCE 1'!$B:$B, $B66, 'SEANCE 1'!$C:$C, L$2, 'SEANCE 1'!$F:$F, L$5))</f>
        <v/>
      </c>
      <c r="M66" s="64" t="str">
        <f ca="1">IF(COUNTIFS('SEANCE 1'!$B:$B, $B66, 'SEANCE 1'!$C:$C, M$2, 'SEANCE 1'!$F:$F, M$5)=0, "", COUNTIFS('SEANCE 1'!$B:$B, $B66, 'SEANCE 1'!$C:$C, M$2, 'SEANCE 1'!$F:$F, M$5))</f>
        <v/>
      </c>
      <c r="N66" s="64" t="str">
        <f ca="1">IF(COUNTIFS('SEANCE 1'!$B:$B, $B66, 'SEANCE 1'!$C:$C, N$2, 'SEANCE 1'!$F:$F, N$5)=0, "", COUNTIFS('SEANCE 1'!$B:$B, $B66, 'SEANCE 1'!$C:$C, N$2, 'SEANCE 1'!$F:$F, N$5))</f>
        <v/>
      </c>
      <c r="O66" s="64" t="str">
        <f ca="1">IF(COUNTIFS('SEANCE 1'!$B:$B, $B66, 'SEANCE 1'!$C:$C, O$2, 'SEANCE 1'!$F:$F, O$5)=0, "", COUNTIFS('SEANCE 1'!$B:$B, $B66, 'SEANCE 1'!$C:$C, O$2, 'SEANCE 1'!$F:$F, O$5))</f>
        <v/>
      </c>
      <c r="P66" s="64" t="str">
        <f ca="1">IF(COUNTIFS('SEANCE 1'!$B:$B, $B66, 'SEANCE 1'!$C:$C, P$2, 'SEANCE 1'!$F:$F, P$5)=0, "", COUNTIFS('SEANCE 1'!$B:$B, $B66, 'SEANCE 1'!$C:$C, P$2, 'SEANCE 1'!$F:$F, P$5))</f>
        <v/>
      </c>
      <c r="Q66" s="64" t="str">
        <f ca="1">IF(COUNTIFS('SEANCE 1'!$B:$B, $B66, 'SEANCE 1'!$C:$C, Q$2, 'SEANCE 1'!$F:$F, Q$5)=0, "", COUNTIFS('SEANCE 1'!$B:$B, $B66, 'SEANCE 1'!$C:$C, Q$2, 'SEANCE 1'!$F:$F, Q$5))</f>
        <v/>
      </c>
      <c r="R66" s="64" t="str">
        <f ca="1">IF(COUNTIFS('SEANCE 1'!$B:$B, $B66, 'SEANCE 1'!$C:$C, R$2, 'SEANCE 1'!$F:$F, R$5)=0, "", COUNTIFS('SEANCE 1'!$B:$B, $B66, 'SEANCE 1'!$C:$C, R$2, 'SEANCE 1'!$F:$F, R$5))</f>
        <v/>
      </c>
      <c r="S66" s="64" t="str">
        <f ca="1">IF(COUNTIFS('SEANCE 1'!$B:$B, $B66, 'SEANCE 1'!$C:$C, S$2, 'SEANCE 1'!$F:$F, S$5)=0, "", COUNTIFS('SEANCE 1'!$B:$B, $B66, 'SEANCE 1'!$C:$C, S$2, 'SEANCE 1'!$F:$F, S$5))</f>
        <v/>
      </c>
      <c r="T66" s="64" t="str">
        <f ca="1">IF(COUNTIFS('SEANCE 1'!$B:$B, $B66, 'SEANCE 1'!$C:$C, T$2, 'SEANCE 1'!$F:$F, T$5)=0, "", COUNTIFS('SEANCE 1'!$B:$B, $B66, 'SEANCE 1'!$C:$C, T$2, 'SEANCE 1'!$F:$F, T$5))</f>
        <v/>
      </c>
      <c r="U66" s="64" t="str">
        <f ca="1">IF(COUNTIFS('SEANCE 1'!$B:$B, $B66, 'SEANCE 1'!$C:$C, U$2, 'SEANCE 1'!$F:$F, U$5)=0, "", COUNTIFS('SEANCE 1'!$B:$B, $B66, 'SEANCE 1'!$C:$C, U$2, 'SEANCE 1'!$F:$F, U$5))</f>
        <v/>
      </c>
      <c r="V66" s="64" t="str">
        <f ca="1">IF(COUNTIFS('SEANCE 1'!$B:$B, $B66, 'SEANCE 1'!$C:$C, V$2, 'SEANCE 1'!$F:$F, V$5)=0, "", COUNTIFS('SEANCE 1'!$B:$B, $B66, 'SEANCE 1'!$C:$C, V$2, 'SEANCE 1'!$F:$F, V$5))</f>
        <v/>
      </c>
      <c r="W66" s="64" t="str">
        <f ca="1">IF(COUNTIFS('SEANCE 1'!$B:$B, $B66, 'SEANCE 1'!$C:$C, W$2, 'SEANCE 1'!$F:$F, W$5)=0, "", COUNTIFS('SEANCE 1'!$B:$B, $B66, 'SEANCE 1'!$C:$C, W$2, 'SEANCE 1'!$F:$F, W$5))</f>
        <v/>
      </c>
      <c r="X66" s="64" t="str">
        <f ca="1">IF(COUNTIFS('SEANCE 1'!$B:$B, $B66, 'SEANCE 1'!$C:$C, X$2, 'SEANCE 1'!$F:$F, X$5)=0, "", COUNTIFS('SEANCE 1'!$B:$B, $B66, 'SEANCE 1'!$C:$C, X$2, 'SEANCE 1'!$F:$F, X$5))</f>
        <v/>
      </c>
      <c r="Y66" s="64" t="str">
        <f ca="1">IF(COUNTIFS('SEANCE 1'!$B:$B, $B66, 'SEANCE 1'!$C:$C, Y$2, 'SEANCE 1'!$F:$F, Y$5)=0, "", COUNTIFS('SEANCE 1'!$B:$B, $B66, 'SEANCE 1'!$C:$C, Y$2, 'SEANCE 1'!$F:$F, Y$5))</f>
        <v/>
      </c>
      <c r="Z66" s="64" t="str">
        <f ca="1">IF(COUNTIFS('SEANCE 1'!$B:$B, $B66, 'SEANCE 1'!$C:$C, Z$2, 'SEANCE 1'!$F:$F, Z$5)=0, "", COUNTIFS('SEANCE 1'!$B:$B, $B66, 'SEANCE 1'!$C:$C, Z$2, 'SEANCE 1'!$F:$F, Z$5))</f>
        <v/>
      </c>
      <c r="AA66" s="64" t="str">
        <f ca="1">IF(COUNTIFS('SEANCE 1'!$B:$B, $B66, 'SEANCE 1'!$C:$C, AA$2, 'SEANCE 1'!$F:$F, AA$5)=0, "", COUNTIFS('SEANCE 1'!$B:$B, $B66, 'SEANCE 1'!$C:$C, AA$2, 'SEANCE 1'!$F:$F, AA$5))</f>
        <v/>
      </c>
      <c r="AB66" s="64" t="str">
        <f ca="1">IF(COUNTIFS('SEANCE 1'!$B:$B, $B66, 'SEANCE 1'!$C:$C, AB$2, 'SEANCE 1'!$F:$F, AB$5)=0, "", COUNTIFS('SEANCE 1'!$B:$B, $B66, 'SEANCE 1'!$C:$C, AB$2, 'SEANCE 1'!$F:$F, AB$5))</f>
        <v/>
      </c>
      <c r="AC66" s="64" t="str">
        <f ca="1">IF(COUNTIFS('SEANCE 1'!$B:$B, $B66, 'SEANCE 1'!$C:$C, AC$2, 'SEANCE 1'!$F:$F, AC$5)=0, "", COUNTIFS('SEANCE 1'!$B:$B, $B66, 'SEANCE 1'!$C:$C, AC$2, 'SEANCE 1'!$F:$F, AC$5))</f>
        <v/>
      </c>
      <c r="AD66" s="64" t="str">
        <f ca="1">IF(COUNTIFS('SEANCE 1'!$B:$B, $B66, 'SEANCE 1'!$C:$C, AD$2, 'SEANCE 1'!$F:$F, AD$5)=0, "", COUNTIFS('SEANCE 1'!$B:$B, $B66, 'SEANCE 1'!$C:$C, AD$2, 'SEANCE 1'!$F:$F, AD$5))</f>
        <v/>
      </c>
      <c r="AE66" s="64" t="str">
        <f ca="1">IF(COUNTIFS('SEANCE 1'!$B:$B, $B66, 'SEANCE 1'!$C:$C, AE$2, 'SEANCE 1'!$F:$F, AE$5)=0, "", COUNTIFS('SEANCE 1'!$B:$B, $B66, 'SEANCE 1'!$C:$C, AE$2, 'SEANCE 1'!$F:$F, AE$5))</f>
        <v/>
      </c>
      <c r="AF66" s="64" t="str">
        <f ca="1">IF(COUNTIFS('SEANCE 1'!$B:$B, $B66, 'SEANCE 1'!$C:$C, AF$2, 'SEANCE 1'!$F:$F, AF$5)=0, "", COUNTIFS('SEANCE 1'!$B:$B, $B66, 'SEANCE 1'!$C:$C, AF$2, 'SEANCE 1'!$F:$F, AF$5))</f>
        <v/>
      </c>
      <c r="AG66" s="64" t="str">
        <f ca="1">IF(COUNTIFS('SEANCE 1'!$B:$B, $B66, 'SEANCE 1'!$C:$C, AG$2, 'SEANCE 1'!$F:$F, AG$5)=0, "", COUNTIFS('SEANCE 1'!$B:$B, $B66, 'SEANCE 1'!$C:$C, AG$2, 'SEANCE 1'!$F:$F, AG$5))</f>
        <v/>
      </c>
      <c r="AH66" s="64" t="str">
        <f ca="1">IF(COUNTIFS('SEANCE 1'!$B:$B, $B66, 'SEANCE 1'!$C:$C, AH$2, 'SEANCE 1'!$F:$F, AH$5)=0, "", COUNTIFS('SEANCE 1'!$B:$B, $B66, 'SEANCE 1'!$C:$C, AH$2, 'SEANCE 1'!$F:$F, AH$5))</f>
        <v/>
      </c>
      <c r="AI66" s="64" t="str">
        <f ca="1">IF(COUNTIFS('SEANCE 1'!$B:$B, $B66, 'SEANCE 1'!$C:$C, AI$2, 'SEANCE 1'!$F:$F, AI$5)=0, "", COUNTIFS('SEANCE 1'!$B:$B, $B66, 'SEANCE 1'!$C:$C, AI$2, 'SEANCE 1'!$F:$F, AI$5))</f>
        <v/>
      </c>
      <c r="AJ66" s="64" t="str">
        <f ca="1">IF(COUNTIFS('SEANCE 1'!$B:$B, $B66, 'SEANCE 1'!$C:$C, AJ$2, 'SEANCE 1'!$F:$F, AJ$5)=0, "", COUNTIFS('SEANCE 1'!$B:$B, $B66, 'SEANCE 1'!$C:$C, AJ$2, 'SEANCE 1'!$F:$F, AJ$5))</f>
        <v/>
      </c>
      <c r="AK66" s="64" t="str">
        <f ca="1">IF(COUNTIFS('SEANCE 1'!$B:$B, $B66, 'SEANCE 1'!$C:$C, AK$2, 'SEANCE 1'!$F:$F, AK$5)=0, "", COUNTIFS('SEANCE 1'!$B:$B, $B66, 'SEANCE 1'!$C:$C, AK$2, 'SEANCE 1'!$F:$F, AK$5))</f>
        <v/>
      </c>
      <c r="AL66" s="64" t="str">
        <f ca="1">IF(COUNTIFS('SEANCE 1'!$B:$B, $B66, 'SEANCE 1'!$C:$C, AL$2, 'SEANCE 1'!$F:$F, AL$5)=0, "", COUNTIFS('SEANCE 1'!$B:$B, $B66, 'SEANCE 1'!$C:$C, AL$2, 'SEANCE 1'!$F:$F, AL$5))</f>
        <v/>
      </c>
      <c r="AM66" s="64" t="str">
        <f ca="1">IF(COUNTIFS('SEANCE 1'!$B:$B, $B66, 'SEANCE 1'!$C:$C, AM$2, 'SEANCE 1'!$F:$F, AM$5)=0, "", COUNTIFS('SEANCE 1'!$B:$B, $B66, 'SEANCE 1'!$C:$C, AM$2, 'SEANCE 1'!$F:$F, AM$5))</f>
        <v/>
      </c>
      <c r="AN66" s="64" t="str">
        <f ca="1">IF(COUNTIFS('SEANCE 1'!$B:$B, $B66, 'SEANCE 1'!$C:$C, AN$2, 'SEANCE 1'!$F:$F, AN$5)=0, "", COUNTIFS('SEANCE 1'!$B:$B, $B66, 'SEANCE 1'!$C:$C, AN$2, 'SEANCE 1'!$F:$F, AN$5))</f>
        <v/>
      </c>
      <c r="AO66" s="64" t="str">
        <f ca="1">IF(COUNTIFS('SEANCE 1'!$B:$B, $B66, 'SEANCE 1'!$C:$C, AO$2, 'SEANCE 1'!$F:$F, AO$5)=0, "", COUNTIFS('SEANCE 1'!$B:$B, $B66, 'SEANCE 1'!$C:$C, AO$2, 'SEANCE 1'!$F:$F, AO$5))</f>
        <v/>
      </c>
      <c r="AP66" s="64" t="str">
        <f ca="1">IF(COUNTIFS('SEANCE 1'!$B:$B, $B66, 'SEANCE 1'!$C:$C, AP$2, 'SEANCE 1'!$F:$F, AP$5)=0, "", COUNTIFS('SEANCE 1'!$B:$B, $B66, 'SEANCE 1'!$C:$C, AP$2, 'SEANCE 1'!$F:$F, AP$5))</f>
        <v/>
      </c>
      <c r="AQ66" s="64" t="str">
        <f ca="1">IF(COUNTIFS('SEANCE 1'!$B:$B, $B66, 'SEANCE 1'!$C:$C, AQ$2, 'SEANCE 1'!$F:$F, AQ$5)=0, "", COUNTIFS('SEANCE 1'!$B:$B, $B66, 'SEANCE 1'!$C:$C, AQ$2, 'SEANCE 1'!$F:$F, AQ$5))</f>
        <v/>
      </c>
      <c r="AR66" s="64" t="str">
        <f ca="1">IF(COUNTIFS('SEANCE 1'!$B:$B, $B66, 'SEANCE 1'!$C:$C, AR$2, 'SEANCE 1'!$F:$F, AR$5)=0, "", COUNTIFS('SEANCE 1'!$B:$B, $B66, 'SEANCE 1'!$C:$C, AR$2, 'SEANCE 1'!$F:$F, AR$5))</f>
        <v/>
      </c>
      <c r="AS66" s="64" t="str">
        <f ca="1">IF(COUNTIFS('SEANCE 1'!$B:$B, $B66, 'SEANCE 1'!$C:$C, AS$2, 'SEANCE 1'!$F:$F, AS$5)=0, "", COUNTIFS('SEANCE 1'!$B:$B, $B66, 'SEANCE 1'!$C:$C, AS$2, 'SEANCE 1'!$F:$F, AS$5))</f>
        <v/>
      </c>
      <c r="AT66" s="64" t="str">
        <f ca="1">IF(COUNTIFS('SEANCE 1'!$B:$B, $B66, 'SEANCE 1'!$C:$C, AT$2, 'SEANCE 1'!$F:$F, AT$5)=0, "", COUNTIFS('SEANCE 1'!$B:$B, $B66, 'SEANCE 1'!$C:$C, AT$2, 'SEANCE 1'!$F:$F, AT$5))</f>
        <v/>
      </c>
      <c r="AU66" s="64" t="str">
        <f ca="1">IF(COUNTIFS('SEANCE 1'!$B:$B, $B66, 'SEANCE 1'!$C:$C, AU$2, 'SEANCE 1'!$F:$F, AU$5)=0, "", COUNTIFS('SEANCE 1'!$B:$B, $B66, 'SEANCE 1'!$C:$C, AU$2, 'SEANCE 1'!$F:$F, AU$5))</f>
        <v/>
      </c>
      <c r="AV66" s="64" t="str">
        <f ca="1">IF(COUNTIFS('SEANCE 1'!$B:$B, $B66, 'SEANCE 1'!$C:$C, AV$2, 'SEANCE 1'!$F:$F, AV$5)=0, "", COUNTIFS('SEANCE 1'!$B:$B, $B66, 'SEANCE 1'!$C:$C, AV$2, 'SEANCE 1'!$F:$F, AV$5))</f>
        <v/>
      </c>
      <c r="AW66" s="64" t="str">
        <f ca="1">IF(COUNTIFS('SEANCE 1'!$B:$B, $B66, 'SEANCE 1'!$C:$C, AW$2, 'SEANCE 1'!$F:$F, AW$5)=0, "", COUNTIFS('SEANCE 1'!$B:$B, $B66, 'SEANCE 1'!$C:$C, AW$2, 'SEANCE 1'!$F:$F, AW$5))</f>
        <v/>
      </c>
      <c r="AX66" s="64" t="str">
        <f ca="1">IF(COUNTIFS('SEANCE 1'!$B:$B, $B66, 'SEANCE 1'!$C:$C, AX$2, 'SEANCE 1'!$F:$F, AX$5)=0, "", COUNTIFS('SEANCE 1'!$B:$B, $B66, 'SEANCE 1'!$C:$C, AX$2, 'SEANCE 1'!$F:$F, AX$5))</f>
        <v/>
      </c>
      <c r="AY66" s="64" t="str">
        <f ca="1">IF(COUNTIFS('SEANCE 1'!$B:$B, $B66, 'SEANCE 1'!$C:$C, AY$2, 'SEANCE 1'!$F:$F, AY$5)=0, "", COUNTIFS('SEANCE 1'!$B:$B, $B66, 'SEANCE 1'!$C:$C, AY$2, 'SEANCE 1'!$F:$F, AY$5))</f>
        <v/>
      </c>
      <c r="AZ66" s="32">
        <f t="shared" ca="1" si="0"/>
        <v>0</v>
      </c>
    </row>
    <row r="67" spans="1:52">
      <c r="A67" s="44" t="str">
        <f>IF('SEANCE 1'!$B63&lt;&gt;"",'SEANCE 1'!$A63,"")</f>
        <v/>
      </c>
      <c r="B67" s="44" t="str">
        <f t="array" aca="1" ref="B67" ca="1">IF(ISNA(INDEX(ListeB,MATCH(0,COUNTIF($B$5:B66,ListeB),0))),"",INDEX(ListeB,MATCH(0,COUNTIF($B$5:B66,ListeB),0)))</f>
        <v/>
      </c>
      <c r="C67" s="64" t="str">
        <f ca="1">IF(COUNTIFS('SEANCE 1'!$B:$B, $B67, 'SEANCE 1'!$C:$C, C$2, 'SEANCE 1'!$F:$F, C$5)=0, "", COUNTIFS('SEANCE 1'!$B:$B, $B67, 'SEANCE 1'!$C:$C, C$2, 'SEANCE 1'!$F:$F, C$5))</f>
        <v/>
      </c>
      <c r="D67" s="64" t="str">
        <f ca="1">IF(COUNTIFS('SEANCE 1'!$B:$B, $B67, 'SEANCE 1'!$C:$C, D$2, 'SEANCE 1'!$F:$F, D$5)=0, "", COUNTIFS('SEANCE 1'!$B:$B, $B67, 'SEANCE 1'!$C:$C, D$2, 'SEANCE 1'!$F:$F, D$5))</f>
        <v/>
      </c>
      <c r="E67" s="64" t="str">
        <f ca="1">IF(COUNTIFS('SEANCE 1'!$B:$B, $B67, 'SEANCE 1'!$C:$C, E$2, 'SEANCE 1'!$F:$F, E$5)=0, "", COUNTIFS('SEANCE 1'!$B:$B, $B67, 'SEANCE 1'!$C:$C, E$2, 'SEANCE 1'!$F:$F, E$5))</f>
        <v/>
      </c>
      <c r="F67" s="64" t="str">
        <f ca="1">IF(COUNTIFS('SEANCE 1'!$B:$B, $B67, 'SEANCE 1'!$C:$C, F$2, 'SEANCE 1'!$F:$F, F$5)=0, "", COUNTIFS('SEANCE 1'!$B:$B, $B67, 'SEANCE 1'!$C:$C, F$2, 'SEANCE 1'!$F:$F, F$5))</f>
        <v/>
      </c>
      <c r="G67" s="64" t="str">
        <f ca="1">IF(COUNTIFS('SEANCE 1'!$B:$B, $B67, 'SEANCE 1'!$C:$C, G$2, 'SEANCE 1'!$F:$F, G$5)=0, "", COUNTIFS('SEANCE 1'!$B:$B, $B67, 'SEANCE 1'!$C:$C, G$2, 'SEANCE 1'!$F:$F, G$5))</f>
        <v/>
      </c>
      <c r="H67" s="64" t="str">
        <f ca="1">IF(COUNTIFS('SEANCE 1'!$B:$B, $B67, 'SEANCE 1'!$C:$C, H$2, 'SEANCE 1'!$F:$F, H$5)=0, "", COUNTIFS('SEANCE 1'!$B:$B, $B67, 'SEANCE 1'!$C:$C, H$2, 'SEANCE 1'!$F:$F, H$5))</f>
        <v/>
      </c>
      <c r="I67" s="64" t="str">
        <f ca="1">IF(COUNTIFS('SEANCE 1'!$B:$B, $B67, 'SEANCE 1'!$C:$C, I$2, 'SEANCE 1'!$F:$F, I$5)=0, "", COUNTIFS('SEANCE 1'!$B:$B, $B67, 'SEANCE 1'!$C:$C, I$2, 'SEANCE 1'!$F:$F, I$5))</f>
        <v/>
      </c>
      <c r="J67" s="64" t="str">
        <f ca="1">IF(COUNTIFS('SEANCE 1'!$B:$B, $B67, 'SEANCE 1'!$C:$C, J$2, 'SEANCE 1'!$F:$F, J$5)=0, "", COUNTIFS('SEANCE 1'!$B:$B, $B67, 'SEANCE 1'!$C:$C, J$2, 'SEANCE 1'!$F:$F, J$5))</f>
        <v/>
      </c>
      <c r="K67" s="64" t="str">
        <f ca="1">IF(COUNTIFS('SEANCE 1'!$B:$B, $B67, 'SEANCE 1'!$C:$C, K$2, 'SEANCE 1'!$F:$F, K$5)=0, "", COUNTIFS('SEANCE 1'!$B:$B, $B67, 'SEANCE 1'!$C:$C, K$2, 'SEANCE 1'!$F:$F, K$5))</f>
        <v/>
      </c>
      <c r="L67" s="64" t="str">
        <f ca="1">IF(COUNTIFS('SEANCE 1'!$B:$B, $B67, 'SEANCE 1'!$C:$C, L$2, 'SEANCE 1'!$F:$F, L$5)=0, "", COUNTIFS('SEANCE 1'!$B:$B, $B67, 'SEANCE 1'!$C:$C, L$2, 'SEANCE 1'!$F:$F, L$5))</f>
        <v/>
      </c>
      <c r="M67" s="64" t="str">
        <f ca="1">IF(COUNTIFS('SEANCE 1'!$B:$B, $B67, 'SEANCE 1'!$C:$C, M$2, 'SEANCE 1'!$F:$F, M$5)=0, "", COUNTIFS('SEANCE 1'!$B:$B, $B67, 'SEANCE 1'!$C:$C, M$2, 'SEANCE 1'!$F:$F, M$5))</f>
        <v/>
      </c>
      <c r="N67" s="64" t="str">
        <f ca="1">IF(COUNTIFS('SEANCE 1'!$B:$B, $B67, 'SEANCE 1'!$C:$C, N$2, 'SEANCE 1'!$F:$F, N$5)=0, "", COUNTIFS('SEANCE 1'!$B:$B, $B67, 'SEANCE 1'!$C:$C, N$2, 'SEANCE 1'!$F:$F, N$5))</f>
        <v/>
      </c>
      <c r="O67" s="64" t="str">
        <f ca="1">IF(COUNTIFS('SEANCE 1'!$B:$B, $B67, 'SEANCE 1'!$C:$C, O$2, 'SEANCE 1'!$F:$F, O$5)=0, "", COUNTIFS('SEANCE 1'!$B:$B, $B67, 'SEANCE 1'!$C:$C, O$2, 'SEANCE 1'!$F:$F, O$5))</f>
        <v/>
      </c>
      <c r="P67" s="64" t="str">
        <f ca="1">IF(COUNTIFS('SEANCE 1'!$B:$B, $B67, 'SEANCE 1'!$C:$C, P$2, 'SEANCE 1'!$F:$F, P$5)=0, "", COUNTIFS('SEANCE 1'!$B:$B, $B67, 'SEANCE 1'!$C:$C, P$2, 'SEANCE 1'!$F:$F, P$5))</f>
        <v/>
      </c>
      <c r="Q67" s="64" t="str">
        <f ca="1">IF(COUNTIFS('SEANCE 1'!$B:$B, $B67, 'SEANCE 1'!$C:$C, Q$2, 'SEANCE 1'!$F:$F, Q$5)=0, "", COUNTIFS('SEANCE 1'!$B:$B, $B67, 'SEANCE 1'!$C:$C, Q$2, 'SEANCE 1'!$F:$F, Q$5))</f>
        <v/>
      </c>
      <c r="R67" s="64" t="str">
        <f ca="1">IF(COUNTIFS('SEANCE 1'!$B:$B, $B67, 'SEANCE 1'!$C:$C, R$2, 'SEANCE 1'!$F:$F, R$5)=0, "", COUNTIFS('SEANCE 1'!$B:$B, $B67, 'SEANCE 1'!$C:$C, R$2, 'SEANCE 1'!$F:$F, R$5))</f>
        <v/>
      </c>
      <c r="S67" s="64" t="str">
        <f ca="1">IF(COUNTIFS('SEANCE 1'!$B:$B, $B67, 'SEANCE 1'!$C:$C, S$2, 'SEANCE 1'!$F:$F, S$5)=0, "", COUNTIFS('SEANCE 1'!$B:$B, $B67, 'SEANCE 1'!$C:$C, S$2, 'SEANCE 1'!$F:$F, S$5))</f>
        <v/>
      </c>
      <c r="T67" s="64" t="str">
        <f ca="1">IF(COUNTIFS('SEANCE 1'!$B:$B, $B67, 'SEANCE 1'!$C:$C, T$2, 'SEANCE 1'!$F:$F, T$5)=0, "", COUNTIFS('SEANCE 1'!$B:$B, $B67, 'SEANCE 1'!$C:$C, T$2, 'SEANCE 1'!$F:$F, T$5))</f>
        <v/>
      </c>
      <c r="U67" s="64" t="str">
        <f ca="1">IF(COUNTIFS('SEANCE 1'!$B:$B, $B67, 'SEANCE 1'!$C:$C, U$2, 'SEANCE 1'!$F:$F, U$5)=0, "", COUNTIFS('SEANCE 1'!$B:$B, $B67, 'SEANCE 1'!$C:$C, U$2, 'SEANCE 1'!$F:$F, U$5))</f>
        <v/>
      </c>
      <c r="V67" s="64" t="str">
        <f ca="1">IF(COUNTIFS('SEANCE 1'!$B:$B, $B67, 'SEANCE 1'!$C:$C, V$2, 'SEANCE 1'!$F:$F, V$5)=0, "", COUNTIFS('SEANCE 1'!$B:$B, $B67, 'SEANCE 1'!$C:$C, V$2, 'SEANCE 1'!$F:$F, V$5))</f>
        <v/>
      </c>
      <c r="W67" s="64" t="str">
        <f ca="1">IF(COUNTIFS('SEANCE 1'!$B:$B, $B67, 'SEANCE 1'!$C:$C, W$2, 'SEANCE 1'!$F:$F, W$5)=0, "", COUNTIFS('SEANCE 1'!$B:$B, $B67, 'SEANCE 1'!$C:$C, W$2, 'SEANCE 1'!$F:$F, W$5))</f>
        <v/>
      </c>
      <c r="X67" s="64" t="str">
        <f ca="1">IF(COUNTIFS('SEANCE 1'!$B:$B, $B67, 'SEANCE 1'!$C:$C, X$2, 'SEANCE 1'!$F:$F, X$5)=0, "", COUNTIFS('SEANCE 1'!$B:$B, $B67, 'SEANCE 1'!$C:$C, X$2, 'SEANCE 1'!$F:$F, X$5))</f>
        <v/>
      </c>
      <c r="Y67" s="64" t="str">
        <f ca="1">IF(COUNTIFS('SEANCE 1'!$B:$B, $B67, 'SEANCE 1'!$C:$C, Y$2, 'SEANCE 1'!$F:$F, Y$5)=0, "", COUNTIFS('SEANCE 1'!$B:$B, $B67, 'SEANCE 1'!$C:$C, Y$2, 'SEANCE 1'!$F:$F, Y$5))</f>
        <v/>
      </c>
      <c r="Z67" s="64" t="str">
        <f ca="1">IF(COUNTIFS('SEANCE 1'!$B:$B, $B67, 'SEANCE 1'!$C:$C, Z$2, 'SEANCE 1'!$F:$F, Z$5)=0, "", COUNTIFS('SEANCE 1'!$B:$B, $B67, 'SEANCE 1'!$C:$C, Z$2, 'SEANCE 1'!$F:$F, Z$5))</f>
        <v/>
      </c>
      <c r="AA67" s="64" t="str">
        <f ca="1">IF(COUNTIFS('SEANCE 1'!$B:$B, $B67, 'SEANCE 1'!$C:$C, AA$2, 'SEANCE 1'!$F:$F, AA$5)=0, "", COUNTIFS('SEANCE 1'!$B:$B, $B67, 'SEANCE 1'!$C:$C, AA$2, 'SEANCE 1'!$F:$F, AA$5))</f>
        <v/>
      </c>
      <c r="AB67" s="64" t="str">
        <f ca="1">IF(COUNTIFS('SEANCE 1'!$B:$B, $B67, 'SEANCE 1'!$C:$C, AB$2, 'SEANCE 1'!$F:$F, AB$5)=0, "", COUNTIFS('SEANCE 1'!$B:$B, $B67, 'SEANCE 1'!$C:$C, AB$2, 'SEANCE 1'!$F:$F, AB$5))</f>
        <v/>
      </c>
      <c r="AC67" s="64" t="str">
        <f ca="1">IF(COUNTIFS('SEANCE 1'!$B:$B, $B67, 'SEANCE 1'!$C:$C, AC$2, 'SEANCE 1'!$F:$F, AC$5)=0, "", COUNTIFS('SEANCE 1'!$B:$B, $B67, 'SEANCE 1'!$C:$C, AC$2, 'SEANCE 1'!$F:$F, AC$5))</f>
        <v/>
      </c>
      <c r="AD67" s="64" t="str">
        <f ca="1">IF(COUNTIFS('SEANCE 1'!$B:$B, $B67, 'SEANCE 1'!$C:$C, AD$2, 'SEANCE 1'!$F:$F, AD$5)=0, "", COUNTIFS('SEANCE 1'!$B:$B, $B67, 'SEANCE 1'!$C:$C, AD$2, 'SEANCE 1'!$F:$F, AD$5))</f>
        <v/>
      </c>
      <c r="AE67" s="64" t="str">
        <f ca="1">IF(COUNTIFS('SEANCE 1'!$B:$B, $B67, 'SEANCE 1'!$C:$C, AE$2, 'SEANCE 1'!$F:$F, AE$5)=0, "", COUNTIFS('SEANCE 1'!$B:$B, $B67, 'SEANCE 1'!$C:$C, AE$2, 'SEANCE 1'!$F:$F, AE$5))</f>
        <v/>
      </c>
      <c r="AF67" s="64" t="str">
        <f ca="1">IF(COUNTIFS('SEANCE 1'!$B:$B, $B67, 'SEANCE 1'!$C:$C, AF$2, 'SEANCE 1'!$F:$F, AF$5)=0, "", COUNTIFS('SEANCE 1'!$B:$B, $B67, 'SEANCE 1'!$C:$C, AF$2, 'SEANCE 1'!$F:$F, AF$5))</f>
        <v/>
      </c>
      <c r="AG67" s="64" t="str">
        <f ca="1">IF(COUNTIFS('SEANCE 1'!$B:$B, $B67, 'SEANCE 1'!$C:$C, AG$2, 'SEANCE 1'!$F:$F, AG$5)=0, "", COUNTIFS('SEANCE 1'!$B:$B, $B67, 'SEANCE 1'!$C:$C, AG$2, 'SEANCE 1'!$F:$F, AG$5))</f>
        <v/>
      </c>
      <c r="AH67" s="64" t="str">
        <f ca="1">IF(COUNTIFS('SEANCE 1'!$B:$B, $B67, 'SEANCE 1'!$C:$C, AH$2, 'SEANCE 1'!$F:$F, AH$5)=0, "", COUNTIFS('SEANCE 1'!$B:$B, $B67, 'SEANCE 1'!$C:$C, AH$2, 'SEANCE 1'!$F:$F, AH$5))</f>
        <v/>
      </c>
      <c r="AI67" s="64" t="str">
        <f ca="1">IF(COUNTIFS('SEANCE 1'!$B:$B, $B67, 'SEANCE 1'!$C:$C, AI$2, 'SEANCE 1'!$F:$F, AI$5)=0, "", COUNTIFS('SEANCE 1'!$B:$B, $B67, 'SEANCE 1'!$C:$C, AI$2, 'SEANCE 1'!$F:$F, AI$5))</f>
        <v/>
      </c>
      <c r="AJ67" s="64" t="str">
        <f ca="1">IF(COUNTIFS('SEANCE 1'!$B:$B, $B67, 'SEANCE 1'!$C:$C, AJ$2, 'SEANCE 1'!$F:$F, AJ$5)=0, "", COUNTIFS('SEANCE 1'!$B:$B, $B67, 'SEANCE 1'!$C:$C, AJ$2, 'SEANCE 1'!$F:$F, AJ$5))</f>
        <v/>
      </c>
      <c r="AK67" s="64" t="str">
        <f ca="1">IF(COUNTIFS('SEANCE 1'!$B:$B, $B67, 'SEANCE 1'!$C:$C, AK$2, 'SEANCE 1'!$F:$F, AK$5)=0, "", COUNTIFS('SEANCE 1'!$B:$B, $B67, 'SEANCE 1'!$C:$C, AK$2, 'SEANCE 1'!$F:$F, AK$5))</f>
        <v/>
      </c>
      <c r="AL67" s="64" t="str">
        <f ca="1">IF(COUNTIFS('SEANCE 1'!$B:$B, $B67, 'SEANCE 1'!$C:$C, AL$2, 'SEANCE 1'!$F:$F, AL$5)=0, "", COUNTIFS('SEANCE 1'!$B:$B, $B67, 'SEANCE 1'!$C:$C, AL$2, 'SEANCE 1'!$F:$F, AL$5))</f>
        <v/>
      </c>
      <c r="AM67" s="64" t="str">
        <f ca="1">IF(COUNTIFS('SEANCE 1'!$B:$B, $B67, 'SEANCE 1'!$C:$C, AM$2, 'SEANCE 1'!$F:$F, AM$5)=0, "", COUNTIFS('SEANCE 1'!$B:$B, $B67, 'SEANCE 1'!$C:$C, AM$2, 'SEANCE 1'!$F:$F, AM$5))</f>
        <v/>
      </c>
      <c r="AN67" s="64" t="str">
        <f ca="1">IF(COUNTIFS('SEANCE 1'!$B:$B, $B67, 'SEANCE 1'!$C:$C, AN$2, 'SEANCE 1'!$F:$F, AN$5)=0, "", COUNTIFS('SEANCE 1'!$B:$B, $B67, 'SEANCE 1'!$C:$C, AN$2, 'SEANCE 1'!$F:$F, AN$5))</f>
        <v/>
      </c>
      <c r="AO67" s="64" t="str">
        <f ca="1">IF(COUNTIFS('SEANCE 1'!$B:$B, $B67, 'SEANCE 1'!$C:$C, AO$2, 'SEANCE 1'!$F:$F, AO$5)=0, "", COUNTIFS('SEANCE 1'!$B:$B, $B67, 'SEANCE 1'!$C:$C, AO$2, 'SEANCE 1'!$F:$F, AO$5))</f>
        <v/>
      </c>
      <c r="AP67" s="64" t="str">
        <f ca="1">IF(COUNTIFS('SEANCE 1'!$B:$B, $B67, 'SEANCE 1'!$C:$C, AP$2, 'SEANCE 1'!$F:$F, AP$5)=0, "", COUNTIFS('SEANCE 1'!$B:$B, $B67, 'SEANCE 1'!$C:$C, AP$2, 'SEANCE 1'!$F:$F, AP$5))</f>
        <v/>
      </c>
      <c r="AQ67" s="64" t="str">
        <f ca="1">IF(COUNTIFS('SEANCE 1'!$B:$B, $B67, 'SEANCE 1'!$C:$C, AQ$2, 'SEANCE 1'!$F:$F, AQ$5)=0, "", COUNTIFS('SEANCE 1'!$B:$B, $B67, 'SEANCE 1'!$C:$C, AQ$2, 'SEANCE 1'!$F:$F, AQ$5))</f>
        <v/>
      </c>
      <c r="AR67" s="64" t="str">
        <f ca="1">IF(COUNTIFS('SEANCE 1'!$B:$B, $B67, 'SEANCE 1'!$C:$C, AR$2, 'SEANCE 1'!$F:$F, AR$5)=0, "", COUNTIFS('SEANCE 1'!$B:$B, $B67, 'SEANCE 1'!$C:$C, AR$2, 'SEANCE 1'!$F:$F, AR$5))</f>
        <v/>
      </c>
      <c r="AS67" s="64" t="str">
        <f ca="1">IF(COUNTIFS('SEANCE 1'!$B:$B, $B67, 'SEANCE 1'!$C:$C, AS$2, 'SEANCE 1'!$F:$F, AS$5)=0, "", COUNTIFS('SEANCE 1'!$B:$B, $B67, 'SEANCE 1'!$C:$C, AS$2, 'SEANCE 1'!$F:$F, AS$5))</f>
        <v/>
      </c>
      <c r="AT67" s="64" t="str">
        <f ca="1">IF(COUNTIFS('SEANCE 1'!$B:$B, $B67, 'SEANCE 1'!$C:$C, AT$2, 'SEANCE 1'!$F:$F, AT$5)=0, "", COUNTIFS('SEANCE 1'!$B:$B, $B67, 'SEANCE 1'!$C:$C, AT$2, 'SEANCE 1'!$F:$F, AT$5))</f>
        <v/>
      </c>
      <c r="AU67" s="64" t="str">
        <f ca="1">IF(COUNTIFS('SEANCE 1'!$B:$B, $B67, 'SEANCE 1'!$C:$C, AU$2, 'SEANCE 1'!$F:$F, AU$5)=0, "", COUNTIFS('SEANCE 1'!$B:$B, $B67, 'SEANCE 1'!$C:$C, AU$2, 'SEANCE 1'!$F:$F, AU$5))</f>
        <v/>
      </c>
      <c r="AV67" s="64" t="str">
        <f ca="1">IF(COUNTIFS('SEANCE 1'!$B:$B, $B67, 'SEANCE 1'!$C:$C, AV$2, 'SEANCE 1'!$F:$F, AV$5)=0, "", COUNTIFS('SEANCE 1'!$B:$B, $B67, 'SEANCE 1'!$C:$C, AV$2, 'SEANCE 1'!$F:$F, AV$5))</f>
        <v/>
      </c>
      <c r="AW67" s="64" t="str">
        <f ca="1">IF(COUNTIFS('SEANCE 1'!$B:$B, $B67, 'SEANCE 1'!$C:$C, AW$2, 'SEANCE 1'!$F:$F, AW$5)=0, "", COUNTIFS('SEANCE 1'!$B:$B, $B67, 'SEANCE 1'!$C:$C, AW$2, 'SEANCE 1'!$F:$F, AW$5))</f>
        <v/>
      </c>
      <c r="AX67" s="64" t="str">
        <f ca="1">IF(COUNTIFS('SEANCE 1'!$B:$B, $B67, 'SEANCE 1'!$C:$C, AX$2, 'SEANCE 1'!$F:$F, AX$5)=0, "", COUNTIFS('SEANCE 1'!$B:$B, $B67, 'SEANCE 1'!$C:$C, AX$2, 'SEANCE 1'!$F:$F, AX$5))</f>
        <v/>
      </c>
      <c r="AY67" s="64" t="str">
        <f ca="1">IF(COUNTIFS('SEANCE 1'!$B:$B, $B67, 'SEANCE 1'!$C:$C, AY$2, 'SEANCE 1'!$F:$F, AY$5)=0, "", COUNTIFS('SEANCE 1'!$B:$B, $B67, 'SEANCE 1'!$C:$C, AY$2, 'SEANCE 1'!$F:$F, AY$5))</f>
        <v/>
      </c>
      <c r="AZ67" s="32">
        <f t="shared" ca="1" si="0"/>
        <v>0</v>
      </c>
    </row>
    <row r="68" spans="1:52">
      <c r="A68" s="44" t="str">
        <f>IF('SEANCE 1'!$B64&lt;&gt;"",'SEANCE 1'!$A64,"")</f>
        <v/>
      </c>
      <c r="B68" s="44" t="str">
        <f t="array" aca="1" ref="B68" ca="1">IF(ISNA(INDEX(ListeB,MATCH(0,COUNTIF($B$5:B67,ListeB),0))),"",INDEX(ListeB,MATCH(0,COUNTIF($B$5:B67,ListeB),0)))</f>
        <v/>
      </c>
      <c r="C68" s="64" t="str">
        <f ca="1">IF(COUNTIFS('SEANCE 1'!$B:$B, $B68, 'SEANCE 1'!$C:$C, C$2, 'SEANCE 1'!$F:$F, C$5)=0, "", COUNTIFS('SEANCE 1'!$B:$B, $B68, 'SEANCE 1'!$C:$C, C$2, 'SEANCE 1'!$F:$F, C$5))</f>
        <v/>
      </c>
      <c r="D68" s="64" t="str">
        <f ca="1">IF(COUNTIFS('SEANCE 1'!$B:$B, $B68, 'SEANCE 1'!$C:$C, D$2, 'SEANCE 1'!$F:$F, D$5)=0, "", COUNTIFS('SEANCE 1'!$B:$B, $B68, 'SEANCE 1'!$C:$C, D$2, 'SEANCE 1'!$F:$F, D$5))</f>
        <v/>
      </c>
      <c r="E68" s="64" t="str">
        <f ca="1">IF(COUNTIFS('SEANCE 1'!$B:$B, $B68, 'SEANCE 1'!$C:$C, E$2, 'SEANCE 1'!$F:$F, E$5)=0, "", COUNTIFS('SEANCE 1'!$B:$B, $B68, 'SEANCE 1'!$C:$C, E$2, 'SEANCE 1'!$F:$F, E$5))</f>
        <v/>
      </c>
      <c r="F68" s="64" t="str">
        <f ca="1">IF(COUNTIFS('SEANCE 1'!$B:$B, $B68, 'SEANCE 1'!$C:$C, F$2, 'SEANCE 1'!$F:$F, F$5)=0, "", COUNTIFS('SEANCE 1'!$B:$B, $B68, 'SEANCE 1'!$C:$C, F$2, 'SEANCE 1'!$F:$F, F$5))</f>
        <v/>
      </c>
      <c r="G68" s="64" t="str">
        <f ca="1">IF(COUNTIFS('SEANCE 1'!$B:$B, $B68, 'SEANCE 1'!$C:$C, G$2, 'SEANCE 1'!$F:$F, G$5)=0, "", COUNTIFS('SEANCE 1'!$B:$B, $B68, 'SEANCE 1'!$C:$C, G$2, 'SEANCE 1'!$F:$F, G$5))</f>
        <v/>
      </c>
      <c r="H68" s="64" t="str">
        <f ca="1">IF(COUNTIFS('SEANCE 1'!$B:$B, $B68, 'SEANCE 1'!$C:$C, H$2, 'SEANCE 1'!$F:$F, H$5)=0, "", COUNTIFS('SEANCE 1'!$B:$B, $B68, 'SEANCE 1'!$C:$C, H$2, 'SEANCE 1'!$F:$F, H$5))</f>
        <v/>
      </c>
      <c r="I68" s="64" t="str">
        <f ca="1">IF(COUNTIFS('SEANCE 1'!$B:$B, $B68, 'SEANCE 1'!$C:$C, I$2, 'SEANCE 1'!$F:$F, I$5)=0, "", COUNTIFS('SEANCE 1'!$B:$B, $B68, 'SEANCE 1'!$C:$C, I$2, 'SEANCE 1'!$F:$F, I$5))</f>
        <v/>
      </c>
      <c r="J68" s="64" t="str">
        <f ca="1">IF(COUNTIFS('SEANCE 1'!$B:$B, $B68, 'SEANCE 1'!$C:$C, J$2, 'SEANCE 1'!$F:$F, J$5)=0, "", COUNTIFS('SEANCE 1'!$B:$B, $B68, 'SEANCE 1'!$C:$C, J$2, 'SEANCE 1'!$F:$F, J$5))</f>
        <v/>
      </c>
      <c r="K68" s="64" t="str">
        <f ca="1">IF(COUNTIFS('SEANCE 1'!$B:$B, $B68, 'SEANCE 1'!$C:$C, K$2, 'SEANCE 1'!$F:$F, K$5)=0, "", COUNTIFS('SEANCE 1'!$B:$B, $B68, 'SEANCE 1'!$C:$C, K$2, 'SEANCE 1'!$F:$F, K$5))</f>
        <v/>
      </c>
      <c r="L68" s="64" t="str">
        <f ca="1">IF(COUNTIFS('SEANCE 1'!$B:$B, $B68, 'SEANCE 1'!$C:$C, L$2, 'SEANCE 1'!$F:$F, L$5)=0, "", COUNTIFS('SEANCE 1'!$B:$B, $B68, 'SEANCE 1'!$C:$C, L$2, 'SEANCE 1'!$F:$F, L$5))</f>
        <v/>
      </c>
      <c r="M68" s="64" t="str">
        <f ca="1">IF(COUNTIFS('SEANCE 1'!$B:$B, $B68, 'SEANCE 1'!$C:$C, M$2, 'SEANCE 1'!$F:$F, M$5)=0, "", COUNTIFS('SEANCE 1'!$B:$B, $B68, 'SEANCE 1'!$C:$C, M$2, 'SEANCE 1'!$F:$F, M$5))</f>
        <v/>
      </c>
      <c r="N68" s="64" t="str">
        <f ca="1">IF(COUNTIFS('SEANCE 1'!$B:$B, $B68, 'SEANCE 1'!$C:$C, N$2, 'SEANCE 1'!$F:$F, N$5)=0, "", COUNTIFS('SEANCE 1'!$B:$B, $B68, 'SEANCE 1'!$C:$C, N$2, 'SEANCE 1'!$F:$F, N$5))</f>
        <v/>
      </c>
      <c r="O68" s="64" t="str">
        <f ca="1">IF(COUNTIFS('SEANCE 1'!$B:$B, $B68, 'SEANCE 1'!$C:$C, O$2, 'SEANCE 1'!$F:$F, O$5)=0, "", COUNTIFS('SEANCE 1'!$B:$B, $B68, 'SEANCE 1'!$C:$C, O$2, 'SEANCE 1'!$F:$F, O$5))</f>
        <v/>
      </c>
      <c r="P68" s="64" t="str">
        <f ca="1">IF(COUNTIFS('SEANCE 1'!$B:$B, $B68, 'SEANCE 1'!$C:$C, P$2, 'SEANCE 1'!$F:$F, P$5)=0, "", COUNTIFS('SEANCE 1'!$B:$B, $B68, 'SEANCE 1'!$C:$C, P$2, 'SEANCE 1'!$F:$F, P$5))</f>
        <v/>
      </c>
      <c r="Q68" s="64" t="str">
        <f ca="1">IF(COUNTIFS('SEANCE 1'!$B:$B, $B68, 'SEANCE 1'!$C:$C, Q$2, 'SEANCE 1'!$F:$F, Q$5)=0, "", COUNTIFS('SEANCE 1'!$B:$B, $B68, 'SEANCE 1'!$C:$C, Q$2, 'SEANCE 1'!$F:$F, Q$5))</f>
        <v/>
      </c>
      <c r="R68" s="64" t="str">
        <f ca="1">IF(COUNTIFS('SEANCE 1'!$B:$B, $B68, 'SEANCE 1'!$C:$C, R$2, 'SEANCE 1'!$F:$F, R$5)=0, "", COUNTIFS('SEANCE 1'!$B:$B, $B68, 'SEANCE 1'!$C:$C, R$2, 'SEANCE 1'!$F:$F, R$5))</f>
        <v/>
      </c>
      <c r="S68" s="64" t="str">
        <f ca="1">IF(COUNTIFS('SEANCE 1'!$B:$B, $B68, 'SEANCE 1'!$C:$C, S$2, 'SEANCE 1'!$F:$F, S$5)=0, "", COUNTIFS('SEANCE 1'!$B:$B, $B68, 'SEANCE 1'!$C:$C, S$2, 'SEANCE 1'!$F:$F, S$5))</f>
        <v/>
      </c>
      <c r="T68" s="64" t="str">
        <f ca="1">IF(COUNTIFS('SEANCE 1'!$B:$B, $B68, 'SEANCE 1'!$C:$C, T$2, 'SEANCE 1'!$F:$F, T$5)=0, "", COUNTIFS('SEANCE 1'!$B:$B, $B68, 'SEANCE 1'!$C:$C, T$2, 'SEANCE 1'!$F:$F, T$5))</f>
        <v/>
      </c>
      <c r="U68" s="64" t="str">
        <f ca="1">IF(COUNTIFS('SEANCE 1'!$B:$B, $B68, 'SEANCE 1'!$C:$C, U$2, 'SEANCE 1'!$F:$F, U$5)=0, "", COUNTIFS('SEANCE 1'!$B:$B, $B68, 'SEANCE 1'!$C:$C, U$2, 'SEANCE 1'!$F:$F, U$5))</f>
        <v/>
      </c>
      <c r="V68" s="64" t="str">
        <f ca="1">IF(COUNTIFS('SEANCE 1'!$B:$B, $B68, 'SEANCE 1'!$C:$C, V$2, 'SEANCE 1'!$F:$F, V$5)=0, "", COUNTIFS('SEANCE 1'!$B:$B, $B68, 'SEANCE 1'!$C:$C, V$2, 'SEANCE 1'!$F:$F, V$5))</f>
        <v/>
      </c>
      <c r="W68" s="64" t="str">
        <f ca="1">IF(COUNTIFS('SEANCE 1'!$B:$B, $B68, 'SEANCE 1'!$C:$C, W$2, 'SEANCE 1'!$F:$F, W$5)=0, "", COUNTIFS('SEANCE 1'!$B:$B, $B68, 'SEANCE 1'!$C:$C, W$2, 'SEANCE 1'!$F:$F, W$5))</f>
        <v/>
      </c>
      <c r="X68" s="64" t="str">
        <f ca="1">IF(COUNTIFS('SEANCE 1'!$B:$B, $B68, 'SEANCE 1'!$C:$C, X$2, 'SEANCE 1'!$F:$F, X$5)=0, "", COUNTIFS('SEANCE 1'!$B:$B, $B68, 'SEANCE 1'!$C:$C, X$2, 'SEANCE 1'!$F:$F, X$5))</f>
        <v/>
      </c>
      <c r="Y68" s="64" t="str">
        <f ca="1">IF(COUNTIFS('SEANCE 1'!$B:$B, $B68, 'SEANCE 1'!$C:$C, Y$2, 'SEANCE 1'!$F:$F, Y$5)=0, "", COUNTIFS('SEANCE 1'!$B:$B, $B68, 'SEANCE 1'!$C:$C, Y$2, 'SEANCE 1'!$F:$F, Y$5))</f>
        <v/>
      </c>
      <c r="Z68" s="64" t="str">
        <f ca="1">IF(COUNTIFS('SEANCE 1'!$B:$B, $B68, 'SEANCE 1'!$C:$C, Z$2, 'SEANCE 1'!$F:$F, Z$5)=0, "", COUNTIFS('SEANCE 1'!$B:$B, $B68, 'SEANCE 1'!$C:$C, Z$2, 'SEANCE 1'!$F:$F, Z$5))</f>
        <v/>
      </c>
      <c r="AA68" s="64" t="str">
        <f ca="1">IF(COUNTIFS('SEANCE 1'!$B:$B, $B68, 'SEANCE 1'!$C:$C, AA$2, 'SEANCE 1'!$F:$F, AA$5)=0, "", COUNTIFS('SEANCE 1'!$B:$B, $B68, 'SEANCE 1'!$C:$C, AA$2, 'SEANCE 1'!$F:$F, AA$5))</f>
        <v/>
      </c>
      <c r="AB68" s="64" t="str">
        <f ca="1">IF(COUNTIFS('SEANCE 1'!$B:$B, $B68, 'SEANCE 1'!$C:$C, AB$2, 'SEANCE 1'!$F:$F, AB$5)=0, "", COUNTIFS('SEANCE 1'!$B:$B, $B68, 'SEANCE 1'!$C:$C, AB$2, 'SEANCE 1'!$F:$F, AB$5))</f>
        <v/>
      </c>
      <c r="AC68" s="64" t="str">
        <f ca="1">IF(COUNTIFS('SEANCE 1'!$B:$B, $B68, 'SEANCE 1'!$C:$C, AC$2, 'SEANCE 1'!$F:$F, AC$5)=0, "", COUNTIFS('SEANCE 1'!$B:$B, $B68, 'SEANCE 1'!$C:$C, AC$2, 'SEANCE 1'!$F:$F, AC$5))</f>
        <v/>
      </c>
      <c r="AD68" s="64" t="str">
        <f ca="1">IF(COUNTIFS('SEANCE 1'!$B:$B, $B68, 'SEANCE 1'!$C:$C, AD$2, 'SEANCE 1'!$F:$F, AD$5)=0, "", COUNTIFS('SEANCE 1'!$B:$B, $B68, 'SEANCE 1'!$C:$C, AD$2, 'SEANCE 1'!$F:$F, AD$5))</f>
        <v/>
      </c>
      <c r="AE68" s="64" t="str">
        <f ca="1">IF(COUNTIFS('SEANCE 1'!$B:$B, $B68, 'SEANCE 1'!$C:$C, AE$2, 'SEANCE 1'!$F:$F, AE$5)=0, "", COUNTIFS('SEANCE 1'!$B:$B, $B68, 'SEANCE 1'!$C:$C, AE$2, 'SEANCE 1'!$F:$F, AE$5))</f>
        <v/>
      </c>
      <c r="AF68" s="64" t="str">
        <f ca="1">IF(COUNTIFS('SEANCE 1'!$B:$B, $B68, 'SEANCE 1'!$C:$C, AF$2, 'SEANCE 1'!$F:$F, AF$5)=0, "", COUNTIFS('SEANCE 1'!$B:$B, $B68, 'SEANCE 1'!$C:$C, AF$2, 'SEANCE 1'!$F:$F, AF$5))</f>
        <v/>
      </c>
      <c r="AG68" s="64" t="str">
        <f ca="1">IF(COUNTIFS('SEANCE 1'!$B:$B, $B68, 'SEANCE 1'!$C:$C, AG$2, 'SEANCE 1'!$F:$F, AG$5)=0, "", COUNTIFS('SEANCE 1'!$B:$B, $B68, 'SEANCE 1'!$C:$C, AG$2, 'SEANCE 1'!$F:$F, AG$5))</f>
        <v/>
      </c>
      <c r="AH68" s="64" t="str">
        <f ca="1">IF(COUNTIFS('SEANCE 1'!$B:$B, $B68, 'SEANCE 1'!$C:$C, AH$2, 'SEANCE 1'!$F:$F, AH$5)=0, "", COUNTIFS('SEANCE 1'!$B:$B, $B68, 'SEANCE 1'!$C:$C, AH$2, 'SEANCE 1'!$F:$F, AH$5))</f>
        <v/>
      </c>
      <c r="AI68" s="64" t="str">
        <f ca="1">IF(COUNTIFS('SEANCE 1'!$B:$B, $B68, 'SEANCE 1'!$C:$C, AI$2, 'SEANCE 1'!$F:$F, AI$5)=0, "", COUNTIFS('SEANCE 1'!$B:$B, $B68, 'SEANCE 1'!$C:$C, AI$2, 'SEANCE 1'!$F:$F, AI$5))</f>
        <v/>
      </c>
      <c r="AJ68" s="64" t="str">
        <f ca="1">IF(COUNTIFS('SEANCE 1'!$B:$B, $B68, 'SEANCE 1'!$C:$C, AJ$2, 'SEANCE 1'!$F:$F, AJ$5)=0, "", COUNTIFS('SEANCE 1'!$B:$B, $B68, 'SEANCE 1'!$C:$C, AJ$2, 'SEANCE 1'!$F:$F, AJ$5))</f>
        <v/>
      </c>
      <c r="AK68" s="64" t="str">
        <f ca="1">IF(COUNTIFS('SEANCE 1'!$B:$B, $B68, 'SEANCE 1'!$C:$C, AK$2, 'SEANCE 1'!$F:$F, AK$5)=0, "", COUNTIFS('SEANCE 1'!$B:$B, $B68, 'SEANCE 1'!$C:$C, AK$2, 'SEANCE 1'!$F:$F, AK$5))</f>
        <v/>
      </c>
      <c r="AL68" s="64" t="str">
        <f ca="1">IF(COUNTIFS('SEANCE 1'!$B:$B, $B68, 'SEANCE 1'!$C:$C, AL$2, 'SEANCE 1'!$F:$F, AL$5)=0, "", COUNTIFS('SEANCE 1'!$B:$B, $B68, 'SEANCE 1'!$C:$C, AL$2, 'SEANCE 1'!$F:$F, AL$5))</f>
        <v/>
      </c>
      <c r="AM68" s="64" t="str">
        <f ca="1">IF(COUNTIFS('SEANCE 1'!$B:$B, $B68, 'SEANCE 1'!$C:$C, AM$2, 'SEANCE 1'!$F:$F, AM$5)=0, "", COUNTIFS('SEANCE 1'!$B:$B, $B68, 'SEANCE 1'!$C:$C, AM$2, 'SEANCE 1'!$F:$F, AM$5))</f>
        <v/>
      </c>
      <c r="AN68" s="64" t="str">
        <f ca="1">IF(COUNTIFS('SEANCE 1'!$B:$B, $B68, 'SEANCE 1'!$C:$C, AN$2, 'SEANCE 1'!$F:$F, AN$5)=0, "", COUNTIFS('SEANCE 1'!$B:$B, $B68, 'SEANCE 1'!$C:$C, AN$2, 'SEANCE 1'!$F:$F, AN$5))</f>
        <v/>
      </c>
      <c r="AO68" s="64" t="str">
        <f ca="1">IF(COUNTIFS('SEANCE 1'!$B:$B, $B68, 'SEANCE 1'!$C:$C, AO$2, 'SEANCE 1'!$F:$F, AO$5)=0, "", COUNTIFS('SEANCE 1'!$B:$B, $B68, 'SEANCE 1'!$C:$C, AO$2, 'SEANCE 1'!$F:$F, AO$5))</f>
        <v/>
      </c>
      <c r="AP68" s="64" t="str">
        <f ca="1">IF(COUNTIFS('SEANCE 1'!$B:$B, $B68, 'SEANCE 1'!$C:$C, AP$2, 'SEANCE 1'!$F:$F, AP$5)=0, "", COUNTIFS('SEANCE 1'!$B:$B, $B68, 'SEANCE 1'!$C:$C, AP$2, 'SEANCE 1'!$F:$F, AP$5))</f>
        <v/>
      </c>
      <c r="AQ68" s="64" t="str">
        <f ca="1">IF(COUNTIFS('SEANCE 1'!$B:$B, $B68, 'SEANCE 1'!$C:$C, AQ$2, 'SEANCE 1'!$F:$F, AQ$5)=0, "", COUNTIFS('SEANCE 1'!$B:$B, $B68, 'SEANCE 1'!$C:$C, AQ$2, 'SEANCE 1'!$F:$F, AQ$5))</f>
        <v/>
      </c>
      <c r="AR68" s="64" t="str">
        <f ca="1">IF(COUNTIFS('SEANCE 1'!$B:$B, $B68, 'SEANCE 1'!$C:$C, AR$2, 'SEANCE 1'!$F:$F, AR$5)=0, "", COUNTIFS('SEANCE 1'!$B:$B, $B68, 'SEANCE 1'!$C:$C, AR$2, 'SEANCE 1'!$F:$F, AR$5))</f>
        <v/>
      </c>
      <c r="AS68" s="64" t="str">
        <f ca="1">IF(COUNTIFS('SEANCE 1'!$B:$B, $B68, 'SEANCE 1'!$C:$C, AS$2, 'SEANCE 1'!$F:$F, AS$5)=0, "", COUNTIFS('SEANCE 1'!$B:$B, $B68, 'SEANCE 1'!$C:$C, AS$2, 'SEANCE 1'!$F:$F, AS$5))</f>
        <v/>
      </c>
      <c r="AT68" s="64" t="str">
        <f ca="1">IF(COUNTIFS('SEANCE 1'!$B:$B, $B68, 'SEANCE 1'!$C:$C, AT$2, 'SEANCE 1'!$F:$F, AT$5)=0, "", COUNTIFS('SEANCE 1'!$B:$B, $B68, 'SEANCE 1'!$C:$C, AT$2, 'SEANCE 1'!$F:$F, AT$5))</f>
        <v/>
      </c>
      <c r="AU68" s="64" t="str">
        <f ca="1">IF(COUNTIFS('SEANCE 1'!$B:$B, $B68, 'SEANCE 1'!$C:$C, AU$2, 'SEANCE 1'!$F:$F, AU$5)=0, "", COUNTIFS('SEANCE 1'!$B:$B, $B68, 'SEANCE 1'!$C:$C, AU$2, 'SEANCE 1'!$F:$F, AU$5))</f>
        <v/>
      </c>
      <c r="AV68" s="64" t="str">
        <f ca="1">IF(COUNTIFS('SEANCE 1'!$B:$B, $B68, 'SEANCE 1'!$C:$C, AV$2, 'SEANCE 1'!$F:$F, AV$5)=0, "", COUNTIFS('SEANCE 1'!$B:$B, $B68, 'SEANCE 1'!$C:$C, AV$2, 'SEANCE 1'!$F:$F, AV$5))</f>
        <v/>
      </c>
      <c r="AW68" s="64" t="str">
        <f ca="1">IF(COUNTIFS('SEANCE 1'!$B:$B, $B68, 'SEANCE 1'!$C:$C, AW$2, 'SEANCE 1'!$F:$F, AW$5)=0, "", COUNTIFS('SEANCE 1'!$B:$B, $B68, 'SEANCE 1'!$C:$C, AW$2, 'SEANCE 1'!$F:$F, AW$5))</f>
        <v/>
      </c>
      <c r="AX68" s="64" t="str">
        <f ca="1">IF(COUNTIFS('SEANCE 1'!$B:$B, $B68, 'SEANCE 1'!$C:$C, AX$2, 'SEANCE 1'!$F:$F, AX$5)=0, "", COUNTIFS('SEANCE 1'!$B:$B, $B68, 'SEANCE 1'!$C:$C, AX$2, 'SEANCE 1'!$F:$F, AX$5))</f>
        <v/>
      </c>
      <c r="AY68" s="64" t="str">
        <f ca="1">IF(COUNTIFS('SEANCE 1'!$B:$B, $B68, 'SEANCE 1'!$C:$C, AY$2, 'SEANCE 1'!$F:$F, AY$5)=0, "", COUNTIFS('SEANCE 1'!$B:$B, $B68, 'SEANCE 1'!$C:$C, AY$2, 'SEANCE 1'!$F:$F, AY$5))</f>
        <v/>
      </c>
      <c r="AZ68" s="32">
        <f t="shared" ca="1" si="0"/>
        <v>0</v>
      </c>
    </row>
    <row r="69" spans="1:52">
      <c r="A69" s="44" t="str">
        <f>IF('SEANCE 1'!$B65&lt;&gt;"",'SEANCE 1'!$A65,"")</f>
        <v/>
      </c>
      <c r="B69" s="44" t="str">
        <f t="array" aca="1" ref="B69" ca="1">IF(ISNA(INDEX(ListeB,MATCH(0,COUNTIF($B$5:B68,ListeB),0))),"",INDEX(ListeB,MATCH(0,COUNTIF($B$5:B68,ListeB),0)))</f>
        <v/>
      </c>
      <c r="C69" s="64" t="str">
        <f ca="1">IF(COUNTIFS('SEANCE 1'!$B:$B, $B69, 'SEANCE 1'!$C:$C, C$2, 'SEANCE 1'!$F:$F, C$5)=0, "", COUNTIFS('SEANCE 1'!$B:$B, $B69, 'SEANCE 1'!$C:$C, C$2, 'SEANCE 1'!$F:$F, C$5))</f>
        <v/>
      </c>
      <c r="D69" s="64" t="str">
        <f ca="1">IF(COUNTIFS('SEANCE 1'!$B:$B, $B69, 'SEANCE 1'!$C:$C, D$2, 'SEANCE 1'!$F:$F, D$5)=0, "", COUNTIFS('SEANCE 1'!$B:$B, $B69, 'SEANCE 1'!$C:$C, D$2, 'SEANCE 1'!$F:$F, D$5))</f>
        <v/>
      </c>
      <c r="E69" s="64" t="str">
        <f ca="1">IF(COUNTIFS('SEANCE 1'!$B:$B, $B69, 'SEANCE 1'!$C:$C, E$2, 'SEANCE 1'!$F:$F, E$5)=0, "", COUNTIFS('SEANCE 1'!$B:$B, $B69, 'SEANCE 1'!$C:$C, E$2, 'SEANCE 1'!$F:$F, E$5))</f>
        <v/>
      </c>
      <c r="F69" s="64" t="str">
        <f ca="1">IF(COUNTIFS('SEANCE 1'!$B:$B, $B69, 'SEANCE 1'!$C:$C, F$2, 'SEANCE 1'!$F:$F, F$5)=0, "", COUNTIFS('SEANCE 1'!$B:$B, $B69, 'SEANCE 1'!$C:$C, F$2, 'SEANCE 1'!$F:$F, F$5))</f>
        <v/>
      </c>
      <c r="G69" s="64" t="str">
        <f ca="1">IF(COUNTIFS('SEANCE 1'!$B:$B, $B69, 'SEANCE 1'!$C:$C, G$2, 'SEANCE 1'!$F:$F, G$5)=0, "", COUNTIFS('SEANCE 1'!$B:$B, $B69, 'SEANCE 1'!$C:$C, G$2, 'SEANCE 1'!$F:$F, G$5))</f>
        <v/>
      </c>
      <c r="H69" s="64" t="str">
        <f ca="1">IF(COUNTIFS('SEANCE 1'!$B:$B, $B69, 'SEANCE 1'!$C:$C, H$2, 'SEANCE 1'!$F:$F, H$5)=0, "", COUNTIFS('SEANCE 1'!$B:$B, $B69, 'SEANCE 1'!$C:$C, H$2, 'SEANCE 1'!$F:$F, H$5))</f>
        <v/>
      </c>
      <c r="I69" s="64" t="str">
        <f ca="1">IF(COUNTIFS('SEANCE 1'!$B:$B, $B69, 'SEANCE 1'!$C:$C, I$2, 'SEANCE 1'!$F:$F, I$5)=0, "", COUNTIFS('SEANCE 1'!$B:$B, $B69, 'SEANCE 1'!$C:$C, I$2, 'SEANCE 1'!$F:$F, I$5))</f>
        <v/>
      </c>
      <c r="J69" s="64" t="str">
        <f ca="1">IF(COUNTIFS('SEANCE 1'!$B:$B, $B69, 'SEANCE 1'!$C:$C, J$2, 'SEANCE 1'!$F:$F, J$5)=0, "", COUNTIFS('SEANCE 1'!$B:$B, $B69, 'SEANCE 1'!$C:$C, J$2, 'SEANCE 1'!$F:$F, J$5))</f>
        <v/>
      </c>
      <c r="K69" s="64" t="str">
        <f ca="1">IF(COUNTIFS('SEANCE 1'!$B:$B, $B69, 'SEANCE 1'!$C:$C, K$2, 'SEANCE 1'!$F:$F, K$5)=0, "", COUNTIFS('SEANCE 1'!$B:$B, $B69, 'SEANCE 1'!$C:$C, K$2, 'SEANCE 1'!$F:$F, K$5))</f>
        <v/>
      </c>
      <c r="L69" s="64" t="str">
        <f ca="1">IF(COUNTIFS('SEANCE 1'!$B:$B, $B69, 'SEANCE 1'!$C:$C, L$2, 'SEANCE 1'!$F:$F, L$5)=0, "", COUNTIFS('SEANCE 1'!$B:$B, $B69, 'SEANCE 1'!$C:$C, L$2, 'SEANCE 1'!$F:$F, L$5))</f>
        <v/>
      </c>
      <c r="M69" s="64" t="str">
        <f ca="1">IF(COUNTIFS('SEANCE 1'!$B:$B, $B69, 'SEANCE 1'!$C:$C, M$2, 'SEANCE 1'!$F:$F, M$5)=0, "", COUNTIFS('SEANCE 1'!$B:$B, $B69, 'SEANCE 1'!$C:$C, M$2, 'SEANCE 1'!$F:$F, M$5))</f>
        <v/>
      </c>
      <c r="N69" s="64" t="str">
        <f ca="1">IF(COUNTIFS('SEANCE 1'!$B:$B, $B69, 'SEANCE 1'!$C:$C, N$2, 'SEANCE 1'!$F:$F, N$5)=0, "", COUNTIFS('SEANCE 1'!$B:$B, $B69, 'SEANCE 1'!$C:$C, N$2, 'SEANCE 1'!$F:$F, N$5))</f>
        <v/>
      </c>
      <c r="O69" s="64" t="str">
        <f ca="1">IF(COUNTIFS('SEANCE 1'!$B:$B, $B69, 'SEANCE 1'!$C:$C, O$2, 'SEANCE 1'!$F:$F, O$5)=0, "", COUNTIFS('SEANCE 1'!$B:$B, $B69, 'SEANCE 1'!$C:$C, O$2, 'SEANCE 1'!$F:$F, O$5))</f>
        <v/>
      </c>
      <c r="P69" s="64" t="str">
        <f ca="1">IF(COUNTIFS('SEANCE 1'!$B:$B, $B69, 'SEANCE 1'!$C:$C, P$2, 'SEANCE 1'!$F:$F, P$5)=0, "", COUNTIFS('SEANCE 1'!$B:$B, $B69, 'SEANCE 1'!$C:$C, P$2, 'SEANCE 1'!$F:$F, P$5))</f>
        <v/>
      </c>
      <c r="Q69" s="64" t="str">
        <f ca="1">IF(COUNTIFS('SEANCE 1'!$B:$B, $B69, 'SEANCE 1'!$C:$C, Q$2, 'SEANCE 1'!$F:$F, Q$5)=0, "", COUNTIFS('SEANCE 1'!$B:$B, $B69, 'SEANCE 1'!$C:$C, Q$2, 'SEANCE 1'!$F:$F, Q$5))</f>
        <v/>
      </c>
      <c r="R69" s="64" t="str">
        <f ca="1">IF(COUNTIFS('SEANCE 1'!$B:$B, $B69, 'SEANCE 1'!$C:$C, R$2, 'SEANCE 1'!$F:$F, R$5)=0, "", COUNTIFS('SEANCE 1'!$B:$B, $B69, 'SEANCE 1'!$C:$C, R$2, 'SEANCE 1'!$F:$F, R$5))</f>
        <v/>
      </c>
      <c r="S69" s="64" t="str">
        <f ca="1">IF(COUNTIFS('SEANCE 1'!$B:$B, $B69, 'SEANCE 1'!$C:$C, S$2, 'SEANCE 1'!$F:$F, S$5)=0, "", COUNTIFS('SEANCE 1'!$B:$B, $B69, 'SEANCE 1'!$C:$C, S$2, 'SEANCE 1'!$F:$F, S$5))</f>
        <v/>
      </c>
      <c r="T69" s="64" t="str">
        <f ca="1">IF(COUNTIFS('SEANCE 1'!$B:$B, $B69, 'SEANCE 1'!$C:$C, T$2, 'SEANCE 1'!$F:$F, T$5)=0, "", COUNTIFS('SEANCE 1'!$B:$B, $B69, 'SEANCE 1'!$C:$C, T$2, 'SEANCE 1'!$F:$F, T$5))</f>
        <v/>
      </c>
      <c r="U69" s="64" t="str">
        <f ca="1">IF(COUNTIFS('SEANCE 1'!$B:$B, $B69, 'SEANCE 1'!$C:$C, U$2, 'SEANCE 1'!$F:$F, U$5)=0, "", COUNTIFS('SEANCE 1'!$B:$B, $B69, 'SEANCE 1'!$C:$C, U$2, 'SEANCE 1'!$F:$F, U$5))</f>
        <v/>
      </c>
      <c r="V69" s="64" t="str">
        <f ca="1">IF(COUNTIFS('SEANCE 1'!$B:$B, $B69, 'SEANCE 1'!$C:$C, V$2, 'SEANCE 1'!$F:$F, V$5)=0, "", COUNTIFS('SEANCE 1'!$B:$B, $B69, 'SEANCE 1'!$C:$C, V$2, 'SEANCE 1'!$F:$F, V$5))</f>
        <v/>
      </c>
      <c r="W69" s="64" t="str">
        <f ca="1">IF(COUNTIFS('SEANCE 1'!$B:$B, $B69, 'SEANCE 1'!$C:$C, W$2, 'SEANCE 1'!$F:$F, W$5)=0, "", COUNTIFS('SEANCE 1'!$B:$B, $B69, 'SEANCE 1'!$C:$C, W$2, 'SEANCE 1'!$F:$F, W$5))</f>
        <v/>
      </c>
      <c r="X69" s="64" t="str">
        <f ca="1">IF(COUNTIFS('SEANCE 1'!$B:$B, $B69, 'SEANCE 1'!$C:$C, X$2, 'SEANCE 1'!$F:$F, X$5)=0, "", COUNTIFS('SEANCE 1'!$B:$B, $B69, 'SEANCE 1'!$C:$C, X$2, 'SEANCE 1'!$F:$F, X$5))</f>
        <v/>
      </c>
      <c r="Y69" s="64" t="str">
        <f ca="1">IF(COUNTIFS('SEANCE 1'!$B:$B, $B69, 'SEANCE 1'!$C:$C, Y$2, 'SEANCE 1'!$F:$F, Y$5)=0, "", COUNTIFS('SEANCE 1'!$B:$B, $B69, 'SEANCE 1'!$C:$C, Y$2, 'SEANCE 1'!$F:$F, Y$5))</f>
        <v/>
      </c>
      <c r="Z69" s="64" t="str">
        <f ca="1">IF(COUNTIFS('SEANCE 1'!$B:$B, $B69, 'SEANCE 1'!$C:$C, Z$2, 'SEANCE 1'!$F:$F, Z$5)=0, "", COUNTIFS('SEANCE 1'!$B:$B, $B69, 'SEANCE 1'!$C:$C, Z$2, 'SEANCE 1'!$F:$F, Z$5))</f>
        <v/>
      </c>
      <c r="AA69" s="64" t="str">
        <f ca="1">IF(COUNTIFS('SEANCE 1'!$B:$B, $B69, 'SEANCE 1'!$C:$C, AA$2, 'SEANCE 1'!$F:$F, AA$5)=0, "", COUNTIFS('SEANCE 1'!$B:$B, $B69, 'SEANCE 1'!$C:$C, AA$2, 'SEANCE 1'!$F:$F, AA$5))</f>
        <v/>
      </c>
      <c r="AB69" s="64" t="str">
        <f ca="1">IF(COUNTIFS('SEANCE 1'!$B:$B, $B69, 'SEANCE 1'!$C:$C, AB$2, 'SEANCE 1'!$F:$F, AB$5)=0, "", COUNTIFS('SEANCE 1'!$B:$B, $B69, 'SEANCE 1'!$C:$C, AB$2, 'SEANCE 1'!$F:$F, AB$5))</f>
        <v/>
      </c>
      <c r="AC69" s="64" t="str">
        <f ca="1">IF(COUNTIFS('SEANCE 1'!$B:$B, $B69, 'SEANCE 1'!$C:$C, AC$2, 'SEANCE 1'!$F:$F, AC$5)=0, "", COUNTIFS('SEANCE 1'!$B:$B, $B69, 'SEANCE 1'!$C:$C, AC$2, 'SEANCE 1'!$F:$F, AC$5))</f>
        <v/>
      </c>
      <c r="AD69" s="64" t="str">
        <f ca="1">IF(COUNTIFS('SEANCE 1'!$B:$B, $B69, 'SEANCE 1'!$C:$C, AD$2, 'SEANCE 1'!$F:$F, AD$5)=0, "", COUNTIFS('SEANCE 1'!$B:$B, $B69, 'SEANCE 1'!$C:$C, AD$2, 'SEANCE 1'!$F:$F, AD$5))</f>
        <v/>
      </c>
      <c r="AE69" s="64" t="str">
        <f ca="1">IF(COUNTIFS('SEANCE 1'!$B:$B, $B69, 'SEANCE 1'!$C:$C, AE$2, 'SEANCE 1'!$F:$F, AE$5)=0, "", COUNTIFS('SEANCE 1'!$B:$B, $B69, 'SEANCE 1'!$C:$C, AE$2, 'SEANCE 1'!$F:$F, AE$5))</f>
        <v/>
      </c>
      <c r="AF69" s="64" t="str">
        <f ca="1">IF(COUNTIFS('SEANCE 1'!$B:$B, $B69, 'SEANCE 1'!$C:$C, AF$2, 'SEANCE 1'!$F:$F, AF$5)=0, "", COUNTIFS('SEANCE 1'!$B:$B, $B69, 'SEANCE 1'!$C:$C, AF$2, 'SEANCE 1'!$F:$F, AF$5))</f>
        <v/>
      </c>
      <c r="AG69" s="64" t="str">
        <f ca="1">IF(COUNTIFS('SEANCE 1'!$B:$B, $B69, 'SEANCE 1'!$C:$C, AG$2, 'SEANCE 1'!$F:$F, AG$5)=0, "", COUNTIFS('SEANCE 1'!$B:$B, $B69, 'SEANCE 1'!$C:$C, AG$2, 'SEANCE 1'!$F:$F, AG$5))</f>
        <v/>
      </c>
      <c r="AH69" s="64" t="str">
        <f ca="1">IF(COUNTIFS('SEANCE 1'!$B:$B, $B69, 'SEANCE 1'!$C:$C, AH$2, 'SEANCE 1'!$F:$F, AH$5)=0, "", COUNTIFS('SEANCE 1'!$B:$B, $B69, 'SEANCE 1'!$C:$C, AH$2, 'SEANCE 1'!$F:$F, AH$5))</f>
        <v/>
      </c>
      <c r="AI69" s="64" t="str">
        <f ca="1">IF(COUNTIFS('SEANCE 1'!$B:$B, $B69, 'SEANCE 1'!$C:$C, AI$2, 'SEANCE 1'!$F:$F, AI$5)=0, "", COUNTIFS('SEANCE 1'!$B:$B, $B69, 'SEANCE 1'!$C:$C, AI$2, 'SEANCE 1'!$F:$F, AI$5))</f>
        <v/>
      </c>
      <c r="AJ69" s="64" t="str">
        <f ca="1">IF(COUNTIFS('SEANCE 1'!$B:$B, $B69, 'SEANCE 1'!$C:$C, AJ$2, 'SEANCE 1'!$F:$F, AJ$5)=0, "", COUNTIFS('SEANCE 1'!$B:$B, $B69, 'SEANCE 1'!$C:$C, AJ$2, 'SEANCE 1'!$F:$F, AJ$5))</f>
        <v/>
      </c>
      <c r="AK69" s="64" t="str">
        <f ca="1">IF(COUNTIFS('SEANCE 1'!$B:$B, $B69, 'SEANCE 1'!$C:$C, AK$2, 'SEANCE 1'!$F:$F, AK$5)=0, "", COUNTIFS('SEANCE 1'!$B:$B, $B69, 'SEANCE 1'!$C:$C, AK$2, 'SEANCE 1'!$F:$F, AK$5))</f>
        <v/>
      </c>
      <c r="AL69" s="64" t="str">
        <f ca="1">IF(COUNTIFS('SEANCE 1'!$B:$B, $B69, 'SEANCE 1'!$C:$C, AL$2, 'SEANCE 1'!$F:$F, AL$5)=0, "", COUNTIFS('SEANCE 1'!$B:$B, $B69, 'SEANCE 1'!$C:$C, AL$2, 'SEANCE 1'!$F:$F, AL$5))</f>
        <v/>
      </c>
      <c r="AM69" s="64" t="str">
        <f ca="1">IF(COUNTIFS('SEANCE 1'!$B:$B, $B69, 'SEANCE 1'!$C:$C, AM$2, 'SEANCE 1'!$F:$F, AM$5)=0, "", COUNTIFS('SEANCE 1'!$B:$B, $B69, 'SEANCE 1'!$C:$C, AM$2, 'SEANCE 1'!$F:$F, AM$5))</f>
        <v/>
      </c>
      <c r="AN69" s="64" t="str">
        <f ca="1">IF(COUNTIFS('SEANCE 1'!$B:$B, $B69, 'SEANCE 1'!$C:$C, AN$2, 'SEANCE 1'!$F:$F, AN$5)=0, "", COUNTIFS('SEANCE 1'!$B:$B, $B69, 'SEANCE 1'!$C:$C, AN$2, 'SEANCE 1'!$F:$F, AN$5))</f>
        <v/>
      </c>
      <c r="AO69" s="64" t="str">
        <f ca="1">IF(COUNTIFS('SEANCE 1'!$B:$B, $B69, 'SEANCE 1'!$C:$C, AO$2, 'SEANCE 1'!$F:$F, AO$5)=0, "", COUNTIFS('SEANCE 1'!$B:$B, $B69, 'SEANCE 1'!$C:$C, AO$2, 'SEANCE 1'!$F:$F, AO$5))</f>
        <v/>
      </c>
      <c r="AP69" s="64" t="str">
        <f ca="1">IF(COUNTIFS('SEANCE 1'!$B:$B, $B69, 'SEANCE 1'!$C:$C, AP$2, 'SEANCE 1'!$F:$F, AP$5)=0, "", COUNTIFS('SEANCE 1'!$B:$B, $B69, 'SEANCE 1'!$C:$C, AP$2, 'SEANCE 1'!$F:$F, AP$5))</f>
        <v/>
      </c>
      <c r="AQ69" s="64" t="str">
        <f ca="1">IF(COUNTIFS('SEANCE 1'!$B:$B, $B69, 'SEANCE 1'!$C:$C, AQ$2, 'SEANCE 1'!$F:$F, AQ$5)=0, "", COUNTIFS('SEANCE 1'!$B:$B, $B69, 'SEANCE 1'!$C:$C, AQ$2, 'SEANCE 1'!$F:$F, AQ$5))</f>
        <v/>
      </c>
      <c r="AR69" s="64" t="str">
        <f ca="1">IF(COUNTIFS('SEANCE 1'!$B:$B, $B69, 'SEANCE 1'!$C:$C, AR$2, 'SEANCE 1'!$F:$F, AR$5)=0, "", COUNTIFS('SEANCE 1'!$B:$B, $B69, 'SEANCE 1'!$C:$C, AR$2, 'SEANCE 1'!$F:$F, AR$5))</f>
        <v/>
      </c>
      <c r="AS69" s="64" t="str">
        <f ca="1">IF(COUNTIFS('SEANCE 1'!$B:$B, $B69, 'SEANCE 1'!$C:$C, AS$2, 'SEANCE 1'!$F:$F, AS$5)=0, "", COUNTIFS('SEANCE 1'!$B:$B, $B69, 'SEANCE 1'!$C:$C, AS$2, 'SEANCE 1'!$F:$F, AS$5))</f>
        <v/>
      </c>
      <c r="AT69" s="64" t="str">
        <f ca="1">IF(COUNTIFS('SEANCE 1'!$B:$B, $B69, 'SEANCE 1'!$C:$C, AT$2, 'SEANCE 1'!$F:$F, AT$5)=0, "", COUNTIFS('SEANCE 1'!$B:$B, $B69, 'SEANCE 1'!$C:$C, AT$2, 'SEANCE 1'!$F:$F, AT$5))</f>
        <v/>
      </c>
      <c r="AU69" s="64" t="str">
        <f ca="1">IF(COUNTIFS('SEANCE 1'!$B:$B, $B69, 'SEANCE 1'!$C:$C, AU$2, 'SEANCE 1'!$F:$F, AU$5)=0, "", COUNTIFS('SEANCE 1'!$B:$B, $B69, 'SEANCE 1'!$C:$C, AU$2, 'SEANCE 1'!$F:$F, AU$5))</f>
        <v/>
      </c>
      <c r="AV69" s="64" t="str">
        <f ca="1">IF(COUNTIFS('SEANCE 1'!$B:$B, $B69, 'SEANCE 1'!$C:$C, AV$2, 'SEANCE 1'!$F:$F, AV$5)=0, "", COUNTIFS('SEANCE 1'!$B:$B, $B69, 'SEANCE 1'!$C:$C, AV$2, 'SEANCE 1'!$F:$F, AV$5))</f>
        <v/>
      </c>
      <c r="AW69" s="64" t="str">
        <f ca="1">IF(COUNTIFS('SEANCE 1'!$B:$B, $B69, 'SEANCE 1'!$C:$C, AW$2, 'SEANCE 1'!$F:$F, AW$5)=0, "", COUNTIFS('SEANCE 1'!$B:$B, $B69, 'SEANCE 1'!$C:$C, AW$2, 'SEANCE 1'!$F:$F, AW$5))</f>
        <v/>
      </c>
      <c r="AX69" s="64" t="str">
        <f ca="1">IF(COUNTIFS('SEANCE 1'!$B:$B, $B69, 'SEANCE 1'!$C:$C, AX$2, 'SEANCE 1'!$F:$F, AX$5)=0, "", COUNTIFS('SEANCE 1'!$B:$B, $B69, 'SEANCE 1'!$C:$C, AX$2, 'SEANCE 1'!$F:$F, AX$5))</f>
        <v/>
      </c>
      <c r="AY69" s="64" t="str">
        <f ca="1">IF(COUNTIFS('SEANCE 1'!$B:$B, $B69, 'SEANCE 1'!$C:$C, AY$2, 'SEANCE 1'!$F:$F, AY$5)=0, "", COUNTIFS('SEANCE 1'!$B:$B, $B69, 'SEANCE 1'!$C:$C, AY$2, 'SEANCE 1'!$F:$F, AY$5))</f>
        <v/>
      </c>
      <c r="AZ69" s="32">
        <f t="shared" ca="1" si="0"/>
        <v>0</v>
      </c>
    </row>
    <row r="70" spans="1:52">
      <c r="A70" s="44" t="str">
        <f>IF('SEANCE 1'!$B66&lt;&gt;"",'SEANCE 1'!$A66,"")</f>
        <v/>
      </c>
      <c r="B70" s="44" t="str">
        <f t="array" aca="1" ref="B70" ca="1">IF(ISNA(INDEX(ListeB,MATCH(0,COUNTIF($B$5:B69,ListeB),0))),"",INDEX(ListeB,MATCH(0,COUNTIF($B$5:B69,ListeB),0)))</f>
        <v/>
      </c>
      <c r="C70" s="64" t="str">
        <f ca="1">IF(COUNTIFS('SEANCE 1'!$B:$B, $B70, 'SEANCE 1'!$C:$C, C$2, 'SEANCE 1'!$F:$F, C$5)=0, "", COUNTIFS('SEANCE 1'!$B:$B, $B70, 'SEANCE 1'!$C:$C, C$2, 'SEANCE 1'!$F:$F, C$5))</f>
        <v/>
      </c>
      <c r="D70" s="64" t="str">
        <f ca="1">IF(COUNTIFS('SEANCE 1'!$B:$B, $B70, 'SEANCE 1'!$C:$C, D$2, 'SEANCE 1'!$F:$F, D$5)=0, "", COUNTIFS('SEANCE 1'!$B:$B, $B70, 'SEANCE 1'!$C:$C, D$2, 'SEANCE 1'!$F:$F, D$5))</f>
        <v/>
      </c>
      <c r="E70" s="64" t="str">
        <f ca="1">IF(COUNTIFS('SEANCE 1'!$B:$B, $B70, 'SEANCE 1'!$C:$C, E$2, 'SEANCE 1'!$F:$F, E$5)=0, "", COUNTIFS('SEANCE 1'!$B:$B, $B70, 'SEANCE 1'!$C:$C, E$2, 'SEANCE 1'!$F:$F, E$5))</f>
        <v/>
      </c>
      <c r="F70" s="64" t="str">
        <f ca="1">IF(COUNTIFS('SEANCE 1'!$B:$B, $B70, 'SEANCE 1'!$C:$C, F$2, 'SEANCE 1'!$F:$F, F$5)=0, "", COUNTIFS('SEANCE 1'!$B:$B, $B70, 'SEANCE 1'!$C:$C, F$2, 'SEANCE 1'!$F:$F, F$5))</f>
        <v/>
      </c>
      <c r="G70" s="64" t="str">
        <f ca="1">IF(COUNTIFS('SEANCE 1'!$B:$B, $B70, 'SEANCE 1'!$C:$C, G$2, 'SEANCE 1'!$F:$F, G$5)=0, "", COUNTIFS('SEANCE 1'!$B:$B, $B70, 'SEANCE 1'!$C:$C, G$2, 'SEANCE 1'!$F:$F, G$5))</f>
        <v/>
      </c>
      <c r="H70" s="64" t="str">
        <f ca="1">IF(COUNTIFS('SEANCE 1'!$B:$B, $B70, 'SEANCE 1'!$C:$C, H$2, 'SEANCE 1'!$F:$F, H$5)=0, "", COUNTIFS('SEANCE 1'!$B:$B, $B70, 'SEANCE 1'!$C:$C, H$2, 'SEANCE 1'!$F:$F, H$5))</f>
        <v/>
      </c>
      <c r="I70" s="64" t="str">
        <f ca="1">IF(COUNTIFS('SEANCE 1'!$B:$B, $B70, 'SEANCE 1'!$C:$C, I$2, 'SEANCE 1'!$F:$F, I$5)=0, "", COUNTIFS('SEANCE 1'!$B:$B, $B70, 'SEANCE 1'!$C:$C, I$2, 'SEANCE 1'!$F:$F, I$5))</f>
        <v/>
      </c>
      <c r="J70" s="64" t="str">
        <f ca="1">IF(COUNTIFS('SEANCE 1'!$B:$B, $B70, 'SEANCE 1'!$C:$C, J$2, 'SEANCE 1'!$F:$F, J$5)=0, "", COUNTIFS('SEANCE 1'!$B:$B, $B70, 'SEANCE 1'!$C:$C, J$2, 'SEANCE 1'!$F:$F, J$5))</f>
        <v/>
      </c>
      <c r="K70" s="64" t="str">
        <f ca="1">IF(COUNTIFS('SEANCE 1'!$B:$B, $B70, 'SEANCE 1'!$C:$C, K$2, 'SEANCE 1'!$F:$F, K$5)=0, "", COUNTIFS('SEANCE 1'!$B:$B, $B70, 'SEANCE 1'!$C:$C, K$2, 'SEANCE 1'!$F:$F, K$5))</f>
        <v/>
      </c>
      <c r="L70" s="64" t="str">
        <f ca="1">IF(COUNTIFS('SEANCE 1'!$B:$B, $B70, 'SEANCE 1'!$C:$C, L$2, 'SEANCE 1'!$F:$F, L$5)=0, "", COUNTIFS('SEANCE 1'!$B:$B, $B70, 'SEANCE 1'!$C:$C, L$2, 'SEANCE 1'!$F:$F, L$5))</f>
        <v/>
      </c>
      <c r="M70" s="64" t="str">
        <f ca="1">IF(COUNTIFS('SEANCE 1'!$B:$B, $B70, 'SEANCE 1'!$C:$C, M$2, 'SEANCE 1'!$F:$F, M$5)=0, "", COUNTIFS('SEANCE 1'!$B:$B, $B70, 'SEANCE 1'!$C:$C, M$2, 'SEANCE 1'!$F:$F, M$5))</f>
        <v/>
      </c>
      <c r="N70" s="64" t="str">
        <f ca="1">IF(COUNTIFS('SEANCE 1'!$B:$B, $B70, 'SEANCE 1'!$C:$C, N$2, 'SEANCE 1'!$F:$F, N$5)=0, "", COUNTIFS('SEANCE 1'!$B:$B, $B70, 'SEANCE 1'!$C:$C, N$2, 'SEANCE 1'!$F:$F, N$5))</f>
        <v/>
      </c>
      <c r="O70" s="64" t="str">
        <f ca="1">IF(COUNTIFS('SEANCE 1'!$B:$B, $B70, 'SEANCE 1'!$C:$C, O$2, 'SEANCE 1'!$F:$F, O$5)=0, "", COUNTIFS('SEANCE 1'!$B:$B, $B70, 'SEANCE 1'!$C:$C, O$2, 'SEANCE 1'!$F:$F, O$5))</f>
        <v/>
      </c>
      <c r="P70" s="64" t="str">
        <f ca="1">IF(COUNTIFS('SEANCE 1'!$B:$B, $B70, 'SEANCE 1'!$C:$C, P$2, 'SEANCE 1'!$F:$F, P$5)=0, "", COUNTIFS('SEANCE 1'!$B:$B, $B70, 'SEANCE 1'!$C:$C, P$2, 'SEANCE 1'!$F:$F, P$5))</f>
        <v/>
      </c>
      <c r="Q70" s="64" t="str">
        <f ca="1">IF(COUNTIFS('SEANCE 1'!$B:$B, $B70, 'SEANCE 1'!$C:$C, Q$2, 'SEANCE 1'!$F:$F, Q$5)=0, "", COUNTIFS('SEANCE 1'!$B:$B, $B70, 'SEANCE 1'!$C:$C, Q$2, 'SEANCE 1'!$F:$F, Q$5))</f>
        <v/>
      </c>
      <c r="R70" s="64" t="str">
        <f ca="1">IF(COUNTIFS('SEANCE 1'!$B:$B, $B70, 'SEANCE 1'!$C:$C, R$2, 'SEANCE 1'!$F:$F, R$5)=0, "", COUNTIFS('SEANCE 1'!$B:$B, $B70, 'SEANCE 1'!$C:$C, R$2, 'SEANCE 1'!$F:$F, R$5))</f>
        <v/>
      </c>
      <c r="S70" s="64" t="str">
        <f ca="1">IF(COUNTIFS('SEANCE 1'!$B:$B, $B70, 'SEANCE 1'!$C:$C, S$2, 'SEANCE 1'!$F:$F, S$5)=0, "", COUNTIFS('SEANCE 1'!$B:$B, $B70, 'SEANCE 1'!$C:$C, S$2, 'SEANCE 1'!$F:$F, S$5))</f>
        <v/>
      </c>
      <c r="T70" s="64" t="str">
        <f ca="1">IF(COUNTIFS('SEANCE 1'!$B:$B, $B70, 'SEANCE 1'!$C:$C, T$2, 'SEANCE 1'!$F:$F, T$5)=0, "", COUNTIFS('SEANCE 1'!$B:$B, $B70, 'SEANCE 1'!$C:$C, T$2, 'SEANCE 1'!$F:$F, T$5))</f>
        <v/>
      </c>
      <c r="U70" s="64" t="str">
        <f ca="1">IF(COUNTIFS('SEANCE 1'!$B:$B, $B70, 'SEANCE 1'!$C:$C, U$2, 'SEANCE 1'!$F:$F, U$5)=0, "", COUNTIFS('SEANCE 1'!$B:$B, $B70, 'SEANCE 1'!$C:$C, U$2, 'SEANCE 1'!$F:$F, U$5))</f>
        <v/>
      </c>
      <c r="V70" s="64" t="str">
        <f ca="1">IF(COUNTIFS('SEANCE 1'!$B:$B, $B70, 'SEANCE 1'!$C:$C, V$2, 'SEANCE 1'!$F:$F, V$5)=0, "", COUNTIFS('SEANCE 1'!$B:$B, $B70, 'SEANCE 1'!$C:$C, V$2, 'SEANCE 1'!$F:$F, V$5))</f>
        <v/>
      </c>
      <c r="W70" s="64" t="str">
        <f ca="1">IF(COUNTIFS('SEANCE 1'!$B:$B, $B70, 'SEANCE 1'!$C:$C, W$2, 'SEANCE 1'!$F:$F, W$5)=0, "", COUNTIFS('SEANCE 1'!$B:$B, $B70, 'SEANCE 1'!$C:$C, W$2, 'SEANCE 1'!$F:$F, W$5))</f>
        <v/>
      </c>
      <c r="X70" s="64" t="str">
        <f ca="1">IF(COUNTIFS('SEANCE 1'!$B:$B, $B70, 'SEANCE 1'!$C:$C, X$2, 'SEANCE 1'!$F:$F, X$5)=0, "", COUNTIFS('SEANCE 1'!$B:$B, $B70, 'SEANCE 1'!$C:$C, X$2, 'SEANCE 1'!$F:$F, X$5))</f>
        <v/>
      </c>
      <c r="Y70" s="64" t="str">
        <f ca="1">IF(COUNTIFS('SEANCE 1'!$B:$B, $B70, 'SEANCE 1'!$C:$C, Y$2, 'SEANCE 1'!$F:$F, Y$5)=0, "", COUNTIFS('SEANCE 1'!$B:$B, $B70, 'SEANCE 1'!$C:$C, Y$2, 'SEANCE 1'!$F:$F, Y$5))</f>
        <v/>
      </c>
      <c r="Z70" s="64" t="str">
        <f ca="1">IF(COUNTIFS('SEANCE 1'!$B:$B, $B70, 'SEANCE 1'!$C:$C, Z$2, 'SEANCE 1'!$F:$F, Z$5)=0, "", COUNTIFS('SEANCE 1'!$B:$B, $B70, 'SEANCE 1'!$C:$C, Z$2, 'SEANCE 1'!$F:$F, Z$5))</f>
        <v/>
      </c>
      <c r="AA70" s="64" t="str">
        <f ca="1">IF(COUNTIFS('SEANCE 1'!$B:$B, $B70, 'SEANCE 1'!$C:$C, AA$2, 'SEANCE 1'!$F:$F, AA$5)=0, "", COUNTIFS('SEANCE 1'!$B:$B, $B70, 'SEANCE 1'!$C:$C, AA$2, 'SEANCE 1'!$F:$F, AA$5))</f>
        <v/>
      </c>
      <c r="AB70" s="64" t="str">
        <f ca="1">IF(COUNTIFS('SEANCE 1'!$B:$B, $B70, 'SEANCE 1'!$C:$C, AB$2, 'SEANCE 1'!$F:$F, AB$5)=0, "", COUNTIFS('SEANCE 1'!$B:$B, $B70, 'SEANCE 1'!$C:$C, AB$2, 'SEANCE 1'!$F:$F, AB$5))</f>
        <v/>
      </c>
      <c r="AC70" s="64" t="str">
        <f ca="1">IF(COUNTIFS('SEANCE 1'!$B:$B, $B70, 'SEANCE 1'!$C:$C, AC$2, 'SEANCE 1'!$F:$F, AC$5)=0, "", COUNTIFS('SEANCE 1'!$B:$B, $B70, 'SEANCE 1'!$C:$C, AC$2, 'SEANCE 1'!$F:$F, AC$5))</f>
        <v/>
      </c>
      <c r="AD70" s="64" t="str">
        <f ca="1">IF(COUNTIFS('SEANCE 1'!$B:$B, $B70, 'SEANCE 1'!$C:$C, AD$2, 'SEANCE 1'!$F:$F, AD$5)=0, "", COUNTIFS('SEANCE 1'!$B:$B, $B70, 'SEANCE 1'!$C:$C, AD$2, 'SEANCE 1'!$F:$F, AD$5))</f>
        <v/>
      </c>
      <c r="AE70" s="64" t="str">
        <f ca="1">IF(COUNTIFS('SEANCE 1'!$B:$B, $B70, 'SEANCE 1'!$C:$C, AE$2, 'SEANCE 1'!$F:$F, AE$5)=0, "", COUNTIFS('SEANCE 1'!$B:$B, $B70, 'SEANCE 1'!$C:$C, AE$2, 'SEANCE 1'!$F:$F, AE$5))</f>
        <v/>
      </c>
      <c r="AF70" s="64" t="str">
        <f ca="1">IF(COUNTIFS('SEANCE 1'!$B:$B, $B70, 'SEANCE 1'!$C:$C, AF$2, 'SEANCE 1'!$F:$F, AF$5)=0, "", COUNTIFS('SEANCE 1'!$B:$B, $B70, 'SEANCE 1'!$C:$C, AF$2, 'SEANCE 1'!$F:$F, AF$5))</f>
        <v/>
      </c>
      <c r="AG70" s="64" t="str">
        <f ca="1">IF(COUNTIFS('SEANCE 1'!$B:$B, $B70, 'SEANCE 1'!$C:$C, AG$2, 'SEANCE 1'!$F:$F, AG$5)=0, "", COUNTIFS('SEANCE 1'!$B:$B, $B70, 'SEANCE 1'!$C:$C, AG$2, 'SEANCE 1'!$F:$F, AG$5))</f>
        <v/>
      </c>
      <c r="AH70" s="64" t="str">
        <f ca="1">IF(COUNTIFS('SEANCE 1'!$B:$B, $B70, 'SEANCE 1'!$C:$C, AH$2, 'SEANCE 1'!$F:$F, AH$5)=0, "", COUNTIFS('SEANCE 1'!$B:$B, $B70, 'SEANCE 1'!$C:$C, AH$2, 'SEANCE 1'!$F:$F, AH$5))</f>
        <v/>
      </c>
      <c r="AI70" s="64" t="str">
        <f ca="1">IF(COUNTIFS('SEANCE 1'!$B:$B, $B70, 'SEANCE 1'!$C:$C, AI$2, 'SEANCE 1'!$F:$F, AI$5)=0, "", COUNTIFS('SEANCE 1'!$B:$B, $B70, 'SEANCE 1'!$C:$C, AI$2, 'SEANCE 1'!$F:$F, AI$5))</f>
        <v/>
      </c>
      <c r="AJ70" s="64" t="str">
        <f ca="1">IF(COUNTIFS('SEANCE 1'!$B:$B, $B70, 'SEANCE 1'!$C:$C, AJ$2, 'SEANCE 1'!$F:$F, AJ$5)=0, "", COUNTIFS('SEANCE 1'!$B:$B, $B70, 'SEANCE 1'!$C:$C, AJ$2, 'SEANCE 1'!$F:$F, AJ$5))</f>
        <v/>
      </c>
      <c r="AK70" s="64" t="str">
        <f ca="1">IF(COUNTIFS('SEANCE 1'!$B:$B, $B70, 'SEANCE 1'!$C:$C, AK$2, 'SEANCE 1'!$F:$F, AK$5)=0, "", COUNTIFS('SEANCE 1'!$B:$B, $B70, 'SEANCE 1'!$C:$C, AK$2, 'SEANCE 1'!$F:$F, AK$5))</f>
        <v/>
      </c>
      <c r="AL70" s="64" t="str">
        <f ca="1">IF(COUNTIFS('SEANCE 1'!$B:$B, $B70, 'SEANCE 1'!$C:$C, AL$2, 'SEANCE 1'!$F:$F, AL$5)=0, "", COUNTIFS('SEANCE 1'!$B:$B, $B70, 'SEANCE 1'!$C:$C, AL$2, 'SEANCE 1'!$F:$F, AL$5))</f>
        <v/>
      </c>
      <c r="AM70" s="64" t="str">
        <f ca="1">IF(COUNTIFS('SEANCE 1'!$B:$B, $B70, 'SEANCE 1'!$C:$C, AM$2, 'SEANCE 1'!$F:$F, AM$5)=0, "", COUNTIFS('SEANCE 1'!$B:$B, $B70, 'SEANCE 1'!$C:$C, AM$2, 'SEANCE 1'!$F:$F, AM$5))</f>
        <v/>
      </c>
      <c r="AN70" s="64" t="str">
        <f ca="1">IF(COUNTIFS('SEANCE 1'!$B:$B, $B70, 'SEANCE 1'!$C:$C, AN$2, 'SEANCE 1'!$F:$F, AN$5)=0, "", COUNTIFS('SEANCE 1'!$B:$B, $B70, 'SEANCE 1'!$C:$C, AN$2, 'SEANCE 1'!$F:$F, AN$5))</f>
        <v/>
      </c>
      <c r="AO70" s="64" t="str">
        <f ca="1">IF(COUNTIFS('SEANCE 1'!$B:$B, $B70, 'SEANCE 1'!$C:$C, AO$2, 'SEANCE 1'!$F:$F, AO$5)=0, "", COUNTIFS('SEANCE 1'!$B:$B, $B70, 'SEANCE 1'!$C:$C, AO$2, 'SEANCE 1'!$F:$F, AO$5))</f>
        <v/>
      </c>
      <c r="AP70" s="64" t="str">
        <f ca="1">IF(COUNTIFS('SEANCE 1'!$B:$B, $B70, 'SEANCE 1'!$C:$C, AP$2, 'SEANCE 1'!$F:$F, AP$5)=0, "", COUNTIFS('SEANCE 1'!$B:$B, $B70, 'SEANCE 1'!$C:$C, AP$2, 'SEANCE 1'!$F:$F, AP$5))</f>
        <v/>
      </c>
      <c r="AQ70" s="64" t="str">
        <f ca="1">IF(COUNTIFS('SEANCE 1'!$B:$B, $B70, 'SEANCE 1'!$C:$C, AQ$2, 'SEANCE 1'!$F:$F, AQ$5)=0, "", COUNTIFS('SEANCE 1'!$B:$B, $B70, 'SEANCE 1'!$C:$C, AQ$2, 'SEANCE 1'!$F:$F, AQ$5))</f>
        <v/>
      </c>
      <c r="AR70" s="64" t="str">
        <f ca="1">IF(COUNTIFS('SEANCE 1'!$B:$B, $B70, 'SEANCE 1'!$C:$C, AR$2, 'SEANCE 1'!$F:$F, AR$5)=0, "", COUNTIFS('SEANCE 1'!$B:$B, $B70, 'SEANCE 1'!$C:$C, AR$2, 'SEANCE 1'!$F:$F, AR$5))</f>
        <v/>
      </c>
      <c r="AS70" s="64" t="str">
        <f ca="1">IF(COUNTIFS('SEANCE 1'!$B:$B, $B70, 'SEANCE 1'!$C:$C, AS$2, 'SEANCE 1'!$F:$F, AS$5)=0, "", COUNTIFS('SEANCE 1'!$B:$B, $B70, 'SEANCE 1'!$C:$C, AS$2, 'SEANCE 1'!$F:$F, AS$5))</f>
        <v/>
      </c>
      <c r="AT70" s="64" t="str">
        <f ca="1">IF(COUNTIFS('SEANCE 1'!$B:$B, $B70, 'SEANCE 1'!$C:$C, AT$2, 'SEANCE 1'!$F:$F, AT$5)=0, "", COUNTIFS('SEANCE 1'!$B:$B, $B70, 'SEANCE 1'!$C:$C, AT$2, 'SEANCE 1'!$F:$F, AT$5))</f>
        <v/>
      </c>
      <c r="AU70" s="64" t="str">
        <f ca="1">IF(COUNTIFS('SEANCE 1'!$B:$B, $B70, 'SEANCE 1'!$C:$C, AU$2, 'SEANCE 1'!$F:$F, AU$5)=0, "", COUNTIFS('SEANCE 1'!$B:$B, $B70, 'SEANCE 1'!$C:$C, AU$2, 'SEANCE 1'!$F:$F, AU$5))</f>
        <v/>
      </c>
      <c r="AV70" s="64" t="str">
        <f ca="1">IF(COUNTIFS('SEANCE 1'!$B:$B, $B70, 'SEANCE 1'!$C:$C, AV$2, 'SEANCE 1'!$F:$F, AV$5)=0, "", COUNTIFS('SEANCE 1'!$B:$B, $B70, 'SEANCE 1'!$C:$C, AV$2, 'SEANCE 1'!$F:$F, AV$5))</f>
        <v/>
      </c>
      <c r="AW70" s="64" t="str">
        <f ca="1">IF(COUNTIFS('SEANCE 1'!$B:$B, $B70, 'SEANCE 1'!$C:$C, AW$2, 'SEANCE 1'!$F:$F, AW$5)=0, "", COUNTIFS('SEANCE 1'!$B:$B, $B70, 'SEANCE 1'!$C:$C, AW$2, 'SEANCE 1'!$F:$F, AW$5))</f>
        <v/>
      </c>
      <c r="AX70" s="64" t="str">
        <f ca="1">IF(COUNTIFS('SEANCE 1'!$B:$B, $B70, 'SEANCE 1'!$C:$C, AX$2, 'SEANCE 1'!$F:$F, AX$5)=0, "", COUNTIFS('SEANCE 1'!$B:$B, $B70, 'SEANCE 1'!$C:$C, AX$2, 'SEANCE 1'!$F:$F, AX$5))</f>
        <v/>
      </c>
      <c r="AY70" s="64" t="str">
        <f ca="1">IF(COUNTIFS('SEANCE 1'!$B:$B, $B70, 'SEANCE 1'!$C:$C, AY$2, 'SEANCE 1'!$F:$F, AY$5)=0, "", COUNTIFS('SEANCE 1'!$B:$B, $B70, 'SEANCE 1'!$C:$C, AY$2, 'SEANCE 1'!$F:$F, AY$5))</f>
        <v/>
      </c>
      <c r="AZ70" s="32">
        <f t="shared" ca="1" si="0"/>
        <v>0</v>
      </c>
    </row>
    <row r="71" spans="1:52">
      <c r="A71" s="44" t="str">
        <f>IF('SEANCE 1'!$B67&lt;&gt;"",'SEANCE 1'!$A67,"")</f>
        <v/>
      </c>
      <c r="B71" s="44" t="str">
        <f t="array" aca="1" ref="B71" ca="1">IF(ISNA(INDEX(ListeB,MATCH(0,COUNTIF($B$5:B70,ListeB),0))),"",INDEX(ListeB,MATCH(0,COUNTIF($B$5:B70,ListeB),0)))</f>
        <v/>
      </c>
      <c r="C71" s="64" t="str">
        <f ca="1">IF(COUNTIFS('SEANCE 1'!$B:$B, $B71, 'SEANCE 1'!$C:$C, C$2, 'SEANCE 1'!$F:$F, C$5)=0, "", COUNTIFS('SEANCE 1'!$B:$B, $B71, 'SEANCE 1'!$C:$C, C$2, 'SEANCE 1'!$F:$F, C$5))</f>
        <v/>
      </c>
      <c r="D71" s="64" t="str">
        <f ca="1">IF(COUNTIFS('SEANCE 1'!$B:$B, $B71, 'SEANCE 1'!$C:$C, D$2, 'SEANCE 1'!$F:$F, D$5)=0, "", COUNTIFS('SEANCE 1'!$B:$B, $B71, 'SEANCE 1'!$C:$C, D$2, 'SEANCE 1'!$F:$F, D$5))</f>
        <v/>
      </c>
      <c r="E71" s="64" t="str">
        <f ca="1">IF(COUNTIFS('SEANCE 1'!$B:$B, $B71, 'SEANCE 1'!$C:$C, E$2, 'SEANCE 1'!$F:$F, E$5)=0, "", COUNTIFS('SEANCE 1'!$B:$B, $B71, 'SEANCE 1'!$C:$C, E$2, 'SEANCE 1'!$F:$F, E$5))</f>
        <v/>
      </c>
      <c r="F71" s="64" t="str">
        <f ca="1">IF(COUNTIFS('SEANCE 1'!$B:$B, $B71, 'SEANCE 1'!$C:$C, F$2, 'SEANCE 1'!$F:$F, F$5)=0, "", COUNTIFS('SEANCE 1'!$B:$B, $B71, 'SEANCE 1'!$C:$C, F$2, 'SEANCE 1'!$F:$F, F$5))</f>
        <v/>
      </c>
      <c r="G71" s="64" t="str">
        <f ca="1">IF(COUNTIFS('SEANCE 1'!$B:$B, $B71, 'SEANCE 1'!$C:$C, G$2, 'SEANCE 1'!$F:$F, G$5)=0, "", COUNTIFS('SEANCE 1'!$B:$B, $B71, 'SEANCE 1'!$C:$C, G$2, 'SEANCE 1'!$F:$F, G$5))</f>
        <v/>
      </c>
      <c r="H71" s="64" t="str">
        <f ca="1">IF(COUNTIFS('SEANCE 1'!$B:$B, $B71, 'SEANCE 1'!$C:$C, H$2, 'SEANCE 1'!$F:$F, H$5)=0, "", COUNTIFS('SEANCE 1'!$B:$B, $B71, 'SEANCE 1'!$C:$C, H$2, 'SEANCE 1'!$F:$F, H$5))</f>
        <v/>
      </c>
      <c r="I71" s="64" t="str">
        <f ca="1">IF(COUNTIFS('SEANCE 1'!$B:$B, $B71, 'SEANCE 1'!$C:$C, I$2, 'SEANCE 1'!$F:$F, I$5)=0, "", COUNTIFS('SEANCE 1'!$B:$B, $B71, 'SEANCE 1'!$C:$C, I$2, 'SEANCE 1'!$F:$F, I$5))</f>
        <v/>
      </c>
      <c r="J71" s="64" t="str">
        <f ca="1">IF(COUNTIFS('SEANCE 1'!$B:$B, $B71, 'SEANCE 1'!$C:$C, J$2, 'SEANCE 1'!$F:$F, J$5)=0, "", COUNTIFS('SEANCE 1'!$B:$B, $B71, 'SEANCE 1'!$C:$C, J$2, 'SEANCE 1'!$F:$F, J$5))</f>
        <v/>
      </c>
      <c r="K71" s="64" t="str">
        <f ca="1">IF(COUNTIFS('SEANCE 1'!$B:$B, $B71, 'SEANCE 1'!$C:$C, K$2, 'SEANCE 1'!$F:$F, K$5)=0, "", COUNTIFS('SEANCE 1'!$B:$B, $B71, 'SEANCE 1'!$C:$C, K$2, 'SEANCE 1'!$F:$F, K$5))</f>
        <v/>
      </c>
      <c r="L71" s="64" t="str">
        <f ca="1">IF(COUNTIFS('SEANCE 1'!$B:$B, $B71, 'SEANCE 1'!$C:$C, L$2, 'SEANCE 1'!$F:$F, L$5)=0, "", COUNTIFS('SEANCE 1'!$B:$B, $B71, 'SEANCE 1'!$C:$C, L$2, 'SEANCE 1'!$F:$F, L$5))</f>
        <v/>
      </c>
      <c r="M71" s="64" t="str">
        <f ca="1">IF(COUNTIFS('SEANCE 1'!$B:$B, $B71, 'SEANCE 1'!$C:$C, M$2, 'SEANCE 1'!$F:$F, M$5)=0, "", COUNTIFS('SEANCE 1'!$B:$B, $B71, 'SEANCE 1'!$C:$C, M$2, 'SEANCE 1'!$F:$F, M$5))</f>
        <v/>
      </c>
      <c r="N71" s="64" t="str">
        <f ca="1">IF(COUNTIFS('SEANCE 1'!$B:$B, $B71, 'SEANCE 1'!$C:$C, N$2, 'SEANCE 1'!$F:$F, N$5)=0, "", COUNTIFS('SEANCE 1'!$B:$B, $B71, 'SEANCE 1'!$C:$C, N$2, 'SEANCE 1'!$F:$F, N$5))</f>
        <v/>
      </c>
      <c r="O71" s="64" t="str">
        <f ca="1">IF(COUNTIFS('SEANCE 1'!$B:$B, $B71, 'SEANCE 1'!$C:$C, O$2, 'SEANCE 1'!$F:$F, O$5)=0, "", COUNTIFS('SEANCE 1'!$B:$B, $B71, 'SEANCE 1'!$C:$C, O$2, 'SEANCE 1'!$F:$F, O$5))</f>
        <v/>
      </c>
      <c r="P71" s="64" t="str">
        <f ca="1">IF(COUNTIFS('SEANCE 1'!$B:$B, $B71, 'SEANCE 1'!$C:$C, P$2, 'SEANCE 1'!$F:$F, P$5)=0, "", COUNTIFS('SEANCE 1'!$B:$B, $B71, 'SEANCE 1'!$C:$C, P$2, 'SEANCE 1'!$F:$F, P$5))</f>
        <v/>
      </c>
      <c r="Q71" s="64" t="str">
        <f ca="1">IF(COUNTIFS('SEANCE 1'!$B:$B, $B71, 'SEANCE 1'!$C:$C, Q$2, 'SEANCE 1'!$F:$F, Q$5)=0, "", COUNTIFS('SEANCE 1'!$B:$B, $B71, 'SEANCE 1'!$C:$C, Q$2, 'SEANCE 1'!$F:$F, Q$5))</f>
        <v/>
      </c>
      <c r="R71" s="64" t="str">
        <f ca="1">IF(COUNTIFS('SEANCE 1'!$B:$B, $B71, 'SEANCE 1'!$C:$C, R$2, 'SEANCE 1'!$F:$F, R$5)=0, "", COUNTIFS('SEANCE 1'!$B:$B, $B71, 'SEANCE 1'!$C:$C, R$2, 'SEANCE 1'!$F:$F, R$5))</f>
        <v/>
      </c>
      <c r="S71" s="64" t="str">
        <f ca="1">IF(COUNTIFS('SEANCE 1'!$B:$B, $B71, 'SEANCE 1'!$C:$C, S$2, 'SEANCE 1'!$F:$F, S$5)=0, "", COUNTIFS('SEANCE 1'!$B:$B, $B71, 'SEANCE 1'!$C:$C, S$2, 'SEANCE 1'!$F:$F, S$5))</f>
        <v/>
      </c>
      <c r="T71" s="64" t="str">
        <f ca="1">IF(COUNTIFS('SEANCE 1'!$B:$B, $B71, 'SEANCE 1'!$C:$C, T$2, 'SEANCE 1'!$F:$F, T$5)=0, "", COUNTIFS('SEANCE 1'!$B:$B, $B71, 'SEANCE 1'!$C:$C, T$2, 'SEANCE 1'!$F:$F, T$5))</f>
        <v/>
      </c>
      <c r="U71" s="64" t="str">
        <f ca="1">IF(COUNTIFS('SEANCE 1'!$B:$B, $B71, 'SEANCE 1'!$C:$C, U$2, 'SEANCE 1'!$F:$F, U$5)=0, "", COUNTIFS('SEANCE 1'!$B:$B, $B71, 'SEANCE 1'!$C:$C, U$2, 'SEANCE 1'!$F:$F, U$5))</f>
        <v/>
      </c>
      <c r="V71" s="64" t="str">
        <f ca="1">IF(COUNTIFS('SEANCE 1'!$B:$B, $B71, 'SEANCE 1'!$C:$C, V$2, 'SEANCE 1'!$F:$F, V$5)=0, "", COUNTIFS('SEANCE 1'!$B:$B, $B71, 'SEANCE 1'!$C:$C, V$2, 'SEANCE 1'!$F:$F, V$5))</f>
        <v/>
      </c>
      <c r="W71" s="64" t="str">
        <f ca="1">IF(COUNTIFS('SEANCE 1'!$B:$B, $B71, 'SEANCE 1'!$C:$C, W$2, 'SEANCE 1'!$F:$F, W$5)=0, "", COUNTIFS('SEANCE 1'!$B:$B, $B71, 'SEANCE 1'!$C:$C, W$2, 'SEANCE 1'!$F:$F, W$5))</f>
        <v/>
      </c>
      <c r="X71" s="64" t="str">
        <f ca="1">IF(COUNTIFS('SEANCE 1'!$B:$B, $B71, 'SEANCE 1'!$C:$C, X$2, 'SEANCE 1'!$F:$F, X$5)=0, "", COUNTIFS('SEANCE 1'!$B:$B, $B71, 'SEANCE 1'!$C:$C, X$2, 'SEANCE 1'!$F:$F, X$5))</f>
        <v/>
      </c>
      <c r="Y71" s="64" t="str">
        <f ca="1">IF(COUNTIFS('SEANCE 1'!$B:$B, $B71, 'SEANCE 1'!$C:$C, Y$2, 'SEANCE 1'!$F:$F, Y$5)=0, "", COUNTIFS('SEANCE 1'!$B:$B, $B71, 'SEANCE 1'!$C:$C, Y$2, 'SEANCE 1'!$F:$F, Y$5))</f>
        <v/>
      </c>
      <c r="Z71" s="64" t="str">
        <f ca="1">IF(COUNTIFS('SEANCE 1'!$B:$B, $B71, 'SEANCE 1'!$C:$C, Z$2, 'SEANCE 1'!$F:$F, Z$5)=0, "", COUNTIFS('SEANCE 1'!$B:$B, $B71, 'SEANCE 1'!$C:$C, Z$2, 'SEANCE 1'!$F:$F, Z$5))</f>
        <v/>
      </c>
      <c r="AA71" s="64" t="str">
        <f ca="1">IF(COUNTIFS('SEANCE 1'!$B:$B, $B71, 'SEANCE 1'!$C:$C, AA$2, 'SEANCE 1'!$F:$F, AA$5)=0, "", COUNTIFS('SEANCE 1'!$B:$B, $B71, 'SEANCE 1'!$C:$C, AA$2, 'SEANCE 1'!$F:$F, AA$5))</f>
        <v/>
      </c>
      <c r="AB71" s="64" t="str">
        <f ca="1">IF(COUNTIFS('SEANCE 1'!$B:$B, $B71, 'SEANCE 1'!$C:$C, AB$2, 'SEANCE 1'!$F:$F, AB$5)=0, "", COUNTIFS('SEANCE 1'!$B:$B, $B71, 'SEANCE 1'!$C:$C, AB$2, 'SEANCE 1'!$F:$F, AB$5))</f>
        <v/>
      </c>
      <c r="AC71" s="64" t="str">
        <f ca="1">IF(COUNTIFS('SEANCE 1'!$B:$B, $B71, 'SEANCE 1'!$C:$C, AC$2, 'SEANCE 1'!$F:$F, AC$5)=0, "", COUNTIFS('SEANCE 1'!$B:$B, $B71, 'SEANCE 1'!$C:$C, AC$2, 'SEANCE 1'!$F:$F, AC$5))</f>
        <v/>
      </c>
      <c r="AD71" s="64" t="str">
        <f ca="1">IF(COUNTIFS('SEANCE 1'!$B:$B, $B71, 'SEANCE 1'!$C:$C, AD$2, 'SEANCE 1'!$F:$F, AD$5)=0, "", COUNTIFS('SEANCE 1'!$B:$B, $B71, 'SEANCE 1'!$C:$C, AD$2, 'SEANCE 1'!$F:$F, AD$5))</f>
        <v/>
      </c>
      <c r="AE71" s="64" t="str">
        <f ca="1">IF(COUNTIFS('SEANCE 1'!$B:$B, $B71, 'SEANCE 1'!$C:$C, AE$2, 'SEANCE 1'!$F:$F, AE$5)=0, "", COUNTIFS('SEANCE 1'!$B:$B, $B71, 'SEANCE 1'!$C:$C, AE$2, 'SEANCE 1'!$F:$F, AE$5))</f>
        <v/>
      </c>
      <c r="AF71" s="64" t="str">
        <f ca="1">IF(COUNTIFS('SEANCE 1'!$B:$B, $B71, 'SEANCE 1'!$C:$C, AF$2, 'SEANCE 1'!$F:$F, AF$5)=0, "", COUNTIFS('SEANCE 1'!$B:$B, $B71, 'SEANCE 1'!$C:$C, AF$2, 'SEANCE 1'!$F:$F, AF$5))</f>
        <v/>
      </c>
      <c r="AG71" s="64" t="str">
        <f ca="1">IF(COUNTIFS('SEANCE 1'!$B:$B, $B71, 'SEANCE 1'!$C:$C, AG$2, 'SEANCE 1'!$F:$F, AG$5)=0, "", COUNTIFS('SEANCE 1'!$B:$B, $B71, 'SEANCE 1'!$C:$C, AG$2, 'SEANCE 1'!$F:$F, AG$5))</f>
        <v/>
      </c>
      <c r="AH71" s="64" t="str">
        <f ca="1">IF(COUNTIFS('SEANCE 1'!$B:$B, $B71, 'SEANCE 1'!$C:$C, AH$2, 'SEANCE 1'!$F:$F, AH$5)=0, "", COUNTIFS('SEANCE 1'!$B:$B, $B71, 'SEANCE 1'!$C:$C, AH$2, 'SEANCE 1'!$F:$F, AH$5))</f>
        <v/>
      </c>
      <c r="AI71" s="64" t="str">
        <f ca="1">IF(COUNTIFS('SEANCE 1'!$B:$B, $B71, 'SEANCE 1'!$C:$C, AI$2, 'SEANCE 1'!$F:$F, AI$5)=0, "", COUNTIFS('SEANCE 1'!$B:$B, $B71, 'SEANCE 1'!$C:$C, AI$2, 'SEANCE 1'!$F:$F, AI$5))</f>
        <v/>
      </c>
      <c r="AJ71" s="64" t="str">
        <f ca="1">IF(COUNTIFS('SEANCE 1'!$B:$B, $B71, 'SEANCE 1'!$C:$C, AJ$2, 'SEANCE 1'!$F:$F, AJ$5)=0, "", COUNTIFS('SEANCE 1'!$B:$B, $B71, 'SEANCE 1'!$C:$C, AJ$2, 'SEANCE 1'!$F:$F, AJ$5))</f>
        <v/>
      </c>
      <c r="AK71" s="64" t="str">
        <f ca="1">IF(COUNTIFS('SEANCE 1'!$B:$B, $B71, 'SEANCE 1'!$C:$C, AK$2, 'SEANCE 1'!$F:$F, AK$5)=0, "", COUNTIFS('SEANCE 1'!$B:$B, $B71, 'SEANCE 1'!$C:$C, AK$2, 'SEANCE 1'!$F:$F, AK$5))</f>
        <v/>
      </c>
      <c r="AL71" s="64" t="str">
        <f ca="1">IF(COUNTIFS('SEANCE 1'!$B:$B, $B71, 'SEANCE 1'!$C:$C, AL$2, 'SEANCE 1'!$F:$F, AL$5)=0, "", COUNTIFS('SEANCE 1'!$B:$B, $B71, 'SEANCE 1'!$C:$C, AL$2, 'SEANCE 1'!$F:$F, AL$5))</f>
        <v/>
      </c>
      <c r="AM71" s="64" t="str">
        <f ca="1">IF(COUNTIFS('SEANCE 1'!$B:$B, $B71, 'SEANCE 1'!$C:$C, AM$2, 'SEANCE 1'!$F:$F, AM$5)=0, "", COUNTIFS('SEANCE 1'!$B:$B, $B71, 'SEANCE 1'!$C:$C, AM$2, 'SEANCE 1'!$F:$F, AM$5))</f>
        <v/>
      </c>
      <c r="AN71" s="64" t="str">
        <f ca="1">IF(COUNTIFS('SEANCE 1'!$B:$B, $B71, 'SEANCE 1'!$C:$C, AN$2, 'SEANCE 1'!$F:$F, AN$5)=0, "", COUNTIFS('SEANCE 1'!$B:$B, $B71, 'SEANCE 1'!$C:$C, AN$2, 'SEANCE 1'!$F:$F, AN$5))</f>
        <v/>
      </c>
      <c r="AO71" s="64" t="str">
        <f ca="1">IF(COUNTIFS('SEANCE 1'!$B:$B, $B71, 'SEANCE 1'!$C:$C, AO$2, 'SEANCE 1'!$F:$F, AO$5)=0, "", COUNTIFS('SEANCE 1'!$B:$B, $B71, 'SEANCE 1'!$C:$C, AO$2, 'SEANCE 1'!$F:$F, AO$5))</f>
        <v/>
      </c>
      <c r="AP71" s="64" t="str">
        <f ca="1">IF(COUNTIFS('SEANCE 1'!$B:$B, $B71, 'SEANCE 1'!$C:$C, AP$2, 'SEANCE 1'!$F:$F, AP$5)=0, "", COUNTIFS('SEANCE 1'!$B:$B, $B71, 'SEANCE 1'!$C:$C, AP$2, 'SEANCE 1'!$F:$F, AP$5))</f>
        <v/>
      </c>
      <c r="AQ71" s="64" t="str">
        <f ca="1">IF(COUNTIFS('SEANCE 1'!$B:$B, $B71, 'SEANCE 1'!$C:$C, AQ$2, 'SEANCE 1'!$F:$F, AQ$5)=0, "", COUNTIFS('SEANCE 1'!$B:$B, $B71, 'SEANCE 1'!$C:$C, AQ$2, 'SEANCE 1'!$F:$F, AQ$5))</f>
        <v/>
      </c>
      <c r="AR71" s="64" t="str">
        <f ca="1">IF(COUNTIFS('SEANCE 1'!$B:$B, $B71, 'SEANCE 1'!$C:$C, AR$2, 'SEANCE 1'!$F:$F, AR$5)=0, "", COUNTIFS('SEANCE 1'!$B:$B, $B71, 'SEANCE 1'!$C:$C, AR$2, 'SEANCE 1'!$F:$F, AR$5))</f>
        <v/>
      </c>
      <c r="AS71" s="64" t="str">
        <f ca="1">IF(COUNTIFS('SEANCE 1'!$B:$B, $B71, 'SEANCE 1'!$C:$C, AS$2, 'SEANCE 1'!$F:$F, AS$5)=0, "", COUNTIFS('SEANCE 1'!$B:$B, $B71, 'SEANCE 1'!$C:$C, AS$2, 'SEANCE 1'!$F:$F, AS$5))</f>
        <v/>
      </c>
      <c r="AT71" s="64" t="str">
        <f ca="1">IF(COUNTIFS('SEANCE 1'!$B:$B, $B71, 'SEANCE 1'!$C:$C, AT$2, 'SEANCE 1'!$F:$F, AT$5)=0, "", COUNTIFS('SEANCE 1'!$B:$B, $B71, 'SEANCE 1'!$C:$C, AT$2, 'SEANCE 1'!$F:$F, AT$5))</f>
        <v/>
      </c>
      <c r="AU71" s="64" t="str">
        <f ca="1">IF(COUNTIFS('SEANCE 1'!$B:$B, $B71, 'SEANCE 1'!$C:$C, AU$2, 'SEANCE 1'!$F:$F, AU$5)=0, "", COUNTIFS('SEANCE 1'!$B:$B, $B71, 'SEANCE 1'!$C:$C, AU$2, 'SEANCE 1'!$F:$F, AU$5))</f>
        <v/>
      </c>
      <c r="AV71" s="64" t="str">
        <f ca="1">IF(COUNTIFS('SEANCE 1'!$B:$B, $B71, 'SEANCE 1'!$C:$C, AV$2, 'SEANCE 1'!$F:$F, AV$5)=0, "", COUNTIFS('SEANCE 1'!$B:$B, $B71, 'SEANCE 1'!$C:$C, AV$2, 'SEANCE 1'!$F:$F, AV$5))</f>
        <v/>
      </c>
      <c r="AW71" s="64" t="str">
        <f ca="1">IF(COUNTIFS('SEANCE 1'!$B:$B, $B71, 'SEANCE 1'!$C:$C, AW$2, 'SEANCE 1'!$F:$F, AW$5)=0, "", COUNTIFS('SEANCE 1'!$B:$B, $B71, 'SEANCE 1'!$C:$C, AW$2, 'SEANCE 1'!$F:$F, AW$5))</f>
        <v/>
      </c>
      <c r="AX71" s="64" t="str">
        <f ca="1">IF(COUNTIFS('SEANCE 1'!$B:$B, $B71, 'SEANCE 1'!$C:$C, AX$2, 'SEANCE 1'!$F:$F, AX$5)=0, "", COUNTIFS('SEANCE 1'!$B:$B, $B71, 'SEANCE 1'!$C:$C, AX$2, 'SEANCE 1'!$F:$F, AX$5))</f>
        <v/>
      </c>
      <c r="AY71" s="64" t="str">
        <f ca="1">IF(COUNTIFS('SEANCE 1'!$B:$B, $B71, 'SEANCE 1'!$C:$C, AY$2, 'SEANCE 1'!$F:$F, AY$5)=0, "", COUNTIFS('SEANCE 1'!$B:$B, $B71, 'SEANCE 1'!$C:$C, AY$2, 'SEANCE 1'!$F:$F, AY$5))</f>
        <v/>
      </c>
      <c r="AZ71" s="32">
        <f t="shared" ref="AZ71:AZ134" ca="1" si="1">SUM(C71:AY71)</f>
        <v>0</v>
      </c>
    </row>
    <row r="72" spans="1:52">
      <c r="A72" s="44" t="str">
        <f>IF('SEANCE 1'!$B68&lt;&gt;"",'SEANCE 1'!$A68,"")</f>
        <v/>
      </c>
      <c r="B72" s="44" t="str">
        <f t="array" aca="1" ref="B72" ca="1">IF(ISNA(INDEX(ListeB,MATCH(0,COUNTIF($B$5:B71,ListeB),0))),"",INDEX(ListeB,MATCH(0,COUNTIF($B$5:B71,ListeB),0)))</f>
        <v/>
      </c>
      <c r="C72" s="64" t="str">
        <f ca="1">IF(COUNTIFS('SEANCE 1'!$B:$B, $B72, 'SEANCE 1'!$C:$C, C$2, 'SEANCE 1'!$F:$F, C$5)=0, "", COUNTIFS('SEANCE 1'!$B:$B, $B72, 'SEANCE 1'!$C:$C, C$2, 'SEANCE 1'!$F:$F, C$5))</f>
        <v/>
      </c>
      <c r="D72" s="64" t="str">
        <f ca="1">IF(COUNTIFS('SEANCE 1'!$B:$B, $B72, 'SEANCE 1'!$C:$C, D$2, 'SEANCE 1'!$F:$F, D$5)=0, "", COUNTIFS('SEANCE 1'!$B:$B, $B72, 'SEANCE 1'!$C:$C, D$2, 'SEANCE 1'!$F:$F, D$5))</f>
        <v/>
      </c>
      <c r="E72" s="64" t="str">
        <f ca="1">IF(COUNTIFS('SEANCE 1'!$B:$B, $B72, 'SEANCE 1'!$C:$C, E$2, 'SEANCE 1'!$F:$F, E$5)=0, "", COUNTIFS('SEANCE 1'!$B:$B, $B72, 'SEANCE 1'!$C:$C, E$2, 'SEANCE 1'!$F:$F, E$5))</f>
        <v/>
      </c>
      <c r="F72" s="64" t="str">
        <f ca="1">IF(COUNTIFS('SEANCE 1'!$B:$B, $B72, 'SEANCE 1'!$C:$C, F$2, 'SEANCE 1'!$F:$F, F$5)=0, "", COUNTIFS('SEANCE 1'!$B:$B, $B72, 'SEANCE 1'!$C:$C, F$2, 'SEANCE 1'!$F:$F, F$5))</f>
        <v/>
      </c>
      <c r="G72" s="64" t="str">
        <f ca="1">IF(COUNTIFS('SEANCE 1'!$B:$B, $B72, 'SEANCE 1'!$C:$C, G$2, 'SEANCE 1'!$F:$F, G$5)=0, "", COUNTIFS('SEANCE 1'!$B:$B, $B72, 'SEANCE 1'!$C:$C, G$2, 'SEANCE 1'!$F:$F, G$5))</f>
        <v/>
      </c>
      <c r="H72" s="64" t="str">
        <f ca="1">IF(COUNTIFS('SEANCE 1'!$B:$B, $B72, 'SEANCE 1'!$C:$C, H$2, 'SEANCE 1'!$F:$F, H$5)=0, "", COUNTIFS('SEANCE 1'!$B:$B, $B72, 'SEANCE 1'!$C:$C, H$2, 'SEANCE 1'!$F:$F, H$5))</f>
        <v/>
      </c>
      <c r="I72" s="64" t="str">
        <f ca="1">IF(COUNTIFS('SEANCE 1'!$B:$B, $B72, 'SEANCE 1'!$C:$C, I$2, 'SEANCE 1'!$F:$F, I$5)=0, "", COUNTIFS('SEANCE 1'!$B:$B, $B72, 'SEANCE 1'!$C:$C, I$2, 'SEANCE 1'!$F:$F, I$5))</f>
        <v/>
      </c>
      <c r="J72" s="64" t="str">
        <f ca="1">IF(COUNTIFS('SEANCE 1'!$B:$B, $B72, 'SEANCE 1'!$C:$C, J$2, 'SEANCE 1'!$F:$F, J$5)=0, "", COUNTIFS('SEANCE 1'!$B:$B, $B72, 'SEANCE 1'!$C:$C, J$2, 'SEANCE 1'!$F:$F, J$5))</f>
        <v/>
      </c>
      <c r="K72" s="64" t="str">
        <f ca="1">IF(COUNTIFS('SEANCE 1'!$B:$B, $B72, 'SEANCE 1'!$C:$C, K$2, 'SEANCE 1'!$F:$F, K$5)=0, "", COUNTIFS('SEANCE 1'!$B:$B, $B72, 'SEANCE 1'!$C:$C, K$2, 'SEANCE 1'!$F:$F, K$5))</f>
        <v/>
      </c>
      <c r="L72" s="64" t="str">
        <f ca="1">IF(COUNTIFS('SEANCE 1'!$B:$B, $B72, 'SEANCE 1'!$C:$C, L$2, 'SEANCE 1'!$F:$F, L$5)=0, "", COUNTIFS('SEANCE 1'!$B:$B, $B72, 'SEANCE 1'!$C:$C, L$2, 'SEANCE 1'!$F:$F, L$5))</f>
        <v/>
      </c>
      <c r="M72" s="64" t="str">
        <f ca="1">IF(COUNTIFS('SEANCE 1'!$B:$B, $B72, 'SEANCE 1'!$C:$C, M$2, 'SEANCE 1'!$F:$F, M$5)=0, "", COUNTIFS('SEANCE 1'!$B:$B, $B72, 'SEANCE 1'!$C:$C, M$2, 'SEANCE 1'!$F:$F, M$5))</f>
        <v/>
      </c>
      <c r="N72" s="64" t="str">
        <f ca="1">IF(COUNTIFS('SEANCE 1'!$B:$B, $B72, 'SEANCE 1'!$C:$C, N$2, 'SEANCE 1'!$F:$F, N$5)=0, "", COUNTIFS('SEANCE 1'!$B:$B, $B72, 'SEANCE 1'!$C:$C, N$2, 'SEANCE 1'!$F:$F, N$5))</f>
        <v/>
      </c>
      <c r="O72" s="64" t="str">
        <f ca="1">IF(COUNTIFS('SEANCE 1'!$B:$B, $B72, 'SEANCE 1'!$C:$C, O$2, 'SEANCE 1'!$F:$F, O$5)=0, "", COUNTIFS('SEANCE 1'!$B:$B, $B72, 'SEANCE 1'!$C:$C, O$2, 'SEANCE 1'!$F:$F, O$5))</f>
        <v/>
      </c>
      <c r="P72" s="64" t="str">
        <f ca="1">IF(COUNTIFS('SEANCE 1'!$B:$B, $B72, 'SEANCE 1'!$C:$C, P$2, 'SEANCE 1'!$F:$F, P$5)=0, "", COUNTIFS('SEANCE 1'!$B:$B, $B72, 'SEANCE 1'!$C:$C, P$2, 'SEANCE 1'!$F:$F, P$5))</f>
        <v/>
      </c>
      <c r="Q72" s="64" t="str">
        <f ca="1">IF(COUNTIFS('SEANCE 1'!$B:$B, $B72, 'SEANCE 1'!$C:$C, Q$2, 'SEANCE 1'!$F:$F, Q$5)=0, "", COUNTIFS('SEANCE 1'!$B:$B, $B72, 'SEANCE 1'!$C:$C, Q$2, 'SEANCE 1'!$F:$F, Q$5))</f>
        <v/>
      </c>
      <c r="R72" s="64" t="str">
        <f ca="1">IF(COUNTIFS('SEANCE 1'!$B:$B, $B72, 'SEANCE 1'!$C:$C, R$2, 'SEANCE 1'!$F:$F, R$5)=0, "", COUNTIFS('SEANCE 1'!$B:$B, $B72, 'SEANCE 1'!$C:$C, R$2, 'SEANCE 1'!$F:$F, R$5))</f>
        <v/>
      </c>
      <c r="S72" s="64" t="str">
        <f ca="1">IF(COUNTIFS('SEANCE 1'!$B:$B, $B72, 'SEANCE 1'!$C:$C, S$2, 'SEANCE 1'!$F:$F, S$5)=0, "", COUNTIFS('SEANCE 1'!$B:$B, $B72, 'SEANCE 1'!$C:$C, S$2, 'SEANCE 1'!$F:$F, S$5))</f>
        <v/>
      </c>
      <c r="T72" s="64" t="str">
        <f ca="1">IF(COUNTIFS('SEANCE 1'!$B:$B, $B72, 'SEANCE 1'!$C:$C, T$2, 'SEANCE 1'!$F:$F, T$5)=0, "", COUNTIFS('SEANCE 1'!$B:$B, $B72, 'SEANCE 1'!$C:$C, T$2, 'SEANCE 1'!$F:$F, T$5))</f>
        <v/>
      </c>
      <c r="U72" s="64" t="str">
        <f ca="1">IF(COUNTIFS('SEANCE 1'!$B:$B, $B72, 'SEANCE 1'!$C:$C, U$2, 'SEANCE 1'!$F:$F, U$5)=0, "", COUNTIFS('SEANCE 1'!$B:$B, $B72, 'SEANCE 1'!$C:$C, U$2, 'SEANCE 1'!$F:$F, U$5))</f>
        <v/>
      </c>
      <c r="V72" s="64" t="str">
        <f ca="1">IF(COUNTIFS('SEANCE 1'!$B:$B, $B72, 'SEANCE 1'!$C:$C, V$2, 'SEANCE 1'!$F:$F, V$5)=0, "", COUNTIFS('SEANCE 1'!$B:$B, $B72, 'SEANCE 1'!$C:$C, V$2, 'SEANCE 1'!$F:$F, V$5))</f>
        <v/>
      </c>
      <c r="W72" s="64" t="str">
        <f ca="1">IF(COUNTIFS('SEANCE 1'!$B:$B, $B72, 'SEANCE 1'!$C:$C, W$2, 'SEANCE 1'!$F:$F, W$5)=0, "", COUNTIFS('SEANCE 1'!$B:$B, $B72, 'SEANCE 1'!$C:$C, W$2, 'SEANCE 1'!$F:$F, W$5))</f>
        <v/>
      </c>
      <c r="X72" s="64" t="str">
        <f ca="1">IF(COUNTIFS('SEANCE 1'!$B:$B, $B72, 'SEANCE 1'!$C:$C, X$2, 'SEANCE 1'!$F:$F, X$5)=0, "", COUNTIFS('SEANCE 1'!$B:$B, $B72, 'SEANCE 1'!$C:$C, X$2, 'SEANCE 1'!$F:$F, X$5))</f>
        <v/>
      </c>
      <c r="Y72" s="64" t="str">
        <f ca="1">IF(COUNTIFS('SEANCE 1'!$B:$B, $B72, 'SEANCE 1'!$C:$C, Y$2, 'SEANCE 1'!$F:$F, Y$5)=0, "", COUNTIFS('SEANCE 1'!$B:$B, $B72, 'SEANCE 1'!$C:$C, Y$2, 'SEANCE 1'!$F:$F, Y$5))</f>
        <v/>
      </c>
      <c r="Z72" s="64" t="str">
        <f ca="1">IF(COUNTIFS('SEANCE 1'!$B:$B, $B72, 'SEANCE 1'!$C:$C, Z$2, 'SEANCE 1'!$F:$F, Z$5)=0, "", COUNTIFS('SEANCE 1'!$B:$B, $B72, 'SEANCE 1'!$C:$C, Z$2, 'SEANCE 1'!$F:$F, Z$5))</f>
        <v/>
      </c>
      <c r="AA72" s="64" t="str">
        <f ca="1">IF(COUNTIFS('SEANCE 1'!$B:$B, $B72, 'SEANCE 1'!$C:$C, AA$2, 'SEANCE 1'!$F:$F, AA$5)=0, "", COUNTIFS('SEANCE 1'!$B:$B, $B72, 'SEANCE 1'!$C:$C, AA$2, 'SEANCE 1'!$F:$F, AA$5))</f>
        <v/>
      </c>
      <c r="AB72" s="64" t="str">
        <f ca="1">IF(COUNTIFS('SEANCE 1'!$B:$B, $B72, 'SEANCE 1'!$C:$C, AB$2, 'SEANCE 1'!$F:$F, AB$5)=0, "", COUNTIFS('SEANCE 1'!$B:$B, $B72, 'SEANCE 1'!$C:$C, AB$2, 'SEANCE 1'!$F:$F, AB$5))</f>
        <v/>
      </c>
      <c r="AC72" s="64" t="str">
        <f ca="1">IF(COUNTIFS('SEANCE 1'!$B:$B, $B72, 'SEANCE 1'!$C:$C, AC$2, 'SEANCE 1'!$F:$F, AC$5)=0, "", COUNTIFS('SEANCE 1'!$B:$B, $B72, 'SEANCE 1'!$C:$C, AC$2, 'SEANCE 1'!$F:$F, AC$5))</f>
        <v/>
      </c>
      <c r="AD72" s="64" t="str">
        <f ca="1">IF(COUNTIFS('SEANCE 1'!$B:$B, $B72, 'SEANCE 1'!$C:$C, AD$2, 'SEANCE 1'!$F:$F, AD$5)=0, "", COUNTIFS('SEANCE 1'!$B:$B, $B72, 'SEANCE 1'!$C:$C, AD$2, 'SEANCE 1'!$F:$F, AD$5))</f>
        <v/>
      </c>
      <c r="AE72" s="64" t="str">
        <f ca="1">IF(COUNTIFS('SEANCE 1'!$B:$B, $B72, 'SEANCE 1'!$C:$C, AE$2, 'SEANCE 1'!$F:$F, AE$5)=0, "", COUNTIFS('SEANCE 1'!$B:$B, $B72, 'SEANCE 1'!$C:$C, AE$2, 'SEANCE 1'!$F:$F, AE$5))</f>
        <v/>
      </c>
      <c r="AF72" s="64" t="str">
        <f ca="1">IF(COUNTIFS('SEANCE 1'!$B:$B, $B72, 'SEANCE 1'!$C:$C, AF$2, 'SEANCE 1'!$F:$F, AF$5)=0, "", COUNTIFS('SEANCE 1'!$B:$B, $B72, 'SEANCE 1'!$C:$C, AF$2, 'SEANCE 1'!$F:$F, AF$5))</f>
        <v/>
      </c>
      <c r="AG72" s="64" t="str">
        <f ca="1">IF(COUNTIFS('SEANCE 1'!$B:$B, $B72, 'SEANCE 1'!$C:$C, AG$2, 'SEANCE 1'!$F:$F, AG$5)=0, "", COUNTIFS('SEANCE 1'!$B:$B, $B72, 'SEANCE 1'!$C:$C, AG$2, 'SEANCE 1'!$F:$F, AG$5))</f>
        <v/>
      </c>
      <c r="AH72" s="64" t="str">
        <f ca="1">IF(COUNTIFS('SEANCE 1'!$B:$B, $B72, 'SEANCE 1'!$C:$C, AH$2, 'SEANCE 1'!$F:$F, AH$5)=0, "", COUNTIFS('SEANCE 1'!$B:$B, $B72, 'SEANCE 1'!$C:$C, AH$2, 'SEANCE 1'!$F:$F, AH$5))</f>
        <v/>
      </c>
      <c r="AI72" s="64" t="str">
        <f ca="1">IF(COUNTIFS('SEANCE 1'!$B:$B, $B72, 'SEANCE 1'!$C:$C, AI$2, 'SEANCE 1'!$F:$F, AI$5)=0, "", COUNTIFS('SEANCE 1'!$B:$B, $B72, 'SEANCE 1'!$C:$C, AI$2, 'SEANCE 1'!$F:$F, AI$5))</f>
        <v/>
      </c>
      <c r="AJ72" s="64" t="str">
        <f ca="1">IF(COUNTIFS('SEANCE 1'!$B:$B, $B72, 'SEANCE 1'!$C:$C, AJ$2, 'SEANCE 1'!$F:$F, AJ$5)=0, "", COUNTIFS('SEANCE 1'!$B:$B, $B72, 'SEANCE 1'!$C:$C, AJ$2, 'SEANCE 1'!$F:$F, AJ$5))</f>
        <v/>
      </c>
      <c r="AK72" s="64" t="str">
        <f ca="1">IF(COUNTIFS('SEANCE 1'!$B:$B, $B72, 'SEANCE 1'!$C:$C, AK$2, 'SEANCE 1'!$F:$F, AK$5)=0, "", COUNTIFS('SEANCE 1'!$B:$B, $B72, 'SEANCE 1'!$C:$C, AK$2, 'SEANCE 1'!$F:$F, AK$5))</f>
        <v/>
      </c>
      <c r="AL72" s="64" t="str">
        <f ca="1">IF(COUNTIFS('SEANCE 1'!$B:$B, $B72, 'SEANCE 1'!$C:$C, AL$2, 'SEANCE 1'!$F:$F, AL$5)=0, "", COUNTIFS('SEANCE 1'!$B:$B, $B72, 'SEANCE 1'!$C:$C, AL$2, 'SEANCE 1'!$F:$F, AL$5))</f>
        <v/>
      </c>
      <c r="AM72" s="64" t="str">
        <f ca="1">IF(COUNTIFS('SEANCE 1'!$B:$B, $B72, 'SEANCE 1'!$C:$C, AM$2, 'SEANCE 1'!$F:$F, AM$5)=0, "", COUNTIFS('SEANCE 1'!$B:$B, $B72, 'SEANCE 1'!$C:$C, AM$2, 'SEANCE 1'!$F:$F, AM$5))</f>
        <v/>
      </c>
      <c r="AN72" s="64" t="str">
        <f ca="1">IF(COUNTIFS('SEANCE 1'!$B:$B, $B72, 'SEANCE 1'!$C:$C, AN$2, 'SEANCE 1'!$F:$F, AN$5)=0, "", COUNTIFS('SEANCE 1'!$B:$B, $B72, 'SEANCE 1'!$C:$C, AN$2, 'SEANCE 1'!$F:$F, AN$5))</f>
        <v/>
      </c>
      <c r="AO72" s="64" t="str">
        <f ca="1">IF(COUNTIFS('SEANCE 1'!$B:$B, $B72, 'SEANCE 1'!$C:$C, AO$2, 'SEANCE 1'!$F:$F, AO$5)=0, "", COUNTIFS('SEANCE 1'!$B:$B, $B72, 'SEANCE 1'!$C:$C, AO$2, 'SEANCE 1'!$F:$F, AO$5))</f>
        <v/>
      </c>
      <c r="AP72" s="64" t="str">
        <f ca="1">IF(COUNTIFS('SEANCE 1'!$B:$B, $B72, 'SEANCE 1'!$C:$C, AP$2, 'SEANCE 1'!$F:$F, AP$5)=0, "", COUNTIFS('SEANCE 1'!$B:$B, $B72, 'SEANCE 1'!$C:$C, AP$2, 'SEANCE 1'!$F:$F, AP$5))</f>
        <v/>
      </c>
      <c r="AQ72" s="64" t="str">
        <f ca="1">IF(COUNTIFS('SEANCE 1'!$B:$B, $B72, 'SEANCE 1'!$C:$C, AQ$2, 'SEANCE 1'!$F:$F, AQ$5)=0, "", COUNTIFS('SEANCE 1'!$B:$B, $B72, 'SEANCE 1'!$C:$C, AQ$2, 'SEANCE 1'!$F:$F, AQ$5))</f>
        <v/>
      </c>
      <c r="AR72" s="64" t="str">
        <f ca="1">IF(COUNTIFS('SEANCE 1'!$B:$B, $B72, 'SEANCE 1'!$C:$C, AR$2, 'SEANCE 1'!$F:$F, AR$5)=0, "", COUNTIFS('SEANCE 1'!$B:$B, $B72, 'SEANCE 1'!$C:$C, AR$2, 'SEANCE 1'!$F:$F, AR$5))</f>
        <v/>
      </c>
      <c r="AS72" s="64" t="str">
        <f ca="1">IF(COUNTIFS('SEANCE 1'!$B:$B, $B72, 'SEANCE 1'!$C:$C, AS$2, 'SEANCE 1'!$F:$F, AS$5)=0, "", COUNTIFS('SEANCE 1'!$B:$B, $B72, 'SEANCE 1'!$C:$C, AS$2, 'SEANCE 1'!$F:$F, AS$5))</f>
        <v/>
      </c>
      <c r="AT72" s="64" t="str">
        <f ca="1">IF(COUNTIFS('SEANCE 1'!$B:$B, $B72, 'SEANCE 1'!$C:$C, AT$2, 'SEANCE 1'!$F:$F, AT$5)=0, "", COUNTIFS('SEANCE 1'!$B:$B, $B72, 'SEANCE 1'!$C:$C, AT$2, 'SEANCE 1'!$F:$F, AT$5))</f>
        <v/>
      </c>
      <c r="AU72" s="64" t="str">
        <f ca="1">IF(COUNTIFS('SEANCE 1'!$B:$B, $B72, 'SEANCE 1'!$C:$C, AU$2, 'SEANCE 1'!$F:$F, AU$5)=0, "", COUNTIFS('SEANCE 1'!$B:$B, $B72, 'SEANCE 1'!$C:$C, AU$2, 'SEANCE 1'!$F:$F, AU$5))</f>
        <v/>
      </c>
      <c r="AV72" s="64" t="str">
        <f ca="1">IF(COUNTIFS('SEANCE 1'!$B:$B, $B72, 'SEANCE 1'!$C:$C, AV$2, 'SEANCE 1'!$F:$F, AV$5)=0, "", COUNTIFS('SEANCE 1'!$B:$B, $B72, 'SEANCE 1'!$C:$C, AV$2, 'SEANCE 1'!$F:$F, AV$5))</f>
        <v/>
      </c>
      <c r="AW72" s="64" t="str">
        <f ca="1">IF(COUNTIFS('SEANCE 1'!$B:$B, $B72, 'SEANCE 1'!$C:$C, AW$2, 'SEANCE 1'!$F:$F, AW$5)=0, "", COUNTIFS('SEANCE 1'!$B:$B, $B72, 'SEANCE 1'!$C:$C, AW$2, 'SEANCE 1'!$F:$F, AW$5))</f>
        <v/>
      </c>
      <c r="AX72" s="64" t="str">
        <f ca="1">IF(COUNTIFS('SEANCE 1'!$B:$B, $B72, 'SEANCE 1'!$C:$C, AX$2, 'SEANCE 1'!$F:$F, AX$5)=0, "", COUNTIFS('SEANCE 1'!$B:$B, $B72, 'SEANCE 1'!$C:$C, AX$2, 'SEANCE 1'!$F:$F, AX$5))</f>
        <v/>
      </c>
      <c r="AY72" s="64" t="str">
        <f ca="1">IF(COUNTIFS('SEANCE 1'!$B:$B, $B72, 'SEANCE 1'!$C:$C, AY$2, 'SEANCE 1'!$F:$F, AY$5)=0, "", COUNTIFS('SEANCE 1'!$B:$B, $B72, 'SEANCE 1'!$C:$C, AY$2, 'SEANCE 1'!$F:$F, AY$5))</f>
        <v/>
      </c>
      <c r="AZ72" s="32">
        <f t="shared" ca="1" si="1"/>
        <v>0</v>
      </c>
    </row>
    <row r="73" spans="1:52">
      <c r="A73" s="44" t="str">
        <f>IF('SEANCE 1'!$B69&lt;&gt;"",'SEANCE 1'!$A69,"")</f>
        <v/>
      </c>
      <c r="B73" s="44" t="str">
        <f t="array" aca="1" ref="B73" ca="1">IF(ISNA(INDEX(ListeB,MATCH(0,COUNTIF($B$5:B72,ListeB),0))),"",INDEX(ListeB,MATCH(0,COUNTIF($B$5:B72,ListeB),0)))</f>
        <v/>
      </c>
      <c r="C73" s="64" t="str">
        <f ca="1">IF(COUNTIFS('SEANCE 1'!$B:$B, $B73, 'SEANCE 1'!$C:$C, C$2, 'SEANCE 1'!$F:$F, C$5)=0, "", COUNTIFS('SEANCE 1'!$B:$B, $B73, 'SEANCE 1'!$C:$C, C$2, 'SEANCE 1'!$F:$F, C$5))</f>
        <v/>
      </c>
      <c r="D73" s="64" t="str">
        <f ca="1">IF(COUNTIFS('SEANCE 1'!$B:$B, $B73, 'SEANCE 1'!$C:$C, D$2, 'SEANCE 1'!$F:$F, D$5)=0, "", COUNTIFS('SEANCE 1'!$B:$B, $B73, 'SEANCE 1'!$C:$C, D$2, 'SEANCE 1'!$F:$F, D$5))</f>
        <v/>
      </c>
      <c r="E73" s="64" t="str">
        <f ca="1">IF(COUNTIFS('SEANCE 1'!$B:$B, $B73, 'SEANCE 1'!$C:$C, E$2, 'SEANCE 1'!$F:$F, E$5)=0, "", COUNTIFS('SEANCE 1'!$B:$B, $B73, 'SEANCE 1'!$C:$C, E$2, 'SEANCE 1'!$F:$F, E$5))</f>
        <v/>
      </c>
      <c r="F73" s="64" t="str">
        <f ca="1">IF(COUNTIFS('SEANCE 1'!$B:$B, $B73, 'SEANCE 1'!$C:$C, F$2, 'SEANCE 1'!$F:$F, F$5)=0, "", COUNTIFS('SEANCE 1'!$B:$B, $B73, 'SEANCE 1'!$C:$C, F$2, 'SEANCE 1'!$F:$F, F$5))</f>
        <v/>
      </c>
      <c r="G73" s="64" t="str">
        <f ca="1">IF(COUNTIFS('SEANCE 1'!$B:$B, $B73, 'SEANCE 1'!$C:$C, G$2, 'SEANCE 1'!$F:$F, G$5)=0, "", COUNTIFS('SEANCE 1'!$B:$B, $B73, 'SEANCE 1'!$C:$C, G$2, 'SEANCE 1'!$F:$F, G$5))</f>
        <v/>
      </c>
      <c r="H73" s="64" t="str">
        <f ca="1">IF(COUNTIFS('SEANCE 1'!$B:$B, $B73, 'SEANCE 1'!$C:$C, H$2, 'SEANCE 1'!$F:$F, H$5)=0, "", COUNTIFS('SEANCE 1'!$B:$B, $B73, 'SEANCE 1'!$C:$C, H$2, 'SEANCE 1'!$F:$F, H$5))</f>
        <v/>
      </c>
      <c r="I73" s="64" t="str">
        <f ca="1">IF(COUNTIFS('SEANCE 1'!$B:$B, $B73, 'SEANCE 1'!$C:$C, I$2, 'SEANCE 1'!$F:$F, I$5)=0, "", COUNTIFS('SEANCE 1'!$B:$B, $B73, 'SEANCE 1'!$C:$C, I$2, 'SEANCE 1'!$F:$F, I$5))</f>
        <v/>
      </c>
      <c r="J73" s="64" t="str">
        <f ca="1">IF(COUNTIFS('SEANCE 1'!$B:$B, $B73, 'SEANCE 1'!$C:$C, J$2, 'SEANCE 1'!$F:$F, J$5)=0, "", COUNTIFS('SEANCE 1'!$B:$B, $B73, 'SEANCE 1'!$C:$C, J$2, 'SEANCE 1'!$F:$F, J$5))</f>
        <v/>
      </c>
      <c r="K73" s="64" t="str">
        <f ca="1">IF(COUNTIFS('SEANCE 1'!$B:$B, $B73, 'SEANCE 1'!$C:$C, K$2, 'SEANCE 1'!$F:$F, K$5)=0, "", COUNTIFS('SEANCE 1'!$B:$B, $B73, 'SEANCE 1'!$C:$C, K$2, 'SEANCE 1'!$F:$F, K$5))</f>
        <v/>
      </c>
      <c r="L73" s="64" t="str">
        <f ca="1">IF(COUNTIFS('SEANCE 1'!$B:$B, $B73, 'SEANCE 1'!$C:$C, L$2, 'SEANCE 1'!$F:$F, L$5)=0, "", COUNTIFS('SEANCE 1'!$B:$B, $B73, 'SEANCE 1'!$C:$C, L$2, 'SEANCE 1'!$F:$F, L$5))</f>
        <v/>
      </c>
      <c r="M73" s="64" t="str">
        <f ca="1">IF(COUNTIFS('SEANCE 1'!$B:$B, $B73, 'SEANCE 1'!$C:$C, M$2, 'SEANCE 1'!$F:$F, M$5)=0, "", COUNTIFS('SEANCE 1'!$B:$B, $B73, 'SEANCE 1'!$C:$C, M$2, 'SEANCE 1'!$F:$F, M$5))</f>
        <v/>
      </c>
      <c r="N73" s="64" t="str">
        <f ca="1">IF(COUNTIFS('SEANCE 1'!$B:$B, $B73, 'SEANCE 1'!$C:$C, N$2, 'SEANCE 1'!$F:$F, N$5)=0, "", COUNTIFS('SEANCE 1'!$B:$B, $B73, 'SEANCE 1'!$C:$C, N$2, 'SEANCE 1'!$F:$F, N$5))</f>
        <v/>
      </c>
      <c r="O73" s="64" t="str">
        <f ca="1">IF(COUNTIFS('SEANCE 1'!$B:$B, $B73, 'SEANCE 1'!$C:$C, O$2, 'SEANCE 1'!$F:$F, O$5)=0, "", COUNTIFS('SEANCE 1'!$B:$B, $B73, 'SEANCE 1'!$C:$C, O$2, 'SEANCE 1'!$F:$F, O$5))</f>
        <v/>
      </c>
      <c r="P73" s="64" t="str">
        <f ca="1">IF(COUNTIFS('SEANCE 1'!$B:$B, $B73, 'SEANCE 1'!$C:$C, P$2, 'SEANCE 1'!$F:$F, P$5)=0, "", COUNTIFS('SEANCE 1'!$B:$B, $B73, 'SEANCE 1'!$C:$C, P$2, 'SEANCE 1'!$F:$F, P$5))</f>
        <v/>
      </c>
      <c r="Q73" s="64" t="str">
        <f ca="1">IF(COUNTIFS('SEANCE 1'!$B:$B, $B73, 'SEANCE 1'!$C:$C, Q$2, 'SEANCE 1'!$F:$F, Q$5)=0, "", COUNTIFS('SEANCE 1'!$B:$B, $B73, 'SEANCE 1'!$C:$C, Q$2, 'SEANCE 1'!$F:$F, Q$5))</f>
        <v/>
      </c>
      <c r="R73" s="64" t="str">
        <f ca="1">IF(COUNTIFS('SEANCE 1'!$B:$B, $B73, 'SEANCE 1'!$C:$C, R$2, 'SEANCE 1'!$F:$F, R$5)=0, "", COUNTIFS('SEANCE 1'!$B:$B, $B73, 'SEANCE 1'!$C:$C, R$2, 'SEANCE 1'!$F:$F, R$5))</f>
        <v/>
      </c>
      <c r="S73" s="64" t="str">
        <f ca="1">IF(COUNTIFS('SEANCE 1'!$B:$B, $B73, 'SEANCE 1'!$C:$C, S$2, 'SEANCE 1'!$F:$F, S$5)=0, "", COUNTIFS('SEANCE 1'!$B:$B, $B73, 'SEANCE 1'!$C:$C, S$2, 'SEANCE 1'!$F:$F, S$5))</f>
        <v/>
      </c>
      <c r="T73" s="64" t="str">
        <f ca="1">IF(COUNTIFS('SEANCE 1'!$B:$B, $B73, 'SEANCE 1'!$C:$C, T$2, 'SEANCE 1'!$F:$F, T$5)=0, "", COUNTIFS('SEANCE 1'!$B:$B, $B73, 'SEANCE 1'!$C:$C, T$2, 'SEANCE 1'!$F:$F, T$5))</f>
        <v/>
      </c>
      <c r="U73" s="64" t="str">
        <f ca="1">IF(COUNTIFS('SEANCE 1'!$B:$B, $B73, 'SEANCE 1'!$C:$C, U$2, 'SEANCE 1'!$F:$F, U$5)=0, "", COUNTIFS('SEANCE 1'!$B:$B, $B73, 'SEANCE 1'!$C:$C, U$2, 'SEANCE 1'!$F:$F, U$5))</f>
        <v/>
      </c>
      <c r="V73" s="64" t="str">
        <f ca="1">IF(COUNTIFS('SEANCE 1'!$B:$B, $B73, 'SEANCE 1'!$C:$C, V$2, 'SEANCE 1'!$F:$F, V$5)=0, "", COUNTIFS('SEANCE 1'!$B:$B, $B73, 'SEANCE 1'!$C:$C, V$2, 'SEANCE 1'!$F:$F, V$5))</f>
        <v/>
      </c>
      <c r="W73" s="64" t="str">
        <f ca="1">IF(COUNTIFS('SEANCE 1'!$B:$B, $B73, 'SEANCE 1'!$C:$C, W$2, 'SEANCE 1'!$F:$F, W$5)=0, "", COUNTIFS('SEANCE 1'!$B:$B, $B73, 'SEANCE 1'!$C:$C, W$2, 'SEANCE 1'!$F:$F, W$5))</f>
        <v/>
      </c>
      <c r="X73" s="64" t="str">
        <f ca="1">IF(COUNTIFS('SEANCE 1'!$B:$B, $B73, 'SEANCE 1'!$C:$C, X$2, 'SEANCE 1'!$F:$F, X$5)=0, "", COUNTIFS('SEANCE 1'!$B:$B, $B73, 'SEANCE 1'!$C:$C, X$2, 'SEANCE 1'!$F:$F, X$5))</f>
        <v/>
      </c>
      <c r="Y73" s="64" t="str">
        <f ca="1">IF(COUNTIFS('SEANCE 1'!$B:$B, $B73, 'SEANCE 1'!$C:$C, Y$2, 'SEANCE 1'!$F:$F, Y$5)=0, "", COUNTIFS('SEANCE 1'!$B:$B, $B73, 'SEANCE 1'!$C:$C, Y$2, 'SEANCE 1'!$F:$F, Y$5))</f>
        <v/>
      </c>
      <c r="Z73" s="64" t="str">
        <f ca="1">IF(COUNTIFS('SEANCE 1'!$B:$B, $B73, 'SEANCE 1'!$C:$C, Z$2, 'SEANCE 1'!$F:$F, Z$5)=0, "", COUNTIFS('SEANCE 1'!$B:$B, $B73, 'SEANCE 1'!$C:$C, Z$2, 'SEANCE 1'!$F:$F, Z$5))</f>
        <v/>
      </c>
      <c r="AA73" s="64" t="str">
        <f ca="1">IF(COUNTIFS('SEANCE 1'!$B:$B, $B73, 'SEANCE 1'!$C:$C, AA$2, 'SEANCE 1'!$F:$F, AA$5)=0, "", COUNTIFS('SEANCE 1'!$B:$B, $B73, 'SEANCE 1'!$C:$C, AA$2, 'SEANCE 1'!$F:$F, AA$5))</f>
        <v/>
      </c>
      <c r="AB73" s="64" t="str">
        <f ca="1">IF(COUNTIFS('SEANCE 1'!$B:$B, $B73, 'SEANCE 1'!$C:$C, AB$2, 'SEANCE 1'!$F:$F, AB$5)=0, "", COUNTIFS('SEANCE 1'!$B:$B, $B73, 'SEANCE 1'!$C:$C, AB$2, 'SEANCE 1'!$F:$F, AB$5))</f>
        <v/>
      </c>
      <c r="AC73" s="64" t="str">
        <f ca="1">IF(COUNTIFS('SEANCE 1'!$B:$B, $B73, 'SEANCE 1'!$C:$C, AC$2, 'SEANCE 1'!$F:$F, AC$5)=0, "", COUNTIFS('SEANCE 1'!$B:$B, $B73, 'SEANCE 1'!$C:$C, AC$2, 'SEANCE 1'!$F:$F, AC$5))</f>
        <v/>
      </c>
      <c r="AD73" s="64" t="str">
        <f ca="1">IF(COUNTIFS('SEANCE 1'!$B:$B, $B73, 'SEANCE 1'!$C:$C, AD$2, 'SEANCE 1'!$F:$F, AD$5)=0, "", COUNTIFS('SEANCE 1'!$B:$B, $B73, 'SEANCE 1'!$C:$C, AD$2, 'SEANCE 1'!$F:$F, AD$5))</f>
        <v/>
      </c>
      <c r="AE73" s="64" t="str">
        <f ca="1">IF(COUNTIFS('SEANCE 1'!$B:$B, $B73, 'SEANCE 1'!$C:$C, AE$2, 'SEANCE 1'!$F:$F, AE$5)=0, "", COUNTIFS('SEANCE 1'!$B:$B, $B73, 'SEANCE 1'!$C:$C, AE$2, 'SEANCE 1'!$F:$F, AE$5))</f>
        <v/>
      </c>
      <c r="AF73" s="64" t="str">
        <f ca="1">IF(COUNTIFS('SEANCE 1'!$B:$B, $B73, 'SEANCE 1'!$C:$C, AF$2, 'SEANCE 1'!$F:$F, AF$5)=0, "", COUNTIFS('SEANCE 1'!$B:$B, $B73, 'SEANCE 1'!$C:$C, AF$2, 'SEANCE 1'!$F:$F, AF$5))</f>
        <v/>
      </c>
      <c r="AG73" s="64" t="str">
        <f ca="1">IF(COUNTIFS('SEANCE 1'!$B:$B, $B73, 'SEANCE 1'!$C:$C, AG$2, 'SEANCE 1'!$F:$F, AG$5)=0, "", COUNTIFS('SEANCE 1'!$B:$B, $B73, 'SEANCE 1'!$C:$C, AG$2, 'SEANCE 1'!$F:$F, AG$5))</f>
        <v/>
      </c>
      <c r="AH73" s="64" t="str">
        <f ca="1">IF(COUNTIFS('SEANCE 1'!$B:$B, $B73, 'SEANCE 1'!$C:$C, AH$2, 'SEANCE 1'!$F:$F, AH$5)=0, "", COUNTIFS('SEANCE 1'!$B:$B, $B73, 'SEANCE 1'!$C:$C, AH$2, 'SEANCE 1'!$F:$F, AH$5))</f>
        <v/>
      </c>
      <c r="AI73" s="64" t="str">
        <f ca="1">IF(COUNTIFS('SEANCE 1'!$B:$B, $B73, 'SEANCE 1'!$C:$C, AI$2, 'SEANCE 1'!$F:$F, AI$5)=0, "", COUNTIFS('SEANCE 1'!$B:$B, $B73, 'SEANCE 1'!$C:$C, AI$2, 'SEANCE 1'!$F:$F, AI$5))</f>
        <v/>
      </c>
      <c r="AJ73" s="64" t="str">
        <f ca="1">IF(COUNTIFS('SEANCE 1'!$B:$B, $B73, 'SEANCE 1'!$C:$C, AJ$2, 'SEANCE 1'!$F:$F, AJ$5)=0, "", COUNTIFS('SEANCE 1'!$B:$B, $B73, 'SEANCE 1'!$C:$C, AJ$2, 'SEANCE 1'!$F:$F, AJ$5))</f>
        <v/>
      </c>
      <c r="AK73" s="64" t="str">
        <f ca="1">IF(COUNTIFS('SEANCE 1'!$B:$B, $B73, 'SEANCE 1'!$C:$C, AK$2, 'SEANCE 1'!$F:$F, AK$5)=0, "", COUNTIFS('SEANCE 1'!$B:$B, $B73, 'SEANCE 1'!$C:$C, AK$2, 'SEANCE 1'!$F:$F, AK$5))</f>
        <v/>
      </c>
      <c r="AL73" s="64" t="str">
        <f ca="1">IF(COUNTIFS('SEANCE 1'!$B:$B, $B73, 'SEANCE 1'!$C:$C, AL$2, 'SEANCE 1'!$F:$F, AL$5)=0, "", COUNTIFS('SEANCE 1'!$B:$B, $B73, 'SEANCE 1'!$C:$C, AL$2, 'SEANCE 1'!$F:$F, AL$5))</f>
        <v/>
      </c>
      <c r="AM73" s="64" t="str">
        <f ca="1">IF(COUNTIFS('SEANCE 1'!$B:$B, $B73, 'SEANCE 1'!$C:$C, AM$2, 'SEANCE 1'!$F:$F, AM$5)=0, "", COUNTIFS('SEANCE 1'!$B:$B, $B73, 'SEANCE 1'!$C:$C, AM$2, 'SEANCE 1'!$F:$F, AM$5))</f>
        <v/>
      </c>
      <c r="AN73" s="64" t="str">
        <f ca="1">IF(COUNTIFS('SEANCE 1'!$B:$B, $B73, 'SEANCE 1'!$C:$C, AN$2, 'SEANCE 1'!$F:$F, AN$5)=0, "", COUNTIFS('SEANCE 1'!$B:$B, $B73, 'SEANCE 1'!$C:$C, AN$2, 'SEANCE 1'!$F:$F, AN$5))</f>
        <v/>
      </c>
      <c r="AO73" s="64" t="str">
        <f ca="1">IF(COUNTIFS('SEANCE 1'!$B:$B, $B73, 'SEANCE 1'!$C:$C, AO$2, 'SEANCE 1'!$F:$F, AO$5)=0, "", COUNTIFS('SEANCE 1'!$B:$B, $B73, 'SEANCE 1'!$C:$C, AO$2, 'SEANCE 1'!$F:$F, AO$5))</f>
        <v/>
      </c>
      <c r="AP73" s="64" t="str">
        <f ca="1">IF(COUNTIFS('SEANCE 1'!$B:$B, $B73, 'SEANCE 1'!$C:$C, AP$2, 'SEANCE 1'!$F:$F, AP$5)=0, "", COUNTIFS('SEANCE 1'!$B:$B, $B73, 'SEANCE 1'!$C:$C, AP$2, 'SEANCE 1'!$F:$F, AP$5))</f>
        <v/>
      </c>
      <c r="AQ73" s="64" t="str">
        <f ca="1">IF(COUNTIFS('SEANCE 1'!$B:$B, $B73, 'SEANCE 1'!$C:$C, AQ$2, 'SEANCE 1'!$F:$F, AQ$5)=0, "", COUNTIFS('SEANCE 1'!$B:$B, $B73, 'SEANCE 1'!$C:$C, AQ$2, 'SEANCE 1'!$F:$F, AQ$5))</f>
        <v/>
      </c>
      <c r="AR73" s="64" t="str">
        <f ca="1">IF(COUNTIFS('SEANCE 1'!$B:$B, $B73, 'SEANCE 1'!$C:$C, AR$2, 'SEANCE 1'!$F:$F, AR$5)=0, "", COUNTIFS('SEANCE 1'!$B:$B, $B73, 'SEANCE 1'!$C:$C, AR$2, 'SEANCE 1'!$F:$F, AR$5))</f>
        <v/>
      </c>
      <c r="AS73" s="64" t="str">
        <f ca="1">IF(COUNTIFS('SEANCE 1'!$B:$B, $B73, 'SEANCE 1'!$C:$C, AS$2, 'SEANCE 1'!$F:$F, AS$5)=0, "", COUNTIFS('SEANCE 1'!$B:$B, $B73, 'SEANCE 1'!$C:$C, AS$2, 'SEANCE 1'!$F:$F, AS$5))</f>
        <v/>
      </c>
      <c r="AT73" s="64" t="str">
        <f ca="1">IF(COUNTIFS('SEANCE 1'!$B:$B, $B73, 'SEANCE 1'!$C:$C, AT$2, 'SEANCE 1'!$F:$F, AT$5)=0, "", COUNTIFS('SEANCE 1'!$B:$B, $B73, 'SEANCE 1'!$C:$C, AT$2, 'SEANCE 1'!$F:$F, AT$5))</f>
        <v/>
      </c>
      <c r="AU73" s="64" t="str">
        <f ca="1">IF(COUNTIFS('SEANCE 1'!$B:$B, $B73, 'SEANCE 1'!$C:$C, AU$2, 'SEANCE 1'!$F:$F, AU$5)=0, "", COUNTIFS('SEANCE 1'!$B:$B, $B73, 'SEANCE 1'!$C:$C, AU$2, 'SEANCE 1'!$F:$F, AU$5))</f>
        <v/>
      </c>
      <c r="AV73" s="64" t="str">
        <f ca="1">IF(COUNTIFS('SEANCE 1'!$B:$B, $B73, 'SEANCE 1'!$C:$C, AV$2, 'SEANCE 1'!$F:$F, AV$5)=0, "", COUNTIFS('SEANCE 1'!$B:$B, $B73, 'SEANCE 1'!$C:$C, AV$2, 'SEANCE 1'!$F:$F, AV$5))</f>
        <v/>
      </c>
      <c r="AW73" s="64" t="str">
        <f ca="1">IF(COUNTIFS('SEANCE 1'!$B:$B, $B73, 'SEANCE 1'!$C:$C, AW$2, 'SEANCE 1'!$F:$F, AW$5)=0, "", COUNTIFS('SEANCE 1'!$B:$B, $B73, 'SEANCE 1'!$C:$C, AW$2, 'SEANCE 1'!$F:$F, AW$5))</f>
        <v/>
      </c>
      <c r="AX73" s="64" t="str">
        <f ca="1">IF(COUNTIFS('SEANCE 1'!$B:$B, $B73, 'SEANCE 1'!$C:$C, AX$2, 'SEANCE 1'!$F:$F, AX$5)=0, "", COUNTIFS('SEANCE 1'!$B:$B, $B73, 'SEANCE 1'!$C:$C, AX$2, 'SEANCE 1'!$F:$F, AX$5))</f>
        <v/>
      </c>
      <c r="AY73" s="64" t="str">
        <f ca="1">IF(COUNTIFS('SEANCE 1'!$B:$B, $B73, 'SEANCE 1'!$C:$C, AY$2, 'SEANCE 1'!$F:$F, AY$5)=0, "", COUNTIFS('SEANCE 1'!$B:$B, $B73, 'SEANCE 1'!$C:$C, AY$2, 'SEANCE 1'!$F:$F, AY$5))</f>
        <v/>
      </c>
      <c r="AZ73" s="32">
        <f t="shared" ca="1" si="1"/>
        <v>0</v>
      </c>
    </row>
    <row r="74" spans="1:52">
      <c r="A74" s="44" t="str">
        <f>IF('SEANCE 1'!$B70&lt;&gt;"",'SEANCE 1'!$A70,"")</f>
        <v/>
      </c>
      <c r="B74" s="44" t="str">
        <f t="array" aca="1" ref="B74" ca="1">IF(ISNA(INDEX(ListeB,MATCH(0,COUNTIF($B$5:B73,ListeB),0))),"",INDEX(ListeB,MATCH(0,COUNTIF($B$5:B73,ListeB),0)))</f>
        <v/>
      </c>
      <c r="C74" s="64" t="str">
        <f ca="1">IF(COUNTIFS('SEANCE 1'!$B:$B, $B74, 'SEANCE 1'!$C:$C, C$2, 'SEANCE 1'!$F:$F, C$5)=0, "", COUNTIFS('SEANCE 1'!$B:$B, $B74, 'SEANCE 1'!$C:$C, C$2, 'SEANCE 1'!$F:$F, C$5))</f>
        <v/>
      </c>
      <c r="D74" s="64" t="str">
        <f ca="1">IF(COUNTIFS('SEANCE 1'!$B:$B, $B74, 'SEANCE 1'!$C:$C, D$2, 'SEANCE 1'!$F:$F, D$5)=0, "", COUNTIFS('SEANCE 1'!$B:$B, $B74, 'SEANCE 1'!$C:$C, D$2, 'SEANCE 1'!$F:$F, D$5))</f>
        <v/>
      </c>
      <c r="E74" s="64" t="str">
        <f ca="1">IF(COUNTIFS('SEANCE 1'!$B:$B, $B74, 'SEANCE 1'!$C:$C, E$2, 'SEANCE 1'!$F:$F, E$5)=0, "", COUNTIFS('SEANCE 1'!$B:$B, $B74, 'SEANCE 1'!$C:$C, E$2, 'SEANCE 1'!$F:$F, E$5))</f>
        <v/>
      </c>
      <c r="F74" s="64" t="str">
        <f ca="1">IF(COUNTIFS('SEANCE 1'!$B:$B, $B74, 'SEANCE 1'!$C:$C, F$2, 'SEANCE 1'!$F:$F, F$5)=0, "", COUNTIFS('SEANCE 1'!$B:$B, $B74, 'SEANCE 1'!$C:$C, F$2, 'SEANCE 1'!$F:$F, F$5))</f>
        <v/>
      </c>
      <c r="G74" s="64" t="str">
        <f ca="1">IF(COUNTIFS('SEANCE 1'!$B:$B, $B74, 'SEANCE 1'!$C:$C, G$2, 'SEANCE 1'!$F:$F, G$5)=0, "", COUNTIFS('SEANCE 1'!$B:$B, $B74, 'SEANCE 1'!$C:$C, G$2, 'SEANCE 1'!$F:$F, G$5))</f>
        <v/>
      </c>
      <c r="H74" s="64" t="str">
        <f ca="1">IF(COUNTIFS('SEANCE 1'!$B:$B, $B74, 'SEANCE 1'!$C:$C, H$2, 'SEANCE 1'!$F:$F, H$5)=0, "", COUNTIFS('SEANCE 1'!$B:$B, $B74, 'SEANCE 1'!$C:$C, H$2, 'SEANCE 1'!$F:$F, H$5))</f>
        <v/>
      </c>
      <c r="I74" s="64" t="str">
        <f ca="1">IF(COUNTIFS('SEANCE 1'!$B:$B, $B74, 'SEANCE 1'!$C:$C, I$2, 'SEANCE 1'!$F:$F, I$5)=0, "", COUNTIFS('SEANCE 1'!$B:$B, $B74, 'SEANCE 1'!$C:$C, I$2, 'SEANCE 1'!$F:$F, I$5))</f>
        <v/>
      </c>
      <c r="J74" s="64" t="str">
        <f ca="1">IF(COUNTIFS('SEANCE 1'!$B:$B, $B74, 'SEANCE 1'!$C:$C, J$2, 'SEANCE 1'!$F:$F, J$5)=0, "", COUNTIFS('SEANCE 1'!$B:$B, $B74, 'SEANCE 1'!$C:$C, J$2, 'SEANCE 1'!$F:$F, J$5))</f>
        <v/>
      </c>
      <c r="K74" s="64" t="str">
        <f ca="1">IF(COUNTIFS('SEANCE 1'!$B:$B, $B74, 'SEANCE 1'!$C:$C, K$2, 'SEANCE 1'!$F:$F, K$5)=0, "", COUNTIFS('SEANCE 1'!$B:$B, $B74, 'SEANCE 1'!$C:$C, K$2, 'SEANCE 1'!$F:$F, K$5))</f>
        <v/>
      </c>
      <c r="L74" s="64" t="str">
        <f ca="1">IF(COUNTIFS('SEANCE 1'!$B:$B, $B74, 'SEANCE 1'!$C:$C, L$2, 'SEANCE 1'!$F:$F, L$5)=0, "", COUNTIFS('SEANCE 1'!$B:$B, $B74, 'SEANCE 1'!$C:$C, L$2, 'SEANCE 1'!$F:$F, L$5))</f>
        <v/>
      </c>
      <c r="M74" s="64" t="str">
        <f ca="1">IF(COUNTIFS('SEANCE 1'!$B:$B, $B74, 'SEANCE 1'!$C:$C, M$2, 'SEANCE 1'!$F:$F, M$5)=0, "", COUNTIFS('SEANCE 1'!$B:$B, $B74, 'SEANCE 1'!$C:$C, M$2, 'SEANCE 1'!$F:$F, M$5))</f>
        <v/>
      </c>
      <c r="N74" s="64" t="str">
        <f ca="1">IF(COUNTIFS('SEANCE 1'!$B:$B, $B74, 'SEANCE 1'!$C:$C, N$2, 'SEANCE 1'!$F:$F, N$5)=0, "", COUNTIFS('SEANCE 1'!$B:$B, $B74, 'SEANCE 1'!$C:$C, N$2, 'SEANCE 1'!$F:$F, N$5))</f>
        <v/>
      </c>
      <c r="O74" s="64" t="str">
        <f ca="1">IF(COUNTIFS('SEANCE 1'!$B:$B, $B74, 'SEANCE 1'!$C:$C, O$2, 'SEANCE 1'!$F:$F, O$5)=0, "", COUNTIFS('SEANCE 1'!$B:$B, $B74, 'SEANCE 1'!$C:$C, O$2, 'SEANCE 1'!$F:$F, O$5))</f>
        <v/>
      </c>
      <c r="P74" s="64" t="str">
        <f ca="1">IF(COUNTIFS('SEANCE 1'!$B:$B, $B74, 'SEANCE 1'!$C:$C, P$2, 'SEANCE 1'!$F:$F, P$5)=0, "", COUNTIFS('SEANCE 1'!$B:$B, $B74, 'SEANCE 1'!$C:$C, P$2, 'SEANCE 1'!$F:$F, P$5))</f>
        <v/>
      </c>
      <c r="Q74" s="64" t="str">
        <f ca="1">IF(COUNTIFS('SEANCE 1'!$B:$B, $B74, 'SEANCE 1'!$C:$C, Q$2, 'SEANCE 1'!$F:$F, Q$5)=0, "", COUNTIFS('SEANCE 1'!$B:$B, $B74, 'SEANCE 1'!$C:$C, Q$2, 'SEANCE 1'!$F:$F, Q$5))</f>
        <v/>
      </c>
      <c r="R74" s="64" t="str">
        <f ca="1">IF(COUNTIFS('SEANCE 1'!$B:$B, $B74, 'SEANCE 1'!$C:$C, R$2, 'SEANCE 1'!$F:$F, R$5)=0, "", COUNTIFS('SEANCE 1'!$B:$B, $B74, 'SEANCE 1'!$C:$C, R$2, 'SEANCE 1'!$F:$F, R$5))</f>
        <v/>
      </c>
      <c r="S74" s="64" t="str">
        <f ca="1">IF(COUNTIFS('SEANCE 1'!$B:$B, $B74, 'SEANCE 1'!$C:$C, S$2, 'SEANCE 1'!$F:$F, S$5)=0, "", COUNTIFS('SEANCE 1'!$B:$B, $B74, 'SEANCE 1'!$C:$C, S$2, 'SEANCE 1'!$F:$F, S$5))</f>
        <v/>
      </c>
      <c r="T74" s="64" t="str">
        <f ca="1">IF(COUNTIFS('SEANCE 1'!$B:$B, $B74, 'SEANCE 1'!$C:$C, T$2, 'SEANCE 1'!$F:$F, T$5)=0, "", COUNTIFS('SEANCE 1'!$B:$B, $B74, 'SEANCE 1'!$C:$C, T$2, 'SEANCE 1'!$F:$F, T$5))</f>
        <v/>
      </c>
      <c r="U74" s="64" t="str">
        <f ca="1">IF(COUNTIFS('SEANCE 1'!$B:$B, $B74, 'SEANCE 1'!$C:$C, U$2, 'SEANCE 1'!$F:$F, U$5)=0, "", COUNTIFS('SEANCE 1'!$B:$B, $B74, 'SEANCE 1'!$C:$C, U$2, 'SEANCE 1'!$F:$F, U$5))</f>
        <v/>
      </c>
      <c r="V74" s="64" t="str">
        <f ca="1">IF(COUNTIFS('SEANCE 1'!$B:$B, $B74, 'SEANCE 1'!$C:$C, V$2, 'SEANCE 1'!$F:$F, V$5)=0, "", COUNTIFS('SEANCE 1'!$B:$B, $B74, 'SEANCE 1'!$C:$C, V$2, 'SEANCE 1'!$F:$F, V$5))</f>
        <v/>
      </c>
      <c r="W74" s="64" t="str">
        <f ca="1">IF(COUNTIFS('SEANCE 1'!$B:$B, $B74, 'SEANCE 1'!$C:$C, W$2, 'SEANCE 1'!$F:$F, W$5)=0, "", COUNTIFS('SEANCE 1'!$B:$B, $B74, 'SEANCE 1'!$C:$C, W$2, 'SEANCE 1'!$F:$F, W$5))</f>
        <v/>
      </c>
      <c r="X74" s="64" t="str">
        <f ca="1">IF(COUNTIFS('SEANCE 1'!$B:$B, $B74, 'SEANCE 1'!$C:$C, X$2, 'SEANCE 1'!$F:$F, X$5)=0, "", COUNTIFS('SEANCE 1'!$B:$B, $B74, 'SEANCE 1'!$C:$C, X$2, 'SEANCE 1'!$F:$F, X$5))</f>
        <v/>
      </c>
      <c r="Y74" s="64" t="str">
        <f ca="1">IF(COUNTIFS('SEANCE 1'!$B:$B, $B74, 'SEANCE 1'!$C:$C, Y$2, 'SEANCE 1'!$F:$F, Y$5)=0, "", COUNTIFS('SEANCE 1'!$B:$B, $B74, 'SEANCE 1'!$C:$C, Y$2, 'SEANCE 1'!$F:$F, Y$5))</f>
        <v/>
      </c>
      <c r="Z74" s="64" t="str">
        <f ca="1">IF(COUNTIFS('SEANCE 1'!$B:$B, $B74, 'SEANCE 1'!$C:$C, Z$2, 'SEANCE 1'!$F:$F, Z$5)=0, "", COUNTIFS('SEANCE 1'!$B:$B, $B74, 'SEANCE 1'!$C:$C, Z$2, 'SEANCE 1'!$F:$F, Z$5))</f>
        <v/>
      </c>
      <c r="AA74" s="64" t="str">
        <f ca="1">IF(COUNTIFS('SEANCE 1'!$B:$B, $B74, 'SEANCE 1'!$C:$C, AA$2, 'SEANCE 1'!$F:$F, AA$5)=0, "", COUNTIFS('SEANCE 1'!$B:$B, $B74, 'SEANCE 1'!$C:$C, AA$2, 'SEANCE 1'!$F:$F, AA$5))</f>
        <v/>
      </c>
      <c r="AB74" s="64" t="str">
        <f ca="1">IF(COUNTIFS('SEANCE 1'!$B:$B, $B74, 'SEANCE 1'!$C:$C, AB$2, 'SEANCE 1'!$F:$F, AB$5)=0, "", COUNTIFS('SEANCE 1'!$B:$B, $B74, 'SEANCE 1'!$C:$C, AB$2, 'SEANCE 1'!$F:$F, AB$5))</f>
        <v/>
      </c>
      <c r="AC74" s="64" t="str">
        <f ca="1">IF(COUNTIFS('SEANCE 1'!$B:$B, $B74, 'SEANCE 1'!$C:$C, AC$2, 'SEANCE 1'!$F:$F, AC$5)=0, "", COUNTIFS('SEANCE 1'!$B:$B, $B74, 'SEANCE 1'!$C:$C, AC$2, 'SEANCE 1'!$F:$F, AC$5))</f>
        <v/>
      </c>
      <c r="AD74" s="64" t="str">
        <f ca="1">IF(COUNTIFS('SEANCE 1'!$B:$B, $B74, 'SEANCE 1'!$C:$C, AD$2, 'SEANCE 1'!$F:$F, AD$5)=0, "", COUNTIFS('SEANCE 1'!$B:$B, $B74, 'SEANCE 1'!$C:$C, AD$2, 'SEANCE 1'!$F:$F, AD$5))</f>
        <v/>
      </c>
      <c r="AE74" s="64" t="str">
        <f ca="1">IF(COUNTIFS('SEANCE 1'!$B:$B, $B74, 'SEANCE 1'!$C:$C, AE$2, 'SEANCE 1'!$F:$F, AE$5)=0, "", COUNTIFS('SEANCE 1'!$B:$B, $B74, 'SEANCE 1'!$C:$C, AE$2, 'SEANCE 1'!$F:$F, AE$5))</f>
        <v/>
      </c>
      <c r="AF74" s="64" t="str">
        <f ca="1">IF(COUNTIFS('SEANCE 1'!$B:$B, $B74, 'SEANCE 1'!$C:$C, AF$2, 'SEANCE 1'!$F:$F, AF$5)=0, "", COUNTIFS('SEANCE 1'!$B:$B, $B74, 'SEANCE 1'!$C:$C, AF$2, 'SEANCE 1'!$F:$F, AF$5))</f>
        <v/>
      </c>
      <c r="AG74" s="64" t="str">
        <f ca="1">IF(COUNTIFS('SEANCE 1'!$B:$B, $B74, 'SEANCE 1'!$C:$C, AG$2, 'SEANCE 1'!$F:$F, AG$5)=0, "", COUNTIFS('SEANCE 1'!$B:$B, $B74, 'SEANCE 1'!$C:$C, AG$2, 'SEANCE 1'!$F:$F, AG$5))</f>
        <v/>
      </c>
      <c r="AH74" s="64" t="str">
        <f ca="1">IF(COUNTIFS('SEANCE 1'!$B:$B, $B74, 'SEANCE 1'!$C:$C, AH$2, 'SEANCE 1'!$F:$F, AH$5)=0, "", COUNTIFS('SEANCE 1'!$B:$B, $B74, 'SEANCE 1'!$C:$C, AH$2, 'SEANCE 1'!$F:$F, AH$5))</f>
        <v/>
      </c>
      <c r="AI74" s="64" t="str">
        <f ca="1">IF(COUNTIFS('SEANCE 1'!$B:$B, $B74, 'SEANCE 1'!$C:$C, AI$2, 'SEANCE 1'!$F:$F, AI$5)=0, "", COUNTIFS('SEANCE 1'!$B:$B, $B74, 'SEANCE 1'!$C:$C, AI$2, 'SEANCE 1'!$F:$F, AI$5))</f>
        <v/>
      </c>
      <c r="AJ74" s="64" t="str">
        <f ca="1">IF(COUNTIFS('SEANCE 1'!$B:$B, $B74, 'SEANCE 1'!$C:$C, AJ$2, 'SEANCE 1'!$F:$F, AJ$5)=0, "", COUNTIFS('SEANCE 1'!$B:$B, $B74, 'SEANCE 1'!$C:$C, AJ$2, 'SEANCE 1'!$F:$F, AJ$5))</f>
        <v/>
      </c>
      <c r="AK74" s="64" t="str">
        <f ca="1">IF(COUNTIFS('SEANCE 1'!$B:$B, $B74, 'SEANCE 1'!$C:$C, AK$2, 'SEANCE 1'!$F:$F, AK$5)=0, "", COUNTIFS('SEANCE 1'!$B:$B, $B74, 'SEANCE 1'!$C:$C, AK$2, 'SEANCE 1'!$F:$F, AK$5))</f>
        <v/>
      </c>
      <c r="AL74" s="64" t="str">
        <f ca="1">IF(COUNTIFS('SEANCE 1'!$B:$B, $B74, 'SEANCE 1'!$C:$C, AL$2, 'SEANCE 1'!$F:$F, AL$5)=0, "", COUNTIFS('SEANCE 1'!$B:$B, $B74, 'SEANCE 1'!$C:$C, AL$2, 'SEANCE 1'!$F:$F, AL$5))</f>
        <v/>
      </c>
      <c r="AM74" s="64" t="str">
        <f ca="1">IF(COUNTIFS('SEANCE 1'!$B:$B, $B74, 'SEANCE 1'!$C:$C, AM$2, 'SEANCE 1'!$F:$F, AM$5)=0, "", COUNTIFS('SEANCE 1'!$B:$B, $B74, 'SEANCE 1'!$C:$C, AM$2, 'SEANCE 1'!$F:$F, AM$5))</f>
        <v/>
      </c>
      <c r="AN74" s="64" t="str">
        <f ca="1">IF(COUNTIFS('SEANCE 1'!$B:$B, $B74, 'SEANCE 1'!$C:$C, AN$2, 'SEANCE 1'!$F:$F, AN$5)=0, "", COUNTIFS('SEANCE 1'!$B:$B, $B74, 'SEANCE 1'!$C:$C, AN$2, 'SEANCE 1'!$F:$F, AN$5))</f>
        <v/>
      </c>
      <c r="AO74" s="64" t="str">
        <f ca="1">IF(COUNTIFS('SEANCE 1'!$B:$B, $B74, 'SEANCE 1'!$C:$C, AO$2, 'SEANCE 1'!$F:$F, AO$5)=0, "", COUNTIFS('SEANCE 1'!$B:$B, $B74, 'SEANCE 1'!$C:$C, AO$2, 'SEANCE 1'!$F:$F, AO$5))</f>
        <v/>
      </c>
      <c r="AP74" s="64" t="str">
        <f ca="1">IF(COUNTIFS('SEANCE 1'!$B:$B, $B74, 'SEANCE 1'!$C:$C, AP$2, 'SEANCE 1'!$F:$F, AP$5)=0, "", COUNTIFS('SEANCE 1'!$B:$B, $B74, 'SEANCE 1'!$C:$C, AP$2, 'SEANCE 1'!$F:$F, AP$5))</f>
        <v/>
      </c>
      <c r="AQ74" s="64" t="str">
        <f ca="1">IF(COUNTIFS('SEANCE 1'!$B:$B, $B74, 'SEANCE 1'!$C:$C, AQ$2, 'SEANCE 1'!$F:$F, AQ$5)=0, "", COUNTIFS('SEANCE 1'!$B:$B, $B74, 'SEANCE 1'!$C:$C, AQ$2, 'SEANCE 1'!$F:$F, AQ$5))</f>
        <v/>
      </c>
      <c r="AR74" s="64" t="str">
        <f ca="1">IF(COUNTIFS('SEANCE 1'!$B:$B, $B74, 'SEANCE 1'!$C:$C, AR$2, 'SEANCE 1'!$F:$F, AR$5)=0, "", COUNTIFS('SEANCE 1'!$B:$B, $B74, 'SEANCE 1'!$C:$C, AR$2, 'SEANCE 1'!$F:$F, AR$5))</f>
        <v/>
      </c>
      <c r="AS74" s="64" t="str">
        <f ca="1">IF(COUNTIFS('SEANCE 1'!$B:$B, $B74, 'SEANCE 1'!$C:$C, AS$2, 'SEANCE 1'!$F:$F, AS$5)=0, "", COUNTIFS('SEANCE 1'!$B:$B, $B74, 'SEANCE 1'!$C:$C, AS$2, 'SEANCE 1'!$F:$F, AS$5))</f>
        <v/>
      </c>
      <c r="AT74" s="64" t="str">
        <f ca="1">IF(COUNTIFS('SEANCE 1'!$B:$B, $B74, 'SEANCE 1'!$C:$C, AT$2, 'SEANCE 1'!$F:$F, AT$5)=0, "", COUNTIFS('SEANCE 1'!$B:$B, $B74, 'SEANCE 1'!$C:$C, AT$2, 'SEANCE 1'!$F:$F, AT$5))</f>
        <v/>
      </c>
      <c r="AU74" s="64" t="str">
        <f ca="1">IF(COUNTIFS('SEANCE 1'!$B:$B, $B74, 'SEANCE 1'!$C:$C, AU$2, 'SEANCE 1'!$F:$F, AU$5)=0, "", COUNTIFS('SEANCE 1'!$B:$B, $B74, 'SEANCE 1'!$C:$C, AU$2, 'SEANCE 1'!$F:$F, AU$5))</f>
        <v/>
      </c>
      <c r="AV74" s="64" t="str">
        <f ca="1">IF(COUNTIFS('SEANCE 1'!$B:$B, $B74, 'SEANCE 1'!$C:$C, AV$2, 'SEANCE 1'!$F:$F, AV$5)=0, "", COUNTIFS('SEANCE 1'!$B:$B, $B74, 'SEANCE 1'!$C:$C, AV$2, 'SEANCE 1'!$F:$F, AV$5))</f>
        <v/>
      </c>
      <c r="AW74" s="64" t="str">
        <f ca="1">IF(COUNTIFS('SEANCE 1'!$B:$B, $B74, 'SEANCE 1'!$C:$C, AW$2, 'SEANCE 1'!$F:$F, AW$5)=0, "", COUNTIFS('SEANCE 1'!$B:$B, $B74, 'SEANCE 1'!$C:$C, AW$2, 'SEANCE 1'!$F:$F, AW$5))</f>
        <v/>
      </c>
      <c r="AX74" s="64" t="str">
        <f ca="1">IF(COUNTIFS('SEANCE 1'!$B:$B, $B74, 'SEANCE 1'!$C:$C, AX$2, 'SEANCE 1'!$F:$F, AX$5)=0, "", COUNTIFS('SEANCE 1'!$B:$B, $B74, 'SEANCE 1'!$C:$C, AX$2, 'SEANCE 1'!$F:$F, AX$5))</f>
        <v/>
      </c>
      <c r="AY74" s="64" t="str">
        <f ca="1">IF(COUNTIFS('SEANCE 1'!$B:$B, $B74, 'SEANCE 1'!$C:$C, AY$2, 'SEANCE 1'!$F:$F, AY$5)=0, "", COUNTIFS('SEANCE 1'!$B:$B, $B74, 'SEANCE 1'!$C:$C, AY$2, 'SEANCE 1'!$F:$F, AY$5))</f>
        <v/>
      </c>
      <c r="AZ74" s="32">
        <f t="shared" ca="1" si="1"/>
        <v>0</v>
      </c>
    </row>
    <row r="75" spans="1:52">
      <c r="A75" s="44" t="str">
        <f>IF('SEANCE 1'!$B71&lt;&gt;"",'SEANCE 1'!$A71,"")</f>
        <v/>
      </c>
      <c r="B75" s="44" t="str">
        <f t="array" aca="1" ref="B75" ca="1">IF(ISNA(INDEX(ListeB,MATCH(0,COUNTIF($B$5:B74,ListeB),0))),"",INDEX(ListeB,MATCH(0,COUNTIF($B$5:B74,ListeB),0)))</f>
        <v/>
      </c>
      <c r="C75" s="64" t="str">
        <f ca="1">IF(COUNTIFS('SEANCE 1'!$B:$B, $B75, 'SEANCE 1'!$C:$C, C$2, 'SEANCE 1'!$F:$F, C$5)=0, "", COUNTIFS('SEANCE 1'!$B:$B, $B75, 'SEANCE 1'!$C:$C, C$2, 'SEANCE 1'!$F:$F, C$5))</f>
        <v/>
      </c>
      <c r="D75" s="64" t="str">
        <f ca="1">IF(COUNTIFS('SEANCE 1'!$B:$B, $B75, 'SEANCE 1'!$C:$C, D$2, 'SEANCE 1'!$F:$F, D$5)=0, "", COUNTIFS('SEANCE 1'!$B:$B, $B75, 'SEANCE 1'!$C:$C, D$2, 'SEANCE 1'!$F:$F, D$5))</f>
        <v/>
      </c>
      <c r="E75" s="64" t="str">
        <f ca="1">IF(COUNTIFS('SEANCE 1'!$B:$B, $B75, 'SEANCE 1'!$C:$C, E$2, 'SEANCE 1'!$F:$F, E$5)=0, "", COUNTIFS('SEANCE 1'!$B:$B, $B75, 'SEANCE 1'!$C:$C, E$2, 'SEANCE 1'!$F:$F, E$5))</f>
        <v/>
      </c>
      <c r="F75" s="64" t="str">
        <f ca="1">IF(COUNTIFS('SEANCE 1'!$B:$B, $B75, 'SEANCE 1'!$C:$C, F$2, 'SEANCE 1'!$F:$F, F$5)=0, "", COUNTIFS('SEANCE 1'!$B:$B, $B75, 'SEANCE 1'!$C:$C, F$2, 'SEANCE 1'!$F:$F, F$5))</f>
        <v/>
      </c>
      <c r="G75" s="64" t="str">
        <f ca="1">IF(COUNTIFS('SEANCE 1'!$B:$B, $B75, 'SEANCE 1'!$C:$C, G$2, 'SEANCE 1'!$F:$F, G$5)=0, "", COUNTIFS('SEANCE 1'!$B:$B, $B75, 'SEANCE 1'!$C:$C, G$2, 'SEANCE 1'!$F:$F, G$5))</f>
        <v/>
      </c>
      <c r="H75" s="64" t="str">
        <f ca="1">IF(COUNTIFS('SEANCE 1'!$B:$B, $B75, 'SEANCE 1'!$C:$C, H$2, 'SEANCE 1'!$F:$F, H$5)=0, "", COUNTIFS('SEANCE 1'!$B:$B, $B75, 'SEANCE 1'!$C:$C, H$2, 'SEANCE 1'!$F:$F, H$5))</f>
        <v/>
      </c>
      <c r="I75" s="64" t="str">
        <f ca="1">IF(COUNTIFS('SEANCE 1'!$B:$B, $B75, 'SEANCE 1'!$C:$C, I$2, 'SEANCE 1'!$F:$F, I$5)=0, "", COUNTIFS('SEANCE 1'!$B:$B, $B75, 'SEANCE 1'!$C:$C, I$2, 'SEANCE 1'!$F:$F, I$5))</f>
        <v/>
      </c>
      <c r="J75" s="64" t="str">
        <f ca="1">IF(COUNTIFS('SEANCE 1'!$B:$B, $B75, 'SEANCE 1'!$C:$C, J$2, 'SEANCE 1'!$F:$F, J$5)=0, "", COUNTIFS('SEANCE 1'!$B:$B, $B75, 'SEANCE 1'!$C:$C, J$2, 'SEANCE 1'!$F:$F, J$5))</f>
        <v/>
      </c>
      <c r="K75" s="64" t="str">
        <f ca="1">IF(COUNTIFS('SEANCE 1'!$B:$B, $B75, 'SEANCE 1'!$C:$C, K$2, 'SEANCE 1'!$F:$F, K$5)=0, "", COUNTIFS('SEANCE 1'!$B:$B, $B75, 'SEANCE 1'!$C:$C, K$2, 'SEANCE 1'!$F:$F, K$5))</f>
        <v/>
      </c>
      <c r="L75" s="64" t="str">
        <f ca="1">IF(COUNTIFS('SEANCE 1'!$B:$B, $B75, 'SEANCE 1'!$C:$C, L$2, 'SEANCE 1'!$F:$F, L$5)=0, "", COUNTIFS('SEANCE 1'!$B:$B, $B75, 'SEANCE 1'!$C:$C, L$2, 'SEANCE 1'!$F:$F, L$5))</f>
        <v/>
      </c>
      <c r="M75" s="64" t="str">
        <f ca="1">IF(COUNTIFS('SEANCE 1'!$B:$B, $B75, 'SEANCE 1'!$C:$C, M$2, 'SEANCE 1'!$F:$F, M$5)=0, "", COUNTIFS('SEANCE 1'!$B:$B, $B75, 'SEANCE 1'!$C:$C, M$2, 'SEANCE 1'!$F:$F, M$5))</f>
        <v/>
      </c>
      <c r="N75" s="64" t="str">
        <f ca="1">IF(COUNTIFS('SEANCE 1'!$B:$B, $B75, 'SEANCE 1'!$C:$C, N$2, 'SEANCE 1'!$F:$F, N$5)=0, "", COUNTIFS('SEANCE 1'!$B:$B, $B75, 'SEANCE 1'!$C:$C, N$2, 'SEANCE 1'!$F:$F, N$5))</f>
        <v/>
      </c>
      <c r="O75" s="64" t="str">
        <f ca="1">IF(COUNTIFS('SEANCE 1'!$B:$B, $B75, 'SEANCE 1'!$C:$C, O$2, 'SEANCE 1'!$F:$F, O$5)=0, "", COUNTIFS('SEANCE 1'!$B:$B, $B75, 'SEANCE 1'!$C:$C, O$2, 'SEANCE 1'!$F:$F, O$5))</f>
        <v/>
      </c>
      <c r="P75" s="64" t="str">
        <f ca="1">IF(COUNTIFS('SEANCE 1'!$B:$B, $B75, 'SEANCE 1'!$C:$C, P$2, 'SEANCE 1'!$F:$F, P$5)=0, "", COUNTIFS('SEANCE 1'!$B:$B, $B75, 'SEANCE 1'!$C:$C, P$2, 'SEANCE 1'!$F:$F, P$5))</f>
        <v/>
      </c>
      <c r="Q75" s="64" t="str">
        <f ca="1">IF(COUNTIFS('SEANCE 1'!$B:$B, $B75, 'SEANCE 1'!$C:$C, Q$2, 'SEANCE 1'!$F:$F, Q$5)=0, "", COUNTIFS('SEANCE 1'!$B:$B, $B75, 'SEANCE 1'!$C:$C, Q$2, 'SEANCE 1'!$F:$F, Q$5))</f>
        <v/>
      </c>
      <c r="R75" s="64" t="str">
        <f ca="1">IF(COUNTIFS('SEANCE 1'!$B:$B, $B75, 'SEANCE 1'!$C:$C, R$2, 'SEANCE 1'!$F:$F, R$5)=0, "", COUNTIFS('SEANCE 1'!$B:$B, $B75, 'SEANCE 1'!$C:$C, R$2, 'SEANCE 1'!$F:$F, R$5))</f>
        <v/>
      </c>
      <c r="S75" s="64" t="str">
        <f ca="1">IF(COUNTIFS('SEANCE 1'!$B:$B, $B75, 'SEANCE 1'!$C:$C, S$2, 'SEANCE 1'!$F:$F, S$5)=0, "", COUNTIFS('SEANCE 1'!$B:$B, $B75, 'SEANCE 1'!$C:$C, S$2, 'SEANCE 1'!$F:$F, S$5))</f>
        <v/>
      </c>
      <c r="T75" s="64" t="str">
        <f ca="1">IF(COUNTIFS('SEANCE 1'!$B:$B, $B75, 'SEANCE 1'!$C:$C, T$2, 'SEANCE 1'!$F:$F, T$5)=0, "", COUNTIFS('SEANCE 1'!$B:$B, $B75, 'SEANCE 1'!$C:$C, T$2, 'SEANCE 1'!$F:$F, T$5))</f>
        <v/>
      </c>
      <c r="U75" s="64" t="str">
        <f ca="1">IF(COUNTIFS('SEANCE 1'!$B:$B, $B75, 'SEANCE 1'!$C:$C, U$2, 'SEANCE 1'!$F:$F, U$5)=0, "", COUNTIFS('SEANCE 1'!$B:$B, $B75, 'SEANCE 1'!$C:$C, U$2, 'SEANCE 1'!$F:$F, U$5))</f>
        <v/>
      </c>
      <c r="V75" s="64" t="str">
        <f ca="1">IF(COUNTIFS('SEANCE 1'!$B:$B, $B75, 'SEANCE 1'!$C:$C, V$2, 'SEANCE 1'!$F:$F, V$5)=0, "", COUNTIFS('SEANCE 1'!$B:$B, $B75, 'SEANCE 1'!$C:$C, V$2, 'SEANCE 1'!$F:$F, V$5))</f>
        <v/>
      </c>
      <c r="W75" s="64" t="str">
        <f ca="1">IF(COUNTIFS('SEANCE 1'!$B:$B, $B75, 'SEANCE 1'!$C:$C, W$2, 'SEANCE 1'!$F:$F, W$5)=0, "", COUNTIFS('SEANCE 1'!$B:$B, $B75, 'SEANCE 1'!$C:$C, W$2, 'SEANCE 1'!$F:$F, W$5))</f>
        <v/>
      </c>
      <c r="X75" s="64" t="str">
        <f ca="1">IF(COUNTIFS('SEANCE 1'!$B:$B, $B75, 'SEANCE 1'!$C:$C, X$2, 'SEANCE 1'!$F:$F, X$5)=0, "", COUNTIFS('SEANCE 1'!$B:$B, $B75, 'SEANCE 1'!$C:$C, X$2, 'SEANCE 1'!$F:$F, X$5))</f>
        <v/>
      </c>
      <c r="Y75" s="64" t="str">
        <f ca="1">IF(COUNTIFS('SEANCE 1'!$B:$B, $B75, 'SEANCE 1'!$C:$C, Y$2, 'SEANCE 1'!$F:$F, Y$5)=0, "", COUNTIFS('SEANCE 1'!$B:$B, $B75, 'SEANCE 1'!$C:$C, Y$2, 'SEANCE 1'!$F:$F, Y$5))</f>
        <v/>
      </c>
      <c r="Z75" s="64" t="str">
        <f ca="1">IF(COUNTIFS('SEANCE 1'!$B:$B, $B75, 'SEANCE 1'!$C:$C, Z$2, 'SEANCE 1'!$F:$F, Z$5)=0, "", COUNTIFS('SEANCE 1'!$B:$B, $B75, 'SEANCE 1'!$C:$C, Z$2, 'SEANCE 1'!$F:$F, Z$5))</f>
        <v/>
      </c>
      <c r="AA75" s="64" t="str">
        <f ca="1">IF(COUNTIFS('SEANCE 1'!$B:$B, $B75, 'SEANCE 1'!$C:$C, AA$2, 'SEANCE 1'!$F:$F, AA$5)=0, "", COUNTIFS('SEANCE 1'!$B:$B, $B75, 'SEANCE 1'!$C:$C, AA$2, 'SEANCE 1'!$F:$F, AA$5))</f>
        <v/>
      </c>
      <c r="AB75" s="64" t="str">
        <f ca="1">IF(COUNTIFS('SEANCE 1'!$B:$B, $B75, 'SEANCE 1'!$C:$C, AB$2, 'SEANCE 1'!$F:$F, AB$5)=0, "", COUNTIFS('SEANCE 1'!$B:$B, $B75, 'SEANCE 1'!$C:$C, AB$2, 'SEANCE 1'!$F:$F, AB$5))</f>
        <v/>
      </c>
      <c r="AC75" s="64" t="str">
        <f ca="1">IF(COUNTIFS('SEANCE 1'!$B:$B, $B75, 'SEANCE 1'!$C:$C, AC$2, 'SEANCE 1'!$F:$F, AC$5)=0, "", COUNTIFS('SEANCE 1'!$B:$B, $B75, 'SEANCE 1'!$C:$C, AC$2, 'SEANCE 1'!$F:$F, AC$5))</f>
        <v/>
      </c>
      <c r="AD75" s="64" t="str">
        <f ca="1">IF(COUNTIFS('SEANCE 1'!$B:$B, $B75, 'SEANCE 1'!$C:$C, AD$2, 'SEANCE 1'!$F:$F, AD$5)=0, "", COUNTIFS('SEANCE 1'!$B:$B, $B75, 'SEANCE 1'!$C:$C, AD$2, 'SEANCE 1'!$F:$F, AD$5))</f>
        <v/>
      </c>
      <c r="AE75" s="64" t="str">
        <f ca="1">IF(COUNTIFS('SEANCE 1'!$B:$B, $B75, 'SEANCE 1'!$C:$C, AE$2, 'SEANCE 1'!$F:$F, AE$5)=0, "", COUNTIFS('SEANCE 1'!$B:$B, $B75, 'SEANCE 1'!$C:$C, AE$2, 'SEANCE 1'!$F:$F, AE$5))</f>
        <v/>
      </c>
      <c r="AF75" s="64" t="str">
        <f ca="1">IF(COUNTIFS('SEANCE 1'!$B:$B, $B75, 'SEANCE 1'!$C:$C, AF$2, 'SEANCE 1'!$F:$F, AF$5)=0, "", COUNTIFS('SEANCE 1'!$B:$B, $B75, 'SEANCE 1'!$C:$C, AF$2, 'SEANCE 1'!$F:$F, AF$5))</f>
        <v/>
      </c>
      <c r="AG75" s="64" t="str">
        <f ca="1">IF(COUNTIFS('SEANCE 1'!$B:$B, $B75, 'SEANCE 1'!$C:$C, AG$2, 'SEANCE 1'!$F:$F, AG$5)=0, "", COUNTIFS('SEANCE 1'!$B:$B, $B75, 'SEANCE 1'!$C:$C, AG$2, 'SEANCE 1'!$F:$F, AG$5))</f>
        <v/>
      </c>
      <c r="AH75" s="64" t="str">
        <f ca="1">IF(COUNTIFS('SEANCE 1'!$B:$B, $B75, 'SEANCE 1'!$C:$C, AH$2, 'SEANCE 1'!$F:$F, AH$5)=0, "", COUNTIFS('SEANCE 1'!$B:$B, $B75, 'SEANCE 1'!$C:$C, AH$2, 'SEANCE 1'!$F:$F, AH$5))</f>
        <v/>
      </c>
      <c r="AI75" s="64" t="str">
        <f ca="1">IF(COUNTIFS('SEANCE 1'!$B:$B, $B75, 'SEANCE 1'!$C:$C, AI$2, 'SEANCE 1'!$F:$F, AI$5)=0, "", COUNTIFS('SEANCE 1'!$B:$B, $B75, 'SEANCE 1'!$C:$C, AI$2, 'SEANCE 1'!$F:$F, AI$5))</f>
        <v/>
      </c>
      <c r="AJ75" s="64" t="str">
        <f ca="1">IF(COUNTIFS('SEANCE 1'!$B:$B, $B75, 'SEANCE 1'!$C:$C, AJ$2, 'SEANCE 1'!$F:$F, AJ$5)=0, "", COUNTIFS('SEANCE 1'!$B:$B, $B75, 'SEANCE 1'!$C:$C, AJ$2, 'SEANCE 1'!$F:$F, AJ$5))</f>
        <v/>
      </c>
      <c r="AK75" s="64" t="str">
        <f ca="1">IF(COUNTIFS('SEANCE 1'!$B:$B, $B75, 'SEANCE 1'!$C:$C, AK$2, 'SEANCE 1'!$F:$F, AK$5)=0, "", COUNTIFS('SEANCE 1'!$B:$B, $B75, 'SEANCE 1'!$C:$C, AK$2, 'SEANCE 1'!$F:$F, AK$5))</f>
        <v/>
      </c>
      <c r="AL75" s="64" t="str">
        <f ca="1">IF(COUNTIFS('SEANCE 1'!$B:$B, $B75, 'SEANCE 1'!$C:$C, AL$2, 'SEANCE 1'!$F:$F, AL$5)=0, "", COUNTIFS('SEANCE 1'!$B:$B, $B75, 'SEANCE 1'!$C:$C, AL$2, 'SEANCE 1'!$F:$F, AL$5))</f>
        <v/>
      </c>
      <c r="AM75" s="64" t="str">
        <f ca="1">IF(COUNTIFS('SEANCE 1'!$B:$B, $B75, 'SEANCE 1'!$C:$C, AM$2, 'SEANCE 1'!$F:$F, AM$5)=0, "", COUNTIFS('SEANCE 1'!$B:$B, $B75, 'SEANCE 1'!$C:$C, AM$2, 'SEANCE 1'!$F:$F, AM$5))</f>
        <v/>
      </c>
      <c r="AN75" s="64" t="str">
        <f ca="1">IF(COUNTIFS('SEANCE 1'!$B:$B, $B75, 'SEANCE 1'!$C:$C, AN$2, 'SEANCE 1'!$F:$F, AN$5)=0, "", COUNTIFS('SEANCE 1'!$B:$B, $B75, 'SEANCE 1'!$C:$C, AN$2, 'SEANCE 1'!$F:$F, AN$5))</f>
        <v/>
      </c>
      <c r="AO75" s="64" t="str">
        <f ca="1">IF(COUNTIFS('SEANCE 1'!$B:$B, $B75, 'SEANCE 1'!$C:$C, AO$2, 'SEANCE 1'!$F:$F, AO$5)=0, "", COUNTIFS('SEANCE 1'!$B:$B, $B75, 'SEANCE 1'!$C:$C, AO$2, 'SEANCE 1'!$F:$F, AO$5))</f>
        <v/>
      </c>
      <c r="AP75" s="64" t="str">
        <f ca="1">IF(COUNTIFS('SEANCE 1'!$B:$B, $B75, 'SEANCE 1'!$C:$C, AP$2, 'SEANCE 1'!$F:$F, AP$5)=0, "", COUNTIFS('SEANCE 1'!$B:$B, $B75, 'SEANCE 1'!$C:$C, AP$2, 'SEANCE 1'!$F:$F, AP$5))</f>
        <v/>
      </c>
      <c r="AQ75" s="64" t="str">
        <f ca="1">IF(COUNTIFS('SEANCE 1'!$B:$B, $B75, 'SEANCE 1'!$C:$C, AQ$2, 'SEANCE 1'!$F:$F, AQ$5)=0, "", COUNTIFS('SEANCE 1'!$B:$B, $B75, 'SEANCE 1'!$C:$C, AQ$2, 'SEANCE 1'!$F:$F, AQ$5))</f>
        <v/>
      </c>
      <c r="AR75" s="64" t="str">
        <f ca="1">IF(COUNTIFS('SEANCE 1'!$B:$B, $B75, 'SEANCE 1'!$C:$C, AR$2, 'SEANCE 1'!$F:$F, AR$5)=0, "", COUNTIFS('SEANCE 1'!$B:$B, $B75, 'SEANCE 1'!$C:$C, AR$2, 'SEANCE 1'!$F:$F, AR$5))</f>
        <v/>
      </c>
      <c r="AS75" s="64" t="str">
        <f ca="1">IF(COUNTIFS('SEANCE 1'!$B:$B, $B75, 'SEANCE 1'!$C:$C, AS$2, 'SEANCE 1'!$F:$F, AS$5)=0, "", COUNTIFS('SEANCE 1'!$B:$B, $B75, 'SEANCE 1'!$C:$C, AS$2, 'SEANCE 1'!$F:$F, AS$5))</f>
        <v/>
      </c>
      <c r="AT75" s="64" t="str">
        <f ca="1">IF(COUNTIFS('SEANCE 1'!$B:$B, $B75, 'SEANCE 1'!$C:$C, AT$2, 'SEANCE 1'!$F:$F, AT$5)=0, "", COUNTIFS('SEANCE 1'!$B:$B, $B75, 'SEANCE 1'!$C:$C, AT$2, 'SEANCE 1'!$F:$F, AT$5))</f>
        <v/>
      </c>
      <c r="AU75" s="64" t="str">
        <f ca="1">IF(COUNTIFS('SEANCE 1'!$B:$B, $B75, 'SEANCE 1'!$C:$C, AU$2, 'SEANCE 1'!$F:$F, AU$5)=0, "", COUNTIFS('SEANCE 1'!$B:$B, $B75, 'SEANCE 1'!$C:$C, AU$2, 'SEANCE 1'!$F:$F, AU$5))</f>
        <v/>
      </c>
      <c r="AV75" s="64" t="str">
        <f ca="1">IF(COUNTIFS('SEANCE 1'!$B:$B, $B75, 'SEANCE 1'!$C:$C, AV$2, 'SEANCE 1'!$F:$F, AV$5)=0, "", COUNTIFS('SEANCE 1'!$B:$B, $B75, 'SEANCE 1'!$C:$C, AV$2, 'SEANCE 1'!$F:$F, AV$5))</f>
        <v/>
      </c>
      <c r="AW75" s="64" t="str">
        <f ca="1">IF(COUNTIFS('SEANCE 1'!$B:$B, $B75, 'SEANCE 1'!$C:$C, AW$2, 'SEANCE 1'!$F:$F, AW$5)=0, "", COUNTIFS('SEANCE 1'!$B:$B, $B75, 'SEANCE 1'!$C:$C, AW$2, 'SEANCE 1'!$F:$F, AW$5))</f>
        <v/>
      </c>
      <c r="AX75" s="64" t="str">
        <f ca="1">IF(COUNTIFS('SEANCE 1'!$B:$B, $B75, 'SEANCE 1'!$C:$C, AX$2, 'SEANCE 1'!$F:$F, AX$5)=0, "", COUNTIFS('SEANCE 1'!$B:$B, $B75, 'SEANCE 1'!$C:$C, AX$2, 'SEANCE 1'!$F:$F, AX$5))</f>
        <v/>
      </c>
      <c r="AY75" s="64" t="str">
        <f ca="1">IF(COUNTIFS('SEANCE 1'!$B:$B, $B75, 'SEANCE 1'!$C:$C, AY$2, 'SEANCE 1'!$F:$F, AY$5)=0, "", COUNTIFS('SEANCE 1'!$B:$B, $B75, 'SEANCE 1'!$C:$C, AY$2, 'SEANCE 1'!$F:$F, AY$5))</f>
        <v/>
      </c>
      <c r="AZ75" s="32">
        <f t="shared" ca="1" si="1"/>
        <v>0</v>
      </c>
    </row>
    <row r="76" spans="1:52">
      <c r="A76" s="44" t="str">
        <f>IF('SEANCE 1'!$B72&lt;&gt;"",'SEANCE 1'!$A72,"")</f>
        <v/>
      </c>
      <c r="B76" s="44" t="str">
        <f t="array" aca="1" ref="B76" ca="1">IF(ISNA(INDEX(ListeB,MATCH(0,COUNTIF($B$5:B75,ListeB),0))),"",INDEX(ListeB,MATCH(0,COUNTIF($B$5:B75,ListeB),0)))</f>
        <v/>
      </c>
      <c r="C76" s="64" t="str">
        <f ca="1">IF(COUNTIFS('SEANCE 1'!$B:$B, $B76, 'SEANCE 1'!$C:$C, C$2, 'SEANCE 1'!$F:$F, C$5)=0, "", COUNTIFS('SEANCE 1'!$B:$B, $B76, 'SEANCE 1'!$C:$C, C$2, 'SEANCE 1'!$F:$F, C$5))</f>
        <v/>
      </c>
      <c r="D76" s="64" t="str">
        <f ca="1">IF(COUNTIFS('SEANCE 1'!$B:$B, $B76, 'SEANCE 1'!$C:$C, D$2, 'SEANCE 1'!$F:$F, D$5)=0, "", COUNTIFS('SEANCE 1'!$B:$B, $B76, 'SEANCE 1'!$C:$C, D$2, 'SEANCE 1'!$F:$F, D$5))</f>
        <v/>
      </c>
      <c r="E76" s="64" t="str">
        <f ca="1">IF(COUNTIFS('SEANCE 1'!$B:$B, $B76, 'SEANCE 1'!$C:$C, E$2, 'SEANCE 1'!$F:$F, E$5)=0, "", COUNTIFS('SEANCE 1'!$B:$B, $B76, 'SEANCE 1'!$C:$C, E$2, 'SEANCE 1'!$F:$F, E$5))</f>
        <v/>
      </c>
      <c r="F76" s="64" t="str">
        <f ca="1">IF(COUNTIFS('SEANCE 1'!$B:$B, $B76, 'SEANCE 1'!$C:$C, F$2, 'SEANCE 1'!$F:$F, F$5)=0, "", COUNTIFS('SEANCE 1'!$B:$B, $B76, 'SEANCE 1'!$C:$C, F$2, 'SEANCE 1'!$F:$F, F$5))</f>
        <v/>
      </c>
      <c r="G76" s="64" t="str">
        <f ca="1">IF(COUNTIFS('SEANCE 1'!$B:$B, $B76, 'SEANCE 1'!$C:$C, G$2, 'SEANCE 1'!$F:$F, G$5)=0, "", COUNTIFS('SEANCE 1'!$B:$B, $B76, 'SEANCE 1'!$C:$C, G$2, 'SEANCE 1'!$F:$F, G$5))</f>
        <v/>
      </c>
      <c r="H76" s="64" t="str">
        <f ca="1">IF(COUNTIFS('SEANCE 1'!$B:$B, $B76, 'SEANCE 1'!$C:$C, H$2, 'SEANCE 1'!$F:$F, H$5)=0, "", COUNTIFS('SEANCE 1'!$B:$B, $B76, 'SEANCE 1'!$C:$C, H$2, 'SEANCE 1'!$F:$F, H$5))</f>
        <v/>
      </c>
      <c r="I76" s="64" t="str">
        <f ca="1">IF(COUNTIFS('SEANCE 1'!$B:$B, $B76, 'SEANCE 1'!$C:$C, I$2, 'SEANCE 1'!$F:$F, I$5)=0, "", COUNTIFS('SEANCE 1'!$B:$B, $B76, 'SEANCE 1'!$C:$C, I$2, 'SEANCE 1'!$F:$F, I$5))</f>
        <v/>
      </c>
      <c r="J76" s="64" t="str">
        <f ca="1">IF(COUNTIFS('SEANCE 1'!$B:$B, $B76, 'SEANCE 1'!$C:$C, J$2, 'SEANCE 1'!$F:$F, J$5)=0, "", COUNTIFS('SEANCE 1'!$B:$B, $B76, 'SEANCE 1'!$C:$C, J$2, 'SEANCE 1'!$F:$F, J$5))</f>
        <v/>
      </c>
      <c r="K76" s="64" t="str">
        <f ca="1">IF(COUNTIFS('SEANCE 1'!$B:$B, $B76, 'SEANCE 1'!$C:$C, K$2, 'SEANCE 1'!$F:$F, K$5)=0, "", COUNTIFS('SEANCE 1'!$B:$B, $B76, 'SEANCE 1'!$C:$C, K$2, 'SEANCE 1'!$F:$F, K$5))</f>
        <v/>
      </c>
      <c r="L76" s="64" t="str">
        <f ca="1">IF(COUNTIFS('SEANCE 1'!$B:$B, $B76, 'SEANCE 1'!$C:$C, L$2, 'SEANCE 1'!$F:$F, L$5)=0, "", COUNTIFS('SEANCE 1'!$B:$B, $B76, 'SEANCE 1'!$C:$C, L$2, 'SEANCE 1'!$F:$F, L$5))</f>
        <v/>
      </c>
      <c r="M76" s="64" t="str">
        <f ca="1">IF(COUNTIFS('SEANCE 1'!$B:$B, $B76, 'SEANCE 1'!$C:$C, M$2, 'SEANCE 1'!$F:$F, M$5)=0, "", COUNTIFS('SEANCE 1'!$B:$B, $B76, 'SEANCE 1'!$C:$C, M$2, 'SEANCE 1'!$F:$F, M$5))</f>
        <v/>
      </c>
      <c r="N76" s="64" t="str">
        <f ca="1">IF(COUNTIFS('SEANCE 1'!$B:$B, $B76, 'SEANCE 1'!$C:$C, N$2, 'SEANCE 1'!$F:$F, N$5)=0, "", COUNTIFS('SEANCE 1'!$B:$B, $B76, 'SEANCE 1'!$C:$C, N$2, 'SEANCE 1'!$F:$F, N$5))</f>
        <v/>
      </c>
      <c r="O76" s="64" t="str">
        <f ca="1">IF(COUNTIFS('SEANCE 1'!$B:$B, $B76, 'SEANCE 1'!$C:$C, O$2, 'SEANCE 1'!$F:$F, O$5)=0, "", COUNTIFS('SEANCE 1'!$B:$B, $B76, 'SEANCE 1'!$C:$C, O$2, 'SEANCE 1'!$F:$F, O$5))</f>
        <v/>
      </c>
      <c r="P76" s="64" t="str">
        <f ca="1">IF(COUNTIFS('SEANCE 1'!$B:$B, $B76, 'SEANCE 1'!$C:$C, P$2, 'SEANCE 1'!$F:$F, P$5)=0, "", COUNTIFS('SEANCE 1'!$B:$B, $B76, 'SEANCE 1'!$C:$C, P$2, 'SEANCE 1'!$F:$F, P$5))</f>
        <v/>
      </c>
      <c r="Q76" s="64" t="str">
        <f ca="1">IF(COUNTIFS('SEANCE 1'!$B:$B, $B76, 'SEANCE 1'!$C:$C, Q$2, 'SEANCE 1'!$F:$F, Q$5)=0, "", COUNTIFS('SEANCE 1'!$B:$B, $B76, 'SEANCE 1'!$C:$C, Q$2, 'SEANCE 1'!$F:$F, Q$5))</f>
        <v/>
      </c>
      <c r="R76" s="64" t="str">
        <f ca="1">IF(COUNTIFS('SEANCE 1'!$B:$B, $B76, 'SEANCE 1'!$C:$C, R$2, 'SEANCE 1'!$F:$F, R$5)=0, "", COUNTIFS('SEANCE 1'!$B:$B, $B76, 'SEANCE 1'!$C:$C, R$2, 'SEANCE 1'!$F:$F, R$5))</f>
        <v/>
      </c>
      <c r="S76" s="64" t="str">
        <f ca="1">IF(COUNTIFS('SEANCE 1'!$B:$B, $B76, 'SEANCE 1'!$C:$C, S$2, 'SEANCE 1'!$F:$F, S$5)=0, "", COUNTIFS('SEANCE 1'!$B:$B, $B76, 'SEANCE 1'!$C:$C, S$2, 'SEANCE 1'!$F:$F, S$5))</f>
        <v/>
      </c>
      <c r="T76" s="64" t="str">
        <f ca="1">IF(COUNTIFS('SEANCE 1'!$B:$B, $B76, 'SEANCE 1'!$C:$C, T$2, 'SEANCE 1'!$F:$F, T$5)=0, "", COUNTIFS('SEANCE 1'!$B:$B, $B76, 'SEANCE 1'!$C:$C, T$2, 'SEANCE 1'!$F:$F, T$5))</f>
        <v/>
      </c>
      <c r="U76" s="64" t="str">
        <f ca="1">IF(COUNTIFS('SEANCE 1'!$B:$B, $B76, 'SEANCE 1'!$C:$C, U$2, 'SEANCE 1'!$F:$F, U$5)=0, "", COUNTIFS('SEANCE 1'!$B:$B, $B76, 'SEANCE 1'!$C:$C, U$2, 'SEANCE 1'!$F:$F, U$5))</f>
        <v/>
      </c>
      <c r="V76" s="64" t="str">
        <f ca="1">IF(COUNTIFS('SEANCE 1'!$B:$B, $B76, 'SEANCE 1'!$C:$C, V$2, 'SEANCE 1'!$F:$F, V$5)=0, "", COUNTIFS('SEANCE 1'!$B:$B, $B76, 'SEANCE 1'!$C:$C, V$2, 'SEANCE 1'!$F:$F, V$5))</f>
        <v/>
      </c>
      <c r="W76" s="64" t="str">
        <f ca="1">IF(COUNTIFS('SEANCE 1'!$B:$B, $B76, 'SEANCE 1'!$C:$C, W$2, 'SEANCE 1'!$F:$F, W$5)=0, "", COUNTIFS('SEANCE 1'!$B:$B, $B76, 'SEANCE 1'!$C:$C, W$2, 'SEANCE 1'!$F:$F, W$5))</f>
        <v/>
      </c>
      <c r="X76" s="64" t="str">
        <f ca="1">IF(COUNTIFS('SEANCE 1'!$B:$B, $B76, 'SEANCE 1'!$C:$C, X$2, 'SEANCE 1'!$F:$F, X$5)=0, "", COUNTIFS('SEANCE 1'!$B:$B, $B76, 'SEANCE 1'!$C:$C, X$2, 'SEANCE 1'!$F:$F, X$5))</f>
        <v/>
      </c>
      <c r="Y76" s="64" t="str">
        <f ca="1">IF(COUNTIFS('SEANCE 1'!$B:$B, $B76, 'SEANCE 1'!$C:$C, Y$2, 'SEANCE 1'!$F:$F, Y$5)=0, "", COUNTIFS('SEANCE 1'!$B:$B, $B76, 'SEANCE 1'!$C:$C, Y$2, 'SEANCE 1'!$F:$F, Y$5))</f>
        <v/>
      </c>
      <c r="Z76" s="64" t="str">
        <f ca="1">IF(COUNTIFS('SEANCE 1'!$B:$B, $B76, 'SEANCE 1'!$C:$C, Z$2, 'SEANCE 1'!$F:$F, Z$5)=0, "", COUNTIFS('SEANCE 1'!$B:$B, $B76, 'SEANCE 1'!$C:$C, Z$2, 'SEANCE 1'!$F:$F, Z$5))</f>
        <v/>
      </c>
      <c r="AA76" s="64" t="str">
        <f ca="1">IF(COUNTIFS('SEANCE 1'!$B:$B, $B76, 'SEANCE 1'!$C:$C, AA$2, 'SEANCE 1'!$F:$F, AA$5)=0, "", COUNTIFS('SEANCE 1'!$B:$B, $B76, 'SEANCE 1'!$C:$C, AA$2, 'SEANCE 1'!$F:$F, AA$5))</f>
        <v/>
      </c>
      <c r="AB76" s="64" t="str">
        <f ca="1">IF(COUNTIFS('SEANCE 1'!$B:$B, $B76, 'SEANCE 1'!$C:$C, AB$2, 'SEANCE 1'!$F:$F, AB$5)=0, "", COUNTIFS('SEANCE 1'!$B:$B, $B76, 'SEANCE 1'!$C:$C, AB$2, 'SEANCE 1'!$F:$F, AB$5))</f>
        <v/>
      </c>
      <c r="AC76" s="64" t="str">
        <f ca="1">IF(COUNTIFS('SEANCE 1'!$B:$B, $B76, 'SEANCE 1'!$C:$C, AC$2, 'SEANCE 1'!$F:$F, AC$5)=0, "", COUNTIFS('SEANCE 1'!$B:$B, $B76, 'SEANCE 1'!$C:$C, AC$2, 'SEANCE 1'!$F:$F, AC$5))</f>
        <v/>
      </c>
      <c r="AD76" s="64" t="str">
        <f ca="1">IF(COUNTIFS('SEANCE 1'!$B:$B, $B76, 'SEANCE 1'!$C:$C, AD$2, 'SEANCE 1'!$F:$F, AD$5)=0, "", COUNTIFS('SEANCE 1'!$B:$B, $B76, 'SEANCE 1'!$C:$C, AD$2, 'SEANCE 1'!$F:$F, AD$5))</f>
        <v/>
      </c>
      <c r="AE76" s="64" t="str">
        <f ca="1">IF(COUNTIFS('SEANCE 1'!$B:$B, $B76, 'SEANCE 1'!$C:$C, AE$2, 'SEANCE 1'!$F:$F, AE$5)=0, "", COUNTIFS('SEANCE 1'!$B:$B, $B76, 'SEANCE 1'!$C:$C, AE$2, 'SEANCE 1'!$F:$F, AE$5))</f>
        <v/>
      </c>
      <c r="AF76" s="64" t="str">
        <f ca="1">IF(COUNTIFS('SEANCE 1'!$B:$B, $B76, 'SEANCE 1'!$C:$C, AF$2, 'SEANCE 1'!$F:$F, AF$5)=0, "", COUNTIFS('SEANCE 1'!$B:$B, $B76, 'SEANCE 1'!$C:$C, AF$2, 'SEANCE 1'!$F:$F, AF$5))</f>
        <v/>
      </c>
      <c r="AG76" s="64" t="str">
        <f ca="1">IF(COUNTIFS('SEANCE 1'!$B:$B, $B76, 'SEANCE 1'!$C:$C, AG$2, 'SEANCE 1'!$F:$F, AG$5)=0, "", COUNTIFS('SEANCE 1'!$B:$B, $B76, 'SEANCE 1'!$C:$C, AG$2, 'SEANCE 1'!$F:$F, AG$5))</f>
        <v/>
      </c>
      <c r="AH76" s="64" t="str">
        <f ca="1">IF(COUNTIFS('SEANCE 1'!$B:$B, $B76, 'SEANCE 1'!$C:$C, AH$2, 'SEANCE 1'!$F:$F, AH$5)=0, "", COUNTIFS('SEANCE 1'!$B:$B, $B76, 'SEANCE 1'!$C:$C, AH$2, 'SEANCE 1'!$F:$F, AH$5))</f>
        <v/>
      </c>
      <c r="AI76" s="64" t="str">
        <f ca="1">IF(COUNTIFS('SEANCE 1'!$B:$B, $B76, 'SEANCE 1'!$C:$C, AI$2, 'SEANCE 1'!$F:$F, AI$5)=0, "", COUNTIFS('SEANCE 1'!$B:$B, $B76, 'SEANCE 1'!$C:$C, AI$2, 'SEANCE 1'!$F:$F, AI$5))</f>
        <v/>
      </c>
      <c r="AJ76" s="64" t="str">
        <f ca="1">IF(COUNTIFS('SEANCE 1'!$B:$B, $B76, 'SEANCE 1'!$C:$C, AJ$2, 'SEANCE 1'!$F:$F, AJ$5)=0, "", COUNTIFS('SEANCE 1'!$B:$B, $B76, 'SEANCE 1'!$C:$C, AJ$2, 'SEANCE 1'!$F:$F, AJ$5))</f>
        <v/>
      </c>
      <c r="AK76" s="64" t="str">
        <f ca="1">IF(COUNTIFS('SEANCE 1'!$B:$B, $B76, 'SEANCE 1'!$C:$C, AK$2, 'SEANCE 1'!$F:$F, AK$5)=0, "", COUNTIFS('SEANCE 1'!$B:$B, $B76, 'SEANCE 1'!$C:$C, AK$2, 'SEANCE 1'!$F:$F, AK$5))</f>
        <v/>
      </c>
      <c r="AL76" s="64" t="str">
        <f ca="1">IF(COUNTIFS('SEANCE 1'!$B:$B, $B76, 'SEANCE 1'!$C:$C, AL$2, 'SEANCE 1'!$F:$F, AL$5)=0, "", COUNTIFS('SEANCE 1'!$B:$B, $B76, 'SEANCE 1'!$C:$C, AL$2, 'SEANCE 1'!$F:$F, AL$5))</f>
        <v/>
      </c>
      <c r="AM76" s="64" t="str">
        <f ca="1">IF(COUNTIFS('SEANCE 1'!$B:$B, $B76, 'SEANCE 1'!$C:$C, AM$2, 'SEANCE 1'!$F:$F, AM$5)=0, "", COUNTIFS('SEANCE 1'!$B:$B, $B76, 'SEANCE 1'!$C:$C, AM$2, 'SEANCE 1'!$F:$F, AM$5))</f>
        <v/>
      </c>
      <c r="AN76" s="64" t="str">
        <f ca="1">IF(COUNTIFS('SEANCE 1'!$B:$B, $B76, 'SEANCE 1'!$C:$C, AN$2, 'SEANCE 1'!$F:$F, AN$5)=0, "", COUNTIFS('SEANCE 1'!$B:$B, $B76, 'SEANCE 1'!$C:$C, AN$2, 'SEANCE 1'!$F:$F, AN$5))</f>
        <v/>
      </c>
      <c r="AO76" s="64" t="str">
        <f ca="1">IF(COUNTIFS('SEANCE 1'!$B:$B, $B76, 'SEANCE 1'!$C:$C, AO$2, 'SEANCE 1'!$F:$F, AO$5)=0, "", COUNTIFS('SEANCE 1'!$B:$B, $B76, 'SEANCE 1'!$C:$C, AO$2, 'SEANCE 1'!$F:$F, AO$5))</f>
        <v/>
      </c>
      <c r="AP76" s="64" t="str">
        <f ca="1">IF(COUNTIFS('SEANCE 1'!$B:$B, $B76, 'SEANCE 1'!$C:$C, AP$2, 'SEANCE 1'!$F:$F, AP$5)=0, "", COUNTIFS('SEANCE 1'!$B:$B, $B76, 'SEANCE 1'!$C:$C, AP$2, 'SEANCE 1'!$F:$F, AP$5))</f>
        <v/>
      </c>
      <c r="AQ76" s="64" t="str">
        <f ca="1">IF(COUNTIFS('SEANCE 1'!$B:$B, $B76, 'SEANCE 1'!$C:$C, AQ$2, 'SEANCE 1'!$F:$F, AQ$5)=0, "", COUNTIFS('SEANCE 1'!$B:$B, $B76, 'SEANCE 1'!$C:$C, AQ$2, 'SEANCE 1'!$F:$F, AQ$5))</f>
        <v/>
      </c>
      <c r="AR76" s="64" t="str">
        <f ca="1">IF(COUNTIFS('SEANCE 1'!$B:$B, $B76, 'SEANCE 1'!$C:$C, AR$2, 'SEANCE 1'!$F:$F, AR$5)=0, "", COUNTIFS('SEANCE 1'!$B:$B, $B76, 'SEANCE 1'!$C:$C, AR$2, 'SEANCE 1'!$F:$F, AR$5))</f>
        <v/>
      </c>
      <c r="AS76" s="64" t="str">
        <f ca="1">IF(COUNTIFS('SEANCE 1'!$B:$B, $B76, 'SEANCE 1'!$C:$C, AS$2, 'SEANCE 1'!$F:$F, AS$5)=0, "", COUNTIFS('SEANCE 1'!$B:$B, $B76, 'SEANCE 1'!$C:$C, AS$2, 'SEANCE 1'!$F:$F, AS$5))</f>
        <v/>
      </c>
      <c r="AT76" s="64" t="str">
        <f ca="1">IF(COUNTIFS('SEANCE 1'!$B:$B, $B76, 'SEANCE 1'!$C:$C, AT$2, 'SEANCE 1'!$F:$F, AT$5)=0, "", COUNTIFS('SEANCE 1'!$B:$B, $B76, 'SEANCE 1'!$C:$C, AT$2, 'SEANCE 1'!$F:$F, AT$5))</f>
        <v/>
      </c>
      <c r="AU76" s="64" t="str">
        <f ca="1">IF(COUNTIFS('SEANCE 1'!$B:$B, $B76, 'SEANCE 1'!$C:$C, AU$2, 'SEANCE 1'!$F:$F, AU$5)=0, "", COUNTIFS('SEANCE 1'!$B:$B, $B76, 'SEANCE 1'!$C:$C, AU$2, 'SEANCE 1'!$F:$F, AU$5))</f>
        <v/>
      </c>
      <c r="AV76" s="64" t="str">
        <f ca="1">IF(COUNTIFS('SEANCE 1'!$B:$B, $B76, 'SEANCE 1'!$C:$C, AV$2, 'SEANCE 1'!$F:$F, AV$5)=0, "", COUNTIFS('SEANCE 1'!$B:$B, $B76, 'SEANCE 1'!$C:$C, AV$2, 'SEANCE 1'!$F:$F, AV$5))</f>
        <v/>
      </c>
      <c r="AW76" s="64" t="str">
        <f ca="1">IF(COUNTIFS('SEANCE 1'!$B:$B, $B76, 'SEANCE 1'!$C:$C, AW$2, 'SEANCE 1'!$F:$F, AW$5)=0, "", COUNTIFS('SEANCE 1'!$B:$B, $B76, 'SEANCE 1'!$C:$C, AW$2, 'SEANCE 1'!$F:$F, AW$5))</f>
        <v/>
      </c>
      <c r="AX76" s="64" t="str">
        <f ca="1">IF(COUNTIFS('SEANCE 1'!$B:$B, $B76, 'SEANCE 1'!$C:$C, AX$2, 'SEANCE 1'!$F:$F, AX$5)=0, "", COUNTIFS('SEANCE 1'!$B:$B, $B76, 'SEANCE 1'!$C:$C, AX$2, 'SEANCE 1'!$F:$F, AX$5))</f>
        <v/>
      </c>
      <c r="AY76" s="64" t="str">
        <f ca="1">IF(COUNTIFS('SEANCE 1'!$B:$B, $B76, 'SEANCE 1'!$C:$C, AY$2, 'SEANCE 1'!$F:$F, AY$5)=0, "", COUNTIFS('SEANCE 1'!$B:$B, $B76, 'SEANCE 1'!$C:$C, AY$2, 'SEANCE 1'!$F:$F, AY$5))</f>
        <v/>
      </c>
      <c r="AZ76" s="32">
        <f t="shared" ca="1" si="1"/>
        <v>0</v>
      </c>
    </row>
    <row r="77" spans="1:52">
      <c r="A77" s="44" t="str">
        <f>IF('SEANCE 1'!$B73&lt;&gt;"",'SEANCE 1'!$A73,"")</f>
        <v/>
      </c>
      <c r="B77" s="44" t="str">
        <f t="array" aca="1" ref="B77" ca="1">IF(ISNA(INDEX(ListeB,MATCH(0,COUNTIF($B$5:B76,ListeB),0))),"",INDEX(ListeB,MATCH(0,COUNTIF($B$5:B76,ListeB),0)))</f>
        <v/>
      </c>
      <c r="C77" s="64" t="str">
        <f ca="1">IF(COUNTIFS('SEANCE 1'!$B:$B, $B77, 'SEANCE 1'!$C:$C, C$2, 'SEANCE 1'!$F:$F, C$5)=0, "", COUNTIFS('SEANCE 1'!$B:$B, $B77, 'SEANCE 1'!$C:$C, C$2, 'SEANCE 1'!$F:$F, C$5))</f>
        <v/>
      </c>
      <c r="D77" s="64" t="str">
        <f ca="1">IF(COUNTIFS('SEANCE 1'!$B:$B, $B77, 'SEANCE 1'!$C:$C, D$2, 'SEANCE 1'!$F:$F, D$5)=0, "", COUNTIFS('SEANCE 1'!$B:$B, $B77, 'SEANCE 1'!$C:$C, D$2, 'SEANCE 1'!$F:$F, D$5))</f>
        <v/>
      </c>
      <c r="E77" s="64" t="str">
        <f ca="1">IF(COUNTIFS('SEANCE 1'!$B:$B, $B77, 'SEANCE 1'!$C:$C, E$2, 'SEANCE 1'!$F:$F, E$5)=0, "", COUNTIFS('SEANCE 1'!$B:$B, $B77, 'SEANCE 1'!$C:$C, E$2, 'SEANCE 1'!$F:$F, E$5))</f>
        <v/>
      </c>
      <c r="F77" s="64" t="str">
        <f ca="1">IF(COUNTIFS('SEANCE 1'!$B:$B, $B77, 'SEANCE 1'!$C:$C, F$2, 'SEANCE 1'!$F:$F, F$5)=0, "", COUNTIFS('SEANCE 1'!$B:$B, $B77, 'SEANCE 1'!$C:$C, F$2, 'SEANCE 1'!$F:$F, F$5))</f>
        <v/>
      </c>
      <c r="G77" s="64" t="str">
        <f ca="1">IF(COUNTIFS('SEANCE 1'!$B:$B, $B77, 'SEANCE 1'!$C:$C, G$2, 'SEANCE 1'!$F:$F, G$5)=0, "", COUNTIFS('SEANCE 1'!$B:$B, $B77, 'SEANCE 1'!$C:$C, G$2, 'SEANCE 1'!$F:$F, G$5))</f>
        <v/>
      </c>
      <c r="H77" s="64" t="str">
        <f ca="1">IF(COUNTIFS('SEANCE 1'!$B:$B, $B77, 'SEANCE 1'!$C:$C, H$2, 'SEANCE 1'!$F:$F, H$5)=0, "", COUNTIFS('SEANCE 1'!$B:$B, $B77, 'SEANCE 1'!$C:$C, H$2, 'SEANCE 1'!$F:$F, H$5))</f>
        <v/>
      </c>
      <c r="I77" s="64" t="str">
        <f ca="1">IF(COUNTIFS('SEANCE 1'!$B:$B, $B77, 'SEANCE 1'!$C:$C, I$2, 'SEANCE 1'!$F:$F, I$5)=0, "", COUNTIFS('SEANCE 1'!$B:$B, $B77, 'SEANCE 1'!$C:$C, I$2, 'SEANCE 1'!$F:$F, I$5))</f>
        <v/>
      </c>
      <c r="J77" s="64" t="str">
        <f ca="1">IF(COUNTIFS('SEANCE 1'!$B:$B, $B77, 'SEANCE 1'!$C:$C, J$2, 'SEANCE 1'!$F:$F, J$5)=0, "", COUNTIFS('SEANCE 1'!$B:$B, $B77, 'SEANCE 1'!$C:$C, J$2, 'SEANCE 1'!$F:$F, J$5))</f>
        <v/>
      </c>
      <c r="K77" s="64" t="str">
        <f ca="1">IF(COUNTIFS('SEANCE 1'!$B:$B, $B77, 'SEANCE 1'!$C:$C, K$2, 'SEANCE 1'!$F:$F, K$5)=0, "", COUNTIFS('SEANCE 1'!$B:$B, $B77, 'SEANCE 1'!$C:$C, K$2, 'SEANCE 1'!$F:$F, K$5))</f>
        <v/>
      </c>
      <c r="L77" s="64" t="str">
        <f ca="1">IF(COUNTIFS('SEANCE 1'!$B:$B, $B77, 'SEANCE 1'!$C:$C, L$2, 'SEANCE 1'!$F:$F, L$5)=0, "", COUNTIFS('SEANCE 1'!$B:$B, $B77, 'SEANCE 1'!$C:$C, L$2, 'SEANCE 1'!$F:$F, L$5))</f>
        <v/>
      </c>
      <c r="M77" s="64" t="str">
        <f ca="1">IF(COUNTIFS('SEANCE 1'!$B:$B, $B77, 'SEANCE 1'!$C:$C, M$2, 'SEANCE 1'!$F:$F, M$5)=0, "", COUNTIFS('SEANCE 1'!$B:$B, $B77, 'SEANCE 1'!$C:$C, M$2, 'SEANCE 1'!$F:$F, M$5))</f>
        <v/>
      </c>
      <c r="N77" s="64" t="str">
        <f ca="1">IF(COUNTIFS('SEANCE 1'!$B:$B, $B77, 'SEANCE 1'!$C:$C, N$2, 'SEANCE 1'!$F:$F, N$5)=0, "", COUNTIFS('SEANCE 1'!$B:$B, $B77, 'SEANCE 1'!$C:$C, N$2, 'SEANCE 1'!$F:$F, N$5))</f>
        <v/>
      </c>
      <c r="O77" s="64" t="str">
        <f ca="1">IF(COUNTIFS('SEANCE 1'!$B:$B, $B77, 'SEANCE 1'!$C:$C, O$2, 'SEANCE 1'!$F:$F, O$5)=0, "", COUNTIFS('SEANCE 1'!$B:$B, $B77, 'SEANCE 1'!$C:$C, O$2, 'SEANCE 1'!$F:$F, O$5))</f>
        <v/>
      </c>
      <c r="P77" s="64" t="str">
        <f ca="1">IF(COUNTIFS('SEANCE 1'!$B:$B, $B77, 'SEANCE 1'!$C:$C, P$2, 'SEANCE 1'!$F:$F, P$5)=0, "", COUNTIFS('SEANCE 1'!$B:$B, $B77, 'SEANCE 1'!$C:$C, P$2, 'SEANCE 1'!$F:$F, P$5))</f>
        <v/>
      </c>
      <c r="Q77" s="64" t="str">
        <f ca="1">IF(COUNTIFS('SEANCE 1'!$B:$B, $B77, 'SEANCE 1'!$C:$C, Q$2, 'SEANCE 1'!$F:$F, Q$5)=0, "", COUNTIFS('SEANCE 1'!$B:$B, $B77, 'SEANCE 1'!$C:$C, Q$2, 'SEANCE 1'!$F:$F, Q$5))</f>
        <v/>
      </c>
      <c r="R77" s="64" t="str">
        <f ca="1">IF(COUNTIFS('SEANCE 1'!$B:$B, $B77, 'SEANCE 1'!$C:$C, R$2, 'SEANCE 1'!$F:$F, R$5)=0, "", COUNTIFS('SEANCE 1'!$B:$B, $B77, 'SEANCE 1'!$C:$C, R$2, 'SEANCE 1'!$F:$F, R$5))</f>
        <v/>
      </c>
      <c r="S77" s="64" t="str">
        <f ca="1">IF(COUNTIFS('SEANCE 1'!$B:$B, $B77, 'SEANCE 1'!$C:$C, S$2, 'SEANCE 1'!$F:$F, S$5)=0, "", COUNTIFS('SEANCE 1'!$B:$B, $B77, 'SEANCE 1'!$C:$C, S$2, 'SEANCE 1'!$F:$F, S$5))</f>
        <v/>
      </c>
      <c r="T77" s="64" t="str">
        <f ca="1">IF(COUNTIFS('SEANCE 1'!$B:$B, $B77, 'SEANCE 1'!$C:$C, T$2, 'SEANCE 1'!$F:$F, T$5)=0, "", COUNTIFS('SEANCE 1'!$B:$B, $B77, 'SEANCE 1'!$C:$C, T$2, 'SEANCE 1'!$F:$F, T$5))</f>
        <v/>
      </c>
      <c r="U77" s="64" t="str">
        <f ca="1">IF(COUNTIFS('SEANCE 1'!$B:$B, $B77, 'SEANCE 1'!$C:$C, U$2, 'SEANCE 1'!$F:$F, U$5)=0, "", COUNTIFS('SEANCE 1'!$B:$B, $B77, 'SEANCE 1'!$C:$C, U$2, 'SEANCE 1'!$F:$F, U$5))</f>
        <v/>
      </c>
      <c r="V77" s="64" t="str">
        <f ca="1">IF(COUNTIFS('SEANCE 1'!$B:$B, $B77, 'SEANCE 1'!$C:$C, V$2, 'SEANCE 1'!$F:$F, V$5)=0, "", COUNTIFS('SEANCE 1'!$B:$B, $B77, 'SEANCE 1'!$C:$C, V$2, 'SEANCE 1'!$F:$F, V$5))</f>
        <v/>
      </c>
      <c r="W77" s="64" t="str">
        <f ca="1">IF(COUNTIFS('SEANCE 1'!$B:$B, $B77, 'SEANCE 1'!$C:$C, W$2, 'SEANCE 1'!$F:$F, W$5)=0, "", COUNTIFS('SEANCE 1'!$B:$B, $B77, 'SEANCE 1'!$C:$C, W$2, 'SEANCE 1'!$F:$F, W$5))</f>
        <v/>
      </c>
      <c r="X77" s="64" t="str">
        <f ca="1">IF(COUNTIFS('SEANCE 1'!$B:$B, $B77, 'SEANCE 1'!$C:$C, X$2, 'SEANCE 1'!$F:$F, X$5)=0, "", COUNTIFS('SEANCE 1'!$B:$B, $B77, 'SEANCE 1'!$C:$C, X$2, 'SEANCE 1'!$F:$F, X$5))</f>
        <v/>
      </c>
      <c r="Y77" s="64" t="str">
        <f ca="1">IF(COUNTIFS('SEANCE 1'!$B:$B, $B77, 'SEANCE 1'!$C:$C, Y$2, 'SEANCE 1'!$F:$F, Y$5)=0, "", COUNTIFS('SEANCE 1'!$B:$B, $B77, 'SEANCE 1'!$C:$C, Y$2, 'SEANCE 1'!$F:$F, Y$5))</f>
        <v/>
      </c>
      <c r="Z77" s="64" t="str">
        <f ca="1">IF(COUNTIFS('SEANCE 1'!$B:$B, $B77, 'SEANCE 1'!$C:$C, Z$2, 'SEANCE 1'!$F:$F, Z$5)=0, "", COUNTIFS('SEANCE 1'!$B:$B, $B77, 'SEANCE 1'!$C:$C, Z$2, 'SEANCE 1'!$F:$F, Z$5))</f>
        <v/>
      </c>
      <c r="AA77" s="64" t="str">
        <f ca="1">IF(COUNTIFS('SEANCE 1'!$B:$B, $B77, 'SEANCE 1'!$C:$C, AA$2, 'SEANCE 1'!$F:$F, AA$5)=0, "", COUNTIFS('SEANCE 1'!$B:$B, $B77, 'SEANCE 1'!$C:$C, AA$2, 'SEANCE 1'!$F:$F, AA$5))</f>
        <v/>
      </c>
      <c r="AB77" s="64" t="str">
        <f ca="1">IF(COUNTIFS('SEANCE 1'!$B:$B, $B77, 'SEANCE 1'!$C:$C, AB$2, 'SEANCE 1'!$F:$F, AB$5)=0, "", COUNTIFS('SEANCE 1'!$B:$B, $B77, 'SEANCE 1'!$C:$C, AB$2, 'SEANCE 1'!$F:$F, AB$5))</f>
        <v/>
      </c>
      <c r="AC77" s="64" t="str">
        <f ca="1">IF(COUNTIFS('SEANCE 1'!$B:$B, $B77, 'SEANCE 1'!$C:$C, AC$2, 'SEANCE 1'!$F:$F, AC$5)=0, "", COUNTIFS('SEANCE 1'!$B:$B, $B77, 'SEANCE 1'!$C:$C, AC$2, 'SEANCE 1'!$F:$F, AC$5))</f>
        <v/>
      </c>
      <c r="AD77" s="64" t="str">
        <f ca="1">IF(COUNTIFS('SEANCE 1'!$B:$B, $B77, 'SEANCE 1'!$C:$C, AD$2, 'SEANCE 1'!$F:$F, AD$5)=0, "", COUNTIFS('SEANCE 1'!$B:$B, $B77, 'SEANCE 1'!$C:$C, AD$2, 'SEANCE 1'!$F:$F, AD$5))</f>
        <v/>
      </c>
      <c r="AE77" s="64" t="str">
        <f ca="1">IF(COUNTIFS('SEANCE 1'!$B:$B, $B77, 'SEANCE 1'!$C:$C, AE$2, 'SEANCE 1'!$F:$F, AE$5)=0, "", COUNTIFS('SEANCE 1'!$B:$B, $B77, 'SEANCE 1'!$C:$C, AE$2, 'SEANCE 1'!$F:$F, AE$5))</f>
        <v/>
      </c>
      <c r="AF77" s="64" t="str">
        <f ca="1">IF(COUNTIFS('SEANCE 1'!$B:$B, $B77, 'SEANCE 1'!$C:$C, AF$2, 'SEANCE 1'!$F:$F, AF$5)=0, "", COUNTIFS('SEANCE 1'!$B:$B, $B77, 'SEANCE 1'!$C:$C, AF$2, 'SEANCE 1'!$F:$F, AF$5))</f>
        <v/>
      </c>
      <c r="AG77" s="64" t="str">
        <f ca="1">IF(COUNTIFS('SEANCE 1'!$B:$B, $B77, 'SEANCE 1'!$C:$C, AG$2, 'SEANCE 1'!$F:$F, AG$5)=0, "", COUNTIFS('SEANCE 1'!$B:$B, $B77, 'SEANCE 1'!$C:$C, AG$2, 'SEANCE 1'!$F:$F, AG$5))</f>
        <v/>
      </c>
      <c r="AH77" s="64" t="str">
        <f ca="1">IF(COUNTIFS('SEANCE 1'!$B:$B, $B77, 'SEANCE 1'!$C:$C, AH$2, 'SEANCE 1'!$F:$F, AH$5)=0, "", COUNTIFS('SEANCE 1'!$B:$B, $B77, 'SEANCE 1'!$C:$C, AH$2, 'SEANCE 1'!$F:$F, AH$5))</f>
        <v/>
      </c>
      <c r="AI77" s="64" t="str">
        <f ca="1">IF(COUNTIFS('SEANCE 1'!$B:$B, $B77, 'SEANCE 1'!$C:$C, AI$2, 'SEANCE 1'!$F:$F, AI$5)=0, "", COUNTIFS('SEANCE 1'!$B:$B, $B77, 'SEANCE 1'!$C:$C, AI$2, 'SEANCE 1'!$F:$F, AI$5))</f>
        <v/>
      </c>
      <c r="AJ77" s="64" t="str">
        <f ca="1">IF(COUNTIFS('SEANCE 1'!$B:$B, $B77, 'SEANCE 1'!$C:$C, AJ$2, 'SEANCE 1'!$F:$F, AJ$5)=0, "", COUNTIFS('SEANCE 1'!$B:$B, $B77, 'SEANCE 1'!$C:$C, AJ$2, 'SEANCE 1'!$F:$F, AJ$5))</f>
        <v/>
      </c>
      <c r="AK77" s="64" t="str">
        <f ca="1">IF(COUNTIFS('SEANCE 1'!$B:$B, $B77, 'SEANCE 1'!$C:$C, AK$2, 'SEANCE 1'!$F:$F, AK$5)=0, "", COUNTIFS('SEANCE 1'!$B:$B, $B77, 'SEANCE 1'!$C:$C, AK$2, 'SEANCE 1'!$F:$F, AK$5))</f>
        <v/>
      </c>
      <c r="AL77" s="64" t="str">
        <f ca="1">IF(COUNTIFS('SEANCE 1'!$B:$B, $B77, 'SEANCE 1'!$C:$C, AL$2, 'SEANCE 1'!$F:$F, AL$5)=0, "", COUNTIFS('SEANCE 1'!$B:$B, $B77, 'SEANCE 1'!$C:$C, AL$2, 'SEANCE 1'!$F:$F, AL$5))</f>
        <v/>
      </c>
      <c r="AM77" s="64" t="str">
        <f ca="1">IF(COUNTIFS('SEANCE 1'!$B:$B, $B77, 'SEANCE 1'!$C:$C, AM$2, 'SEANCE 1'!$F:$F, AM$5)=0, "", COUNTIFS('SEANCE 1'!$B:$B, $B77, 'SEANCE 1'!$C:$C, AM$2, 'SEANCE 1'!$F:$F, AM$5))</f>
        <v/>
      </c>
      <c r="AN77" s="64" t="str">
        <f ca="1">IF(COUNTIFS('SEANCE 1'!$B:$B, $B77, 'SEANCE 1'!$C:$C, AN$2, 'SEANCE 1'!$F:$F, AN$5)=0, "", COUNTIFS('SEANCE 1'!$B:$B, $B77, 'SEANCE 1'!$C:$C, AN$2, 'SEANCE 1'!$F:$F, AN$5))</f>
        <v/>
      </c>
      <c r="AO77" s="64" t="str">
        <f ca="1">IF(COUNTIFS('SEANCE 1'!$B:$B, $B77, 'SEANCE 1'!$C:$C, AO$2, 'SEANCE 1'!$F:$F, AO$5)=0, "", COUNTIFS('SEANCE 1'!$B:$B, $B77, 'SEANCE 1'!$C:$C, AO$2, 'SEANCE 1'!$F:$F, AO$5))</f>
        <v/>
      </c>
      <c r="AP77" s="64" t="str">
        <f ca="1">IF(COUNTIFS('SEANCE 1'!$B:$B, $B77, 'SEANCE 1'!$C:$C, AP$2, 'SEANCE 1'!$F:$F, AP$5)=0, "", COUNTIFS('SEANCE 1'!$B:$B, $B77, 'SEANCE 1'!$C:$C, AP$2, 'SEANCE 1'!$F:$F, AP$5))</f>
        <v/>
      </c>
      <c r="AQ77" s="64" t="str">
        <f ca="1">IF(COUNTIFS('SEANCE 1'!$B:$B, $B77, 'SEANCE 1'!$C:$C, AQ$2, 'SEANCE 1'!$F:$F, AQ$5)=0, "", COUNTIFS('SEANCE 1'!$B:$B, $B77, 'SEANCE 1'!$C:$C, AQ$2, 'SEANCE 1'!$F:$F, AQ$5))</f>
        <v/>
      </c>
      <c r="AR77" s="64" t="str">
        <f ca="1">IF(COUNTIFS('SEANCE 1'!$B:$B, $B77, 'SEANCE 1'!$C:$C, AR$2, 'SEANCE 1'!$F:$F, AR$5)=0, "", COUNTIFS('SEANCE 1'!$B:$B, $B77, 'SEANCE 1'!$C:$C, AR$2, 'SEANCE 1'!$F:$F, AR$5))</f>
        <v/>
      </c>
      <c r="AS77" s="64" t="str">
        <f ca="1">IF(COUNTIFS('SEANCE 1'!$B:$B, $B77, 'SEANCE 1'!$C:$C, AS$2, 'SEANCE 1'!$F:$F, AS$5)=0, "", COUNTIFS('SEANCE 1'!$B:$B, $B77, 'SEANCE 1'!$C:$C, AS$2, 'SEANCE 1'!$F:$F, AS$5))</f>
        <v/>
      </c>
      <c r="AT77" s="64" t="str">
        <f ca="1">IF(COUNTIFS('SEANCE 1'!$B:$B, $B77, 'SEANCE 1'!$C:$C, AT$2, 'SEANCE 1'!$F:$F, AT$5)=0, "", COUNTIFS('SEANCE 1'!$B:$B, $B77, 'SEANCE 1'!$C:$C, AT$2, 'SEANCE 1'!$F:$F, AT$5))</f>
        <v/>
      </c>
      <c r="AU77" s="64" t="str">
        <f ca="1">IF(COUNTIFS('SEANCE 1'!$B:$B, $B77, 'SEANCE 1'!$C:$C, AU$2, 'SEANCE 1'!$F:$F, AU$5)=0, "", COUNTIFS('SEANCE 1'!$B:$B, $B77, 'SEANCE 1'!$C:$C, AU$2, 'SEANCE 1'!$F:$F, AU$5))</f>
        <v/>
      </c>
      <c r="AV77" s="64" t="str">
        <f ca="1">IF(COUNTIFS('SEANCE 1'!$B:$B, $B77, 'SEANCE 1'!$C:$C, AV$2, 'SEANCE 1'!$F:$F, AV$5)=0, "", COUNTIFS('SEANCE 1'!$B:$B, $B77, 'SEANCE 1'!$C:$C, AV$2, 'SEANCE 1'!$F:$F, AV$5))</f>
        <v/>
      </c>
      <c r="AW77" s="64" t="str">
        <f ca="1">IF(COUNTIFS('SEANCE 1'!$B:$B, $B77, 'SEANCE 1'!$C:$C, AW$2, 'SEANCE 1'!$F:$F, AW$5)=0, "", COUNTIFS('SEANCE 1'!$B:$B, $B77, 'SEANCE 1'!$C:$C, AW$2, 'SEANCE 1'!$F:$F, AW$5))</f>
        <v/>
      </c>
      <c r="AX77" s="64" t="str">
        <f ca="1">IF(COUNTIFS('SEANCE 1'!$B:$B, $B77, 'SEANCE 1'!$C:$C, AX$2, 'SEANCE 1'!$F:$F, AX$5)=0, "", COUNTIFS('SEANCE 1'!$B:$B, $B77, 'SEANCE 1'!$C:$C, AX$2, 'SEANCE 1'!$F:$F, AX$5))</f>
        <v/>
      </c>
      <c r="AY77" s="64" t="str">
        <f ca="1">IF(COUNTIFS('SEANCE 1'!$B:$B, $B77, 'SEANCE 1'!$C:$C, AY$2, 'SEANCE 1'!$F:$F, AY$5)=0, "", COUNTIFS('SEANCE 1'!$B:$B, $B77, 'SEANCE 1'!$C:$C, AY$2, 'SEANCE 1'!$F:$F, AY$5))</f>
        <v/>
      </c>
      <c r="AZ77" s="32">
        <f t="shared" ca="1" si="1"/>
        <v>0</v>
      </c>
    </row>
    <row r="78" spans="1:52">
      <c r="A78" s="44" t="str">
        <f>IF('SEANCE 1'!$B74&lt;&gt;"",'SEANCE 1'!$A74,"")</f>
        <v/>
      </c>
      <c r="B78" s="44" t="str">
        <f t="array" aca="1" ref="B78" ca="1">IF(ISNA(INDEX(ListeB,MATCH(0,COUNTIF($B$5:B77,ListeB),0))),"",INDEX(ListeB,MATCH(0,COUNTIF($B$5:B77,ListeB),0)))</f>
        <v/>
      </c>
      <c r="C78" s="64" t="str">
        <f ca="1">IF(COUNTIFS('SEANCE 1'!$B:$B, $B78, 'SEANCE 1'!$C:$C, C$2, 'SEANCE 1'!$F:$F, C$5)=0, "", COUNTIFS('SEANCE 1'!$B:$B, $B78, 'SEANCE 1'!$C:$C, C$2, 'SEANCE 1'!$F:$F, C$5))</f>
        <v/>
      </c>
      <c r="D78" s="64" t="str">
        <f ca="1">IF(COUNTIFS('SEANCE 1'!$B:$B, $B78, 'SEANCE 1'!$C:$C, D$2, 'SEANCE 1'!$F:$F, D$5)=0, "", COUNTIFS('SEANCE 1'!$B:$B, $B78, 'SEANCE 1'!$C:$C, D$2, 'SEANCE 1'!$F:$F, D$5))</f>
        <v/>
      </c>
      <c r="E78" s="64" t="str">
        <f ca="1">IF(COUNTIFS('SEANCE 1'!$B:$B, $B78, 'SEANCE 1'!$C:$C, E$2, 'SEANCE 1'!$F:$F, E$5)=0, "", COUNTIFS('SEANCE 1'!$B:$B, $B78, 'SEANCE 1'!$C:$C, E$2, 'SEANCE 1'!$F:$F, E$5))</f>
        <v/>
      </c>
      <c r="F78" s="64" t="str">
        <f ca="1">IF(COUNTIFS('SEANCE 1'!$B:$B, $B78, 'SEANCE 1'!$C:$C, F$2, 'SEANCE 1'!$F:$F, F$5)=0, "", COUNTIFS('SEANCE 1'!$B:$B, $B78, 'SEANCE 1'!$C:$C, F$2, 'SEANCE 1'!$F:$F, F$5))</f>
        <v/>
      </c>
      <c r="G78" s="64" t="str">
        <f ca="1">IF(COUNTIFS('SEANCE 1'!$B:$B, $B78, 'SEANCE 1'!$C:$C, G$2, 'SEANCE 1'!$F:$F, G$5)=0, "", COUNTIFS('SEANCE 1'!$B:$B, $B78, 'SEANCE 1'!$C:$C, G$2, 'SEANCE 1'!$F:$F, G$5))</f>
        <v/>
      </c>
      <c r="H78" s="64" t="str">
        <f ca="1">IF(COUNTIFS('SEANCE 1'!$B:$B, $B78, 'SEANCE 1'!$C:$C, H$2, 'SEANCE 1'!$F:$F, H$5)=0, "", COUNTIFS('SEANCE 1'!$B:$B, $B78, 'SEANCE 1'!$C:$C, H$2, 'SEANCE 1'!$F:$F, H$5))</f>
        <v/>
      </c>
      <c r="I78" s="64" t="str">
        <f ca="1">IF(COUNTIFS('SEANCE 1'!$B:$B, $B78, 'SEANCE 1'!$C:$C, I$2, 'SEANCE 1'!$F:$F, I$5)=0, "", COUNTIFS('SEANCE 1'!$B:$B, $B78, 'SEANCE 1'!$C:$C, I$2, 'SEANCE 1'!$F:$F, I$5))</f>
        <v/>
      </c>
      <c r="J78" s="64" t="str">
        <f ca="1">IF(COUNTIFS('SEANCE 1'!$B:$B, $B78, 'SEANCE 1'!$C:$C, J$2, 'SEANCE 1'!$F:$F, J$5)=0, "", COUNTIFS('SEANCE 1'!$B:$B, $B78, 'SEANCE 1'!$C:$C, J$2, 'SEANCE 1'!$F:$F, J$5))</f>
        <v/>
      </c>
      <c r="K78" s="64" t="str">
        <f ca="1">IF(COUNTIFS('SEANCE 1'!$B:$B, $B78, 'SEANCE 1'!$C:$C, K$2, 'SEANCE 1'!$F:$F, K$5)=0, "", COUNTIFS('SEANCE 1'!$B:$B, $B78, 'SEANCE 1'!$C:$C, K$2, 'SEANCE 1'!$F:$F, K$5))</f>
        <v/>
      </c>
      <c r="L78" s="64" t="str">
        <f ca="1">IF(COUNTIFS('SEANCE 1'!$B:$B, $B78, 'SEANCE 1'!$C:$C, L$2, 'SEANCE 1'!$F:$F, L$5)=0, "", COUNTIFS('SEANCE 1'!$B:$B, $B78, 'SEANCE 1'!$C:$C, L$2, 'SEANCE 1'!$F:$F, L$5))</f>
        <v/>
      </c>
      <c r="M78" s="64" t="str">
        <f ca="1">IF(COUNTIFS('SEANCE 1'!$B:$B, $B78, 'SEANCE 1'!$C:$C, M$2, 'SEANCE 1'!$F:$F, M$5)=0, "", COUNTIFS('SEANCE 1'!$B:$B, $B78, 'SEANCE 1'!$C:$C, M$2, 'SEANCE 1'!$F:$F, M$5))</f>
        <v/>
      </c>
      <c r="N78" s="64" t="str">
        <f ca="1">IF(COUNTIFS('SEANCE 1'!$B:$B, $B78, 'SEANCE 1'!$C:$C, N$2, 'SEANCE 1'!$F:$F, N$5)=0, "", COUNTIFS('SEANCE 1'!$B:$B, $B78, 'SEANCE 1'!$C:$C, N$2, 'SEANCE 1'!$F:$F, N$5))</f>
        <v/>
      </c>
      <c r="O78" s="64" t="str">
        <f ca="1">IF(COUNTIFS('SEANCE 1'!$B:$B, $B78, 'SEANCE 1'!$C:$C, O$2, 'SEANCE 1'!$F:$F, O$5)=0, "", COUNTIFS('SEANCE 1'!$B:$B, $B78, 'SEANCE 1'!$C:$C, O$2, 'SEANCE 1'!$F:$F, O$5))</f>
        <v/>
      </c>
      <c r="P78" s="64" t="str">
        <f ca="1">IF(COUNTIFS('SEANCE 1'!$B:$B, $B78, 'SEANCE 1'!$C:$C, P$2, 'SEANCE 1'!$F:$F, P$5)=0, "", COUNTIFS('SEANCE 1'!$B:$B, $B78, 'SEANCE 1'!$C:$C, P$2, 'SEANCE 1'!$F:$F, P$5))</f>
        <v/>
      </c>
      <c r="Q78" s="64" t="str">
        <f ca="1">IF(COUNTIFS('SEANCE 1'!$B:$B, $B78, 'SEANCE 1'!$C:$C, Q$2, 'SEANCE 1'!$F:$F, Q$5)=0, "", COUNTIFS('SEANCE 1'!$B:$B, $B78, 'SEANCE 1'!$C:$C, Q$2, 'SEANCE 1'!$F:$F, Q$5))</f>
        <v/>
      </c>
      <c r="R78" s="64" t="str">
        <f ca="1">IF(COUNTIFS('SEANCE 1'!$B:$B, $B78, 'SEANCE 1'!$C:$C, R$2, 'SEANCE 1'!$F:$F, R$5)=0, "", COUNTIFS('SEANCE 1'!$B:$B, $B78, 'SEANCE 1'!$C:$C, R$2, 'SEANCE 1'!$F:$F, R$5))</f>
        <v/>
      </c>
      <c r="S78" s="64" t="str">
        <f ca="1">IF(COUNTIFS('SEANCE 1'!$B:$B, $B78, 'SEANCE 1'!$C:$C, S$2, 'SEANCE 1'!$F:$F, S$5)=0, "", COUNTIFS('SEANCE 1'!$B:$B, $B78, 'SEANCE 1'!$C:$C, S$2, 'SEANCE 1'!$F:$F, S$5))</f>
        <v/>
      </c>
      <c r="T78" s="64" t="str">
        <f ca="1">IF(COUNTIFS('SEANCE 1'!$B:$B, $B78, 'SEANCE 1'!$C:$C, T$2, 'SEANCE 1'!$F:$F, T$5)=0, "", COUNTIFS('SEANCE 1'!$B:$B, $B78, 'SEANCE 1'!$C:$C, T$2, 'SEANCE 1'!$F:$F, T$5))</f>
        <v/>
      </c>
      <c r="U78" s="64" t="str">
        <f ca="1">IF(COUNTIFS('SEANCE 1'!$B:$B, $B78, 'SEANCE 1'!$C:$C, U$2, 'SEANCE 1'!$F:$F, U$5)=0, "", COUNTIFS('SEANCE 1'!$B:$B, $B78, 'SEANCE 1'!$C:$C, U$2, 'SEANCE 1'!$F:$F, U$5))</f>
        <v/>
      </c>
      <c r="V78" s="64" t="str">
        <f ca="1">IF(COUNTIFS('SEANCE 1'!$B:$B, $B78, 'SEANCE 1'!$C:$C, V$2, 'SEANCE 1'!$F:$F, V$5)=0, "", COUNTIFS('SEANCE 1'!$B:$B, $B78, 'SEANCE 1'!$C:$C, V$2, 'SEANCE 1'!$F:$F, V$5))</f>
        <v/>
      </c>
      <c r="W78" s="64" t="str">
        <f ca="1">IF(COUNTIFS('SEANCE 1'!$B:$B, $B78, 'SEANCE 1'!$C:$C, W$2, 'SEANCE 1'!$F:$F, W$5)=0, "", COUNTIFS('SEANCE 1'!$B:$B, $B78, 'SEANCE 1'!$C:$C, W$2, 'SEANCE 1'!$F:$F, W$5))</f>
        <v/>
      </c>
      <c r="X78" s="64" t="str">
        <f ca="1">IF(COUNTIFS('SEANCE 1'!$B:$B, $B78, 'SEANCE 1'!$C:$C, X$2, 'SEANCE 1'!$F:$F, X$5)=0, "", COUNTIFS('SEANCE 1'!$B:$B, $B78, 'SEANCE 1'!$C:$C, X$2, 'SEANCE 1'!$F:$F, X$5))</f>
        <v/>
      </c>
      <c r="Y78" s="64" t="str">
        <f ca="1">IF(COUNTIFS('SEANCE 1'!$B:$B, $B78, 'SEANCE 1'!$C:$C, Y$2, 'SEANCE 1'!$F:$F, Y$5)=0, "", COUNTIFS('SEANCE 1'!$B:$B, $B78, 'SEANCE 1'!$C:$C, Y$2, 'SEANCE 1'!$F:$F, Y$5))</f>
        <v/>
      </c>
      <c r="Z78" s="64" t="str">
        <f ca="1">IF(COUNTIFS('SEANCE 1'!$B:$B, $B78, 'SEANCE 1'!$C:$C, Z$2, 'SEANCE 1'!$F:$F, Z$5)=0, "", COUNTIFS('SEANCE 1'!$B:$B, $B78, 'SEANCE 1'!$C:$C, Z$2, 'SEANCE 1'!$F:$F, Z$5))</f>
        <v/>
      </c>
      <c r="AA78" s="64" t="str">
        <f ca="1">IF(COUNTIFS('SEANCE 1'!$B:$B, $B78, 'SEANCE 1'!$C:$C, AA$2, 'SEANCE 1'!$F:$F, AA$5)=0, "", COUNTIFS('SEANCE 1'!$B:$B, $B78, 'SEANCE 1'!$C:$C, AA$2, 'SEANCE 1'!$F:$F, AA$5))</f>
        <v/>
      </c>
      <c r="AB78" s="64" t="str">
        <f ca="1">IF(COUNTIFS('SEANCE 1'!$B:$B, $B78, 'SEANCE 1'!$C:$C, AB$2, 'SEANCE 1'!$F:$F, AB$5)=0, "", COUNTIFS('SEANCE 1'!$B:$B, $B78, 'SEANCE 1'!$C:$C, AB$2, 'SEANCE 1'!$F:$F, AB$5))</f>
        <v/>
      </c>
      <c r="AC78" s="64" t="str">
        <f ca="1">IF(COUNTIFS('SEANCE 1'!$B:$B, $B78, 'SEANCE 1'!$C:$C, AC$2, 'SEANCE 1'!$F:$F, AC$5)=0, "", COUNTIFS('SEANCE 1'!$B:$B, $B78, 'SEANCE 1'!$C:$C, AC$2, 'SEANCE 1'!$F:$F, AC$5))</f>
        <v/>
      </c>
      <c r="AD78" s="64" t="str">
        <f ca="1">IF(COUNTIFS('SEANCE 1'!$B:$B, $B78, 'SEANCE 1'!$C:$C, AD$2, 'SEANCE 1'!$F:$F, AD$5)=0, "", COUNTIFS('SEANCE 1'!$B:$B, $B78, 'SEANCE 1'!$C:$C, AD$2, 'SEANCE 1'!$F:$F, AD$5))</f>
        <v/>
      </c>
      <c r="AE78" s="64" t="str">
        <f ca="1">IF(COUNTIFS('SEANCE 1'!$B:$B, $B78, 'SEANCE 1'!$C:$C, AE$2, 'SEANCE 1'!$F:$F, AE$5)=0, "", COUNTIFS('SEANCE 1'!$B:$B, $B78, 'SEANCE 1'!$C:$C, AE$2, 'SEANCE 1'!$F:$F, AE$5))</f>
        <v/>
      </c>
      <c r="AF78" s="64" t="str">
        <f ca="1">IF(COUNTIFS('SEANCE 1'!$B:$B, $B78, 'SEANCE 1'!$C:$C, AF$2, 'SEANCE 1'!$F:$F, AF$5)=0, "", COUNTIFS('SEANCE 1'!$B:$B, $B78, 'SEANCE 1'!$C:$C, AF$2, 'SEANCE 1'!$F:$F, AF$5))</f>
        <v/>
      </c>
      <c r="AG78" s="64" t="str">
        <f ca="1">IF(COUNTIFS('SEANCE 1'!$B:$B, $B78, 'SEANCE 1'!$C:$C, AG$2, 'SEANCE 1'!$F:$F, AG$5)=0, "", COUNTIFS('SEANCE 1'!$B:$B, $B78, 'SEANCE 1'!$C:$C, AG$2, 'SEANCE 1'!$F:$F, AG$5))</f>
        <v/>
      </c>
      <c r="AH78" s="64" t="str">
        <f ca="1">IF(COUNTIFS('SEANCE 1'!$B:$B, $B78, 'SEANCE 1'!$C:$C, AH$2, 'SEANCE 1'!$F:$F, AH$5)=0, "", COUNTIFS('SEANCE 1'!$B:$B, $B78, 'SEANCE 1'!$C:$C, AH$2, 'SEANCE 1'!$F:$F, AH$5))</f>
        <v/>
      </c>
      <c r="AI78" s="64" t="str">
        <f ca="1">IF(COUNTIFS('SEANCE 1'!$B:$B, $B78, 'SEANCE 1'!$C:$C, AI$2, 'SEANCE 1'!$F:$F, AI$5)=0, "", COUNTIFS('SEANCE 1'!$B:$B, $B78, 'SEANCE 1'!$C:$C, AI$2, 'SEANCE 1'!$F:$F, AI$5))</f>
        <v/>
      </c>
      <c r="AJ78" s="64" t="str">
        <f ca="1">IF(COUNTIFS('SEANCE 1'!$B:$B, $B78, 'SEANCE 1'!$C:$C, AJ$2, 'SEANCE 1'!$F:$F, AJ$5)=0, "", COUNTIFS('SEANCE 1'!$B:$B, $B78, 'SEANCE 1'!$C:$C, AJ$2, 'SEANCE 1'!$F:$F, AJ$5))</f>
        <v/>
      </c>
      <c r="AK78" s="64" t="str">
        <f ca="1">IF(COUNTIFS('SEANCE 1'!$B:$B, $B78, 'SEANCE 1'!$C:$C, AK$2, 'SEANCE 1'!$F:$F, AK$5)=0, "", COUNTIFS('SEANCE 1'!$B:$B, $B78, 'SEANCE 1'!$C:$C, AK$2, 'SEANCE 1'!$F:$F, AK$5))</f>
        <v/>
      </c>
      <c r="AL78" s="64" t="str">
        <f ca="1">IF(COUNTIFS('SEANCE 1'!$B:$B, $B78, 'SEANCE 1'!$C:$C, AL$2, 'SEANCE 1'!$F:$F, AL$5)=0, "", COUNTIFS('SEANCE 1'!$B:$B, $B78, 'SEANCE 1'!$C:$C, AL$2, 'SEANCE 1'!$F:$F, AL$5))</f>
        <v/>
      </c>
      <c r="AM78" s="64" t="str">
        <f ca="1">IF(COUNTIFS('SEANCE 1'!$B:$B, $B78, 'SEANCE 1'!$C:$C, AM$2, 'SEANCE 1'!$F:$F, AM$5)=0, "", COUNTIFS('SEANCE 1'!$B:$B, $B78, 'SEANCE 1'!$C:$C, AM$2, 'SEANCE 1'!$F:$F, AM$5))</f>
        <v/>
      </c>
      <c r="AN78" s="64" t="str">
        <f ca="1">IF(COUNTIFS('SEANCE 1'!$B:$B, $B78, 'SEANCE 1'!$C:$C, AN$2, 'SEANCE 1'!$F:$F, AN$5)=0, "", COUNTIFS('SEANCE 1'!$B:$B, $B78, 'SEANCE 1'!$C:$C, AN$2, 'SEANCE 1'!$F:$F, AN$5))</f>
        <v/>
      </c>
      <c r="AO78" s="64" t="str">
        <f ca="1">IF(COUNTIFS('SEANCE 1'!$B:$B, $B78, 'SEANCE 1'!$C:$C, AO$2, 'SEANCE 1'!$F:$F, AO$5)=0, "", COUNTIFS('SEANCE 1'!$B:$B, $B78, 'SEANCE 1'!$C:$C, AO$2, 'SEANCE 1'!$F:$F, AO$5))</f>
        <v/>
      </c>
      <c r="AP78" s="64" t="str">
        <f ca="1">IF(COUNTIFS('SEANCE 1'!$B:$B, $B78, 'SEANCE 1'!$C:$C, AP$2, 'SEANCE 1'!$F:$F, AP$5)=0, "", COUNTIFS('SEANCE 1'!$B:$B, $B78, 'SEANCE 1'!$C:$C, AP$2, 'SEANCE 1'!$F:$F, AP$5))</f>
        <v/>
      </c>
      <c r="AQ78" s="64" t="str">
        <f ca="1">IF(COUNTIFS('SEANCE 1'!$B:$B, $B78, 'SEANCE 1'!$C:$C, AQ$2, 'SEANCE 1'!$F:$F, AQ$5)=0, "", COUNTIFS('SEANCE 1'!$B:$B, $B78, 'SEANCE 1'!$C:$C, AQ$2, 'SEANCE 1'!$F:$F, AQ$5))</f>
        <v/>
      </c>
      <c r="AR78" s="64" t="str">
        <f ca="1">IF(COUNTIFS('SEANCE 1'!$B:$B, $B78, 'SEANCE 1'!$C:$C, AR$2, 'SEANCE 1'!$F:$F, AR$5)=0, "", COUNTIFS('SEANCE 1'!$B:$B, $B78, 'SEANCE 1'!$C:$C, AR$2, 'SEANCE 1'!$F:$F, AR$5))</f>
        <v/>
      </c>
      <c r="AS78" s="64" t="str">
        <f ca="1">IF(COUNTIFS('SEANCE 1'!$B:$B, $B78, 'SEANCE 1'!$C:$C, AS$2, 'SEANCE 1'!$F:$F, AS$5)=0, "", COUNTIFS('SEANCE 1'!$B:$B, $B78, 'SEANCE 1'!$C:$C, AS$2, 'SEANCE 1'!$F:$F, AS$5))</f>
        <v/>
      </c>
      <c r="AT78" s="64" t="str">
        <f ca="1">IF(COUNTIFS('SEANCE 1'!$B:$B, $B78, 'SEANCE 1'!$C:$C, AT$2, 'SEANCE 1'!$F:$F, AT$5)=0, "", COUNTIFS('SEANCE 1'!$B:$B, $B78, 'SEANCE 1'!$C:$C, AT$2, 'SEANCE 1'!$F:$F, AT$5))</f>
        <v/>
      </c>
      <c r="AU78" s="64" t="str">
        <f ca="1">IF(COUNTIFS('SEANCE 1'!$B:$B, $B78, 'SEANCE 1'!$C:$C, AU$2, 'SEANCE 1'!$F:$F, AU$5)=0, "", COUNTIFS('SEANCE 1'!$B:$B, $B78, 'SEANCE 1'!$C:$C, AU$2, 'SEANCE 1'!$F:$F, AU$5))</f>
        <v/>
      </c>
      <c r="AV78" s="64" t="str">
        <f ca="1">IF(COUNTIFS('SEANCE 1'!$B:$B, $B78, 'SEANCE 1'!$C:$C, AV$2, 'SEANCE 1'!$F:$F, AV$5)=0, "", COUNTIFS('SEANCE 1'!$B:$B, $B78, 'SEANCE 1'!$C:$C, AV$2, 'SEANCE 1'!$F:$F, AV$5))</f>
        <v/>
      </c>
      <c r="AW78" s="64" t="str">
        <f ca="1">IF(COUNTIFS('SEANCE 1'!$B:$B, $B78, 'SEANCE 1'!$C:$C, AW$2, 'SEANCE 1'!$F:$F, AW$5)=0, "", COUNTIFS('SEANCE 1'!$B:$B, $B78, 'SEANCE 1'!$C:$C, AW$2, 'SEANCE 1'!$F:$F, AW$5))</f>
        <v/>
      </c>
      <c r="AX78" s="64" t="str">
        <f ca="1">IF(COUNTIFS('SEANCE 1'!$B:$B, $B78, 'SEANCE 1'!$C:$C, AX$2, 'SEANCE 1'!$F:$F, AX$5)=0, "", COUNTIFS('SEANCE 1'!$B:$B, $B78, 'SEANCE 1'!$C:$C, AX$2, 'SEANCE 1'!$F:$F, AX$5))</f>
        <v/>
      </c>
      <c r="AY78" s="64" t="str">
        <f ca="1">IF(COUNTIFS('SEANCE 1'!$B:$B, $B78, 'SEANCE 1'!$C:$C, AY$2, 'SEANCE 1'!$F:$F, AY$5)=0, "", COUNTIFS('SEANCE 1'!$B:$B, $B78, 'SEANCE 1'!$C:$C, AY$2, 'SEANCE 1'!$F:$F, AY$5))</f>
        <v/>
      </c>
      <c r="AZ78" s="32">
        <f t="shared" ca="1" si="1"/>
        <v>0</v>
      </c>
    </row>
    <row r="79" spans="1:52">
      <c r="A79" s="44" t="str">
        <f>IF('SEANCE 1'!$B75&lt;&gt;"",'SEANCE 1'!$A75,"")</f>
        <v/>
      </c>
      <c r="B79" s="44" t="str">
        <f t="array" aca="1" ref="B79" ca="1">IF(ISNA(INDEX(ListeB,MATCH(0,COUNTIF($B$5:B78,ListeB),0))),"",INDEX(ListeB,MATCH(0,COUNTIF($B$5:B78,ListeB),0)))</f>
        <v/>
      </c>
      <c r="C79" s="64" t="str">
        <f ca="1">IF(COUNTIFS('SEANCE 1'!$B:$B, $B79, 'SEANCE 1'!$C:$C, C$2, 'SEANCE 1'!$F:$F, C$5)=0, "", COUNTIFS('SEANCE 1'!$B:$B, $B79, 'SEANCE 1'!$C:$C, C$2, 'SEANCE 1'!$F:$F, C$5))</f>
        <v/>
      </c>
      <c r="D79" s="64" t="str">
        <f ca="1">IF(COUNTIFS('SEANCE 1'!$B:$B, $B79, 'SEANCE 1'!$C:$C, D$2, 'SEANCE 1'!$F:$F, D$5)=0, "", COUNTIFS('SEANCE 1'!$B:$B, $B79, 'SEANCE 1'!$C:$C, D$2, 'SEANCE 1'!$F:$F, D$5))</f>
        <v/>
      </c>
      <c r="E79" s="64" t="str">
        <f ca="1">IF(COUNTIFS('SEANCE 1'!$B:$B, $B79, 'SEANCE 1'!$C:$C, E$2, 'SEANCE 1'!$F:$F, E$5)=0, "", COUNTIFS('SEANCE 1'!$B:$B, $B79, 'SEANCE 1'!$C:$C, E$2, 'SEANCE 1'!$F:$F, E$5))</f>
        <v/>
      </c>
      <c r="F79" s="64" t="str">
        <f ca="1">IF(COUNTIFS('SEANCE 1'!$B:$B, $B79, 'SEANCE 1'!$C:$C, F$2, 'SEANCE 1'!$F:$F, F$5)=0, "", COUNTIFS('SEANCE 1'!$B:$B, $B79, 'SEANCE 1'!$C:$C, F$2, 'SEANCE 1'!$F:$F, F$5))</f>
        <v/>
      </c>
      <c r="G79" s="64" t="str">
        <f ca="1">IF(COUNTIFS('SEANCE 1'!$B:$B, $B79, 'SEANCE 1'!$C:$C, G$2, 'SEANCE 1'!$F:$F, G$5)=0, "", COUNTIFS('SEANCE 1'!$B:$B, $B79, 'SEANCE 1'!$C:$C, G$2, 'SEANCE 1'!$F:$F, G$5))</f>
        <v/>
      </c>
      <c r="H79" s="64" t="str">
        <f ca="1">IF(COUNTIFS('SEANCE 1'!$B:$B, $B79, 'SEANCE 1'!$C:$C, H$2, 'SEANCE 1'!$F:$F, H$5)=0, "", COUNTIFS('SEANCE 1'!$B:$B, $B79, 'SEANCE 1'!$C:$C, H$2, 'SEANCE 1'!$F:$F, H$5))</f>
        <v/>
      </c>
      <c r="I79" s="64" t="str">
        <f ca="1">IF(COUNTIFS('SEANCE 1'!$B:$B, $B79, 'SEANCE 1'!$C:$C, I$2, 'SEANCE 1'!$F:$F, I$5)=0, "", COUNTIFS('SEANCE 1'!$B:$B, $B79, 'SEANCE 1'!$C:$C, I$2, 'SEANCE 1'!$F:$F, I$5))</f>
        <v/>
      </c>
      <c r="J79" s="64" t="str">
        <f ca="1">IF(COUNTIFS('SEANCE 1'!$B:$B, $B79, 'SEANCE 1'!$C:$C, J$2, 'SEANCE 1'!$F:$F, J$5)=0, "", COUNTIFS('SEANCE 1'!$B:$B, $B79, 'SEANCE 1'!$C:$C, J$2, 'SEANCE 1'!$F:$F, J$5))</f>
        <v/>
      </c>
      <c r="K79" s="64" t="str">
        <f ca="1">IF(COUNTIFS('SEANCE 1'!$B:$B, $B79, 'SEANCE 1'!$C:$C, K$2, 'SEANCE 1'!$F:$F, K$5)=0, "", COUNTIFS('SEANCE 1'!$B:$B, $B79, 'SEANCE 1'!$C:$C, K$2, 'SEANCE 1'!$F:$F, K$5))</f>
        <v/>
      </c>
      <c r="L79" s="64" t="str">
        <f ca="1">IF(COUNTIFS('SEANCE 1'!$B:$B, $B79, 'SEANCE 1'!$C:$C, L$2, 'SEANCE 1'!$F:$F, L$5)=0, "", COUNTIFS('SEANCE 1'!$B:$B, $B79, 'SEANCE 1'!$C:$C, L$2, 'SEANCE 1'!$F:$F, L$5))</f>
        <v/>
      </c>
      <c r="M79" s="64" t="str">
        <f ca="1">IF(COUNTIFS('SEANCE 1'!$B:$B, $B79, 'SEANCE 1'!$C:$C, M$2, 'SEANCE 1'!$F:$F, M$5)=0, "", COUNTIFS('SEANCE 1'!$B:$B, $B79, 'SEANCE 1'!$C:$C, M$2, 'SEANCE 1'!$F:$F, M$5))</f>
        <v/>
      </c>
      <c r="N79" s="64" t="str">
        <f ca="1">IF(COUNTIFS('SEANCE 1'!$B:$B, $B79, 'SEANCE 1'!$C:$C, N$2, 'SEANCE 1'!$F:$F, N$5)=0, "", COUNTIFS('SEANCE 1'!$B:$B, $B79, 'SEANCE 1'!$C:$C, N$2, 'SEANCE 1'!$F:$F, N$5))</f>
        <v/>
      </c>
      <c r="O79" s="64" t="str">
        <f ca="1">IF(COUNTIFS('SEANCE 1'!$B:$B, $B79, 'SEANCE 1'!$C:$C, O$2, 'SEANCE 1'!$F:$F, O$5)=0, "", COUNTIFS('SEANCE 1'!$B:$B, $B79, 'SEANCE 1'!$C:$C, O$2, 'SEANCE 1'!$F:$F, O$5))</f>
        <v/>
      </c>
      <c r="P79" s="64" t="str">
        <f ca="1">IF(COUNTIFS('SEANCE 1'!$B:$B, $B79, 'SEANCE 1'!$C:$C, P$2, 'SEANCE 1'!$F:$F, P$5)=0, "", COUNTIFS('SEANCE 1'!$B:$B, $B79, 'SEANCE 1'!$C:$C, P$2, 'SEANCE 1'!$F:$F, P$5))</f>
        <v/>
      </c>
      <c r="Q79" s="64" t="str">
        <f ca="1">IF(COUNTIFS('SEANCE 1'!$B:$B, $B79, 'SEANCE 1'!$C:$C, Q$2, 'SEANCE 1'!$F:$F, Q$5)=0, "", COUNTIFS('SEANCE 1'!$B:$B, $B79, 'SEANCE 1'!$C:$C, Q$2, 'SEANCE 1'!$F:$F, Q$5))</f>
        <v/>
      </c>
      <c r="R79" s="64" t="str">
        <f ca="1">IF(COUNTIFS('SEANCE 1'!$B:$B, $B79, 'SEANCE 1'!$C:$C, R$2, 'SEANCE 1'!$F:$F, R$5)=0, "", COUNTIFS('SEANCE 1'!$B:$B, $B79, 'SEANCE 1'!$C:$C, R$2, 'SEANCE 1'!$F:$F, R$5))</f>
        <v/>
      </c>
      <c r="S79" s="64" t="str">
        <f ca="1">IF(COUNTIFS('SEANCE 1'!$B:$B, $B79, 'SEANCE 1'!$C:$C, S$2, 'SEANCE 1'!$F:$F, S$5)=0, "", COUNTIFS('SEANCE 1'!$B:$B, $B79, 'SEANCE 1'!$C:$C, S$2, 'SEANCE 1'!$F:$F, S$5))</f>
        <v/>
      </c>
      <c r="T79" s="64" t="str">
        <f ca="1">IF(COUNTIFS('SEANCE 1'!$B:$B, $B79, 'SEANCE 1'!$C:$C, T$2, 'SEANCE 1'!$F:$F, T$5)=0, "", COUNTIFS('SEANCE 1'!$B:$B, $B79, 'SEANCE 1'!$C:$C, T$2, 'SEANCE 1'!$F:$F, T$5))</f>
        <v/>
      </c>
      <c r="U79" s="64" t="str">
        <f ca="1">IF(COUNTIFS('SEANCE 1'!$B:$B, $B79, 'SEANCE 1'!$C:$C, U$2, 'SEANCE 1'!$F:$F, U$5)=0, "", COUNTIFS('SEANCE 1'!$B:$B, $B79, 'SEANCE 1'!$C:$C, U$2, 'SEANCE 1'!$F:$F, U$5))</f>
        <v/>
      </c>
      <c r="V79" s="64" t="str">
        <f ca="1">IF(COUNTIFS('SEANCE 1'!$B:$B, $B79, 'SEANCE 1'!$C:$C, V$2, 'SEANCE 1'!$F:$F, V$5)=0, "", COUNTIFS('SEANCE 1'!$B:$B, $B79, 'SEANCE 1'!$C:$C, V$2, 'SEANCE 1'!$F:$F, V$5))</f>
        <v/>
      </c>
      <c r="W79" s="64" t="str">
        <f ca="1">IF(COUNTIFS('SEANCE 1'!$B:$B, $B79, 'SEANCE 1'!$C:$C, W$2, 'SEANCE 1'!$F:$F, W$5)=0, "", COUNTIFS('SEANCE 1'!$B:$B, $B79, 'SEANCE 1'!$C:$C, W$2, 'SEANCE 1'!$F:$F, W$5))</f>
        <v/>
      </c>
      <c r="X79" s="64" t="str">
        <f ca="1">IF(COUNTIFS('SEANCE 1'!$B:$B, $B79, 'SEANCE 1'!$C:$C, X$2, 'SEANCE 1'!$F:$F, X$5)=0, "", COUNTIFS('SEANCE 1'!$B:$B, $B79, 'SEANCE 1'!$C:$C, X$2, 'SEANCE 1'!$F:$F, X$5))</f>
        <v/>
      </c>
      <c r="Y79" s="64" t="str">
        <f ca="1">IF(COUNTIFS('SEANCE 1'!$B:$B, $B79, 'SEANCE 1'!$C:$C, Y$2, 'SEANCE 1'!$F:$F, Y$5)=0, "", COUNTIFS('SEANCE 1'!$B:$B, $B79, 'SEANCE 1'!$C:$C, Y$2, 'SEANCE 1'!$F:$F, Y$5))</f>
        <v/>
      </c>
      <c r="Z79" s="64" t="str">
        <f ca="1">IF(COUNTIFS('SEANCE 1'!$B:$B, $B79, 'SEANCE 1'!$C:$C, Z$2, 'SEANCE 1'!$F:$F, Z$5)=0, "", COUNTIFS('SEANCE 1'!$B:$B, $B79, 'SEANCE 1'!$C:$C, Z$2, 'SEANCE 1'!$F:$F, Z$5))</f>
        <v/>
      </c>
      <c r="AA79" s="64" t="str">
        <f ca="1">IF(COUNTIFS('SEANCE 1'!$B:$B, $B79, 'SEANCE 1'!$C:$C, AA$2, 'SEANCE 1'!$F:$F, AA$5)=0, "", COUNTIFS('SEANCE 1'!$B:$B, $B79, 'SEANCE 1'!$C:$C, AA$2, 'SEANCE 1'!$F:$F, AA$5))</f>
        <v/>
      </c>
      <c r="AB79" s="64" t="str">
        <f ca="1">IF(COUNTIFS('SEANCE 1'!$B:$B, $B79, 'SEANCE 1'!$C:$C, AB$2, 'SEANCE 1'!$F:$F, AB$5)=0, "", COUNTIFS('SEANCE 1'!$B:$B, $B79, 'SEANCE 1'!$C:$C, AB$2, 'SEANCE 1'!$F:$F, AB$5))</f>
        <v/>
      </c>
      <c r="AC79" s="64" t="str">
        <f ca="1">IF(COUNTIFS('SEANCE 1'!$B:$B, $B79, 'SEANCE 1'!$C:$C, AC$2, 'SEANCE 1'!$F:$F, AC$5)=0, "", COUNTIFS('SEANCE 1'!$B:$B, $B79, 'SEANCE 1'!$C:$C, AC$2, 'SEANCE 1'!$F:$F, AC$5))</f>
        <v/>
      </c>
      <c r="AD79" s="64" t="str">
        <f ca="1">IF(COUNTIFS('SEANCE 1'!$B:$B, $B79, 'SEANCE 1'!$C:$C, AD$2, 'SEANCE 1'!$F:$F, AD$5)=0, "", COUNTIFS('SEANCE 1'!$B:$B, $B79, 'SEANCE 1'!$C:$C, AD$2, 'SEANCE 1'!$F:$F, AD$5))</f>
        <v/>
      </c>
      <c r="AE79" s="64" t="str">
        <f ca="1">IF(COUNTIFS('SEANCE 1'!$B:$B, $B79, 'SEANCE 1'!$C:$C, AE$2, 'SEANCE 1'!$F:$F, AE$5)=0, "", COUNTIFS('SEANCE 1'!$B:$B, $B79, 'SEANCE 1'!$C:$C, AE$2, 'SEANCE 1'!$F:$F, AE$5))</f>
        <v/>
      </c>
      <c r="AF79" s="64" t="str">
        <f ca="1">IF(COUNTIFS('SEANCE 1'!$B:$B, $B79, 'SEANCE 1'!$C:$C, AF$2, 'SEANCE 1'!$F:$F, AF$5)=0, "", COUNTIFS('SEANCE 1'!$B:$B, $B79, 'SEANCE 1'!$C:$C, AF$2, 'SEANCE 1'!$F:$F, AF$5))</f>
        <v/>
      </c>
      <c r="AG79" s="64" t="str">
        <f ca="1">IF(COUNTIFS('SEANCE 1'!$B:$B, $B79, 'SEANCE 1'!$C:$C, AG$2, 'SEANCE 1'!$F:$F, AG$5)=0, "", COUNTIFS('SEANCE 1'!$B:$B, $B79, 'SEANCE 1'!$C:$C, AG$2, 'SEANCE 1'!$F:$F, AG$5))</f>
        <v/>
      </c>
      <c r="AH79" s="64" t="str">
        <f ca="1">IF(COUNTIFS('SEANCE 1'!$B:$B, $B79, 'SEANCE 1'!$C:$C, AH$2, 'SEANCE 1'!$F:$F, AH$5)=0, "", COUNTIFS('SEANCE 1'!$B:$B, $B79, 'SEANCE 1'!$C:$C, AH$2, 'SEANCE 1'!$F:$F, AH$5))</f>
        <v/>
      </c>
      <c r="AI79" s="64" t="str">
        <f ca="1">IF(COUNTIFS('SEANCE 1'!$B:$B, $B79, 'SEANCE 1'!$C:$C, AI$2, 'SEANCE 1'!$F:$F, AI$5)=0, "", COUNTIFS('SEANCE 1'!$B:$B, $B79, 'SEANCE 1'!$C:$C, AI$2, 'SEANCE 1'!$F:$F, AI$5))</f>
        <v/>
      </c>
      <c r="AJ79" s="64" t="str">
        <f ca="1">IF(COUNTIFS('SEANCE 1'!$B:$B, $B79, 'SEANCE 1'!$C:$C, AJ$2, 'SEANCE 1'!$F:$F, AJ$5)=0, "", COUNTIFS('SEANCE 1'!$B:$B, $B79, 'SEANCE 1'!$C:$C, AJ$2, 'SEANCE 1'!$F:$F, AJ$5))</f>
        <v/>
      </c>
      <c r="AK79" s="64" t="str">
        <f ca="1">IF(COUNTIFS('SEANCE 1'!$B:$B, $B79, 'SEANCE 1'!$C:$C, AK$2, 'SEANCE 1'!$F:$F, AK$5)=0, "", COUNTIFS('SEANCE 1'!$B:$B, $B79, 'SEANCE 1'!$C:$C, AK$2, 'SEANCE 1'!$F:$F, AK$5))</f>
        <v/>
      </c>
      <c r="AL79" s="64" t="str">
        <f ca="1">IF(COUNTIFS('SEANCE 1'!$B:$B, $B79, 'SEANCE 1'!$C:$C, AL$2, 'SEANCE 1'!$F:$F, AL$5)=0, "", COUNTIFS('SEANCE 1'!$B:$B, $B79, 'SEANCE 1'!$C:$C, AL$2, 'SEANCE 1'!$F:$F, AL$5))</f>
        <v/>
      </c>
      <c r="AM79" s="64" t="str">
        <f ca="1">IF(COUNTIFS('SEANCE 1'!$B:$B, $B79, 'SEANCE 1'!$C:$C, AM$2, 'SEANCE 1'!$F:$F, AM$5)=0, "", COUNTIFS('SEANCE 1'!$B:$B, $B79, 'SEANCE 1'!$C:$C, AM$2, 'SEANCE 1'!$F:$F, AM$5))</f>
        <v/>
      </c>
      <c r="AN79" s="64" t="str">
        <f ca="1">IF(COUNTIFS('SEANCE 1'!$B:$B, $B79, 'SEANCE 1'!$C:$C, AN$2, 'SEANCE 1'!$F:$F, AN$5)=0, "", COUNTIFS('SEANCE 1'!$B:$B, $B79, 'SEANCE 1'!$C:$C, AN$2, 'SEANCE 1'!$F:$F, AN$5))</f>
        <v/>
      </c>
      <c r="AO79" s="64" t="str">
        <f ca="1">IF(COUNTIFS('SEANCE 1'!$B:$B, $B79, 'SEANCE 1'!$C:$C, AO$2, 'SEANCE 1'!$F:$F, AO$5)=0, "", COUNTIFS('SEANCE 1'!$B:$B, $B79, 'SEANCE 1'!$C:$C, AO$2, 'SEANCE 1'!$F:$F, AO$5))</f>
        <v/>
      </c>
      <c r="AP79" s="64" t="str">
        <f ca="1">IF(COUNTIFS('SEANCE 1'!$B:$B, $B79, 'SEANCE 1'!$C:$C, AP$2, 'SEANCE 1'!$F:$F, AP$5)=0, "", COUNTIFS('SEANCE 1'!$B:$B, $B79, 'SEANCE 1'!$C:$C, AP$2, 'SEANCE 1'!$F:$F, AP$5))</f>
        <v/>
      </c>
      <c r="AQ79" s="64" t="str">
        <f ca="1">IF(COUNTIFS('SEANCE 1'!$B:$B, $B79, 'SEANCE 1'!$C:$C, AQ$2, 'SEANCE 1'!$F:$F, AQ$5)=0, "", COUNTIFS('SEANCE 1'!$B:$B, $B79, 'SEANCE 1'!$C:$C, AQ$2, 'SEANCE 1'!$F:$F, AQ$5))</f>
        <v/>
      </c>
      <c r="AR79" s="64" t="str">
        <f ca="1">IF(COUNTIFS('SEANCE 1'!$B:$B, $B79, 'SEANCE 1'!$C:$C, AR$2, 'SEANCE 1'!$F:$F, AR$5)=0, "", COUNTIFS('SEANCE 1'!$B:$B, $B79, 'SEANCE 1'!$C:$C, AR$2, 'SEANCE 1'!$F:$F, AR$5))</f>
        <v/>
      </c>
      <c r="AS79" s="64" t="str">
        <f ca="1">IF(COUNTIFS('SEANCE 1'!$B:$B, $B79, 'SEANCE 1'!$C:$C, AS$2, 'SEANCE 1'!$F:$F, AS$5)=0, "", COUNTIFS('SEANCE 1'!$B:$B, $B79, 'SEANCE 1'!$C:$C, AS$2, 'SEANCE 1'!$F:$F, AS$5))</f>
        <v/>
      </c>
      <c r="AT79" s="64" t="str">
        <f ca="1">IF(COUNTIFS('SEANCE 1'!$B:$B, $B79, 'SEANCE 1'!$C:$C, AT$2, 'SEANCE 1'!$F:$F, AT$5)=0, "", COUNTIFS('SEANCE 1'!$B:$B, $B79, 'SEANCE 1'!$C:$C, AT$2, 'SEANCE 1'!$F:$F, AT$5))</f>
        <v/>
      </c>
      <c r="AU79" s="64" t="str">
        <f ca="1">IF(COUNTIFS('SEANCE 1'!$B:$B, $B79, 'SEANCE 1'!$C:$C, AU$2, 'SEANCE 1'!$F:$F, AU$5)=0, "", COUNTIFS('SEANCE 1'!$B:$B, $B79, 'SEANCE 1'!$C:$C, AU$2, 'SEANCE 1'!$F:$F, AU$5))</f>
        <v/>
      </c>
      <c r="AV79" s="64" t="str">
        <f ca="1">IF(COUNTIFS('SEANCE 1'!$B:$B, $B79, 'SEANCE 1'!$C:$C, AV$2, 'SEANCE 1'!$F:$F, AV$5)=0, "", COUNTIFS('SEANCE 1'!$B:$B, $B79, 'SEANCE 1'!$C:$C, AV$2, 'SEANCE 1'!$F:$F, AV$5))</f>
        <v/>
      </c>
      <c r="AW79" s="64" t="str">
        <f ca="1">IF(COUNTIFS('SEANCE 1'!$B:$B, $B79, 'SEANCE 1'!$C:$C, AW$2, 'SEANCE 1'!$F:$F, AW$5)=0, "", COUNTIFS('SEANCE 1'!$B:$B, $B79, 'SEANCE 1'!$C:$C, AW$2, 'SEANCE 1'!$F:$F, AW$5))</f>
        <v/>
      </c>
      <c r="AX79" s="64" t="str">
        <f ca="1">IF(COUNTIFS('SEANCE 1'!$B:$B, $B79, 'SEANCE 1'!$C:$C, AX$2, 'SEANCE 1'!$F:$F, AX$5)=0, "", COUNTIFS('SEANCE 1'!$B:$B, $B79, 'SEANCE 1'!$C:$C, AX$2, 'SEANCE 1'!$F:$F, AX$5))</f>
        <v/>
      </c>
      <c r="AY79" s="64" t="str">
        <f ca="1">IF(COUNTIFS('SEANCE 1'!$B:$B, $B79, 'SEANCE 1'!$C:$C, AY$2, 'SEANCE 1'!$F:$F, AY$5)=0, "", COUNTIFS('SEANCE 1'!$B:$B, $B79, 'SEANCE 1'!$C:$C, AY$2, 'SEANCE 1'!$F:$F, AY$5))</f>
        <v/>
      </c>
      <c r="AZ79" s="32">
        <f t="shared" ca="1" si="1"/>
        <v>0</v>
      </c>
    </row>
    <row r="80" spans="1:52">
      <c r="A80" s="44" t="str">
        <f>IF('SEANCE 1'!$B76&lt;&gt;"",'SEANCE 1'!$A76,"")</f>
        <v/>
      </c>
      <c r="B80" s="44" t="str">
        <f t="array" aca="1" ref="B80" ca="1">IF(ISNA(INDEX(ListeB,MATCH(0,COUNTIF($B$5:B79,ListeB),0))),"",INDEX(ListeB,MATCH(0,COUNTIF($B$5:B79,ListeB),0)))</f>
        <v/>
      </c>
      <c r="C80" s="64" t="str">
        <f ca="1">IF(COUNTIFS('SEANCE 1'!$B:$B, $B80, 'SEANCE 1'!$C:$C, C$2, 'SEANCE 1'!$F:$F, C$5)=0, "", COUNTIFS('SEANCE 1'!$B:$B, $B80, 'SEANCE 1'!$C:$C, C$2, 'SEANCE 1'!$F:$F, C$5))</f>
        <v/>
      </c>
      <c r="D80" s="64" t="str">
        <f ca="1">IF(COUNTIFS('SEANCE 1'!$B:$B, $B80, 'SEANCE 1'!$C:$C, D$2, 'SEANCE 1'!$F:$F, D$5)=0, "", COUNTIFS('SEANCE 1'!$B:$B, $B80, 'SEANCE 1'!$C:$C, D$2, 'SEANCE 1'!$F:$F, D$5))</f>
        <v/>
      </c>
      <c r="E80" s="64" t="str">
        <f ca="1">IF(COUNTIFS('SEANCE 1'!$B:$B, $B80, 'SEANCE 1'!$C:$C, E$2, 'SEANCE 1'!$F:$F, E$5)=0, "", COUNTIFS('SEANCE 1'!$B:$B, $B80, 'SEANCE 1'!$C:$C, E$2, 'SEANCE 1'!$F:$F, E$5))</f>
        <v/>
      </c>
      <c r="F80" s="64" t="str">
        <f ca="1">IF(COUNTIFS('SEANCE 1'!$B:$B, $B80, 'SEANCE 1'!$C:$C, F$2, 'SEANCE 1'!$F:$F, F$5)=0, "", COUNTIFS('SEANCE 1'!$B:$B, $B80, 'SEANCE 1'!$C:$C, F$2, 'SEANCE 1'!$F:$F, F$5))</f>
        <v/>
      </c>
      <c r="G80" s="64" t="str">
        <f ca="1">IF(COUNTIFS('SEANCE 1'!$B:$B, $B80, 'SEANCE 1'!$C:$C, G$2, 'SEANCE 1'!$F:$F, G$5)=0, "", COUNTIFS('SEANCE 1'!$B:$B, $B80, 'SEANCE 1'!$C:$C, G$2, 'SEANCE 1'!$F:$F, G$5))</f>
        <v/>
      </c>
      <c r="H80" s="64" t="str">
        <f ca="1">IF(COUNTIFS('SEANCE 1'!$B:$B, $B80, 'SEANCE 1'!$C:$C, H$2, 'SEANCE 1'!$F:$F, H$5)=0, "", COUNTIFS('SEANCE 1'!$B:$B, $B80, 'SEANCE 1'!$C:$C, H$2, 'SEANCE 1'!$F:$F, H$5))</f>
        <v/>
      </c>
      <c r="I80" s="64" t="str">
        <f ca="1">IF(COUNTIFS('SEANCE 1'!$B:$B, $B80, 'SEANCE 1'!$C:$C, I$2, 'SEANCE 1'!$F:$F, I$5)=0, "", COUNTIFS('SEANCE 1'!$B:$B, $B80, 'SEANCE 1'!$C:$C, I$2, 'SEANCE 1'!$F:$F, I$5))</f>
        <v/>
      </c>
      <c r="J80" s="64" t="str">
        <f ca="1">IF(COUNTIFS('SEANCE 1'!$B:$B, $B80, 'SEANCE 1'!$C:$C, J$2, 'SEANCE 1'!$F:$F, J$5)=0, "", COUNTIFS('SEANCE 1'!$B:$B, $B80, 'SEANCE 1'!$C:$C, J$2, 'SEANCE 1'!$F:$F, J$5))</f>
        <v/>
      </c>
      <c r="K80" s="64" t="str">
        <f ca="1">IF(COUNTIFS('SEANCE 1'!$B:$B, $B80, 'SEANCE 1'!$C:$C, K$2, 'SEANCE 1'!$F:$F, K$5)=0, "", COUNTIFS('SEANCE 1'!$B:$B, $B80, 'SEANCE 1'!$C:$C, K$2, 'SEANCE 1'!$F:$F, K$5))</f>
        <v/>
      </c>
      <c r="L80" s="64" t="str">
        <f ca="1">IF(COUNTIFS('SEANCE 1'!$B:$B, $B80, 'SEANCE 1'!$C:$C, L$2, 'SEANCE 1'!$F:$F, L$5)=0, "", COUNTIFS('SEANCE 1'!$B:$B, $B80, 'SEANCE 1'!$C:$C, L$2, 'SEANCE 1'!$F:$F, L$5))</f>
        <v/>
      </c>
      <c r="M80" s="64" t="str">
        <f ca="1">IF(COUNTIFS('SEANCE 1'!$B:$B, $B80, 'SEANCE 1'!$C:$C, M$2, 'SEANCE 1'!$F:$F, M$5)=0, "", COUNTIFS('SEANCE 1'!$B:$B, $B80, 'SEANCE 1'!$C:$C, M$2, 'SEANCE 1'!$F:$F, M$5))</f>
        <v/>
      </c>
      <c r="N80" s="64" t="str">
        <f ca="1">IF(COUNTIFS('SEANCE 1'!$B:$B, $B80, 'SEANCE 1'!$C:$C, N$2, 'SEANCE 1'!$F:$F, N$5)=0, "", COUNTIFS('SEANCE 1'!$B:$B, $B80, 'SEANCE 1'!$C:$C, N$2, 'SEANCE 1'!$F:$F, N$5))</f>
        <v/>
      </c>
      <c r="O80" s="64" t="str">
        <f ca="1">IF(COUNTIFS('SEANCE 1'!$B:$B, $B80, 'SEANCE 1'!$C:$C, O$2, 'SEANCE 1'!$F:$F, O$5)=0, "", COUNTIFS('SEANCE 1'!$B:$B, $B80, 'SEANCE 1'!$C:$C, O$2, 'SEANCE 1'!$F:$F, O$5))</f>
        <v/>
      </c>
      <c r="P80" s="64" t="str">
        <f ca="1">IF(COUNTIFS('SEANCE 1'!$B:$B, $B80, 'SEANCE 1'!$C:$C, P$2, 'SEANCE 1'!$F:$F, P$5)=0, "", COUNTIFS('SEANCE 1'!$B:$B, $B80, 'SEANCE 1'!$C:$C, P$2, 'SEANCE 1'!$F:$F, P$5))</f>
        <v/>
      </c>
      <c r="Q80" s="64" t="str">
        <f ca="1">IF(COUNTIFS('SEANCE 1'!$B:$B, $B80, 'SEANCE 1'!$C:$C, Q$2, 'SEANCE 1'!$F:$F, Q$5)=0, "", COUNTIFS('SEANCE 1'!$B:$B, $B80, 'SEANCE 1'!$C:$C, Q$2, 'SEANCE 1'!$F:$F, Q$5))</f>
        <v/>
      </c>
      <c r="R80" s="64" t="str">
        <f ca="1">IF(COUNTIFS('SEANCE 1'!$B:$B, $B80, 'SEANCE 1'!$C:$C, R$2, 'SEANCE 1'!$F:$F, R$5)=0, "", COUNTIFS('SEANCE 1'!$B:$B, $B80, 'SEANCE 1'!$C:$C, R$2, 'SEANCE 1'!$F:$F, R$5))</f>
        <v/>
      </c>
      <c r="S80" s="64" t="str">
        <f ca="1">IF(COUNTIFS('SEANCE 1'!$B:$B, $B80, 'SEANCE 1'!$C:$C, S$2, 'SEANCE 1'!$F:$F, S$5)=0, "", COUNTIFS('SEANCE 1'!$B:$B, $B80, 'SEANCE 1'!$C:$C, S$2, 'SEANCE 1'!$F:$F, S$5))</f>
        <v/>
      </c>
      <c r="T80" s="64" t="str">
        <f ca="1">IF(COUNTIFS('SEANCE 1'!$B:$B, $B80, 'SEANCE 1'!$C:$C, T$2, 'SEANCE 1'!$F:$F, T$5)=0, "", COUNTIFS('SEANCE 1'!$B:$B, $B80, 'SEANCE 1'!$C:$C, T$2, 'SEANCE 1'!$F:$F, T$5))</f>
        <v/>
      </c>
      <c r="U80" s="64" t="str">
        <f ca="1">IF(COUNTIFS('SEANCE 1'!$B:$B, $B80, 'SEANCE 1'!$C:$C, U$2, 'SEANCE 1'!$F:$F, U$5)=0, "", COUNTIFS('SEANCE 1'!$B:$B, $B80, 'SEANCE 1'!$C:$C, U$2, 'SEANCE 1'!$F:$F, U$5))</f>
        <v/>
      </c>
      <c r="V80" s="64" t="str">
        <f ca="1">IF(COUNTIFS('SEANCE 1'!$B:$B, $B80, 'SEANCE 1'!$C:$C, V$2, 'SEANCE 1'!$F:$F, V$5)=0, "", COUNTIFS('SEANCE 1'!$B:$B, $B80, 'SEANCE 1'!$C:$C, V$2, 'SEANCE 1'!$F:$F, V$5))</f>
        <v/>
      </c>
      <c r="W80" s="64" t="str">
        <f ca="1">IF(COUNTIFS('SEANCE 1'!$B:$B, $B80, 'SEANCE 1'!$C:$C, W$2, 'SEANCE 1'!$F:$F, W$5)=0, "", COUNTIFS('SEANCE 1'!$B:$B, $B80, 'SEANCE 1'!$C:$C, W$2, 'SEANCE 1'!$F:$F, W$5))</f>
        <v/>
      </c>
      <c r="X80" s="64" t="str">
        <f ca="1">IF(COUNTIFS('SEANCE 1'!$B:$B, $B80, 'SEANCE 1'!$C:$C, X$2, 'SEANCE 1'!$F:$F, X$5)=0, "", COUNTIFS('SEANCE 1'!$B:$B, $B80, 'SEANCE 1'!$C:$C, X$2, 'SEANCE 1'!$F:$F, X$5))</f>
        <v/>
      </c>
      <c r="Y80" s="64" t="str">
        <f ca="1">IF(COUNTIFS('SEANCE 1'!$B:$B, $B80, 'SEANCE 1'!$C:$C, Y$2, 'SEANCE 1'!$F:$F, Y$5)=0, "", COUNTIFS('SEANCE 1'!$B:$B, $B80, 'SEANCE 1'!$C:$C, Y$2, 'SEANCE 1'!$F:$F, Y$5))</f>
        <v/>
      </c>
      <c r="Z80" s="64" t="str">
        <f ca="1">IF(COUNTIFS('SEANCE 1'!$B:$B, $B80, 'SEANCE 1'!$C:$C, Z$2, 'SEANCE 1'!$F:$F, Z$5)=0, "", COUNTIFS('SEANCE 1'!$B:$B, $B80, 'SEANCE 1'!$C:$C, Z$2, 'SEANCE 1'!$F:$F, Z$5))</f>
        <v/>
      </c>
      <c r="AA80" s="64" t="str">
        <f ca="1">IF(COUNTIFS('SEANCE 1'!$B:$B, $B80, 'SEANCE 1'!$C:$C, AA$2, 'SEANCE 1'!$F:$F, AA$5)=0, "", COUNTIFS('SEANCE 1'!$B:$B, $B80, 'SEANCE 1'!$C:$C, AA$2, 'SEANCE 1'!$F:$F, AA$5))</f>
        <v/>
      </c>
      <c r="AB80" s="64" t="str">
        <f ca="1">IF(COUNTIFS('SEANCE 1'!$B:$B, $B80, 'SEANCE 1'!$C:$C, AB$2, 'SEANCE 1'!$F:$F, AB$5)=0, "", COUNTIFS('SEANCE 1'!$B:$B, $B80, 'SEANCE 1'!$C:$C, AB$2, 'SEANCE 1'!$F:$F, AB$5))</f>
        <v/>
      </c>
      <c r="AC80" s="64" t="str">
        <f ca="1">IF(COUNTIFS('SEANCE 1'!$B:$B, $B80, 'SEANCE 1'!$C:$C, AC$2, 'SEANCE 1'!$F:$F, AC$5)=0, "", COUNTIFS('SEANCE 1'!$B:$B, $B80, 'SEANCE 1'!$C:$C, AC$2, 'SEANCE 1'!$F:$F, AC$5))</f>
        <v/>
      </c>
      <c r="AD80" s="64" t="str">
        <f ca="1">IF(COUNTIFS('SEANCE 1'!$B:$B, $B80, 'SEANCE 1'!$C:$C, AD$2, 'SEANCE 1'!$F:$F, AD$5)=0, "", COUNTIFS('SEANCE 1'!$B:$B, $B80, 'SEANCE 1'!$C:$C, AD$2, 'SEANCE 1'!$F:$F, AD$5))</f>
        <v/>
      </c>
      <c r="AE80" s="64" t="str">
        <f ca="1">IF(COUNTIFS('SEANCE 1'!$B:$B, $B80, 'SEANCE 1'!$C:$C, AE$2, 'SEANCE 1'!$F:$F, AE$5)=0, "", COUNTIFS('SEANCE 1'!$B:$B, $B80, 'SEANCE 1'!$C:$C, AE$2, 'SEANCE 1'!$F:$F, AE$5))</f>
        <v/>
      </c>
      <c r="AF80" s="64" t="str">
        <f ca="1">IF(COUNTIFS('SEANCE 1'!$B:$B, $B80, 'SEANCE 1'!$C:$C, AF$2, 'SEANCE 1'!$F:$F, AF$5)=0, "", COUNTIFS('SEANCE 1'!$B:$B, $B80, 'SEANCE 1'!$C:$C, AF$2, 'SEANCE 1'!$F:$F, AF$5))</f>
        <v/>
      </c>
      <c r="AG80" s="64" t="str">
        <f ca="1">IF(COUNTIFS('SEANCE 1'!$B:$B, $B80, 'SEANCE 1'!$C:$C, AG$2, 'SEANCE 1'!$F:$F, AG$5)=0, "", COUNTIFS('SEANCE 1'!$B:$B, $B80, 'SEANCE 1'!$C:$C, AG$2, 'SEANCE 1'!$F:$F, AG$5))</f>
        <v/>
      </c>
      <c r="AH80" s="64" t="str">
        <f ca="1">IF(COUNTIFS('SEANCE 1'!$B:$B, $B80, 'SEANCE 1'!$C:$C, AH$2, 'SEANCE 1'!$F:$F, AH$5)=0, "", COUNTIFS('SEANCE 1'!$B:$B, $B80, 'SEANCE 1'!$C:$C, AH$2, 'SEANCE 1'!$F:$F, AH$5))</f>
        <v/>
      </c>
      <c r="AI80" s="64" t="str">
        <f ca="1">IF(COUNTIFS('SEANCE 1'!$B:$B, $B80, 'SEANCE 1'!$C:$C, AI$2, 'SEANCE 1'!$F:$F, AI$5)=0, "", COUNTIFS('SEANCE 1'!$B:$B, $B80, 'SEANCE 1'!$C:$C, AI$2, 'SEANCE 1'!$F:$F, AI$5))</f>
        <v/>
      </c>
      <c r="AJ80" s="64" t="str">
        <f ca="1">IF(COUNTIFS('SEANCE 1'!$B:$B, $B80, 'SEANCE 1'!$C:$C, AJ$2, 'SEANCE 1'!$F:$F, AJ$5)=0, "", COUNTIFS('SEANCE 1'!$B:$B, $B80, 'SEANCE 1'!$C:$C, AJ$2, 'SEANCE 1'!$F:$F, AJ$5))</f>
        <v/>
      </c>
      <c r="AK80" s="64" t="str">
        <f ca="1">IF(COUNTIFS('SEANCE 1'!$B:$B, $B80, 'SEANCE 1'!$C:$C, AK$2, 'SEANCE 1'!$F:$F, AK$5)=0, "", COUNTIFS('SEANCE 1'!$B:$B, $B80, 'SEANCE 1'!$C:$C, AK$2, 'SEANCE 1'!$F:$F, AK$5))</f>
        <v/>
      </c>
      <c r="AL80" s="64" t="str">
        <f ca="1">IF(COUNTIFS('SEANCE 1'!$B:$B, $B80, 'SEANCE 1'!$C:$C, AL$2, 'SEANCE 1'!$F:$F, AL$5)=0, "", COUNTIFS('SEANCE 1'!$B:$B, $B80, 'SEANCE 1'!$C:$C, AL$2, 'SEANCE 1'!$F:$F, AL$5))</f>
        <v/>
      </c>
      <c r="AM80" s="64" t="str">
        <f ca="1">IF(COUNTIFS('SEANCE 1'!$B:$B, $B80, 'SEANCE 1'!$C:$C, AM$2, 'SEANCE 1'!$F:$F, AM$5)=0, "", COUNTIFS('SEANCE 1'!$B:$B, $B80, 'SEANCE 1'!$C:$C, AM$2, 'SEANCE 1'!$F:$F, AM$5))</f>
        <v/>
      </c>
      <c r="AN80" s="64" t="str">
        <f ca="1">IF(COUNTIFS('SEANCE 1'!$B:$B, $B80, 'SEANCE 1'!$C:$C, AN$2, 'SEANCE 1'!$F:$F, AN$5)=0, "", COUNTIFS('SEANCE 1'!$B:$B, $B80, 'SEANCE 1'!$C:$C, AN$2, 'SEANCE 1'!$F:$F, AN$5))</f>
        <v/>
      </c>
      <c r="AO80" s="64" t="str">
        <f ca="1">IF(COUNTIFS('SEANCE 1'!$B:$B, $B80, 'SEANCE 1'!$C:$C, AO$2, 'SEANCE 1'!$F:$F, AO$5)=0, "", COUNTIFS('SEANCE 1'!$B:$B, $B80, 'SEANCE 1'!$C:$C, AO$2, 'SEANCE 1'!$F:$F, AO$5))</f>
        <v/>
      </c>
      <c r="AP80" s="64" t="str">
        <f ca="1">IF(COUNTIFS('SEANCE 1'!$B:$B, $B80, 'SEANCE 1'!$C:$C, AP$2, 'SEANCE 1'!$F:$F, AP$5)=0, "", COUNTIFS('SEANCE 1'!$B:$B, $B80, 'SEANCE 1'!$C:$C, AP$2, 'SEANCE 1'!$F:$F, AP$5))</f>
        <v/>
      </c>
      <c r="AQ80" s="64" t="str">
        <f ca="1">IF(COUNTIFS('SEANCE 1'!$B:$B, $B80, 'SEANCE 1'!$C:$C, AQ$2, 'SEANCE 1'!$F:$F, AQ$5)=0, "", COUNTIFS('SEANCE 1'!$B:$B, $B80, 'SEANCE 1'!$C:$C, AQ$2, 'SEANCE 1'!$F:$F, AQ$5))</f>
        <v/>
      </c>
      <c r="AR80" s="64" t="str">
        <f ca="1">IF(COUNTIFS('SEANCE 1'!$B:$B, $B80, 'SEANCE 1'!$C:$C, AR$2, 'SEANCE 1'!$F:$F, AR$5)=0, "", COUNTIFS('SEANCE 1'!$B:$B, $B80, 'SEANCE 1'!$C:$C, AR$2, 'SEANCE 1'!$F:$F, AR$5))</f>
        <v/>
      </c>
      <c r="AS80" s="64" t="str">
        <f ca="1">IF(COUNTIFS('SEANCE 1'!$B:$B, $B80, 'SEANCE 1'!$C:$C, AS$2, 'SEANCE 1'!$F:$F, AS$5)=0, "", COUNTIFS('SEANCE 1'!$B:$B, $B80, 'SEANCE 1'!$C:$C, AS$2, 'SEANCE 1'!$F:$F, AS$5))</f>
        <v/>
      </c>
      <c r="AT80" s="64" t="str">
        <f ca="1">IF(COUNTIFS('SEANCE 1'!$B:$B, $B80, 'SEANCE 1'!$C:$C, AT$2, 'SEANCE 1'!$F:$F, AT$5)=0, "", COUNTIFS('SEANCE 1'!$B:$B, $B80, 'SEANCE 1'!$C:$C, AT$2, 'SEANCE 1'!$F:$F, AT$5))</f>
        <v/>
      </c>
      <c r="AU80" s="64" t="str">
        <f ca="1">IF(COUNTIFS('SEANCE 1'!$B:$B, $B80, 'SEANCE 1'!$C:$C, AU$2, 'SEANCE 1'!$F:$F, AU$5)=0, "", COUNTIFS('SEANCE 1'!$B:$B, $B80, 'SEANCE 1'!$C:$C, AU$2, 'SEANCE 1'!$F:$F, AU$5))</f>
        <v/>
      </c>
      <c r="AV80" s="64" t="str">
        <f ca="1">IF(COUNTIFS('SEANCE 1'!$B:$B, $B80, 'SEANCE 1'!$C:$C, AV$2, 'SEANCE 1'!$F:$F, AV$5)=0, "", COUNTIFS('SEANCE 1'!$B:$B, $B80, 'SEANCE 1'!$C:$C, AV$2, 'SEANCE 1'!$F:$F, AV$5))</f>
        <v/>
      </c>
      <c r="AW80" s="64" t="str">
        <f ca="1">IF(COUNTIFS('SEANCE 1'!$B:$B, $B80, 'SEANCE 1'!$C:$C, AW$2, 'SEANCE 1'!$F:$F, AW$5)=0, "", COUNTIFS('SEANCE 1'!$B:$B, $B80, 'SEANCE 1'!$C:$C, AW$2, 'SEANCE 1'!$F:$F, AW$5))</f>
        <v/>
      </c>
      <c r="AX80" s="64" t="str">
        <f ca="1">IF(COUNTIFS('SEANCE 1'!$B:$B, $B80, 'SEANCE 1'!$C:$C, AX$2, 'SEANCE 1'!$F:$F, AX$5)=0, "", COUNTIFS('SEANCE 1'!$B:$B, $B80, 'SEANCE 1'!$C:$C, AX$2, 'SEANCE 1'!$F:$F, AX$5))</f>
        <v/>
      </c>
      <c r="AY80" s="64" t="str">
        <f ca="1">IF(COUNTIFS('SEANCE 1'!$B:$B, $B80, 'SEANCE 1'!$C:$C, AY$2, 'SEANCE 1'!$F:$F, AY$5)=0, "", COUNTIFS('SEANCE 1'!$B:$B, $B80, 'SEANCE 1'!$C:$C, AY$2, 'SEANCE 1'!$F:$F, AY$5))</f>
        <v/>
      </c>
      <c r="AZ80" s="32">
        <f t="shared" ca="1" si="1"/>
        <v>0</v>
      </c>
    </row>
    <row r="81" spans="1:52">
      <c r="A81" s="44" t="str">
        <f>IF('SEANCE 1'!$B77&lt;&gt;"",'SEANCE 1'!$A77,"")</f>
        <v/>
      </c>
      <c r="B81" s="44" t="str">
        <f t="array" aca="1" ref="B81" ca="1">IF(ISNA(INDEX(ListeB,MATCH(0,COUNTIF($B$5:B80,ListeB),0))),"",INDEX(ListeB,MATCH(0,COUNTIF($B$5:B80,ListeB),0)))</f>
        <v/>
      </c>
      <c r="C81" s="64" t="str">
        <f ca="1">IF(COUNTIFS('SEANCE 1'!$B:$B, $B81, 'SEANCE 1'!$C:$C, C$2, 'SEANCE 1'!$F:$F, C$5)=0, "", COUNTIFS('SEANCE 1'!$B:$B, $B81, 'SEANCE 1'!$C:$C, C$2, 'SEANCE 1'!$F:$F, C$5))</f>
        <v/>
      </c>
      <c r="D81" s="64" t="str">
        <f ca="1">IF(COUNTIFS('SEANCE 1'!$B:$B, $B81, 'SEANCE 1'!$C:$C, D$2, 'SEANCE 1'!$F:$F, D$5)=0, "", COUNTIFS('SEANCE 1'!$B:$B, $B81, 'SEANCE 1'!$C:$C, D$2, 'SEANCE 1'!$F:$F, D$5))</f>
        <v/>
      </c>
      <c r="E81" s="64" t="str">
        <f ca="1">IF(COUNTIFS('SEANCE 1'!$B:$B, $B81, 'SEANCE 1'!$C:$C, E$2, 'SEANCE 1'!$F:$F, E$5)=0, "", COUNTIFS('SEANCE 1'!$B:$B, $B81, 'SEANCE 1'!$C:$C, E$2, 'SEANCE 1'!$F:$F, E$5))</f>
        <v/>
      </c>
      <c r="F81" s="64" t="str">
        <f ca="1">IF(COUNTIFS('SEANCE 1'!$B:$B, $B81, 'SEANCE 1'!$C:$C, F$2, 'SEANCE 1'!$F:$F, F$5)=0, "", COUNTIFS('SEANCE 1'!$B:$B, $B81, 'SEANCE 1'!$C:$C, F$2, 'SEANCE 1'!$F:$F, F$5))</f>
        <v/>
      </c>
      <c r="G81" s="64" t="str">
        <f ca="1">IF(COUNTIFS('SEANCE 1'!$B:$B, $B81, 'SEANCE 1'!$C:$C, G$2, 'SEANCE 1'!$F:$F, G$5)=0, "", COUNTIFS('SEANCE 1'!$B:$B, $B81, 'SEANCE 1'!$C:$C, G$2, 'SEANCE 1'!$F:$F, G$5))</f>
        <v/>
      </c>
      <c r="H81" s="64" t="str">
        <f ca="1">IF(COUNTIFS('SEANCE 1'!$B:$B, $B81, 'SEANCE 1'!$C:$C, H$2, 'SEANCE 1'!$F:$F, H$5)=0, "", COUNTIFS('SEANCE 1'!$B:$B, $B81, 'SEANCE 1'!$C:$C, H$2, 'SEANCE 1'!$F:$F, H$5))</f>
        <v/>
      </c>
      <c r="I81" s="64" t="str">
        <f ca="1">IF(COUNTIFS('SEANCE 1'!$B:$B, $B81, 'SEANCE 1'!$C:$C, I$2, 'SEANCE 1'!$F:$F, I$5)=0, "", COUNTIFS('SEANCE 1'!$B:$B, $B81, 'SEANCE 1'!$C:$C, I$2, 'SEANCE 1'!$F:$F, I$5))</f>
        <v/>
      </c>
      <c r="J81" s="64" t="str">
        <f ca="1">IF(COUNTIFS('SEANCE 1'!$B:$B, $B81, 'SEANCE 1'!$C:$C, J$2, 'SEANCE 1'!$F:$F, J$5)=0, "", COUNTIFS('SEANCE 1'!$B:$B, $B81, 'SEANCE 1'!$C:$C, J$2, 'SEANCE 1'!$F:$F, J$5))</f>
        <v/>
      </c>
      <c r="K81" s="64" t="str">
        <f ca="1">IF(COUNTIFS('SEANCE 1'!$B:$B, $B81, 'SEANCE 1'!$C:$C, K$2, 'SEANCE 1'!$F:$F, K$5)=0, "", COUNTIFS('SEANCE 1'!$B:$B, $B81, 'SEANCE 1'!$C:$C, K$2, 'SEANCE 1'!$F:$F, K$5))</f>
        <v/>
      </c>
      <c r="L81" s="64" t="str">
        <f ca="1">IF(COUNTIFS('SEANCE 1'!$B:$B, $B81, 'SEANCE 1'!$C:$C, L$2, 'SEANCE 1'!$F:$F, L$5)=0, "", COUNTIFS('SEANCE 1'!$B:$B, $B81, 'SEANCE 1'!$C:$C, L$2, 'SEANCE 1'!$F:$F, L$5))</f>
        <v/>
      </c>
      <c r="M81" s="64" t="str">
        <f ca="1">IF(COUNTIFS('SEANCE 1'!$B:$B, $B81, 'SEANCE 1'!$C:$C, M$2, 'SEANCE 1'!$F:$F, M$5)=0, "", COUNTIFS('SEANCE 1'!$B:$B, $B81, 'SEANCE 1'!$C:$C, M$2, 'SEANCE 1'!$F:$F, M$5))</f>
        <v/>
      </c>
      <c r="N81" s="64" t="str">
        <f ca="1">IF(COUNTIFS('SEANCE 1'!$B:$B, $B81, 'SEANCE 1'!$C:$C, N$2, 'SEANCE 1'!$F:$F, N$5)=0, "", COUNTIFS('SEANCE 1'!$B:$B, $B81, 'SEANCE 1'!$C:$C, N$2, 'SEANCE 1'!$F:$F, N$5))</f>
        <v/>
      </c>
      <c r="O81" s="64" t="str">
        <f ca="1">IF(COUNTIFS('SEANCE 1'!$B:$B, $B81, 'SEANCE 1'!$C:$C, O$2, 'SEANCE 1'!$F:$F, O$5)=0, "", COUNTIFS('SEANCE 1'!$B:$B, $B81, 'SEANCE 1'!$C:$C, O$2, 'SEANCE 1'!$F:$F, O$5))</f>
        <v/>
      </c>
      <c r="P81" s="64" t="str">
        <f ca="1">IF(COUNTIFS('SEANCE 1'!$B:$B, $B81, 'SEANCE 1'!$C:$C, P$2, 'SEANCE 1'!$F:$F, P$5)=0, "", COUNTIFS('SEANCE 1'!$B:$B, $B81, 'SEANCE 1'!$C:$C, P$2, 'SEANCE 1'!$F:$F, P$5))</f>
        <v/>
      </c>
      <c r="Q81" s="64" t="str">
        <f ca="1">IF(COUNTIFS('SEANCE 1'!$B:$B, $B81, 'SEANCE 1'!$C:$C, Q$2, 'SEANCE 1'!$F:$F, Q$5)=0, "", COUNTIFS('SEANCE 1'!$B:$B, $B81, 'SEANCE 1'!$C:$C, Q$2, 'SEANCE 1'!$F:$F, Q$5))</f>
        <v/>
      </c>
      <c r="R81" s="64" t="str">
        <f ca="1">IF(COUNTIFS('SEANCE 1'!$B:$B, $B81, 'SEANCE 1'!$C:$C, R$2, 'SEANCE 1'!$F:$F, R$5)=0, "", COUNTIFS('SEANCE 1'!$B:$B, $B81, 'SEANCE 1'!$C:$C, R$2, 'SEANCE 1'!$F:$F, R$5))</f>
        <v/>
      </c>
      <c r="S81" s="64" t="str">
        <f ca="1">IF(COUNTIFS('SEANCE 1'!$B:$B, $B81, 'SEANCE 1'!$C:$C, S$2, 'SEANCE 1'!$F:$F, S$5)=0, "", COUNTIFS('SEANCE 1'!$B:$B, $B81, 'SEANCE 1'!$C:$C, S$2, 'SEANCE 1'!$F:$F, S$5))</f>
        <v/>
      </c>
      <c r="T81" s="64" t="str">
        <f ca="1">IF(COUNTIFS('SEANCE 1'!$B:$B, $B81, 'SEANCE 1'!$C:$C, T$2, 'SEANCE 1'!$F:$F, T$5)=0, "", COUNTIFS('SEANCE 1'!$B:$B, $B81, 'SEANCE 1'!$C:$C, T$2, 'SEANCE 1'!$F:$F, T$5))</f>
        <v/>
      </c>
      <c r="U81" s="64" t="str">
        <f ca="1">IF(COUNTIFS('SEANCE 1'!$B:$B, $B81, 'SEANCE 1'!$C:$C, U$2, 'SEANCE 1'!$F:$F, U$5)=0, "", COUNTIFS('SEANCE 1'!$B:$B, $B81, 'SEANCE 1'!$C:$C, U$2, 'SEANCE 1'!$F:$F, U$5))</f>
        <v/>
      </c>
      <c r="V81" s="64" t="str">
        <f ca="1">IF(COUNTIFS('SEANCE 1'!$B:$B, $B81, 'SEANCE 1'!$C:$C, V$2, 'SEANCE 1'!$F:$F, V$5)=0, "", COUNTIFS('SEANCE 1'!$B:$B, $B81, 'SEANCE 1'!$C:$C, V$2, 'SEANCE 1'!$F:$F, V$5))</f>
        <v/>
      </c>
      <c r="W81" s="64" t="str">
        <f ca="1">IF(COUNTIFS('SEANCE 1'!$B:$B, $B81, 'SEANCE 1'!$C:$C, W$2, 'SEANCE 1'!$F:$F, W$5)=0, "", COUNTIFS('SEANCE 1'!$B:$B, $B81, 'SEANCE 1'!$C:$C, W$2, 'SEANCE 1'!$F:$F, W$5))</f>
        <v/>
      </c>
      <c r="X81" s="64" t="str">
        <f ca="1">IF(COUNTIFS('SEANCE 1'!$B:$B, $B81, 'SEANCE 1'!$C:$C, X$2, 'SEANCE 1'!$F:$F, X$5)=0, "", COUNTIFS('SEANCE 1'!$B:$B, $B81, 'SEANCE 1'!$C:$C, X$2, 'SEANCE 1'!$F:$F, X$5))</f>
        <v/>
      </c>
      <c r="Y81" s="64" t="str">
        <f ca="1">IF(COUNTIFS('SEANCE 1'!$B:$B, $B81, 'SEANCE 1'!$C:$C, Y$2, 'SEANCE 1'!$F:$F, Y$5)=0, "", COUNTIFS('SEANCE 1'!$B:$B, $B81, 'SEANCE 1'!$C:$C, Y$2, 'SEANCE 1'!$F:$F, Y$5))</f>
        <v/>
      </c>
      <c r="Z81" s="64" t="str">
        <f ca="1">IF(COUNTIFS('SEANCE 1'!$B:$B, $B81, 'SEANCE 1'!$C:$C, Z$2, 'SEANCE 1'!$F:$F, Z$5)=0, "", COUNTIFS('SEANCE 1'!$B:$B, $B81, 'SEANCE 1'!$C:$C, Z$2, 'SEANCE 1'!$F:$F, Z$5))</f>
        <v/>
      </c>
      <c r="AA81" s="64" t="str">
        <f ca="1">IF(COUNTIFS('SEANCE 1'!$B:$B, $B81, 'SEANCE 1'!$C:$C, AA$2, 'SEANCE 1'!$F:$F, AA$5)=0, "", COUNTIFS('SEANCE 1'!$B:$B, $B81, 'SEANCE 1'!$C:$C, AA$2, 'SEANCE 1'!$F:$F, AA$5))</f>
        <v/>
      </c>
      <c r="AB81" s="64" t="str">
        <f ca="1">IF(COUNTIFS('SEANCE 1'!$B:$B, $B81, 'SEANCE 1'!$C:$C, AB$2, 'SEANCE 1'!$F:$F, AB$5)=0, "", COUNTIFS('SEANCE 1'!$B:$B, $B81, 'SEANCE 1'!$C:$C, AB$2, 'SEANCE 1'!$F:$F, AB$5))</f>
        <v/>
      </c>
      <c r="AC81" s="64" t="str">
        <f ca="1">IF(COUNTIFS('SEANCE 1'!$B:$B, $B81, 'SEANCE 1'!$C:$C, AC$2, 'SEANCE 1'!$F:$F, AC$5)=0, "", COUNTIFS('SEANCE 1'!$B:$B, $B81, 'SEANCE 1'!$C:$C, AC$2, 'SEANCE 1'!$F:$F, AC$5))</f>
        <v/>
      </c>
      <c r="AD81" s="64" t="str">
        <f ca="1">IF(COUNTIFS('SEANCE 1'!$B:$B, $B81, 'SEANCE 1'!$C:$C, AD$2, 'SEANCE 1'!$F:$F, AD$5)=0, "", COUNTIFS('SEANCE 1'!$B:$B, $B81, 'SEANCE 1'!$C:$C, AD$2, 'SEANCE 1'!$F:$F, AD$5))</f>
        <v/>
      </c>
      <c r="AE81" s="64" t="str">
        <f ca="1">IF(COUNTIFS('SEANCE 1'!$B:$B, $B81, 'SEANCE 1'!$C:$C, AE$2, 'SEANCE 1'!$F:$F, AE$5)=0, "", COUNTIFS('SEANCE 1'!$B:$B, $B81, 'SEANCE 1'!$C:$C, AE$2, 'SEANCE 1'!$F:$F, AE$5))</f>
        <v/>
      </c>
      <c r="AF81" s="64" t="str">
        <f ca="1">IF(COUNTIFS('SEANCE 1'!$B:$B, $B81, 'SEANCE 1'!$C:$C, AF$2, 'SEANCE 1'!$F:$F, AF$5)=0, "", COUNTIFS('SEANCE 1'!$B:$B, $B81, 'SEANCE 1'!$C:$C, AF$2, 'SEANCE 1'!$F:$F, AF$5))</f>
        <v/>
      </c>
      <c r="AG81" s="64" t="str">
        <f ca="1">IF(COUNTIFS('SEANCE 1'!$B:$B, $B81, 'SEANCE 1'!$C:$C, AG$2, 'SEANCE 1'!$F:$F, AG$5)=0, "", COUNTIFS('SEANCE 1'!$B:$B, $B81, 'SEANCE 1'!$C:$C, AG$2, 'SEANCE 1'!$F:$F, AG$5))</f>
        <v/>
      </c>
      <c r="AH81" s="64" t="str">
        <f ca="1">IF(COUNTIFS('SEANCE 1'!$B:$B, $B81, 'SEANCE 1'!$C:$C, AH$2, 'SEANCE 1'!$F:$F, AH$5)=0, "", COUNTIFS('SEANCE 1'!$B:$B, $B81, 'SEANCE 1'!$C:$C, AH$2, 'SEANCE 1'!$F:$F, AH$5))</f>
        <v/>
      </c>
      <c r="AI81" s="64" t="str">
        <f ca="1">IF(COUNTIFS('SEANCE 1'!$B:$B, $B81, 'SEANCE 1'!$C:$C, AI$2, 'SEANCE 1'!$F:$F, AI$5)=0, "", COUNTIFS('SEANCE 1'!$B:$B, $B81, 'SEANCE 1'!$C:$C, AI$2, 'SEANCE 1'!$F:$F, AI$5))</f>
        <v/>
      </c>
      <c r="AJ81" s="64" t="str">
        <f ca="1">IF(COUNTIFS('SEANCE 1'!$B:$B, $B81, 'SEANCE 1'!$C:$C, AJ$2, 'SEANCE 1'!$F:$F, AJ$5)=0, "", COUNTIFS('SEANCE 1'!$B:$B, $B81, 'SEANCE 1'!$C:$C, AJ$2, 'SEANCE 1'!$F:$F, AJ$5))</f>
        <v/>
      </c>
      <c r="AK81" s="64" t="str">
        <f ca="1">IF(COUNTIFS('SEANCE 1'!$B:$B, $B81, 'SEANCE 1'!$C:$C, AK$2, 'SEANCE 1'!$F:$F, AK$5)=0, "", COUNTIFS('SEANCE 1'!$B:$B, $B81, 'SEANCE 1'!$C:$C, AK$2, 'SEANCE 1'!$F:$F, AK$5))</f>
        <v/>
      </c>
      <c r="AL81" s="64" t="str">
        <f ca="1">IF(COUNTIFS('SEANCE 1'!$B:$B, $B81, 'SEANCE 1'!$C:$C, AL$2, 'SEANCE 1'!$F:$F, AL$5)=0, "", COUNTIFS('SEANCE 1'!$B:$B, $B81, 'SEANCE 1'!$C:$C, AL$2, 'SEANCE 1'!$F:$F, AL$5))</f>
        <v/>
      </c>
      <c r="AM81" s="64" t="str">
        <f ca="1">IF(COUNTIFS('SEANCE 1'!$B:$B, $B81, 'SEANCE 1'!$C:$C, AM$2, 'SEANCE 1'!$F:$F, AM$5)=0, "", COUNTIFS('SEANCE 1'!$B:$B, $B81, 'SEANCE 1'!$C:$C, AM$2, 'SEANCE 1'!$F:$F, AM$5))</f>
        <v/>
      </c>
      <c r="AN81" s="64" t="str">
        <f ca="1">IF(COUNTIFS('SEANCE 1'!$B:$B, $B81, 'SEANCE 1'!$C:$C, AN$2, 'SEANCE 1'!$F:$F, AN$5)=0, "", COUNTIFS('SEANCE 1'!$B:$B, $B81, 'SEANCE 1'!$C:$C, AN$2, 'SEANCE 1'!$F:$F, AN$5))</f>
        <v/>
      </c>
      <c r="AO81" s="64" t="str">
        <f ca="1">IF(COUNTIFS('SEANCE 1'!$B:$B, $B81, 'SEANCE 1'!$C:$C, AO$2, 'SEANCE 1'!$F:$F, AO$5)=0, "", COUNTIFS('SEANCE 1'!$B:$B, $B81, 'SEANCE 1'!$C:$C, AO$2, 'SEANCE 1'!$F:$F, AO$5))</f>
        <v/>
      </c>
      <c r="AP81" s="64" t="str">
        <f ca="1">IF(COUNTIFS('SEANCE 1'!$B:$B, $B81, 'SEANCE 1'!$C:$C, AP$2, 'SEANCE 1'!$F:$F, AP$5)=0, "", COUNTIFS('SEANCE 1'!$B:$B, $B81, 'SEANCE 1'!$C:$C, AP$2, 'SEANCE 1'!$F:$F, AP$5))</f>
        <v/>
      </c>
      <c r="AQ81" s="64" t="str">
        <f ca="1">IF(COUNTIFS('SEANCE 1'!$B:$B, $B81, 'SEANCE 1'!$C:$C, AQ$2, 'SEANCE 1'!$F:$F, AQ$5)=0, "", COUNTIFS('SEANCE 1'!$B:$B, $B81, 'SEANCE 1'!$C:$C, AQ$2, 'SEANCE 1'!$F:$F, AQ$5))</f>
        <v/>
      </c>
      <c r="AR81" s="64" t="str">
        <f ca="1">IF(COUNTIFS('SEANCE 1'!$B:$B, $B81, 'SEANCE 1'!$C:$C, AR$2, 'SEANCE 1'!$F:$F, AR$5)=0, "", COUNTIFS('SEANCE 1'!$B:$B, $B81, 'SEANCE 1'!$C:$C, AR$2, 'SEANCE 1'!$F:$F, AR$5))</f>
        <v/>
      </c>
      <c r="AS81" s="64" t="str">
        <f ca="1">IF(COUNTIFS('SEANCE 1'!$B:$B, $B81, 'SEANCE 1'!$C:$C, AS$2, 'SEANCE 1'!$F:$F, AS$5)=0, "", COUNTIFS('SEANCE 1'!$B:$B, $B81, 'SEANCE 1'!$C:$C, AS$2, 'SEANCE 1'!$F:$F, AS$5))</f>
        <v/>
      </c>
      <c r="AT81" s="64" t="str">
        <f ca="1">IF(COUNTIFS('SEANCE 1'!$B:$B, $B81, 'SEANCE 1'!$C:$C, AT$2, 'SEANCE 1'!$F:$F, AT$5)=0, "", COUNTIFS('SEANCE 1'!$B:$B, $B81, 'SEANCE 1'!$C:$C, AT$2, 'SEANCE 1'!$F:$F, AT$5))</f>
        <v/>
      </c>
      <c r="AU81" s="64" t="str">
        <f ca="1">IF(COUNTIFS('SEANCE 1'!$B:$B, $B81, 'SEANCE 1'!$C:$C, AU$2, 'SEANCE 1'!$F:$F, AU$5)=0, "", COUNTIFS('SEANCE 1'!$B:$B, $B81, 'SEANCE 1'!$C:$C, AU$2, 'SEANCE 1'!$F:$F, AU$5))</f>
        <v/>
      </c>
      <c r="AV81" s="64" t="str">
        <f ca="1">IF(COUNTIFS('SEANCE 1'!$B:$B, $B81, 'SEANCE 1'!$C:$C, AV$2, 'SEANCE 1'!$F:$F, AV$5)=0, "", COUNTIFS('SEANCE 1'!$B:$B, $B81, 'SEANCE 1'!$C:$C, AV$2, 'SEANCE 1'!$F:$F, AV$5))</f>
        <v/>
      </c>
      <c r="AW81" s="64" t="str">
        <f ca="1">IF(COUNTIFS('SEANCE 1'!$B:$B, $B81, 'SEANCE 1'!$C:$C, AW$2, 'SEANCE 1'!$F:$F, AW$5)=0, "", COUNTIFS('SEANCE 1'!$B:$B, $B81, 'SEANCE 1'!$C:$C, AW$2, 'SEANCE 1'!$F:$F, AW$5))</f>
        <v/>
      </c>
      <c r="AX81" s="64" t="str">
        <f ca="1">IF(COUNTIFS('SEANCE 1'!$B:$B, $B81, 'SEANCE 1'!$C:$C, AX$2, 'SEANCE 1'!$F:$F, AX$5)=0, "", COUNTIFS('SEANCE 1'!$B:$B, $B81, 'SEANCE 1'!$C:$C, AX$2, 'SEANCE 1'!$F:$F, AX$5))</f>
        <v/>
      </c>
      <c r="AY81" s="64" t="str">
        <f ca="1">IF(COUNTIFS('SEANCE 1'!$B:$B, $B81, 'SEANCE 1'!$C:$C, AY$2, 'SEANCE 1'!$F:$F, AY$5)=0, "", COUNTIFS('SEANCE 1'!$B:$B, $B81, 'SEANCE 1'!$C:$C, AY$2, 'SEANCE 1'!$F:$F, AY$5))</f>
        <v/>
      </c>
      <c r="AZ81" s="32">
        <f t="shared" ca="1" si="1"/>
        <v>0</v>
      </c>
    </row>
    <row r="82" spans="1:52">
      <c r="A82" s="44" t="str">
        <f>IF('SEANCE 1'!$B78&lt;&gt;"",'SEANCE 1'!$A78,"")</f>
        <v/>
      </c>
      <c r="B82" s="44" t="str">
        <f t="array" aca="1" ref="B82" ca="1">IF(ISNA(INDEX(ListeB,MATCH(0,COUNTIF($B$5:B81,ListeB),0))),"",INDEX(ListeB,MATCH(0,COUNTIF($B$5:B81,ListeB),0)))</f>
        <v/>
      </c>
      <c r="C82" s="64" t="str">
        <f ca="1">IF(COUNTIFS('SEANCE 1'!$B:$B, $B82, 'SEANCE 1'!$C:$C, C$2, 'SEANCE 1'!$F:$F, C$5)=0, "", COUNTIFS('SEANCE 1'!$B:$B, $B82, 'SEANCE 1'!$C:$C, C$2, 'SEANCE 1'!$F:$F, C$5))</f>
        <v/>
      </c>
      <c r="D82" s="64" t="str">
        <f ca="1">IF(COUNTIFS('SEANCE 1'!$B:$B, $B82, 'SEANCE 1'!$C:$C, D$2, 'SEANCE 1'!$F:$F, D$5)=0, "", COUNTIFS('SEANCE 1'!$B:$B, $B82, 'SEANCE 1'!$C:$C, D$2, 'SEANCE 1'!$F:$F, D$5))</f>
        <v/>
      </c>
      <c r="E82" s="64" t="str">
        <f ca="1">IF(COUNTIFS('SEANCE 1'!$B:$B, $B82, 'SEANCE 1'!$C:$C, E$2, 'SEANCE 1'!$F:$F, E$5)=0, "", COUNTIFS('SEANCE 1'!$B:$B, $B82, 'SEANCE 1'!$C:$C, E$2, 'SEANCE 1'!$F:$F, E$5))</f>
        <v/>
      </c>
      <c r="F82" s="64" t="str">
        <f ca="1">IF(COUNTIFS('SEANCE 1'!$B:$B, $B82, 'SEANCE 1'!$C:$C, F$2, 'SEANCE 1'!$F:$F, F$5)=0, "", COUNTIFS('SEANCE 1'!$B:$B, $B82, 'SEANCE 1'!$C:$C, F$2, 'SEANCE 1'!$F:$F, F$5))</f>
        <v/>
      </c>
      <c r="G82" s="64" t="str">
        <f ca="1">IF(COUNTIFS('SEANCE 1'!$B:$B, $B82, 'SEANCE 1'!$C:$C, G$2, 'SEANCE 1'!$F:$F, G$5)=0, "", COUNTIFS('SEANCE 1'!$B:$B, $B82, 'SEANCE 1'!$C:$C, G$2, 'SEANCE 1'!$F:$F, G$5))</f>
        <v/>
      </c>
      <c r="H82" s="64" t="str">
        <f ca="1">IF(COUNTIFS('SEANCE 1'!$B:$B, $B82, 'SEANCE 1'!$C:$C, H$2, 'SEANCE 1'!$F:$F, H$5)=0, "", COUNTIFS('SEANCE 1'!$B:$B, $B82, 'SEANCE 1'!$C:$C, H$2, 'SEANCE 1'!$F:$F, H$5))</f>
        <v/>
      </c>
      <c r="I82" s="64" t="str">
        <f ca="1">IF(COUNTIFS('SEANCE 1'!$B:$B, $B82, 'SEANCE 1'!$C:$C, I$2, 'SEANCE 1'!$F:$F, I$5)=0, "", COUNTIFS('SEANCE 1'!$B:$B, $B82, 'SEANCE 1'!$C:$C, I$2, 'SEANCE 1'!$F:$F, I$5))</f>
        <v/>
      </c>
      <c r="J82" s="64" t="str">
        <f ca="1">IF(COUNTIFS('SEANCE 1'!$B:$B, $B82, 'SEANCE 1'!$C:$C, J$2, 'SEANCE 1'!$F:$F, J$5)=0, "", COUNTIFS('SEANCE 1'!$B:$B, $B82, 'SEANCE 1'!$C:$C, J$2, 'SEANCE 1'!$F:$F, J$5))</f>
        <v/>
      </c>
      <c r="K82" s="64" t="str">
        <f ca="1">IF(COUNTIFS('SEANCE 1'!$B:$B, $B82, 'SEANCE 1'!$C:$C, K$2, 'SEANCE 1'!$F:$F, K$5)=0, "", COUNTIFS('SEANCE 1'!$B:$B, $B82, 'SEANCE 1'!$C:$C, K$2, 'SEANCE 1'!$F:$F, K$5))</f>
        <v/>
      </c>
      <c r="L82" s="64" t="str">
        <f ca="1">IF(COUNTIFS('SEANCE 1'!$B:$B, $B82, 'SEANCE 1'!$C:$C, L$2, 'SEANCE 1'!$F:$F, L$5)=0, "", COUNTIFS('SEANCE 1'!$B:$B, $B82, 'SEANCE 1'!$C:$C, L$2, 'SEANCE 1'!$F:$F, L$5))</f>
        <v/>
      </c>
      <c r="M82" s="64" t="str">
        <f ca="1">IF(COUNTIFS('SEANCE 1'!$B:$B, $B82, 'SEANCE 1'!$C:$C, M$2, 'SEANCE 1'!$F:$F, M$5)=0, "", COUNTIFS('SEANCE 1'!$B:$B, $B82, 'SEANCE 1'!$C:$C, M$2, 'SEANCE 1'!$F:$F, M$5))</f>
        <v/>
      </c>
      <c r="N82" s="64" t="str">
        <f ca="1">IF(COUNTIFS('SEANCE 1'!$B:$B, $B82, 'SEANCE 1'!$C:$C, N$2, 'SEANCE 1'!$F:$F, N$5)=0, "", COUNTIFS('SEANCE 1'!$B:$B, $B82, 'SEANCE 1'!$C:$C, N$2, 'SEANCE 1'!$F:$F, N$5))</f>
        <v/>
      </c>
      <c r="O82" s="64" t="str">
        <f ca="1">IF(COUNTIFS('SEANCE 1'!$B:$B, $B82, 'SEANCE 1'!$C:$C, O$2, 'SEANCE 1'!$F:$F, O$5)=0, "", COUNTIFS('SEANCE 1'!$B:$B, $B82, 'SEANCE 1'!$C:$C, O$2, 'SEANCE 1'!$F:$F, O$5))</f>
        <v/>
      </c>
      <c r="P82" s="64" t="str">
        <f ca="1">IF(COUNTIFS('SEANCE 1'!$B:$B, $B82, 'SEANCE 1'!$C:$C, P$2, 'SEANCE 1'!$F:$F, P$5)=0, "", COUNTIFS('SEANCE 1'!$B:$B, $B82, 'SEANCE 1'!$C:$C, P$2, 'SEANCE 1'!$F:$F, P$5))</f>
        <v/>
      </c>
      <c r="Q82" s="64" t="str">
        <f ca="1">IF(COUNTIFS('SEANCE 1'!$B:$B, $B82, 'SEANCE 1'!$C:$C, Q$2, 'SEANCE 1'!$F:$F, Q$5)=0, "", COUNTIFS('SEANCE 1'!$B:$B, $B82, 'SEANCE 1'!$C:$C, Q$2, 'SEANCE 1'!$F:$F, Q$5))</f>
        <v/>
      </c>
      <c r="R82" s="64" t="str">
        <f ca="1">IF(COUNTIFS('SEANCE 1'!$B:$B, $B82, 'SEANCE 1'!$C:$C, R$2, 'SEANCE 1'!$F:$F, R$5)=0, "", COUNTIFS('SEANCE 1'!$B:$B, $B82, 'SEANCE 1'!$C:$C, R$2, 'SEANCE 1'!$F:$F, R$5))</f>
        <v/>
      </c>
      <c r="S82" s="64" t="str">
        <f ca="1">IF(COUNTIFS('SEANCE 1'!$B:$B, $B82, 'SEANCE 1'!$C:$C, S$2, 'SEANCE 1'!$F:$F, S$5)=0, "", COUNTIFS('SEANCE 1'!$B:$B, $B82, 'SEANCE 1'!$C:$C, S$2, 'SEANCE 1'!$F:$F, S$5))</f>
        <v/>
      </c>
      <c r="T82" s="64" t="str">
        <f ca="1">IF(COUNTIFS('SEANCE 1'!$B:$B, $B82, 'SEANCE 1'!$C:$C, T$2, 'SEANCE 1'!$F:$F, T$5)=0, "", COUNTIFS('SEANCE 1'!$B:$B, $B82, 'SEANCE 1'!$C:$C, T$2, 'SEANCE 1'!$F:$F, T$5))</f>
        <v/>
      </c>
      <c r="U82" s="64" t="str">
        <f ca="1">IF(COUNTIFS('SEANCE 1'!$B:$B, $B82, 'SEANCE 1'!$C:$C, U$2, 'SEANCE 1'!$F:$F, U$5)=0, "", COUNTIFS('SEANCE 1'!$B:$B, $B82, 'SEANCE 1'!$C:$C, U$2, 'SEANCE 1'!$F:$F, U$5))</f>
        <v/>
      </c>
      <c r="V82" s="64" t="str">
        <f ca="1">IF(COUNTIFS('SEANCE 1'!$B:$B, $B82, 'SEANCE 1'!$C:$C, V$2, 'SEANCE 1'!$F:$F, V$5)=0, "", COUNTIFS('SEANCE 1'!$B:$B, $B82, 'SEANCE 1'!$C:$C, V$2, 'SEANCE 1'!$F:$F, V$5))</f>
        <v/>
      </c>
      <c r="W82" s="64" t="str">
        <f ca="1">IF(COUNTIFS('SEANCE 1'!$B:$B, $B82, 'SEANCE 1'!$C:$C, W$2, 'SEANCE 1'!$F:$F, W$5)=0, "", COUNTIFS('SEANCE 1'!$B:$B, $B82, 'SEANCE 1'!$C:$C, W$2, 'SEANCE 1'!$F:$F, W$5))</f>
        <v/>
      </c>
      <c r="X82" s="64" t="str">
        <f ca="1">IF(COUNTIFS('SEANCE 1'!$B:$B, $B82, 'SEANCE 1'!$C:$C, X$2, 'SEANCE 1'!$F:$F, X$5)=0, "", COUNTIFS('SEANCE 1'!$B:$B, $B82, 'SEANCE 1'!$C:$C, X$2, 'SEANCE 1'!$F:$F, X$5))</f>
        <v/>
      </c>
      <c r="Y82" s="64" t="str">
        <f ca="1">IF(COUNTIFS('SEANCE 1'!$B:$B, $B82, 'SEANCE 1'!$C:$C, Y$2, 'SEANCE 1'!$F:$F, Y$5)=0, "", COUNTIFS('SEANCE 1'!$B:$B, $B82, 'SEANCE 1'!$C:$C, Y$2, 'SEANCE 1'!$F:$F, Y$5))</f>
        <v/>
      </c>
      <c r="Z82" s="64" t="str">
        <f ca="1">IF(COUNTIFS('SEANCE 1'!$B:$B, $B82, 'SEANCE 1'!$C:$C, Z$2, 'SEANCE 1'!$F:$F, Z$5)=0, "", COUNTIFS('SEANCE 1'!$B:$B, $B82, 'SEANCE 1'!$C:$C, Z$2, 'SEANCE 1'!$F:$F, Z$5))</f>
        <v/>
      </c>
      <c r="AA82" s="64" t="str">
        <f ca="1">IF(COUNTIFS('SEANCE 1'!$B:$B, $B82, 'SEANCE 1'!$C:$C, AA$2, 'SEANCE 1'!$F:$F, AA$5)=0, "", COUNTIFS('SEANCE 1'!$B:$B, $B82, 'SEANCE 1'!$C:$C, AA$2, 'SEANCE 1'!$F:$F, AA$5))</f>
        <v/>
      </c>
      <c r="AB82" s="64" t="str">
        <f ca="1">IF(COUNTIFS('SEANCE 1'!$B:$B, $B82, 'SEANCE 1'!$C:$C, AB$2, 'SEANCE 1'!$F:$F, AB$5)=0, "", COUNTIFS('SEANCE 1'!$B:$B, $B82, 'SEANCE 1'!$C:$C, AB$2, 'SEANCE 1'!$F:$F, AB$5))</f>
        <v/>
      </c>
      <c r="AC82" s="64" t="str">
        <f ca="1">IF(COUNTIFS('SEANCE 1'!$B:$B, $B82, 'SEANCE 1'!$C:$C, AC$2, 'SEANCE 1'!$F:$F, AC$5)=0, "", COUNTIFS('SEANCE 1'!$B:$B, $B82, 'SEANCE 1'!$C:$C, AC$2, 'SEANCE 1'!$F:$F, AC$5))</f>
        <v/>
      </c>
      <c r="AD82" s="64" t="str">
        <f ca="1">IF(COUNTIFS('SEANCE 1'!$B:$B, $B82, 'SEANCE 1'!$C:$C, AD$2, 'SEANCE 1'!$F:$F, AD$5)=0, "", COUNTIFS('SEANCE 1'!$B:$B, $B82, 'SEANCE 1'!$C:$C, AD$2, 'SEANCE 1'!$F:$F, AD$5))</f>
        <v/>
      </c>
      <c r="AE82" s="64" t="str">
        <f ca="1">IF(COUNTIFS('SEANCE 1'!$B:$B, $B82, 'SEANCE 1'!$C:$C, AE$2, 'SEANCE 1'!$F:$F, AE$5)=0, "", COUNTIFS('SEANCE 1'!$B:$B, $B82, 'SEANCE 1'!$C:$C, AE$2, 'SEANCE 1'!$F:$F, AE$5))</f>
        <v/>
      </c>
      <c r="AF82" s="64" t="str">
        <f ca="1">IF(COUNTIFS('SEANCE 1'!$B:$B, $B82, 'SEANCE 1'!$C:$C, AF$2, 'SEANCE 1'!$F:$F, AF$5)=0, "", COUNTIFS('SEANCE 1'!$B:$B, $B82, 'SEANCE 1'!$C:$C, AF$2, 'SEANCE 1'!$F:$F, AF$5))</f>
        <v/>
      </c>
      <c r="AG82" s="64" t="str">
        <f ca="1">IF(COUNTIFS('SEANCE 1'!$B:$B, $B82, 'SEANCE 1'!$C:$C, AG$2, 'SEANCE 1'!$F:$F, AG$5)=0, "", COUNTIFS('SEANCE 1'!$B:$B, $B82, 'SEANCE 1'!$C:$C, AG$2, 'SEANCE 1'!$F:$F, AG$5))</f>
        <v/>
      </c>
      <c r="AH82" s="64" t="str">
        <f ca="1">IF(COUNTIFS('SEANCE 1'!$B:$B, $B82, 'SEANCE 1'!$C:$C, AH$2, 'SEANCE 1'!$F:$F, AH$5)=0, "", COUNTIFS('SEANCE 1'!$B:$B, $B82, 'SEANCE 1'!$C:$C, AH$2, 'SEANCE 1'!$F:$F, AH$5))</f>
        <v/>
      </c>
      <c r="AI82" s="64" t="str">
        <f ca="1">IF(COUNTIFS('SEANCE 1'!$B:$B, $B82, 'SEANCE 1'!$C:$C, AI$2, 'SEANCE 1'!$F:$F, AI$5)=0, "", COUNTIFS('SEANCE 1'!$B:$B, $B82, 'SEANCE 1'!$C:$C, AI$2, 'SEANCE 1'!$F:$F, AI$5))</f>
        <v/>
      </c>
      <c r="AJ82" s="64" t="str">
        <f ca="1">IF(COUNTIFS('SEANCE 1'!$B:$B, $B82, 'SEANCE 1'!$C:$C, AJ$2, 'SEANCE 1'!$F:$F, AJ$5)=0, "", COUNTIFS('SEANCE 1'!$B:$B, $B82, 'SEANCE 1'!$C:$C, AJ$2, 'SEANCE 1'!$F:$F, AJ$5))</f>
        <v/>
      </c>
      <c r="AK82" s="64" t="str">
        <f ca="1">IF(COUNTIFS('SEANCE 1'!$B:$B, $B82, 'SEANCE 1'!$C:$C, AK$2, 'SEANCE 1'!$F:$F, AK$5)=0, "", COUNTIFS('SEANCE 1'!$B:$B, $B82, 'SEANCE 1'!$C:$C, AK$2, 'SEANCE 1'!$F:$F, AK$5))</f>
        <v/>
      </c>
      <c r="AL82" s="64" t="str">
        <f ca="1">IF(COUNTIFS('SEANCE 1'!$B:$B, $B82, 'SEANCE 1'!$C:$C, AL$2, 'SEANCE 1'!$F:$F, AL$5)=0, "", COUNTIFS('SEANCE 1'!$B:$B, $B82, 'SEANCE 1'!$C:$C, AL$2, 'SEANCE 1'!$F:$F, AL$5))</f>
        <v/>
      </c>
      <c r="AM82" s="64" t="str">
        <f ca="1">IF(COUNTIFS('SEANCE 1'!$B:$B, $B82, 'SEANCE 1'!$C:$C, AM$2, 'SEANCE 1'!$F:$F, AM$5)=0, "", COUNTIFS('SEANCE 1'!$B:$B, $B82, 'SEANCE 1'!$C:$C, AM$2, 'SEANCE 1'!$F:$F, AM$5))</f>
        <v/>
      </c>
      <c r="AN82" s="64" t="str">
        <f ca="1">IF(COUNTIFS('SEANCE 1'!$B:$B, $B82, 'SEANCE 1'!$C:$C, AN$2, 'SEANCE 1'!$F:$F, AN$5)=0, "", COUNTIFS('SEANCE 1'!$B:$B, $B82, 'SEANCE 1'!$C:$C, AN$2, 'SEANCE 1'!$F:$F, AN$5))</f>
        <v/>
      </c>
      <c r="AO82" s="64" t="str">
        <f ca="1">IF(COUNTIFS('SEANCE 1'!$B:$B, $B82, 'SEANCE 1'!$C:$C, AO$2, 'SEANCE 1'!$F:$F, AO$5)=0, "", COUNTIFS('SEANCE 1'!$B:$B, $B82, 'SEANCE 1'!$C:$C, AO$2, 'SEANCE 1'!$F:$F, AO$5))</f>
        <v/>
      </c>
      <c r="AP82" s="64" t="str">
        <f ca="1">IF(COUNTIFS('SEANCE 1'!$B:$B, $B82, 'SEANCE 1'!$C:$C, AP$2, 'SEANCE 1'!$F:$F, AP$5)=0, "", COUNTIFS('SEANCE 1'!$B:$B, $B82, 'SEANCE 1'!$C:$C, AP$2, 'SEANCE 1'!$F:$F, AP$5))</f>
        <v/>
      </c>
      <c r="AQ82" s="64" t="str">
        <f ca="1">IF(COUNTIFS('SEANCE 1'!$B:$B, $B82, 'SEANCE 1'!$C:$C, AQ$2, 'SEANCE 1'!$F:$F, AQ$5)=0, "", COUNTIFS('SEANCE 1'!$B:$B, $B82, 'SEANCE 1'!$C:$C, AQ$2, 'SEANCE 1'!$F:$F, AQ$5))</f>
        <v/>
      </c>
      <c r="AR82" s="64" t="str">
        <f ca="1">IF(COUNTIFS('SEANCE 1'!$B:$B, $B82, 'SEANCE 1'!$C:$C, AR$2, 'SEANCE 1'!$F:$F, AR$5)=0, "", COUNTIFS('SEANCE 1'!$B:$B, $B82, 'SEANCE 1'!$C:$C, AR$2, 'SEANCE 1'!$F:$F, AR$5))</f>
        <v/>
      </c>
      <c r="AS82" s="64" t="str">
        <f ca="1">IF(COUNTIFS('SEANCE 1'!$B:$B, $B82, 'SEANCE 1'!$C:$C, AS$2, 'SEANCE 1'!$F:$F, AS$5)=0, "", COUNTIFS('SEANCE 1'!$B:$B, $B82, 'SEANCE 1'!$C:$C, AS$2, 'SEANCE 1'!$F:$F, AS$5))</f>
        <v/>
      </c>
      <c r="AT82" s="64" t="str">
        <f ca="1">IF(COUNTIFS('SEANCE 1'!$B:$B, $B82, 'SEANCE 1'!$C:$C, AT$2, 'SEANCE 1'!$F:$F, AT$5)=0, "", COUNTIFS('SEANCE 1'!$B:$B, $B82, 'SEANCE 1'!$C:$C, AT$2, 'SEANCE 1'!$F:$F, AT$5))</f>
        <v/>
      </c>
      <c r="AU82" s="64" t="str">
        <f ca="1">IF(COUNTIFS('SEANCE 1'!$B:$B, $B82, 'SEANCE 1'!$C:$C, AU$2, 'SEANCE 1'!$F:$F, AU$5)=0, "", COUNTIFS('SEANCE 1'!$B:$B, $B82, 'SEANCE 1'!$C:$C, AU$2, 'SEANCE 1'!$F:$F, AU$5))</f>
        <v/>
      </c>
      <c r="AV82" s="64" t="str">
        <f ca="1">IF(COUNTIFS('SEANCE 1'!$B:$B, $B82, 'SEANCE 1'!$C:$C, AV$2, 'SEANCE 1'!$F:$F, AV$5)=0, "", COUNTIFS('SEANCE 1'!$B:$B, $B82, 'SEANCE 1'!$C:$C, AV$2, 'SEANCE 1'!$F:$F, AV$5))</f>
        <v/>
      </c>
      <c r="AW82" s="64" t="str">
        <f ca="1">IF(COUNTIFS('SEANCE 1'!$B:$B, $B82, 'SEANCE 1'!$C:$C, AW$2, 'SEANCE 1'!$F:$F, AW$5)=0, "", COUNTIFS('SEANCE 1'!$B:$B, $B82, 'SEANCE 1'!$C:$C, AW$2, 'SEANCE 1'!$F:$F, AW$5))</f>
        <v/>
      </c>
      <c r="AX82" s="64" t="str">
        <f ca="1">IF(COUNTIFS('SEANCE 1'!$B:$B, $B82, 'SEANCE 1'!$C:$C, AX$2, 'SEANCE 1'!$F:$F, AX$5)=0, "", COUNTIFS('SEANCE 1'!$B:$B, $B82, 'SEANCE 1'!$C:$C, AX$2, 'SEANCE 1'!$F:$F, AX$5))</f>
        <v/>
      </c>
      <c r="AY82" s="64" t="str">
        <f ca="1">IF(COUNTIFS('SEANCE 1'!$B:$B, $B82, 'SEANCE 1'!$C:$C, AY$2, 'SEANCE 1'!$F:$F, AY$5)=0, "", COUNTIFS('SEANCE 1'!$B:$B, $B82, 'SEANCE 1'!$C:$C, AY$2, 'SEANCE 1'!$F:$F, AY$5))</f>
        <v/>
      </c>
      <c r="AZ82" s="32">
        <f t="shared" ca="1" si="1"/>
        <v>0</v>
      </c>
    </row>
    <row r="83" spans="1:52">
      <c r="A83" s="44" t="str">
        <f>IF('SEANCE 1'!$B79&lt;&gt;"",'SEANCE 1'!$A79,"")</f>
        <v/>
      </c>
      <c r="B83" s="44" t="str">
        <f t="array" aca="1" ref="B83" ca="1">IF(ISNA(INDEX(ListeB,MATCH(0,COUNTIF($B$5:B82,ListeB),0))),"",INDEX(ListeB,MATCH(0,COUNTIF($B$5:B82,ListeB),0)))</f>
        <v/>
      </c>
      <c r="C83" s="64" t="str">
        <f ca="1">IF(COUNTIFS('SEANCE 1'!$B:$B, $B83, 'SEANCE 1'!$C:$C, C$2, 'SEANCE 1'!$F:$F, C$5)=0, "", COUNTIFS('SEANCE 1'!$B:$B, $B83, 'SEANCE 1'!$C:$C, C$2, 'SEANCE 1'!$F:$F, C$5))</f>
        <v/>
      </c>
      <c r="D83" s="64" t="str">
        <f ca="1">IF(COUNTIFS('SEANCE 1'!$B:$B, $B83, 'SEANCE 1'!$C:$C, D$2, 'SEANCE 1'!$F:$F, D$5)=0, "", COUNTIFS('SEANCE 1'!$B:$B, $B83, 'SEANCE 1'!$C:$C, D$2, 'SEANCE 1'!$F:$F, D$5))</f>
        <v/>
      </c>
      <c r="E83" s="64" t="str">
        <f ca="1">IF(COUNTIFS('SEANCE 1'!$B:$B, $B83, 'SEANCE 1'!$C:$C, E$2, 'SEANCE 1'!$F:$F, E$5)=0, "", COUNTIFS('SEANCE 1'!$B:$B, $B83, 'SEANCE 1'!$C:$C, E$2, 'SEANCE 1'!$F:$F, E$5))</f>
        <v/>
      </c>
      <c r="F83" s="64" t="str">
        <f ca="1">IF(COUNTIFS('SEANCE 1'!$B:$B, $B83, 'SEANCE 1'!$C:$C, F$2, 'SEANCE 1'!$F:$F, F$5)=0, "", COUNTIFS('SEANCE 1'!$B:$B, $B83, 'SEANCE 1'!$C:$C, F$2, 'SEANCE 1'!$F:$F, F$5))</f>
        <v/>
      </c>
      <c r="G83" s="64" t="str">
        <f ca="1">IF(COUNTIFS('SEANCE 1'!$B:$B, $B83, 'SEANCE 1'!$C:$C, G$2, 'SEANCE 1'!$F:$F, G$5)=0, "", COUNTIFS('SEANCE 1'!$B:$B, $B83, 'SEANCE 1'!$C:$C, G$2, 'SEANCE 1'!$F:$F, G$5))</f>
        <v/>
      </c>
      <c r="H83" s="64" t="str">
        <f ca="1">IF(COUNTIFS('SEANCE 1'!$B:$B, $B83, 'SEANCE 1'!$C:$C, H$2, 'SEANCE 1'!$F:$F, H$5)=0, "", COUNTIFS('SEANCE 1'!$B:$B, $B83, 'SEANCE 1'!$C:$C, H$2, 'SEANCE 1'!$F:$F, H$5))</f>
        <v/>
      </c>
      <c r="I83" s="64" t="str">
        <f ca="1">IF(COUNTIFS('SEANCE 1'!$B:$B, $B83, 'SEANCE 1'!$C:$C, I$2, 'SEANCE 1'!$F:$F, I$5)=0, "", COUNTIFS('SEANCE 1'!$B:$B, $B83, 'SEANCE 1'!$C:$C, I$2, 'SEANCE 1'!$F:$F, I$5))</f>
        <v/>
      </c>
      <c r="J83" s="64" t="str">
        <f ca="1">IF(COUNTIFS('SEANCE 1'!$B:$B, $B83, 'SEANCE 1'!$C:$C, J$2, 'SEANCE 1'!$F:$F, J$5)=0, "", COUNTIFS('SEANCE 1'!$B:$B, $B83, 'SEANCE 1'!$C:$C, J$2, 'SEANCE 1'!$F:$F, J$5))</f>
        <v/>
      </c>
      <c r="K83" s="64" t="str">
        <f ca="1">IF(COUNTIFS('SEANCE 1'!$B:$B, $B83, 'SEANCE 1'!$C:$C, K$2, 'SEANCE 1'!$F:$F, K$5)=0, "", COUNTIFS('SEANCE 1'!$B:$B, $B83, 'SEANCE 1'!$C:$C, K$2, 'SEANCE 1'!$F:$F, K$5))</f>
        <v/>
      </c>
      <c r="L83" s="64" t="str">
        <f ca="1">IF(COUNTIFS('SEANCE 1'!$B:$B, $B83, 'SEANCE 1'!$C:$C, L$2, 'SEANCE 1'!$F:$F, L$5)=0, "", COUNTIFS('SEANCE 1'!$B:$B, $B83, 'SEANCE 1'!$C:$C, L$2, 'SEANCE 1'!$F:$F, L$5))</f>
        <v/>
      </c>
      <c r="M83" s="64" t="str">
        <f ca="1">IF(COUNTIFS('SEANCE 1'!$B:$B, $B83, 'SEANCE 1'!$C:$C, M$2, 'SEANCE 1'!$F:$F, M$5)=0, "", COUNTIFS('SEANCE 1'!$B:$B, $B83, 'SEANCE 1'!$C:$C, M$2, 'SEANCE 1'!$F:$F, M$5))</f>
        <v/>
      </c>
      <c r="N83" s="64" t="str">
        <f ca="1">IF(COUNTIFS('SEANCE 1'!$B:$B, $B83, 'SEANCE 1'!$C:$C, N$2, 'SEANCE 1'!$F:$F, N$5)=0, "", COUNTIFS('SEANCE 1'!$B:$B, $B83, 'SEANCE 1'!$C:$C, N$2, 'SEANCE 1'!$F:$F, N$5))</f>
        <v/>
      </c>
      <c r="O83" s="64" t="str">
        <f ca="1">IF(COUNTIFS('SEANCE 1'!$B:$B, $B83, 'SEANCE 1'!$C:$C, O$2, 'SEANCE 1'!$F:$F, O$5)=0, "", COUNTIFS('SEANCE 1'!$B:$B, $B83, 'SEANCE 1'!$C:$C, O$2, 'SEANCE 1'!$F:$F, O$5))</f>
        <v/>
      </c>
      <c r="P83" s="64" t="str">
        <f ca="1">IF(COUNTIFS('SEANCE 1'!$B:$B, $B83, 'SEANCE 1'!$C:$C, P$2, 'SEANCE 1'!$F:$F, P$5)=0, "", COUNTIFS('SEANCE 1'!$B:$B, $B83, 'SEANCE 1'!$C:$C, P$2, 'SEANCE 1'!$F:$F, P$5))</f>
        <v/>
      </c>
      <c r="Q83" s="64" t="str">
        <f ca="1">IF(COUNTIFS('SEANCE 1'!$B:$B, $B83, 'SEANCE 1'!$C:$C, Q$2, 'SEANCE 1'!$F:$F, Q$5)=0, "", COUNTIFS('SEANCE 1'!$B:$B, $B83, 'SEANCE 1'!$C:$C, Q$2, 'SEANCE 1'!$F:$F, Q$5))</f>
        <v/>
      </c>
      <c r="R83" s="64" t="str">
        <f ca="1">IF(COUNTIFS('SEANCE 1'!$B:$B, $B83, 'SEANCE 1'!$C:$C, R$2, 'SEANCE 1'!$F:$F, R$5)=0, "", COUNTIFS('SEANCE 1'!$B:$B, $B83, 'SEANCE 1'!$C:$C, R$2, 'SEANCE 1'!$F:$F, R$5))</f>
        <v/>
      </c>
      <c r="S83" s="64" t="str">
        <f ca="1">IF(COUNTIFS('SEANCE 1'!$B:$B, $B83, 'SEANCE 1'!$C:$C, S$2, 'SEANCE 1'!$F:$F, S$5)=0, "", COUNTIFS('SEANCE 1'!$B:$B, $B83, 'SEANCE 1'!$C:$C, S$2, 'SEANCE 1'!$F:$F, S$5))</f>
        <v/>
      </c>
      <c r="T83" s="64" t="str">
        <f ca="1">IF(COUNTIFS('SEANCE 1'!$B:$B, $B83, 'SEANCE 1'!$C:$C, T$2, 'SEANCE 1'!$F:$F, T$5)=0, "", COUNTIFS('SEANCE 1'!$B:$B, $B83, 'SEANCE 1'!$C:$C, T$2, 'SEANCE 1'!$F:$F, T$5))</f>
        <v/>
      </c>
      <c r="U83" s="64" t="str">
        <f ca="1">IF(COUNTIFS('SEANCE 1'!$B:$B, $B83, 'SEANCE 1'!$C:$C, U$2, 'SEANCE 1'!$F:$F, U$5)=0, "", COUNTIFS('SEANCE 1'!$B:$B, $B83, 'SEANCE 1'!$C:$C, U$2, 'SEANCE 1'!$F:$F, U$5))</f>
        <v/>
      </c>
      <c r="V83" s="64" t="str">
        <f ca="1">IF(COUNTIFS('SEANCE 1'!$B:$B, $B83, 'SEANCE 1'!$C:$C, V$2, 'SEANCE 1'!$F:$F, V$5)=0, "", COUNTIFS('SEANCE 1'!$B:$B, $B83, 'SEANCE 1'!$C:$C, V$2, 'SEANCE 1'!$F:$F, V$5))</f>
        <v/>
      </c>
      <c r="W83" s="64" t="str">
        <f ca="1">IF(COUNTIFS('SEANCE 1'!$B:$B, $B83, 'SEANCE 1'!$C:$C, W$2, 'SEANCE 1'!$F:$F, W$5)=0, "", COUNTIFS('SEANCE 1'!$B:$B, $B83, 'SEANCE 1'!$C:$C, W$2, 'SEANCE 1'!$F:$F, W$5))</f>
        <v/>
      </c>
      <c r="X83" s="64" t="str">
        <f ca="1">IF(COUNTIFS('SEANCE 1'!$B:$B, $B83, 'SEANCE 1'!$C:$C, X$2, 'SEANCE 1'!$F:$F, X$5)=0, "", COUNTIFS('SEANCE 1'!$B:$B, $B83, 'SEANCE 1'!$C:$C, X$2, 'SEANCE 1'!$F:$F, X$5))</f>
        <v/>
      </c>
      <c r="Y83" s="64" t="str">
        <f ca="1">IF(COUNTIFS('SEANCE 1'!$B:$B, $B83, 'SEANCE 1'!$C:$C, Y$2, 'SEANCE 1'!$F:$F, Y$5)=0, "", COUNTIFS('SEANCE 1'!$B:$B, $B83, 'SEANCE 1'!$C:$C, Y$2, 'SEANCE 1'!$F:$F, Y$5))</f>
        <v/>
      </c>
      <c r="Z83" s="64" t="str">
        <f ca="1">IF(COUNTIFS('SEANCE 1'!$B:$B, $B83, 'SEANCE 1'!$C:$C, Z$2, 'SEANCE 1'!$F:$F, Z$5)=0, "", COUNTIFS('SEANCE 1'!$B:$B, $B83, 'SEANCE 1'!$C:$C, Z$2, 'SEANCE 1'!$F:$F, Z$5))</f>
        <v/>
      </c>
      <c r="AA83" s="64" t="str">
        <f ca="1">IF(COUNTIFS('SEANCE 1'!$B:$B, $B83, 'SEANCE 1'!$C:$C, AA$2, 'SEANCE 1'!$F:$F, AA$5)=0, "", COUNTIFS('SEANCE 1'!$B:$B, $B83, 'SEANCE 1'!$C:$C, AA$2, 'SEANCE 1'!$F:$F, AA$5))</f>
        <v/>
      </c>
      <c r="AB83" s="64" t="str">
        <f ca="1">IF(COUNTIFS('SEANCE 1'!$B:$B, $B83, 'SEANCE 1'!$C:$C, AB$2, 'SEANCE 1'!$F:$F, AB$5)=0, "", COUNTIFS('SEANCE 1'!$B:$B, $B83, 'SEANCE 1'!$C:$C, AB$2, 'SEANCE 1'!$F:$F, AB$5))</f>
        <v/>
      </c>
      <c r="AC83" s="64" t="str">
        <f ca="1">IF(COUNTIFS('SEANCE 1'!$B:$B, $B83, 'SEANCE 1'!$C:$C, AC$2, 'SEANCE 1'!$F:$F, AC$5)=0, "", COUNTIFS('SEANCE 1'!$B:$B, $B83, 'SEANCE 1'!$C:$C, AC$2, 'SEANCE 1'!$F:$F, AC$5))</f>
        <v/>
      </c>
      <c r="AD83" s="64" t="str">
        <f ca="1">IF(COUNTIFS('SEANCE 1'!$B:$B, $B83, 'SEANCE 1'!$C:$C, AD$2, 'SEANCE 1'!$F:$F, AD$5)=0, "", COUNTIFS('SEANCE 1'!$B:$B, $B83, 'SEANCE 1'!$C:$C, AD$2, 'SEANCE 1'!$F:$F, AD$5))</f>
        <v/>
      </c>
      <c r="AE83" s="64" t="str">
        <f ca="1">IF(COUNTIFS('SEANCE 1'!$B:$B, $B83, 'SEANCE 1'!$C:$C, AE$2, 'SEANCE 1'!$F:$F, AE$5)=0, "", COUNTIFS('SEANCE 1'!$B:$B, $B83, 'SEANCE 1'!$C:$C, AE$2, 'SEANCE 1'!$F:$F, AE$5))</f>
        <v/>
      </c>
      <c r="AF83" s="64" t="str">
        <f ca="1">IF(COUNTIFS('SEANCE 1'!$B:$B, $B83, 'SEANCE 1'!$C:$C, AF$2, 'SEANCE 1'!$F:$F, AF$5)=0, "", COUNTIFS('SEANCE 1'!$B:$B, $B83, 'SEANCE 1'!$C:$C, AF$2, 'SEANCE 1'!$F:$F, AF$5))</f>
        <v/>
      </c>
      <c r="AG83" s="64" t="str">
        <f ca="1">IF(COUNTIFS('SEANCE 1'!$B:$B, $B83, 'SEANCE 1'!$C:$C, AG$2, 'SEANCE 1'!$F:$F, AG$5)=0, "", COUNTIFS('SEANCE 1'!$B:$B, $B83, 'SEANCE 1'!$C:$C, AG$2, 'SEANCE 1'!$F:$F, AG$5))</f>
        <v/>
      </c>
      <c r="AH83" s="64" t="str">
        <f ca="1">IF(COUNTIFS('SEANCE 1'!$B:$B, $B83, 'SEANCE 1'!$C:$C, AH$2, 'SEANCE 1'!$F:$F, AH$5)=0, "", COUNTIFS('SEANCE 1'!$B:$B, $B83, 'SEANCE 1'!$C:$C, AH$2, 'SEANCE 1'!$F:$F, AH$5))</f>
        <v/>
      </c>
      <c r="AI83" s="64" t="str">
        <f ca="1">IF(COUNTIFS('SEANCE 1'!$B:$B, $B83, 'SEANCE 1'!$C:$C, AI$2, 'SEANCE 1'!$F:$F, AI$5)=0, "", COUNTIFS('SEANCE 1'!$B:$B, $B83, 'SEANCE 1'!$C:$C, AI$2, 'SEANCE 1'!$F:$F, AI$5))</f>
        <v/>
      </c>
      <c r="AJ83" s="64" t="str">
        <f ca="1">IF(COUNTIFS('SEANCE 1'!$B:$B, $B83, 'SEANCE 1'!$C:$C, AJ$2, 'SEANCE 1'!$F:$F, AJ$5)=0, "", COUNTIFS('SEANCE 1'!$B:$B, $B83, 'SEANCE 1'!$C:$C, AJ$2, 'SEANCE 1'!$F:$F, AJ$5))</f>
        <v/>
      </c>
      <c r="AK83" s="64" t="str">
        <f ca="1">IF(COUNTIFS('SEANCE 1'!$B:$B, $B83, 'SEANCE 1'!$C:$C, AK$2, 'SEANCE 1'!$F:$F, AK$5)=0, "", COUNTIFS('SEANCE 1'!$B:$B, $B83, 'SEANCE 1'!$C:$C, AK$2, 'SEANCE 1'!$F:$F, AK$5))</f>
        <v/>
      </c>
      <c r="AL83" s="64" t="str">
        <f ca="1">IF(COUNTIFS('SEANCE 1'!$B:$B, $B83, 'SEANCE 1'!$C:$C, AL$2, 'SEANCE 1'!$F:$F, AL$5)=0, "", COUNTIFS('SEANCE 1'!$B:$B, $B83, 'SEANCE 1'!$C:$C, AL$2, 'SEANCE 1'!$F:$F, AL$5))</f>
        <v/>
      </c>
      <c r="AM83" s="64" t="str">
        <f ca="1">IF(COUNTIFS('SEANCE 1'!$B:$B, $B83, 'SEANCE 1'!$C:$C, AM$2, 'SEANCE 1'!$F:$F, AM$5)=0, "", COUNTIFS('SEANCE 1'!$B:$B, $B83, 'SEANCE 1'!$C:$C, AM$2, 'SEANCE 1'!$F:$F, AM$5))</f>
        <v/>
      </c>
      <c r="AN83" s="64" t="str">
        <f ca="1">IF(COUNTIFS('SEANCE 1'!$B:$B, $B83, 'SEANCE 1'!$C:$C, AN$2, 'SEANCE 1'!$F:$F, AN$5)=0, "", COUNTIFS('SEANCE 1'!$B:$B, $B83, 'SEANCE 1'!$C:$C, AN$2, 'SEANCE 1'!$F:$F, AN$5))</f>
        <v/>
      </c>
      <c r="AO83" s="64" t="str">
        <f ca="1">IF(COUNTIFS('SEANCE 1'!$B:$B, $B83, 'SEANCE 1'!$C:$C, AO$2, 'SEANCE 1'!$F:$F, AO$5)=0, "", COUNTIFS('SEANCE 1'!$B:$B, $B83, 'SEANCE 1'!$C:$C, AO$2, 'SEANCE 1'!$F:$F, AO$5))</f>
        <v/>
      </c>
      <c r="AP83" s="64" t="str">
        <f ca="1">IF(COUNTIFS('SEANCE 1'!$B:$B, $B83, 'SEANCE 1'!$C:$C, AP$2, 'SEANCE 1'!$F:$F, AP$5)=0, "", COUNTIFS('SEANCE 1'!$B:$B, $B83, 'SEANCE 1'!$C:$C, AP$2, 'SEANCE 1'!$F:$F, AP$5))</f>
        <v/>
      </c>
      <c r="AQ83" s="64" t="str">
        <f ca="1">IF(COUNTIFS('SEANCE 1'!$B:$B, $B83, 'SEANCE 1'!$C:$C, AQ$2, 'SEANCE 1'!$F:$F, AQ$5)=0, "", COUNTIFS('SEANCE 1'!$B:$B, $B83, 'SEANCE 1'!$C:$C, AQ$2, 'SEANCE 1'!$F:$F, AQ$5))</f>
        <v/>
      </c>
      <c r="AR83" s="64" t="str">
        <f ca="1">IF(COUNTIFS('SEANCE 1'!$B:$B, $B83, 'SEANCE 1'!$C:$C, AR$2, 'SEANCE 1'!$F:$F, AR$5)=0, "", COUNTIFS('SEANCE 1'!$B:$B, $B83, 'SEANCE 1'!$C:$C, AR$2, 'SEANCE 1'!$F:$F, AR$5))</f>
        <v/>
      </c>
      <c r="AS83" s="64" t="str">
        <f ca="1">IF(COUNTIFS('SEANCE 1'!$B:$B, $B83, 'SEANCE 1'!$C:$C, AS$2, 'SEANCE 1'!$F:$F, AS$5)=0, "", COUNTIFS('SEANCE 1'!$B:$B, $B83, 'SEANCE 1'!$C:$C, AS$2, 'SEANCE 1'!$F:$F, AS$5))</f>
        <v/>
      </c>
      <c r="AT83" s="64" t="str">
        <f ca="1">IF(COUNTIFS('SEANCE 1'!$B:$B, $B83, 'SEANCE 1'!$C:$C, AT$2, 'SEANCE 1'!$F:$F, AT$5)=0, "", COUNTIFS('SEANCE 1'!$B:$B, $B83, 'SEANCE 1'!$C:$C, AT$2, 'SEANCE 1'!$F:$F, AT$5))</f>
        <v/>
      </c>
      <c r="AU83" s="64" t="str">
        <f ca="1">IF(COUNTIFS('SEANCE 1'!$B:$B, $B83, 'SEANCE 1'!$C:$C, AU$2, 'SEANCE 1'!$F:$F, AU$5)=0, "", COUNTIFS('SEANCE 1'!$B:$B, $B83, 'SEANCE 1'!$C:$C, AU$2, 'SEANCE 1'!$F:$F, AU$5))</f>
        <v/>
      </c>
      <c r="AV83" s="64" t="str">
        <f ca="1">IF(COUNTIFS('SEANCE 1'!$B:$B, $B83, 'SEANCE 1'!$C:$C, AV$2, 'SEANCE 1'!$F:$F, AV$5)=0, "", COUNTIFS('SEANCE 1'!$B:$B, $B83, 'SEANCE 1'!$C:$C, AV$2, 'SEANCE 1'!$F:$F, AV$5))</f>
        <v/>
      </c>
      <c r="AW83" s="64" t="str">
        <f ca="1">IF(COUNTIFS('SEANCE 1'!$B:$B, $B83, 'SEANCE 1'!$C:$C, AW$2, 'SEANCE 1'!$F:$F, AW$5)=0, "", COUNTIFS('SEANCE 1'!$B:$B, $B83, 'SEANCE 1'!$C:$C, AW$2, 'SEANCE 1'!$F:$F, AW$5))</f>
        <v/>
      </c>
      <c r="AX83" s="64" t="str">
        <f ca="1">IF(COUNTIFS('SEANCE 1'!$B:$B, $B83, 'SEANCE 1'!$C:$C, AX$2, 'SEANCE 1'!$F:$F, AX$5)=0, "", COUNTIFS('SEANCE 1'!$B:$B, $B83, 'SEANCE 1'!$C:$C, AX$2, 'SEANCE 1'!$F:$F, AX$5))</f>
        <v/>
      </c>
      <c r="AY83" s="64" t="str">
        <f ca="1">IF(COUNTIFS('SEANCE 1'!$B:$B, $B83, 'SEANCE 1'!$C:$C, AY$2, 'SEANCE 1'!$F:$F, AY$5)=0, "", COUNTIFS('SEANCE 1'!$B:$B, $B83, 'SEANCE 1'!$C:$C, AY$2, 'SEANCE 1'!$F:$F, AY$5))</f>
        <v/>
      </c>
      <c r="AZ83" s="32">
        <f t="shared" ca="1" si="1"/>
        <v>0</v>
      </c>
    </row>
    <row r="84" spans="1:52">
      <c r="A84" s="44" t="str">
        <f>IF('SEANCE 1'!$B80&lt;&gt;"",'SEANCE 1'!$A80,"")</f>
        <v/>
      </c>
      <c r="B84" s="44" t="str">
        <f t="array" aca="1" ref="B84" ca="1">IF(ISNA(INDEX(ListeB,MATCH(0,COUNTIF($B$5:B83,ListeB),0))),"",INDEX(ListeB,MATCH(0,COUNTIF($B$5:B83,ListeB),0)))</f>
        <v/>
      </c>
      <c r="C84" s="64" t="str">
        <f ca="1">IF(COUNTIFS('SEANCE 1'!$B:$B, $B84, 'SEANCE 1'!$C:$C, C$2, 'SEANCE 1'!$F:$F, C$5)=0, "", COUNTIFS('SEANCE 1'!$B:$B, $B84, 'SEANCE 1'!$C:$C, C$2, 'SEANCE 1'!$F:$F, C$5))</f>
        <v/>
      </c>
      <c r="D84" s="64" t="str">
        <f ca="1">IF(COUNTIFS('SEANCE 1'!$B:$B, $B84, 'SEANCE 1'!$C:$C, D$2, 'SEANCE 1'!$F:$F, D$5)=0, "", COUNTIFS('SEANCE 1'!$B:$B, $B84, 'SEANCE 1'!$C:$C, D$2, 'SEANCE 1'!$F:$F, D$5))</f>
        <v/>
      </c>
      <c r="E84" s="64" t="str">
        <f ca="1">IF(COUNTIFS('SEANCE 1'!$B:$B, $B84, 'SEANCE 1'!$C:$C, E$2, 'SEANCE 1'!$F:$F, E$5)=0, "", COUNTIFS('SEANCE 1'!$B:$B, $B84, 'SEANCE 1'!$C:$C, E$2, 'SEANCE 1'!$F:$F, E$5))</f>
        <v/>
      </c>
      <c r="F84" s="64" t="str">
        <f ca="1">IF(COUNTIFS('SEANCE 1'!$B:$B, $B84, 'SEANCE 1'!$C:$C, F$2, 'SEANCE 1'!$F:$F, F$5)=0, "", COUNTIFS('SEANCE 1'!$B:$B, $B84, 'SEANCE 1'!$C:$C, F$2, 'SEANCE 1'!$F:$F, F$5))</f>
        <v/>
      </c>
      <c r="G84" s="64" t="str">
        <f ca="1">IF(COUNTIFS('SEANCE 1'!$B:$B, $B84, 'SEANCE 1'!$C:$C, G$2, 'SEANCE 1'!$F:$F, G$5)=0, "", COUNTIFS('SEANCE 1'!$B:$B, $B84, 'SEANCE 1'!$C:$C, G$2, 'SEANCE 1'!$F:$F, G$5))</f>
        <v/>
      </c>
      <c r="H84" s="64" t="str">
        <f ca="1">IF(COUNTIFS('SEANCE 1'!$B:$B, $B84, 'SEANCE 1'!$C:$C, H$2, 'SEANCE 1'!$F:$F, H$5)=0, "", COUNTIFS('SEANCE 1'!$B:$B, $B84, 'SEANCE 1'!$C:$C, H$2, 'SEANCE 1'!$F:$F, H$5))</f>
        <v/>
      </c>
      <c r="I84" s="64" t="str">
        <f ca="1">IF(COUNTIFS('SEANCE 1'!$B:$B, $B84, 'SEANCE 1'!$C:$C, I$2, 'SEANCE 1'!$F:$F, I$5)=0, "", COUNTIFS('SEANCE 1'!$B:$B, $B84, 'SEANCE 1'!$C:$C, I$2, 'SEANCE 1'!$F:$F, I$5))</f>
        <v/>
      </c>
      <c r="J84" s="64" t="str">
        <f ca="1">IF(COUNTIFS('SEANCE 1'!$B:$B, $B84, 'SEANCE 1'!$C:$C, J$2, 'SEANCE 1'!$F:$F, J$5)=0, "", COUNTIFS('SEANCE 1'!$B:$B, $B84, 'SEANCE 1'!$C:$C, J$2, 'SEANCE 1'!$F:$F, J$5))</f>
        <v/>
      </c>
      <c r="K84" s="64" t="str">
        <f ca="1">IF(COUNTIFS('SEANCE 1'!$B:$B, $B84, 'SEANCE 1'!$C:$C, K$2, 'SEANCE 1'!$F:$F, K$5)=0, "", COUNTIFS('SEANCE 1'!$B:$B, $B84, 'SEANCE 1'!$C:$C, K$2, 'SEANCE 1'!$F:$F, K$5))</f>
        <v/>
      </c>
      <c r="L84" s="64" t="str">
        <f ca="1">IF(COUNTIFS('SEANCE 1'!$B:$B, $B84, 'SEANCE 1'!$C:$C, L$2, 'SEANCE 1'!$F:$F, L$5)=0, "", COUNTIFS('SEANCE 1'!$B:$B, $B84, 'SEANCE 1'!$C:$C, L$2, 'SEANCE 1'!$F:$F, L$5))</f>
        <v/>
      </c>
      <c r="M84" s="64" t="str">
        <f ca="1">IF(COUNTIFS('SEANCE 1'!$B:$B, $B84, 'SEANCE 1'!$C:$C, M$2, 'SEANCE 1'!$F:$F, M$5)=0, "", COUNTIFS('SEANCE 1'!$B:$B, $B84, 'SEANCE 1'!$C:$C, M$2, 'SEANCE 1'!$F:$F, M$5))</f>
        <v/>
      </c>
      <c r="N84" s="64" t="str">
        <f ca="1">IF(COUNTIFS('SEANCE 1'!$B:$B, $B84, 'SEANCE 1'!$C:$C, N$2, 'SEANCE 1'!$F:$F, N$5)=0, "", COUNTIFS('SEANCE 1'!$B:$B, $B84, 'SEANCE 1'!$C:$C, N$2, 'SEANCE 1'!$F:$F, N$5))</f>
        <v/>
      </c>
      <c r="O84" s="64" t="str">
        <f ca="1">IF(COUNTIFS('SEANCE 1'!$B:$B, $B84, 'SEANCE 1'!$C:$C, O$2, 'SEANCE 1'!$F:$F, O$5)=0, "", COUNTIFS('SEANCE 1'!$B:$B, $B84, 'SEANCE 1'!$C:$C, O$2, 'SEANCE 1'!$F:$F, O$5))</f>
        <v/>
      </c>
      <c r="P84" s="64" t="str">
        <f ca="1">IF(COUNTIFS('SEANCE 1'!$B:$B, $B84, 'SEANCE 1'!$C:$C, P$2, 'SEANCE 1'!$F:$F, P$5)=0, "", COUNTIFS('SEANCE 1'!$B:$B, $B84, 'SEANCE 1'!$C:$C, P$2, 'SEANCE 1'!$F:$F, P$5))</f>
        <v/>
      </c>
      <c r="Q84" s="64" t="str">
        <f ca="1">IF(COUNTIFS('SEANCE 1'!$B:$B, $B84, 'SEANCE 1'!$C:$C, Q$2, 'SEANCE 1'!$F:$F, Q$5)=0, "", COUNTIFS('SEANCE 1'!$B:$B, $B84, 'SEANCE 1'!$C:$C, Q$2, 'SEANCE 1'!$F:$F, Q$5))</f>
        <v/>
      </c>
      <c r="R84" s="64" t="str">
        <f ca="1">IF(COUNTIFS('SEANCE 1'!$B:$B, $B84, 'SEANCE 1'!$C:$C, R$2, 'SEANCE 1'!$F:$F, R$5)=0, "", COUNTIFS('SEANCE 1'!$B:$B, $B84, 'SEANCE 1'!$C:$C, R$2, 'SEANCE 1'!$F:$F, R$5))</f>
        <v/>
      </c>
      <c r="S84" s="64" t="str">
        <f ca="1">IF(COUNTIFS('SEANCE 1'!$B:$B, $B84, 'SEANCE 1'!$C:$C, S$2, 'SEANCE 1'!$F:$F, S$5)=0, "", COUNTIFS('SEANCE 1'!$B:$B, $B84, 'SEANCE 1'!$C:$C, S$2, 'SEANCE 1'!$F:$F, S$5))</f>
        <v/>
      </c>
      <c r="T84" s="64" t="str">
        <f ca="1">IF(COUNTIFS('SEANCE 1'!$B:$B, $B84, 'SEANCE 1'!$C:$C, T$2, 'SEANCE 1'!$F:$F, T$5)=0, "", COUNTIFS('SEANCE 1'!$B:$B, $B84, 'SEANCE 1'!$C:$C, T$2, 'SEANCE 1'!$F:$F, T$5))</f>
        <v/>
      </c>
      <c r="U84" s="64" t="str">
        <f ca="1">IF(COUNTIFS('SEANCE 1'!$B:$B, $B84, 'SEANCE 1'!$C:$C, U$2, 'SEANCE 1'!$F:$F, U$5)=0, "", COUNTIFS('SEANCE 1'!$B:$B, $B84, 'SEANCE 1'!$C:$C, U$2, 'SEANCE 1'!$F:$F, U$5))</f>
        <v/>
      </c>
      <c r="V84" s="64" t="str">
        <f ca="1">IF(COUNTIFS('SEANCE 1'!$B:$B, $B84, 'SEANCE 1'!$C:$C, V$2, 'SEANCE 1'!$F:$F, V$5)=0, "", COUNTIFS('SEANCE 1'!$B:$B, $B84, 'SEANCE 1'!$C:$C, V$2, 'SEANCE 1'!$F:$F, V$5))</f>
        <v/>
      </c>
      <c r="W84" s="64" t="str">
        <f ca="1">IF(COUNTIFS('SEANCE 1'!$B:$B, $B84, 'SEANCE 1'!$C:$C, W$2, 'SEANCE 1'!$F:$F, W$5)=0, "", COUNTIFS('SEANCE 1'!$B:$B, $B84, 'SEANCE 1'!$C:$C, W$2, 'SEANCE 1'!$F:$F, W$5))</f>
        <v/>
      </c>
      <c r="X84" s="64" t="str">
        <f ca="1">IF(COUNTIFS('SEANCE 1'!$B:$B, $B84, 'SEANCE 1'!$C:$C, X$2, 'SEANCE 1'!$F:$F, X$5)=0, "", COUNTIFS('SEANCE 1'!$B:$B, $B84, 'SEANCE 1'!$C:$C, X$2, 'SEANCE 1'!$F:$F, X$5))</f>
        <v/>
      </c>
      <c r="Y84" s="64" t="str">
        <f ca="1">IF(COUNTIFS('SEANCE 1'!$B:$B, $B84, 'SEANCE 1'!$C:$C, Y$2, 'SEANCE 1'!$F:$F, Y$5)=0, "", COUNTIFS('SEANCE 1'!$B:$B, $B84, 'SEANCE 1'!$C:$C, Y$2, 'SEANCE 1'!$F:$F, Y$5))</f>
        <v/>
      </c>
      <c r="Z84" s="64" t="str">
        <f ca="1">IF(COUNTIFS('SEANCE 1'!$B:$B, $B84, 'SEANCE 1'!$C:$C, Z$2, 'SEANCE 1'!$F:$F, Z$5)=0, "", COUNTIFS('SEANCE 1'!$B:$B, $B84, 'SEANCE 1'!$C:$C, Z$2, 'SEANCE 1'!$F:$F, Z$5))</f>
        <v/>
      </c>
      <c r="AA84" s="64" t="str">
        <f ca="1">IF(COUNTIFS('SEANCE 1'!$B:$B, $B84, 'SEANCE 1'!$C:$C, AA$2, 'SEANCE 1'!$F:$F, AA$5)=0, "", COUNTIFS('SEANCE 1'!$B:$B, $B84, 'SEANCE 1'!$C:$C, AA$2, 'SEANCE 1'!$F:$F, AA$5))</f>
        <v/>
      </c>
      <c r="AB84" s="64" t="str">
        <f ca="1">IF(COUNTIFS('SEANCE 1'!$B:$B, $B84, 'SEANCE 1'!$C:$C, AB$2, 'SEANCE 1'!$F:$F, AB$5)=0, "", COUNTIFS('SEANCE 1'!$B:$B, $B84, 'SEANCE 1'!$C:$C, AB$2, 'SEANCE 1'!$F:$F, AB$5))</f>
        <v/>
      </c>
      <c r="AC84" s="64" t="str">
        <f ca="1">IF(COUNTIFS('SEANCE 1'!$B:$B, $B84, 'SEANCE 1'!$C:$C, AC$2, 'SEANCE 1'!$F:$F, AC$5)=0, "", COUNTIFS('SEANCE 1'!$B:$B, $B84, 'SEANCE 1'!$C:$C, AC$2, 'SEANCE 1'!$F:$F, AC$5))</f>
        <v/>
      </c>
      <c r="AD84" s="64" t="str">
        <f ca="1">IF(COUNTIFS('SEANCE 1'!$B:$B, $B84, 'SEANCE 1'!$C:$C, AD$2, 'SEANCE 1'!$F:$F, AD$5)=0, "", COUNTIFS('SEANCE 1'!$B:$B, $B84, 'SEANCE 1'!$C:$C, AD$2, 'SEANCE 1'!$F:$F, AD$5))</f>
        <v/>
      </c>
      <c r="AE84" s="64" t="str">
        <f ca="1">IF(COUNTIFS('SEANCE 1'!$B:$B, $B84, 'SEANCE 1'!$C:$C, AE$2, 'SEANCE 1'!$F:$F, AE$5)=0, "", COUNTIFS('SEANCE 1'!$B:$B, $B84, 'SEANCE 1'!$C:$C, AE$2, 'SEANCE 1'!$F:$F, AE$5))</f>
        <v/>
      </c>
      <c r="AF84" s="64" t="str">
        <f ca="1">IF(COUNTIFS('SEANCE 1'!$B:$B, $B84, 'SEANCE 1'!$C:$C, AF$2, 'SEANCE 1'!$F:$F, AF$5)=0, "", COUNTIFS('SEANCE 1'!$B:$B, $B84, 'SEANCE 1'!$C:$C, AF$2, 'SEANCE 1'!$F:$F, AF$5))</f>
        <v/>
      </c>
      <c r="AG84" s="64" t="str">
        <f ca="1">IF(COUNTIFS('SEANCE 1'!$B:$B, $B84, 'SEANCE 1'!$C:$C, AG$2, 'SEANCE 1'!$F:$F, AG$5)=0, "", COUNTIFS('SEANCE 1'!$B:$B, $B84, 'SEANCE 1'!$C:$C, AG$2, 'SEANCE 1'!$F:$F, AG$5))</f>
        <v/>
      </c>
      <c r="AH84" s="64" t="str">
        <f ca="1">IF(COUNTIFS('SEANCE 1'!$B:$B, $B84, 'SEANCE 1'!$C:$C, AH$2, 'SEANCE 1'!$F:$F, AH$5)=0, "", COUNTIFS('SEANCE 1'!$B:$B, $B84, 'SEANCE 1'!$C:$C, AH$2, 'SEANCE 1'!$F:$F, AH$5))</f>
        <v/>
      </c>
      <c r="AI84" s="64" t="str">
        <f ca="1">IF(COUNTIFS('SEANCE 1'!$B:$B, $B84, 'SEANCE 1'!$C:$C, AI$2, 'SEANCE 1'!$F:$F, AI$5)=0, "", COUNTIFS('SEANCE 1'!$B:$B, $B84, 'SEANCE 1'!$C:$C, AI$2, 'SEANCE 1'!$F:$F, AI$5))</f>
        <v/>
      </c>
      <c r="AJ84" s="64" t="str">
        <f ca="1">IF(COUNTIFS('SEANCE 1'!$B:$B, $B84, 'SEANCE 1'!$C:$C, AJ$2, 'SEANCE 1'!$F:$F, AJ$5)=0, "", COUNTIFS('SEANCE 1'!$B:$B, $B84, 'SEANCE 1'!$C:$C, AJ$2, 'SEANCE 1'!$F:$F, AJ$5))</f>
        <v/>
      </c>
      <c r="AK84" s="64" t="str">
        <f ca="1">IF(COUNTIFS('SEANCE 1'!$B:$B, $B84, 'SEANCE 1'!$C:$C, AK$2, 'SEANCE 1'!$F:$F, AK$5)=0, "", COUNTIFS('SEANCE 1'!$B:$B, $B84, 'SEANCE 1'!$C:$C, AK$2, 'SEANCE 1'!$F:$F, AK$5))</f>
        <v/>
      </c>
      <c r="AL84" s="64" t="str">
        <f ca="1">IF(COUNTIFS('SEANCE 1'!$B:$B, $B84, 'SEANCE 1'!$C:$C, AL$2, 'SEANCE 1'!$F:$F, AL$5)=0, "", COUNTIFS('SEANCE 1'!$B:$B, $B84, 'SEANCE 1'!$C:$C, AL$2, 'SEANCE 1'!$F:$F, AL$5))</f>
        <v/>
      </c>
      <c r="AM84" s="64" t="str">
        <f ca="1">IF(COUNTIFS('SEANCE 1'!$B:$B, $B84, 'SEANCE 1'!$C:$C, AM$2, 'SEANCE 1'!$F:$F, AM$5)=0, "", COUNTIFS('SEANCE 1'!$B:$B, $B84, 'SEANCE 1'!$C:$C, AM$2, 'SEANCE 1'!$F:$F, AM$5))</f>
        <v/>
      </c>
      <c r="AN84" s="64" t="str">
        <f ca="1">IF(COUNTIFS('SEANCE 1'!$B:$B, $B84, 'SEANCE 1'!$C:$C, AN$2, 'SEANCE 1'!$F:$F, AN$5)=0, "", COUNTIFS('SEANCE 1'!$B:$B, $B84, 'SEANCE 1'!$C:$C, AN$2, 'SEANCE 1'!$F:$F, AN$5))</f>
        <v/>
      </c>
      <c r="AO84" s="64" t="str">
        <f ca="1">IF(COUNTIFS('SEANCE 1'!$B:$B, $B84, 'SEANCE 1'!$C:$C, AO$2, 'SEANCE 1'!$F:$F, AO$5)=0, "", COUNTIFS('SEANCE 1'!$B:$B, $B84, 'SEANCE 1'!$C:$C, AO$2, 'SEANCE 1'!$F:$F, AO$5))</f>
        <v/>
      </c>
      <c r="AP84" s="64" t="str">
        <f ca="1">IF(COUNTIFS('SEANCE 1'!$B:$B, $B84, 'SEANCE 1'!$C:$C, AP$2, 'SEANCE 1'!$F:$F, AP$5)=0, "", COUNTIFS('SEANCE 1'!$B:$B, $B84, 'SEANCE 1'!$C:$C, AP$2, 'SEANCE 1'!$F:$F, AP$5))</f>
        <v/>
      </c>
      <c r="AQ84" s="64" t="str">
        <f ca="1">IF(COUNTIFS('SEANCE 1'!$B:$B, $B84, 'SEANCE 1'!$C:$C, AQ$2, 'SEANCE 1'!$F:$F, AQ$5)=0, "", COUNTIFS('SEANCE 1'!$B:$B, $B84, 'SEANCE 1'!$C:$C, AQ$2, 'SEANCE 1'!$F:$F, AQ$5))</f>
        <v/>
      </c>
      <c r="AR84" s="64" t="str">
        <f ca="1">IF(COUNTIFS('SEANCE 1'!$B:$B, $B84, 'SEANCE 1'!$C:$C, AR$2, 'SEANCE 1'!$F:$F, AR$5)=0, "", COUNTIFS('SEANCE 1'!$B:$B, $B84, 'SEANCE 1'!$C:$C, AR$2, 'SEANCE 1'!$F:$F, AR$5))</f>
        <v/>
      </c>
      <c r="AS84" s="64" t="str">
        <f ca="1">IF(COUNTIFS('SEANCE 1'!$B:$B, $B84, 'SEANCE 1'!$C:$C, AS$2, 'SEANCE 1'!$F:$F, AS$5)=0, "", COUNTIFS('SEANCE 1'!$B:$B, $B84, 'SEANCE 1'!$C:$C, AS$2, 'SEANCE 1'!$F:$F, AS$5))</f>
        <v/>
      </c>
      <c r="AT84" s="64" t="str">
        <f ca="1">IF(COUNTIFS('SEANCE 1'!$B:$B, $B84, 'SEANCE 1'!$C:$C, AT$2, 'SEANCE 1'!$F:$F, AT$5)=0, "", COUNTIFS('SEANCE 1'!$B:$B, $B84, 'SEANCE 1'!$C:$C, AT$2, 'SEANCE 1'!$F:$F, AT$5))</f>
        <v/>
      </c>
      <c r="AU84" s="64" t="str">
        <f ca="1">IF(COUNTIFS('SEANCE 1'!$B:$B, $B84, 'SEANCE 1'!$C:$C, AU$2, 'SEANCE 1'!$F:$F, AU$5)=0, "", COUNTIFS('SEANCE 1'!$B:$B, $B84, 'SEANCE 1'!$C:$C, AU$2, 'SEANCE 1'!$F:$F, AU$5))</f>
        <v/>
      </c>
      <c r="AV84" s="64" t="str">
        <f ca="1">IF(COUNTIFS('SEANCE 1'!$B:$B, $B84, 'SEANCE 1'!$C:$C, AV$2, 'SEANCE 1'!$F:$F, AV$5)=0, "", COUNTIFS('SEANCE 1'!$B:$B, $B84, 'SEANCE 1'!$C:$C, AV$2, 'SEANCE 1'!$F:$F, AV$5))</f>
        <v/>
      </c>
      <c r="AW84" s="64" t="str">
        <f ca="1">IF(COUNTIFS('SEANCE 1'!$B:$B, $B84, 'SEANCE 1'!$C:$C, AW$2, 'SEANCE 1'!$F:$F, AW$5)=0, "", COUNTIFS('SEANCE 1'!$B:$B, $B84, 'SEANCE 1'!$C:$C, AW$2, 'SEANCE 1'!$F:$F, AW$5))</f>
        <v/>
      </c>
      <c r="AX84" s="64" t="str">
        <f ca="1">IF(COUNTIFS('SEANCE 1'!$B:$B, $B84, 'SEANCE 1'!$C:$C, AX$2, 'SEANCE 1'!$F:$F, AX$5)=0, "", COUNTIFS('SEANCE 1'!$B:$B, $B84, 'SEANCE 1'!$C:$C, AX$2, 'SEANCE 1'!$F:$F, AX$5))</f>
        <v/>
      </c>
      <c r="AY84" s="64" t="str">
        <f ca="1">IF(COUNTIFS('SEANCE 1'!$B:$B, $B84, 'SEANCE 1'!$C:$C, AY$2, 'SEANCE 1'!$F:$F, AY$5)=0, "", COUNTIFS('SEANCE 1'!$B:$B, $B84, 'SEANCE 1'!$C:$C, AY$2, 'SEANCE 1'!$F:$F, AY$5))</f>
        <v/>
      </c>
      <c r="AZ84" s="32">
        <f t="shared" ca="1" si="1"/>
        <v>0</v>
      </c>
    </row>
    <row r="85" spans="1:52">
      <c r="A85" s="44" t="str">
        <f>IF('SEANCE 1'!$B81&lt;&gt;"",'SEANCE 1'!$A81,"")</f>
        <v/>
      </c>
      <c r="B85" s="44" t="str">
        <f t="array" aca="1" ref="B85" ca="1">IF(ISNA(INDEX(ListeB,MATCH(0,COUNTIF($B$5:B84,ListeB),0))),"",INDEX(ListeB,MATCH(0,COUNTIF($B$5:B84,ListeB),0)))</f>
        <v/>
      </c>
      <c r="C85" s="64" t="str">
        <f ca="1">IF(COUNTIFS('SEANCE 1'!$B:$B, $B85, 'SEANCE 1'!$C:$C, C$2, 'SEANCE 1'!$F:$F, C$5)=0, "", COUNTIFS('SEANCE 1'!$B:$B, $B85, 'SEANCE 1'!$C:$C, C$2, 'SEANCE 1'!$F:$F, C$5))</f>
        <v/>
      </c>
      <c r="D85" s="64" t="str">
        <f ca="1">IF(COUNTIFS('SEANCE 1'!$B:$B, $B85, 'SEANCE 1'!$C:$C, D$2, 'SEANCE 1'!$F:$F, D$5)=0, "", COUNTIFS('SEANCE 1'!$B:$B, $B85, 'SEANCE 1'!$C:$C, D$2, 'SEANCE 1'!$F:$F, D$5))</f>
        <v/>
      </c>
      <c r="E85" s="64" t="str">
        <f ca="1">IF(COUNTIFS('SEANCE 1'!$B:$B, $B85, 'SEANCE 1'!$C:$C, E$2, 'SEANCE 1'!$F:$F, E$5)=0, "", COUNTIFS('SEANCE 1'!$B:$B, $B85, 'SEANCE 1'!$C:$C, E$2, 'SEANCE 1'!$F:$F, E$5))</f>
        <v/>
      </c>
      <c r="F85" s="64" t="str">
        <f ca="1">IF(COUNTIFS('SEANCE 1'!$B:$B, $B85, 'SEANCE 1'!$C:$C, F$2, 'SEANCE 1'!$F:$F, F$5)=0, "", COUNTIFS('SEANCE 1'!$B:$B, $B85, 'SEANCE 1'!$C:$C, F$2, 'SEANCE 1'!$F:$F, F$5))</f>
        <v/>
      </c>
      <c r="G85" s="64" t="str">
        <f ca="1">IF(COUNTIFS('SEANCE 1'!$B:$B, $B85, 'SEANCE 1'!$C:$C, G$2, 'SEANCE 1'!$F:$F, G$5)=0, "", COUNTIFS('SEANCE 1'!$B:$B, $B85, 'SEANCE 1'!$C:$C, G$2, 'SEANCE 1'!$F:$F, G$5))</f>
        <v/>
      </c>
      <c r="H85" s="64" t="str">
        <f ca="1">IF(COUNTIFS('SEANCE 1'!$B:$B, $B85, 'SEANCE 1'!$C:$C, H$2, 'SEANCE 1'!$F:$F, H$5)=0, "", COUNTIFS('SEANCE 1'!$B:$B, $B85, 'SEANCE 1'!$C:$C, H$2, 'SEANCE 1'!$F:$F, H$5))</f>
        <v/>
      </c>
      <c r="I85" s="64" t="str">
        <f ca="1">IF(COUNTIFS('SEANCE 1'!$B:$B, $B85, 'SEANCE 1'!$C:$C, I$2, 'SEANCE 1'!$F:$F, I$5)=0, "", COUNTIFS('SEANCE 1'!$B:$B, $B85, 'SEANCE 1'!$C:$C, I$2, 'SEANCE 1'!$F:$F, I$5))</f>
        <v/>
      </c>
      <c r="J85" s="64" t="str">
        <f ca="1">IF(COUNTIFS('SEANCE 1'!$B:$B, $B85, 'SEANCE 1'!$C:$C, J$2, 'SEANCE 1'!$F:$F, J$5)=0, "", COUNTIFS('SEANCE 1'!$B:$B, $B85, 'SEANCE 1'!$C:$C, J$2, 'SEANCE 1'!$F:$F, J$5))</f>
        <v/>
      </c>
      <c r="K85" s="64" t="str">
        <f ca="1">IF(COUNTIFS('SEANCE 1'!$B:$B, $B85, 'SEANCE 1'!$C:$C, K$2, 'SEANCE 1'!$F:$F, K$5)=0, "", COUNTIFS('SEANCE 1'!$B:$B, $B85, 'SEANCE 1'!$C:$C, K$2, 'SEANCE 1'!$F:$F, K$5))</f>
        <v/>
      </c>
      <c r="L85" s="64" t="str">
        <f ca="1">IF(COUNTIFS('SEANCE 1'!$B:$B, $B85, 'SEANCE 1'!$C:$C, L$2, 'SEANCE 1'!$F:$F, L$5)=0, "", COUNTIFS('SEANCE 1'!$B:$B, $B85, 'SEANCE 1'!$C:$C, L$2, 'SEANCE 1'!$F:$F, L$5))</f>
        <v/>
      </c>
      <c r="M85" s="64" t="str">
        <f ca="1">IF(COUNTIFS('SEANCE 1'!$B:$B, $B85, 'SEANCE 1'!$C:$C, M$2, 'SEANCE 1'!$F:$F, M$5)=0, "", COUNTIFS('SEANCE 1'!$B:$B, $B85, 'SEANCE 1'!$C:$C, M$2, 'SEANCE 1'!$F:$F, M$5))</f>
        <v/>
      </c>
      <c r="N85" s="64" t="str">
        <f ca="1">IF(COUNTIFS('SEANCE 1'!$B:$B, $B85, 'SEANCE 1'!$C:$C, N$2, 'SEANCE 1'!$F:$F, N$5)=0, "", COUNTIFS('SEANCE 1'!$B:$B, $B85, 'SEANCE 1'!$C:$C, N$2, 'SEANCE 1'!$F:$F, N$5))</f>
        <v/>
      </c>
      <c r="O85" s="64" t="str">
        <f ca="1">IF(COUNTIFS('SEANCE 1'!$B:$B, $B85, 'SEANCE 1'!$C:$C, O$2, 'SEANCE 1'!$F:$F, O$5)=0, "", COUNTIFS('SEANCE 1'!$B:$B, $B85, 'SEANCE 1'!$C:$C, O$2, 'SEANCE 1'!$F:$F, O$5))</f>
        <v/>
      </c>
      <c r="P85" s="64" t="str">
        <f ca="1">IF(COUNTIFS('SEANCE 1'!$B:$B, $B85, 'SEANCE 1'!$C:$C, P$2, 'SEANCE 1'!$F:$F, P$5)=0, "", COUNTIFS('SEANCE 1'!$B:$B, $B85, 'SEANCE 1'!$C:$C, P$2, 'SEANCE 1'!$F:$F, P$5))</f>
        <v/>
      </c>
      <c r="Q85" s="64" t="str">
        <f ca="1">IF(COUNTIFS('SEANCE 1'!$B:$B, $B85, 'SEANCE 1'!$C:$C, Q$2, 'SEANCE 1'!$F:$F, Q$5)=0, "", COUNTIFS('SEANCE 1'!$B:$B, $B85, 'SEANCE 1'!$C:$C, Q$2, 'SEANCE 1'!$F:$F, Q$5))</f>
        <v/>
      </c>
      <c r="R85" s="64" t="str">
        <f ca="1">IF(COUNTIFS('SEANCE 1'!$B:$B, $B85, 'SEANCE 1'!$C:$C, R$2, 'SEANCE 1'!$F:$F, R$5)=0, "", COUNTIFS('SEANCE 1'!$B:$B, $B85, 'SEANCE 1'!$C:$C, R$2, 'SEANCE 1'!$F:$F, R$5))</f>
        <v/>
      </c>
      <c r="S85" s="64" t="str">
        <f ca="1">IF(COUNTIFS('SEANCE 1'!$B:$B, $B85, 'SEANCE 1'!$C:$C, S$2, 'SEANCE 1'!$F:$F, S$5)=0, "", COUNTIFS('SEANCE 1'!$B:$B, $B85, 'SEANCE 1'!$C:$C, S$2, 'SEANCE 1'!$F:$F, S$5))</f>
        <v/>
      </c>
      <c r="T85" s="64" t="str">
        <f ca="1">IF(COUNTIFS('SEANCE 1'!$B:$B, $B85, 'SEANCE 1'!$C:$C, T$2, 'SEANCE 1'!$F:$F, T$5)=0, "", COUNTIFS('SEANCE 1'!$B:$B, $B85, 'SEANCE 1'!$C:$C, T$2, 'SEANCE 1'!$F:$F, T$5))</f>
        <v/>
      </c>
      <c r="U85" s="64" t="str">
        <f ca="1">IF(COUNTIFS('SEANCE 1'!$B:$B, $B85, 'SEANCE 1'!$C:$C, U$2, 'SEANCE 1'!$F:$F, U$5)=0, "", COUNTIFS('SEANCE 1'!$B:$B, $B85, 'SEANCE 1'!$C:$C, U$2, 'SEANCE 1'!$F:$F, U$5))</f>
        <v/>
      </c>
      <c r="V85" s="64" t="str">
        <f ca="1">IF(COUNTIFS('SEANCE 1'!$B:$B, $B85, 'SEANCE 1'!$C:$C, V$2, 'SEANCE 1'!$F:$F, V$5)=0, "", COUNTIFS('SEANCE 1'!$B:$B, $B85, 'SEANCE 1'!$C:$C, V$2, 'SEANCE 1'!$F:$F, V$5))</f>
        <v/>
      </c>
      <c r="W85" s="64" t="str">
        <f ca="1">IF(COUNTIFS('SEANCE 1'!$B:$B, $B85, 'SEANCE 1'!$C:$C, W$2, 'SEANCE 1'!$F:$F, W$5)=0, "", COUNTIFS('SEANCE 1'!$B:$B, $B85, 'SEANCE 1'!$C:$C, W$2, 'SEANCE 1'!$F:$F, W$5))</f>
        <v/>
      </c>
      <c r="X85" s="64" t="str">
        <f ca="1">IF(COUNTIFS('SEANCE 1'!$B:$B, $B85, 'SEANCE 1'!$C:$C, X$2, 'SEANCE 1'!$F:$F, X$5)=0, "", COUNTIFS('SEANCE 1'!$B:$B, $B85, 'SEANCE 1'!$C:$C, X$2, 'SEANCE 1'!$F:$F, X$5))</f>
        <v/>
      </c>
      <c r="Y85" s="64" t="str">
        <f ca="1">IF(COUNTIFS('SEANCE 1'!$B:$B, $B85, 'SEANCE 1'!$C:$C, Y$2, 'SEANCE 1'!$F:$F, Y$5)=0, "", COUNTIFS('SEANCE 1'!$B:$B, $B85, 'SEANCE 1'!$C:$C, Y$2, 'SEANCE 1'!$F:$F, Y$5))</f>
        <v/>
      </c>
      <c r="Z85" s="64" t="str">
        <f ca="1">IF(COUNTIFS('SEANCE 1'!$B:$B, $B85, 'SEANCE 1'!$C:$C, Z$2, 'SEANCE 1'!$F:$F, Z$5)=0, "", COUNTIFS('SEANCE 1'!$B:$B, $B85, 'SEANCE 1'!$C:$C, Z$2, 'SEANCE 1'!$F:$F, Z$5))</f>
        <v/>
      </c>
      <c r="AA85" s="64" t="str">
        <f ca="1">IF(COUNTIFS('SEANCE 1'!$B:$B, $B85, 'SEANCE 1'!$C:$C, AA$2, 'SEANCE 1'!$F:$F, AA$5)=0, "", COUNTIFS('SEANCE 1'!$B:$B, $B85, 'SEANCE 1'!$C:$C, AA$2, 'SEANCE 1'!$F:$F, AA$5))</f>
        <v/>
      </c>
      <c r="AB85" s="64" t="str">
        <f ca="1">IF(COUNTIFS('SEANCE 1'!$B:$B, $B85, 'SEANCE 1'!$C:$C, AB$2, 'SEANCE 1'!$F:$F, AB$5)=0, "", COUNTIFS('SEANCE 1'!$B:$B, $B85, 'SEANCE 1'!$C:$C, AB$2, 'SEANCE 1'!$F:$F, AB$5))</f>
        <v/>
      </c>
      <c r="AC85" s="64" t="str">
        <f ca="1">IF(COUNTIFS('SEANCE 1'!$B:$B, $B85, 'SEANCE 1'!$C:$C, AC$2, 'SEANCE 1'!$F:$F, AC$5)=0, "", COUNTIFS('SEANCE 1'!$B:$B, $B85, 'SEANCE 1'!$C:$C, AC$2, 'SEANCE 1'!$F:$F, AC$5))</f>
        <v/>
      </c>
      <c r="AD85" s="64" t="str">
        <f ca="1">IF(COUNTIFS('SEANCE 1'!$B:$B, $B85, 'SEANCE 1'!$C:$C, AD$2, 'SEANCE 1'!$F:$F, AD$5)=0, "", COUNTIFS('SEANCE 1'!$B:$B, $B85, 'SEANCE 1'!$C:$C, AD$2, 'SEANCE 1'!$F:$F, AD$5))</f>
        <v/>
      </c>
      <c r="AE85" s="64" t="str">
        <f ca="1">IF(COUNTIFS('SEANCE 1'!$B:$B, $B85, 'SEANCE 1'!$C:$C, AE$2, 'SEANCE 1'!$F:$F, AE$5)=0, "", COUNTIFS('SEANCE 1'!$B:$B, $B85, 'SEANCE 1'!$C:$C, AE$2, 'SEANCE 1'!$F:$F, AE$5))</f>
        <v/>
      </c>
      <c r="AF85" s="64" t="str">
        <f ca="1">IF(COUNTIFS('SEANCE 1'!$B:$B, $B85, 'SEANCE 1'!$C:$C, AF$2, 'SEANCE 1'!$F:$F, AF$5)=0, "", COUNTIFS('SEANCE 1'!$B:$B, $B85, 'SEANCE 1'!$C:$C, AF$2, 'SEANCE 1'!$F:$F, AF$5))</f>
        <v/>
      </c>
      <c r="AG85" s="64" t="str">
        <f ca="1">IF(COUNTIFS('SEANCE 1'!$B:$B, $B85, 'SEANCE 1'!$C:$C, AG$2, 'SEANCE 1'!$F:$F, AG$5)=0, "", COUNTIFS('SEANCE 1'!$B:$B, $B85, 'SEANCE 1'!$C:$C, AG$2, 'SEANCE 1'!$F:$F, AG$5))</f>
        <v/>
      </c>
      <c r="AH85" s="64" t="str">
        <f ca="1">IF(COUNTIFS('SEANCE 1'!$B:$B, $B85, 'SEANCE 1'!$C:$C, AH$2, 'SEANCE 1'!$F:$F, AH$5)=0, "", COUNTIFS('SEANCE 1'!$B:$B, $B85, 'SEANCE 1'!$C:$C, AH$2, 'SEANCE 1'!$F:$F, AH$5))</f>
        <v/>
      </c>
      <c r="AI85" s="64" t="str">
        <f ca="1">IF(COUNTIFS('SEANCE 1'!$B:$B, $B85, 'SEANCE 1'!$C:$C, AI$2, 'SEANCE 1'!$F:$F, AI$5)=0, "", COUNTIFS('SEANCE 1'!$B:$B, $B85, 'SEANCE 1'!$C:$C, AI$2, 'SEANCE 1'!$F:$F, AI$5))</f>
        <v/>
      </c>
      <c r="AJ85" s="64" t="str">
        <f ca="1">IF(COUNTIFS('SEANCE 1'!$B:$B, $B85, 'SEANCE 1'!$C:$C, AJ$2, 'SEANCE 1'!$F:$F, AJ$5)=0, "", COUNTIFS('SEANCE 1'!$B:$B, $B85, 'SEANCE 1'!$C:$C, AJ$2, 'SEANCE 1'!$F:$F, AJ$5))</f>
        <v/>
      </c>
      <c r="AK85" s="64" t="str">
        <f ca="1">IF(COUNTIFS('SEANCE 1'!$B:$B, $B85, 'SEANCE 1'!$C:$C, AK$2, 'SEANCE 1'!$F:$F, AK$5)=0, "", COUNTIFS('SEANCE 1'!$B:$B, $B85, 'SEANCE 1'!$C:$C, AK$2, 'SEANCE 1'!$F:$F, AK$5))</f>
        <v/>
      </c>
      <c r="AL85" s="64" t="str">
        <f ca="1">IF(COUNTIFS('SEANCE 1'!$B:$B, $B85, 'SEANCE 1'!$C:$C, AL$2, 'SEANCE 1'!$F:$F, AL$5)=0, "", COUNTIFS('SEANCE 1'!$B:$B, $B85, 'SEANCE 1'!$C:$C, AL$2, 'SEANCE 1'!$F:$F, AL$5))</f>
        <v/>
      </c>
      <c r="AM85" s="64" t="str">
        <f ca="1">IF(COUNTIFS('SEANCE 1'!$B:$B, $B85, 'SEANCE 1'!$C:$C, AM$2, 'SEANCE 1'!$F:$F, AM$5)=0, "", COUNTIFS('SEANCE 1'!$B:$B, $B85, 'SEANCE 1'!$C:$C, AM$2, 'SEANCE 1'!$F:$F, AM$5))</f>
        <v/>
      </c>
      <c r="AN85" s="64" t="str">
        <f ca="1">IF(COUNTIFS('SEANCE 1'!$B:$B, $B85, 'SEANCE 1'!$C:$C, AN$2, 'SEANCE 1'!$F:$F, AN$5)=0, "", COUNTIFS('SEANCE 1'!$B:$B, $B85, 'SEANCE 1'!$C:$C, AN$2, 'SEANCE 1'!$F:$F, AN$5))</f>
        <v/>
      </c>
      <c r="AO85" s="64" t="str">
        <f ca="1">IF(COUNTIFS('SEANCE 1'!$B:$B, $B85, 'SEANCE 1'!$C:$C, AO$2, 'SEANCE 1'!$F:$F, AO$5)=0, "", COUNTIFS('SEANCE 1'!$B:$B, $B85, 'SEANCE 1'!$C:$C, AO$2, 'SEANCE 1'!$F:$F, AO$5))</f>
        <v/>
      </c>
      <c r="AP85" s="64" t="str">
        <f ca="1">IF(COUNTIFS('SEANCE 1'!$B:$B, $B85, 'SEANCE 1'!$C:$C, AP$2, 'SEANCE 1'!$F:$F, AP$5)=0, "", COUNTIFS('SEANCE 1'!$B:$B, $B85, 'SEANCE 1'!$C:$C, AP$2, 'SEANCE 1'!$F:$F, AP$5))</f>
        <v/>
      </c>
      <c r="AQ85" s="64" t="str">
        <f ca="1">IF(COUNTIFS('SEANCE 1'!$B:$B, $B85, 'SEANCE 1'!$C:$C, AQ$2, 'SEANCE 1'!$F:$F, AQ$5)=0, "", COUNTIFS('SEANCE 1'!$B:$B, $B85, 'SEANCE 1'!$C:$C, AQ$2, 'SEANCE 1'!$F:$F, AQ$5))</f>
        <v/>
      </c>
      <c r="AR85" s="64" t="str">
        <f ca="1">IF(COUNTIFS('SEANCE 1'!$B:$B, $B85, 'SEANCE 1'!$C:$C, AR$2, 'SEANCE 1'!$F:$F, AR$5)=0, "", COUNTIFS('SEANCE 1'!$B:$B, $B85, 'SEANCE 1'!$C:$C, AR$2, 'SEANCE 1'!$F:$F, AR$5))</f>
        <v/>
      </c>
      <c r="AS85" s="64" t="str">
        <f ca="1">IF(COUNTIFS('SEANCE 1'!$B:$B, $B85, 'SEANCE 1'!$C:$C, AS$2, 'SEANCE 1'!$F:$F, AS$5)=0, "", COUNTIFS('SEANCE 1'!$B:$B, $B85, 'SEANCE 1'!$C:$C, AS$2, 'SEANCE 1'!$F:$F, AS$5))</f>
        <v/>
      </c>
      <c r="AT85" s="64" t="str">
        <f ca="1">IF(COUNTIFS('SEANCE 1'!$B:$B, $B85, 'SEANCE 1'!$C:$C, AT$2, 'SEANCE 1'!$F:$F, AT$5)=0, "", COUNTIFS('SEANCE 1'!$B:$B, $B85, 'SEANCE 1'!$C:$C, AT$2, 'SEANCE 1'!$F:$F, AT$5))</f>
        <v/>
      </c>
      <c r="AU85" s="64" t="str">
        <f ca="1">IF(COUNTIFS('SEANCE 1'!$B:$B, $B85, 'SEANCE 1'!$C:$C, AU$2, 'SEANCE 1'!$F:$F, AU$5)=0, "", COUNTIFS('SEANCE 1'!$B:$B, $B85, 'SEANCE 1'!$C:$C, AU$2, 'SEANCE 1'!$F:$F, AU$5))</f>
        <v/>
      </c>
      <c r="AV85" s="64" t="str">
        <f ca="1">IF(COUNTIFS('SEANCE 1'!$B:$B, $B85, 'SEANCE 1'!$C:$C, AV$2, 'SEANCE 1'!$F:$F, AV$5)=0, "", COUNTIFS('SEANCE 1'!$B:$B, $B85, 'SEANCE 1'!$C:$C, AV$2, 'SEANCE 1'!$F:$F, AV$5))</f>
        <v/>
      </c>
      <c r="AW85" s="64" t="str">
        <f ca="1">IF(COUNTIFS('SEANCE 1'!$B:$B, $B85, 'SEANCE 1'!$C:$C, AW$2, 'SEANCE 1'!$F:$F, AW$5)=0, "", COUNTIFS('SEANCE 1'!$B:$B, $B85, 'SEANCE 1'!$C:$C, AW$2, 'SEANCE 1'!$F:$F, AW$5))</f>
        <v/>
      </c>
      <c r="AX85" s="64" t="str">
        <f ca="1">IF(COUNTIFS('SEANCE 1'!$B:$B, $B85, 'SEANCE 1'!$C:$C, AX$2, 'SEANCE 1'!$F:$F, AX$5)=0, "", COUNTIFS('SEANCE 1'!$B:$B, $B85, 'SEANCE 1'!$C:$C, AX$2, 'SEANCE 1'!$F:$F, AX$5))</f>
        <v/>
      </c>
      <c r="AY85" s="64" t="str">
        <f ca="1">IF(COUNTIFS('SEANCE 1'!$B:$B, $B85, 'SEANCE 1'!$C:$C, AY$2, 'SEANCE 1'!$F:$F, AY$5)=0, "", COUNTIFS('SEANCE 1'!$B:$B, $B85, 'SEANCE 1'!$C:$C, AY$2, 'SEANCE 1'!$F:$F, AY$5))</f>
        <v/>
      </c>
      <c r="AZ85" s="32">
        <f t="shared" ca="1" si="1"/>
        <v>0</v>
      </c>
    </row>
    <row r="86" spans="1:52">
      <c r="A86" s="44" t="str">
        <f>IF('SEANCE 1'!$B82&lt;&gt;"",'SEANCE 1'!$A82,"")</f>
        <v/>
      </c>
      <c r="B86" s="44" t="str">
        <f t="array" aca="1" ref="B86" ca="1">IF(ISNA(INDEX(ListeB,MATCH(0,COUNTIF($B$5:B85,ListeB),0))),"",INDEX(ListeB,MATCH(0,COUNTIF($B$5:B85,ListeB),0)))</f>
        <v/>
      </c>
      <c r="C86" s="64" t="str">
        <f ca="1">IF(COUNTIFS('SEANCE 1'!$B:$B, $B86, 'SEANCE 1'!$C:$C, C$2, 'SEANCE 1'!$F:$F, C$5)=0, "", COUNTIFS('SEANCE 1'!$B:$B, $B86, 'SEANCE 1'!$C:$C, C$2, 'SEANCE 1'!$F:$F, C$5))</f>
        <v/>
      </c>
      <c r="D86" s="64" t="str">
        <f ca="1">IF(COUNTIFS('SEANCE 1'!$B:$B, $B86, 'SEANCE 1'!$C:$C, D$2, 'SEANCE 1'!$F:$F, D$5)=0, "", COUNTIFS('SEANCE 1'!$B:$B, $B86, 'SEANCE 1'!$C:$C, D$2, 'SEANCE 1'!$F:$F, D$5))</f>
        <v/>
      </c>
      <c r="E86" s="64" t="str">
        <f ca="1">IF(COUNTIFS('SEANCE 1'!$B:$B, $B86, 'SEANCE 1'!$C:$C, E$2, 'SEANCE 1'!$F:$F, E$5)=0, "", COUNTIFS('SEANCE 1'!$B:$B, $B86, 'SEANCE 1'!$C:$C, E$2, 'SEANCE 1'!$F:$F, E$5))</f>
        <v/>
      </c>
      <c r="F86" s="64" t="str">
        <f ca="1">IF(COUNTIFS('SEANCE 1'!$B:$B, $B86, 'SEANCE 1'!$C:$C, F$2, 'SEANCE 1'!$F:$F, F$5)=0, "", COUNTIFS('SEANCE 1'!$B:$B, $B86, 'SEANCE 1'!$C:$C, F$2, 'SEANCE 1'!$F:$F, F$5))</f>
        <v/>
      </c>
      <c r="G86" s="64" t="str">
        <f ca="1">IF(COUNTIFS('SEANCE 1'!$B:$B, $B86, 'SEANCE 1'!$C:$C, G$2, 'SEANCE 1'!$F:$F, G$5)=0, "", COUNTIFS('SEANCE 1'!$B:$B, $B86, 'SEANCE 1'!$C:$C, G$2, 'SEANCE 1'!$F:$F, G$5))</f>
        <v/>
      </c>
      <c r="H86" s="64" t="str">
        <f ca="1">IF(COUNTIFS('SEANCE 1'!$B:$B, $B86, 'SEANCE 1'!$C:$C, H$2, 'SEANCE 1'!$F:$F, H$5)=0, "", COUNTIFS('SEANCE 1'!$B:$B, $B86, 'SEANCE 1'!$C:$C, H$2, 'SEANCE 1'!$F:$F, H$5))</f>
        <v/>
      </c>
      <c r="I86" s="64" t="str">
        <f ca="1">IF(COUNTIFS('SEANCE 1'!$B:$B, $B86, 'SEANCE 1'!$C:$C, I$2, 'SEANCE 1'!$F:$F, I$5)=0, "", COUNTIFS('SEANCE 1'!$B:$B, $B86, 'SEANCE 1'!$C:$C, I$2, 'SEANCE 1'!$F:$F, I$5))</f>
        <v/>
      </c>
      <c r="J86" s="64" t="str">
        <f ca="1">IF(COUNTIFS('SEANCE 1'!$B:$B, $B86, 'SEANCE 1'!$C:$C, J$2, 'SEANCE 1'!$F:$F, J$5)=0, "", COUNTIFS('SEANCE 1'!$B:$B, $B86, 'SEANCE 1'!$C:$C, J$2, 'SEANCE 1'!$F:$F, J$5))</f>
        <v/>
      </c>
      <c r="K86" s="64" t="str">
        <f ca="1">IF(COUNTIFS('SEANCE 1'!$B:$B, $B86, 'SEANCE 1'!$C:$C, K$2, 'SEANCE 1'!$F:$F, K$5)=0, "", COUNTIFS('SEANCE 1'!$B:$B, $B86, 'SEANCE 1'!$C:$C, K$2, 'SEANCE 1'!$F:$F, K$5))</f>
        <v/>
      </c>
      <c r="L86" s="64" t="str">
        <f ca="1">IF(COUNTIFS('SEANCE 1'!$B:$B, $B86, 'SEANCE 1'!$C:$C, L$2, 'SEANCE 1'!$F:$F, L$5)=0, "", COUNTIFS('SEANCE 1'!$B:$B, $B86, 'SEANCE 1'!$C:$C, L$2, 'SEANCE 1'!$F:$F, L$5))</f>
        <v/>
      </c>
      <c r="M86" s="64" t="str">
        <f ca="1">IF(COUNTIFS('SEANCE 1'!$B:$B, $B86, 'SEANCE 1'!$C:$C, M$2, 'SEANCE 1'!$F:$F, M$5)=0, "", COUNTIFS('SEANCE 1'!$B:$B, $B86, 'SEANCE 1'!$C:$C, M$2, 'SEANCE 1'!$F:$F, M$5))</f>
        <v/>
      </c>
      <c r="N86" s="64" t="str">
        <f ca="1">IF(COUNTIFS('SEANCE 1'!$B:$B, $B86, 'SEANCE 1'!$C:$C, N$2, 'SEANCE 1'!$F:$F, N$5)=0, "", COUNTIFS('SEANCE 1'!$B:$B, $B86, 'SEANCE 1'!$C:$C, N$2, 'SEANCE 1'!$F:$F, N$5))</f>
        <v/>
      </c>
      <c r="O86" s="64" t="str">
        <f ca="1">IF(COUNTIFS('SEANCE 1'!$B:$B, $B86, 'SEANCE 1'!$C:$C, O$2, 'SEANCE 1'!$F:$F, O$5)=0, "", COUNTIFS('SEANCE 1'!$B:$B, $B86, 'SEANCE 1'!$C:$C, O$2, 'SEANCE 1'!$F:$F, O$5))</f>
        <v/>
      </c>
      <c r="P86" s="64" t="str">
        <f ca="1">IF(COUNTIFS('SEANCE 1'!$B:$B, $B86, 'SEANCE 1'!$C:$C, P$2, 'SEANCE 1'!$F:$F, P$5)=0, "", COUNTIFS('SEANCE 1'!$B:$B, $B86, 'SEANCE 1'!$C:$C, P$2, 'SEANCE 1'!$F:$F, P$5))</f>
        <v/>
      </c>
      <c r="Q86" s="64" t="str">
        <f ca="1">IF(COUNTIFS('SEANCE 1'!$B:$B, $B86, 'SEANCE 1'!$C:$C, Q$2, 'SEANCE 1'!$F:$F, Q$5)=0, "", COUNTIFS('SEANCE 1'!$B:$B, $B86, 'SEANCE 1'!$C:$C, Q$2, 'SEANCE 1'!$F:$F, Q$5))</f>
        <v/>
      </c>
      <c r="R86" s="64" t="str">
        <f ca="1">IF(COUNTIFS('SEANCE 1'!$B:$B, $B86, 'SEANCE 1'!$C:$C, R$2, 'SEANCE 1'!$F:$F, R$5)=0, "", COUNTIFS('SEANCE 1'!$B:$B, $B86, 'SEANCE 1'!$C:$C, R$2, 'SEANCE 1'!$F:$F, R$5))</f>
        <v/>
      </c>
      <c r="S86" s="64" t="str">
        <f ca="1">IF(COUNTIFS('SEANCE 1'!$B:$B, $B86, 'SEANCE 1'!$C:$C, S$2, 'SEANCE 1'!$F:$F, S$5)=0, "", COUNTIFS('SEANCE 1'!$B:$B, $B86, 'SEANCE 1'!$C:$C, S$2, 'SEANCE 1'!$F:$F, S$5))</f>
        <v/>
      </c>
      <c r="T86" s="64" t="str">
        <f ca="1">IF(COUNTIFS('SEANCE 1'!$B:$B, $B86, 'SEANCE 1'!$C:$C, T$2, 'SEANCE 1'!$F:$F, T$5)=0, "", COUNTIFS('SEANCE 1'!$B:$B, $B86, 'SEANCE 1'!$C:$C, T$2, 'SEANCE 1'!$F:$F, T$5))</f>
        <v/>
      </c>
      <c r="U86" s="64" t="str">
        <f ca="1">IF(COUNTIFS('SEANCE 1'!$B:$B, $B86, 'SEANCE 1'!$C:$C, U$2, 'SEANCE 1'!$F:$F, U$5)=0, "", COUNTIFS('SEANCE 1'!$B:$B, $B86, 'SEANCE 1'!$C:$C, U$2, 'SEANCE 1'!$F:$F, U$5))</f>
        <v/>
      </c>
      <c r="V86" s="64" t="str">
        <f ca="1">IF(COUNTIFS('SEANCE 1'!$B:$B, $B86, 'SEANCE 1'!$C:$C, V$2, 'SEANCE 1'!$F:$F, V$5)=0, "", COUNTIFS('SEANCE 1'!$B:$B, $B86, 'SEANCE 1'!$C:$C, V$2, 'SEANCE 1'!$F:$F, V$5))</f>
        <v/>
      </c>
      <c r="W86" s="64" t="str">
        <f ca="1">IF(COUNTIFS('SEANCE 1'!$B:$B, $B86, 'SEANCE 1'!$C:$C, W$2, 'SEANCE 1'!$F:$F, W$5)=0, "", COUNTIFS('SEANCE 1'!$B:$B, $B86, 'SEANCE 1'!$C:$C, W$2, 'SEANCE 1'!$F:$F, W$5))</f>
        <v/>
      </c>
      <c r="X86" s="64" t="str">
        <f ca="1">IF(COUNTIFS('SEANCE 1'!$B:$B, $B86, 'SEANCE 1'!$C:$C, X$2, 'SEANCE 1'!$F:$F, X$5)=0, "", COUNTIFS('SEANCE 1'!$B:$B, $B86, 'SEANCE 1'!$C:$C, X$2, 'SEANCE 1'!$F:$F, X$5))</f>
        <v/>
      </c>
      <c r="Y86" s="64" t="str">
        <f ca="1">IF(COUNTIFS('SEANCE 1'!$B:$B, $B86, 'SEANCE 1'!$C:$C, Y$2, 'SEANCE 1'!$F:$F, Y$5)=0, "", COUNTIFS('SEANCE 1'!$B:$B, $B86, 'SEANCE 1'!$C:$C, Y$2, 'SEANCE 1'!$F:$F, Y$5))</f>
        <v/>
      </c>
      <c r="Z86" s="64" t="str">
        <f ca="1">IF(COUNTIFS('SEANCE 1'!$B:$B, $B86, 'SEANCE 1'!$C:$C, Z$2, 'SEANCE 1'!$F:$F, Z$5)=0, "", COUNTIFS('SEANCE 1'!$B:$B, $B86, 'SEANCE 1'!$C:$C, Z$2, 'SEANCE 1'!$F:$F, Z$5))</f>
        <v/>
      </c>
      <c r="AA86" s="64" t="str">
        <f ca="1">IF(COUNTIFS('SEANCE 1'!$B:$B, $B86, 'SEANCE 1'!$C:$C, AA$2, 'SEANCE 1'!$F:$F, AA$5)=0, "", COUNTIFS('SEANCE 1'!$B:$B, $B86, 'SEANCE 1'!$C:$C, AA$2, 'SEANCE 1'!$F:$F, AA$5))</f>
        <v/>
      </c>
      <c r="AB86" s="64" t="str">
        <f ca="1">IF(COUNTIFS('SEANCE 1'!$B:$B, $B86, 'SEANCE 1'!$C:$C, AB$2, 'SEANCE 1'!$F:$F, AB$5)=0, "", COUNTIFS('SEANCE 1'!$B:$B, $B86, 'SEANCE 1'!$C:$C, AB$2, 'SEANCE 1'!$F:$F, AB$5))</f>
        <v/>
      </c>
      <c r="AC86" s="64" t="str">
        <f ca="1">IF(COUNTIFS('SEANCE 1'!$B:$B, $B86, 'SEANCE 1'!$C:$C, AC$2, 'SEANCE 1'!$F:$F, AC$5)=0, "", COUNTIFS('SEANCE 1'!$B:$B, $B86, 'SEANCE 1'!$C:$C, AC$2, 'SEANCE 1'!$F:$F, AC$5))</f>
        <v/>
      </c>
      <c r="AD86" s="64" t="str">
        <f ca="1">IF(COUNTIFS('SEANCE 1'!$B:$B, $B86, 'SEANCE 1'!$C:$C, AD$2, 'SEANCE 1'!$F:$F, AD$5)=0, "", COUNTIFS('SEANCE 1'!$B:$B, $B86, 'SEANCE 1'!$C:$C, AD$2, 'SEANCE 1'!$F:$F, AD$5))</f>
        <v/>
      </c>
      <c r="AE86" s="64" t="str">
        <f ca="1">IF(COUNTIFS('SEANCE 1'!$B:$B, $B86, 'SEANCE 1'!$C:$C, AE$2, 'SEANCE 1'!$F:$F, AE$5)=0, "", COUNTIFS('SEANCE 1'!$B:$B, $B86, 'SEANCE 1'!$C:$C, AE$2, 'SEANCE 1'!$F:$F, AE$5))</f>
        <v/>
      </c>
      <c r="AF86" s="64" t="str">
        <f ca="1">IF(COUNTIFS('SEANCE 1'!$B:$B, $B86, 'SEANCE 1'!$C:$C, AF$2, 'SEANCE 1'!$F:$F, AF$5)=0, "", COUNTIFS('SEANCE 1'!$B:$B, $B86, 'SEANCE 1'!$C:$C, AF$2, 'SEANCE 1'!$F:$F, AF$5))</f>
        <v/>
      </c>
      <c r="AG86" s="64" t="str">
        <f ca="1">IF(COUNTIFS('SEANCE 1'!$B:$B, $B86, 'SEANCE 1'!$C:$C, AG$2, 'SEANCE 1'!$F:$F, AG$5)=0, "", COUNTIFS('SEANCE 1'!$B:$B, $B86, 'SEANCE 1'!$C:$C, AG$2, 'SEANCE 1'!$F:$F, AG$5))</f>
        <v/>
      </c>
      <c r="AH86" s="64" t="str">
        <f ca="1">IF(COUNTIFS('SEANCE 1'!$B:$B, $B86, 'SEANCE 1'!$C:$C, AH$2, 'SEANCE 1'!$F:$F, AH$5)=0, "", COUNTIFS('SEANCE 1'!$B:$B, $B86, 'SEANCE 1'!$C:$C, AH$2, 'SEANCE 1'!$F:$F, AH$5))</f>
        <v/>
      </c>
      <c r="AI86" s="64" t="str">
        <f ca="1">IF(COUNTIFS('SEANCE 1'!$B:$B, $B86, 'SEANCE 1'!$C:$C, AI$2, 'SEANCE 1'!$F:$F, AI$5)=0, "", COUNTIFS('SEANCE 1'!$B:$B, $B86, 'SEANCE 1'!$C:$C, AI$2, 'SEANCE 1'!$F:$F, AI$5))</f>
        <v/>
      </c>
      <c r="AJ86" s="64" t="str">
        <f ca="1">IF(COUNTIFS('SEANCE 1'!$B:$B, $B86, 'SEANCE 1'!$C:$C, AJ$2, 'SEANCE 1'!$F:$F, AJ$5)=0, "", COUNTIFS('SEANCE 1'!$B:$B, $B86, 'SEANCE 1'!$C:$C, AJ$2, 'SEANCE 1'!$F:$F, AJ$5))</f>
        <v/>
      </c>
      <c r="AK86" s="64" t="str">
        <f ca="1">IF(COUNTIFS('SEANCE 1'!$B:$B, $B86, 'SEANCE 1'!$C:$C, AK$2, 'SEANCE 1'!$F:$F, AK$5)=0, "", COUNTIFS('SEANCE 1'!$B:$B, $B86, 'SEANCE 1'!$C:$C, AK$2, 'SEANCE 1'!$F:$F, AK$5))</f>
        <v/>
      </c>
      <c r="AL86" s="64" t="str">
        <f ca="1">IF(COUNTIFS('SEANCE 1'!$B:$B, $B86, 'SEANCE 1'!$C:$C, AL$2, 'SEANCE 1'!$F:$F, AL$5)=0, "", COUNTIFS('SEANCE 1'!$B:$B, $B86, 'SEANCE 1'!$C:$C, AL$2, 'SEANCE 1'!$F:$F, AL$5))</f>
        <v/>
      </c>
      <c r="AM86" s="64" t="str">
        <f ca="1">IF(COUNTIFS('SEANCE 1'!$B:$B, $B86, 'SEANCE 1'!$C:$C, AM$2, 'SEANCE 1'!$F:$F, AM$5)=0, "", COUNTIFS('SEANCE 1'!$B:$B, $B86, 'SEANCE 1'!$C:$C, AM$2, 'SEANCE 1'!$F:$F, AM$5))</f>
        <v/>
      </c>
      <c r="AN86" s="64" t="str">
        <f ca="1">IF(COUNTIFS('SEANCE 1'!$B:$B, $B86, 'SEANCE 1'!$C:$C, AN$2, 'SEANCE 1'!$F:$F, AN$5)=0, "", COUNTIFS('SEANCE 1'!$B:$B, $B86, 'SEANCE 1'!$C:$C, AN$2, 'SEANCE 1'!$F:$F, AN$5))</f>
        <v/>
      </c>
      <c r="AO86" s="64" t="str">
        <f ca="1">IF(COUNTIFS('SEANCE 1'!$B:$B, $B86, 'SEANCE 1'!$C:$C, AO$2, 'SEANCE 1'!$F:$F, AO$5)=0, "", COUNTIFS('SEANCE 1'!$B:$B, $B86, 'SEANCE 1'!$C:$C, AO$2, 'SEANCE 1'!$F:$F, AO$5))</f>
        <v/>
      </c>
      <c r="AP86" s="64" t="str">
        <f ca="1">IF(COUNTIFS('SEANCE 1'!$B:$B, $B86, 'SEANCE 1'!$C:$C, AP$2, 'SEANCE 1'!$F:$F, AP$5)=0, "", COUNTIFS('SEANCE 1'!$B:$B, $B86, 'SEANCE 1'!$C:$C, AP$2, 'SEANCE 1'!$F:$F, AP$5))</f>
        <v/>
      </c>
      <c r="AQ86" s="64" t="str">
        <f ca="1">IF(COUNTIFS('SEANCE 1'!$B:$B, $B86, 'SEANCE 1'!$C:$C, AQ$2, 'SEANCE 1'!$F:$F, AQ$5)=0, "", COUNTIFS('SEANCE 1'!$B:$B, $B86, 'SEANCE 1'!$C:$C, AQ$2, 'SEANCE 1'!$F:$F, AQ$5))</f>
        <v/>
      </c>
      <c r="AR86" s="64" t="str">
        <f ca="1">IF(COUNTIFS('SEANCE 1'!$B:$B, $B86, 'SEANCE 1'!$C:$C, AR$2, 'SEANCE 1'!$F:$F, AR$5)=0, "", COUNTIFS('SEANCE 1'!$B:$B, $B86, 'SEANCE 1'!$C:$C, AR$2, 'SEANCE 1'!$F:$F, AR$5))</f>
        <v/>
      </c>
      <c r="AS86" s="64" t="str">
        <f ca="1">IF(COUNTIFS('SEANCE 1'!$B:$B, $B86, 'SEANCE 1'!$C:$C, AS$2, 'SEANCE 1'!$F:$F, AS$5)=0, "", COUNTIFS('SEANCE 1'!$B:$B, $B86, 'SEANCE 1'!$C:$C, AS$2, 'SEANCE 1'!$F:$F, AS$5))</f>
        <v/>
      </c>
      <c r="AT86" s="64" t="str">
        <f ca="1">IF(COUNTIFS('SEANCE 1'!$B:$B, $B86, 'SEANCE 1'!$C:$C, AT$2, 'SEANCE 1'!$F:$F, AT$5)=0, "", COUNTIFS('SEANCE 1'!$B:$B, $B86, 'SEANCE 1'!$C:$C, AT$2, 'SEANCE 1'!$F:$F, AT$5))</f>
        <v/>
      </c>
      <c r="AU86" s="64" t="str">
        <f ca="1">IF(COUNTIFS('SEANCE 1'!$B:$B, $B86, 'SEANCE 1'!$C:$C, AU$2, 'SEANCE 1'!$F:$F, AU$5)=0, "", COUNTIFS('SEANCE 1'!$B:$B, $B86, 'SEANCE 1'!$C:$C, AU$2, 'SEANCE 1'!$F:$F, AU$5))</f>
        <v/>
      </c>
      <c r="AV86" s="64" t="str">
        <f ca="1">IF(COUNTIFS('SEANCE 1'!$B:$B, $B86, 'SEANCE 1'!$C:$C, AV$2, 'SEANCE 1'!$F:$F, AV$5)=0, "", COUNTIFS('SEANCE 1'!$B:$B, $B86, 'SEANCE 1'!$C:$C, AV$2, 'SEANCE 1'!$F:$F, AV$5))</f>
        <v/>
      </c>
      <c r="AW86" s="64" t="str">
        <f ca="1">IF(COUNTIFS('SEANCE 1'!$B:$B, $B86, 'SEANCE 1'!$C:$C, AW$2, 'SEANCE 1'!$F:$F, AW$5)=0, "", COUNTIFS('SEANCE 1'!$B:$B, $B86, 'SEANCE 1'!$C:$C, AW$2, 'SEANCE 1'!$F:$F, AW$5))</f>
        <v/>
      </c>
      <c r="AX86" s="64" t="str">
        <f ca="1">IF(COUNTIFS('SEANCE 1'!$B:$B, $B86, 'SEANCE 1'!$C:$C, AX$2, 'SEANCE 1'!$F:$F, AX$5)=0, "", COUNTIFS('SEANCE 1'!$B:$B, $B86, 'SEANCE 1'!$C:$C, AX$2, 'SEANCE 1'!$F:$F, AX$5))</f>
        <v/>
      </c>
      <c r="AY86" s="64" t="str">
        <f ca="1">IF(COUNTIFS('SEANCE 1'!$B:$B, $B86, 'SEANCE 1'!$C:$C, AY$2, 'SEANCE 1'!$F:$F, AY$5)=0, "", COUNTIFS('SEANCE 1'!$B:$B, $B86, 'SEANCE 1'!$C:$C, AY$2, 'SEANCE 1'!$F:$F, AY$5))</f>
        <v/>
      </c>
      <c r="AZ86" s="32">
        <f t="shared" ca="1" si="1"/>
        <v>0</v>
      </c>
    </row>
    <row r="87" spans="1:52">
      <c r="A87" s="44" t="str">
        <f>IF('SEANCE 1'!$B83&lt;&gt;"",'SEANCE 1'!$A83,"")</f>
        <v/>
      </c>
      <c r="B87" s="44" t="str">
        <f t="array" aca="1" ref="B87" ca="1">IF(ISNA(INDEX(ListeB,MATCH(0,COUNTIF($B$5:B86,ListeB),0))),"",INDEX(ListeB,MATCH(0,COUNTIF($B$5:B86,ListeB),0)))</f>
        <v/>
      </c>
      <c r="C87" s="64" t="str">
        <f ca="1">IF(COUNTIFS('SEANCE 1'!$B:$B, $B87, 'SEANCE 1'!$C:$C, C$2, 'SEANCE 1'!$F:$F, C$5)=0, "", COUNTIFS('SEANCE 1'!$B:$B, $B87, 'SEANCE 1'!$C:$C, C$2, 'SEANCE 1'!$F:$F, C$5))</f>
        <v/>
      </c>
      <c r="D87" s="64" t="str">
        <f ca="1">IF(COUNTIFS('SEANCE 1'!$B:$B, $B87, 'SEANCE 1'!$C:$C, D$2, 'SEANCE 1'!$F:$F, D$5)=0, "", COUNTIFS('SEANCE 1'!$B:$B, $B87, 'SEANCE 1'!$C:$C, D$2, 'SEANCE 1'!$F:$F, D$5))</f>
        <v/>
      </c>
      <c r="E87" s="64" t="str">
        <f ca="1">IF(COUNTIFS('SEANCE 1'!$B:$B, $B87, 'SEANCE 1'!$C:$C, E$2, 'SEANCE 1'!$F:$F, E$5)=0, "", COUNTIFS('SEANCE 1'!$B:$B, $B87, 'SEANCE 1'!$C:$C, E$2, 'SEANCE 1'!$F:$F, E$5))</f>
        <v/>
      </c>
      <c r="F87" s="64" t="str">
        <f ca="1">IF(COUNTIFS('SEANCE 1'!$B:$B, $B87, 'SEANCE 1'!$C:$C, F$2, 'SEANCE 1'!$F:$F, F$5)=0, "", COUNTIFS('SEANCE 1'!$B:$B, $B87, 'SEANCE 1'!$C:$C, F$2, 'SEANCE 1'!$F:$F, F$5))</f>
        <v/>
      </c>
      <c r="G87" s="64" t="str">
        <f ca="1">IF(COUNTIFS('SEANCE 1'!$B:$B, $B87, 'SEANCE 1'!$C:$C, G$2, 'SEANCE 1'!$F:$F, G$5)=0, "", COUNTIFS('SEANCE 1'!$B:$B, $B87, 'SEANCE 1'!$C:$C, G$2, 'SEANCE 1'!$F:$F, G$5))</f>
        <v/>
      </c>
      <c r="H87" s="64" t="str">
        <f ca="1">IF(COUNTIFS('SEANCE 1'!$B:$B, $B87, 'SEANCE 1'!$C:$C, H$2, 'SEANCE 1'!$F:$F, H$5)=0, "", COUNTIFS('SEANCE 1'!$B:$B, $B87, 'SEANCE 1'!$C:$C, H$2, 'SEANCE 1'!$F:$F, H$5))</f>
        <v/>
      </c>
      <c r="I87" s="64" t="str">
        <f ca="1">IF(COUNTIFS('SEANCE 1'!$B:$B, $B87, 'SEANCE 1'!$C:$C, I$2, 'SEANCE 1'!$F:$F, I$5)=0, "", COUNTIFS('SEANCE 1'!$B:$B, $B87, 'SEANCE 1'!$C:$C, I$2, 'SEANCE 1'!$F:$F, I$5))</f>
        <v/>
      </c>
      <c r="J87" s="64" t="str">
        <f ca="1">IF(COUNTIFS('SEANCE 1'!$B:$B, $B87, 'SEANCE 1'!$C:$C, J$2, 'SEANCE 1'!$F:$F, J$5)=0, "", COUNTIFS('SEANCE 1'!$B:$B, $B87, 'SEANCE 1'!$C:$C, J$2, 'SEANCE 1'!$F:$F, J$5))</f>
        <v/>
      </c>
      <c r="K87" s="64" t="str">
        <f ca="1">IF(COUNTIFS('SEANCE 1'!$B:$B, $B87, 'SEANCE 1'!$C:$C, K$2, 'SEANCE 1'!$F:$F, K$5)=0, "", COUNTIFS('SEANCE 1'!$B:$B, $B87, 'SEANCE 1'!$C:$C, K$2, 'SEANCE 1'!$F:$F, K$5))</f>
        <v/>
      </c>
      <c r="L87" s="64" t="str">
        <f ca="1">IF(COUNTIFS('SEANCE 1'!$B:$B, $B87, 'SEANCE 1'!$C:$C, L$2, 'SEANCE 1'!$F:$F, L$5)=0, "", COUNTIFS('SEANCE 1'!$B:$B, $B87, 'SEANCE 1'!$C:$C, L$2, 'SEANCE 1'!$F:$F, L$5))</f>
        <v/>
      </c>
      <c r="M87" s="64" t="str">
        <f ca="1">IF(COUNTIFS('SEANCE 1'!$B:$B, $B87, 'SEANCE 1'!$C:$C, M$2, 'SEANCE 1'!$F:$F, M$5)=0, "", COUNTIFS('SEANCE 1'!$B:$B, $B87, 'SEANCE 1'!$C:$C, M$2, 'SEANCE 1'!$F:$F, M$5))</f>
        <v/>
      </c>
      <c r="N87" s="64" t="str">
        <f ca="1">IF(COUNTIFS('SEANCE 1'!$B:$B, $B87, 'SEANCE 1'!$C:$C, N$2, 'SEANCE 1'!$F:$F, N$5)=0, "", COUNTIFS('SEANCE 1'!$B:$B, $B87, 'SEANCE 1'!$C:$C, N$2, 'SEANCE 1'!$F:$F, N$5))</f>
        <v/>
      </c>
      <c r="O87" s="64" t="str">
        <f ca="1">IF(COUNTIFS('SEANCE 1'!$B:$B, $B87, 'SEANCE 1'!$C:$C, O$2, 'SEANCE 1'!$F:$F, O$5)=0, "", COUNTIFS('SEANCE 1'!$B:$B, $B87, 'SEANCE 1'!$C:$C, O$2, 'SEANCE 1'!$F:$F, O$5))</f>
        <v/>
      </c>
      <c r="P87" s="64" t="str">
        <f ca="1">IF(COUNTIFS('SEANCE 1'!$B:$B, $B87, 'SEANCE 1'!$C:$C, P$2, 'SEANCE 1'!$F:$F, P$5)=0, "", COUNTIFS('SEANCE 1'!$B:$B, $B87, 'SEANCE 1'!$C:$C, P$2, 'SEANCE 1'!$F:$F, P$5))</f>
        <v/>
      </c>
      <c r="Q87" s="64" t="str">
        <f ca="1">IF(COUNTIFS('SEANCE 1'!$B:$B, $B87, 'SEANCE 1'!$C:$C, Q$2, 'SEANCE 1'!$F:$F, Q$5)=0, "", COUNTIFS('SEANCE 1'!$B:$B, $B87, 'SEANCE 1'!$C:$C, Q$2, 'SEANCE 1'!$F:$F, Q$5))</f>
        <v/>
      </c>
      <c r="R87" s="64" t="str">
        <f ca="1">IF(COUNTIFS('SEANCE 1'!$B:$B, $B87, 'SEANCE 1'!$C:$C, R$2, 'SEANCE 1'!$F:$F, R$5)=0, "", COUNTIFS('SEANCE 1'!$B:$B, $B87, 'SEANCE 1'!$C:$C, R$2, 'SEANCE 1'!$F:$F, R$5))</f>
        <v/>
      </c>
      <c r="S87" s="64" t="str">
        <f ca="1">IF(COUNTIFS('SEANCE 1'!$B:$B, $B87, 'SEANCE 1'!$C:$C, S$2, 'SEANCE 1'!$F:$F, S$5)=0, "", COUNTIFS('SEANCE 1'!$B:$B, $B87, 'SEANCE 1'!$C:$C, S$2, 'SEANCE 1'!$F:$F, S$5))</f>
        <v/>
      </c>
      <c r="T87" s="64" t="str">
        <f ca="1">IF(COUNTIFS('SEANCE 1'!$B:$B, $B87, 'SEANCE 1'!$C:$C, T$2, 'SEANCE 1'!$F:$F, T$5)=0, "", COUNTIFS('SEANCE 1'!$B:$B, $B87, 'SEANCE 1'!$C:$C, T$2, 'SEANCE 1'!$F:$F, T$5))</f>
        <v/>
      </c>
      <c r="U87" s="64" t="str">
        <f ca="1">IF(COUNTIFS('SEANCE 1'!$B:$B, $B87, 'SEANCE 1'!$C:$C, U$2, 'SEANCE 1'!$F:$F, U$5)=0, "", COUNTIFS('SEANCE 1'!$B:$B, $B87, 'SEANCE 1'!$C:$C, U$2, 'SEANCE 1'!$F:$F, U$5))</f>
        <v/>
      </c>
      <c r="V87" s="64" t="str">
        <f ca="1">IF(COUNTIFS('SEANCE 1'!$B:$B, $B87, 'SEANCE 1'!$C:$C, V$2, 'SEANCE 1'!$F:$F, V$5)=0, "", COUNTIFS('SEANCE 1'!$B:$B, $B87, 'SEANCE 1'!$C:$C, V$2, 'SEANCE 1'!$F:$F, V$5))</f>
        <v/>
      </c>
      <c r="W87" s="64" t="str">
        <f ca="1">IF(COUNTIFS('SEANCE 1'!$B:$B, $B87, 'SEANCE 1'!$C:$C, W$2, 'SEANCE 1'!$F:$F, W$5)=0, "", COUNTIFS('SEANCE 1'!$B:$B, $B87, 'SEANCE 1'!$C:$C, W$2, 'SEANCE 1'!$F:$F, W$5))</f>
        <v/>
      </c>
      <c r="X87" s="64" t="str">
        <f ca="1">IF(COUNTIFS('SEANCE 1'!$B:$B, $B87, 'SEANCE 1'!$C:$C, X$2, 'SEANCE 1'!$F:$F, X$5)=0, "", COUNTIFS('SEANCE 1'!$B:$B, $B87, 'SEANCE 1'!$C:$C, X$2, 'SEANCE 1'!$F:$F, X$5))</f>
        <v/>
      </c>
      <c r="Y87" s="64" t="str">
        <f ca="1">IF(COUNTIFS('SEANCE 1'!$B:$B, $B87, 'SEANCE 1'!$C:$C, Y$2, 'SEANCE 1'!$F:$F, Y$5)=0, "", COUNTIFS('SEANCE 1'!$B:$B, $B87, 'SEANCE 1'!$C:$C, Y$2, 'SEANCE 1'!$F:$F, Y$5))</f>
        <v/>
      </c>
      <c r="Z87" s="64" t="str">
        <f ca="1">IF(COUNTIFS('SEANCE 1'!$B:$B, $B87, 'SEANCE 1'!$C:$C, Z$2, 'SEANCE 1'!$F:$F, Z$5)=0, "", COUNTIFS('SEANCE 1'!$B:$B, $B87, 'SEANCE 1'!$C:$C, Z$2, 'SEANCE 1'!$F:$F, Z$5))</f>
        <v/>
      </c>
      <c r="AA87" s="64" t="str">
        <f ca="1">IF(COUNTIFS('SEANCE 1'!$B:$B, $B87, 'SEANCE 1'!$C:$C, AA$2, 'SEANCE 1'!$F:$F, AA$5)=0, "", COUNTIFS('SEANCE 1'!$B:$B, $B87, 'SEANCE 1'!$C:$C, AA$2, 'SEANCE 1'!$F:$F, AA$5))</f>
        <v/>
      </c>
      <c r="AB87" s="64" t="str">
        <f ca="1">IF(COUNTIFS('SEANCE 1'!$B:$B, $B87, 'SEANCE 1'!$C:$C, AB$2, 'SEANCE 1'!$F:$F, AB$5)=0, "", COUNTIFS('SEANCE 1'!$B:$B, $B87, 'SEANCE 1'!$C:$C, AB$2, 'SEANCE 1'!$F:$F, AB$5))</f>
        <v/>
      </c>
      <c r="AC87" s="64" t="str">
        <f ca="1">IF(COUNTIFS('SEANCE 1'!$B:$B, $B87, 'SEANCE 1'!$C:$C, AC$2, 'SEANCE 1'!$F:$F, AC$5)=0, "", COUNTIFS('SEANCE 1'!$B:$B, $B87, 'SEANCE 1'!$C:$C, AC$2, 'SEANCE 1'!$F:$F, AC$5))</f>
        <v/>
      </c>
      <c r="AD87" s="64" t="str">
        <f ca="1">IF(COUNTIFS('SEANCE 1'!$B:$B, $B87, 'SEANCE 1'!$C:$C, AD$2, 'SEANCE 1'!$F:$F, AD$5)=0, "", COUNTIFS('SEANCE 1'!$B:$B, $B87, 'SEANCE 1'!$C:$C, AD$2, 'SEANCE 1'!$F:$F, AD$5))</f>
        <v/>
      </c>
      <c r="AE87" s="64" t="str">
        <f ca="1">IF(COUNTIFS('SEANCE 1'!$B:$B, $B87, 'SEANCE 1'!$C:$C, AE$2, 'SEANCE 1'!$F:$F, AE$5)=0, "", COUNTIFS('SEANCE 1'!$B:$B, $B87, 'SEANCE 1'!$C:$C, AE$2, 'SEANCE 1'!$F:$F, AE$5))</f>
        <v/>
      </c>
      <c r="AF87" s="64" t="str">
        <f ca="1">IF(COUNTIFS('SEANCE 1'!$B:$B, $B87, 'SEANCE 1'!$C:$C, AF$2, 'SEANCE 1'!$F:$F, AF$5)=0, "", COUNTIFS('SEANCE 1'!$B:$B, $B87, 'SEANCE 1'!$C:$C, AF$2, 'SEANCE 1'!$F:$F, AF$5))</f>
        <v/>
      </c>
      <c r="AG87" s="64" t="str">
        <f ca="1">IF(COUNTIFS('SEANCE 1'!$B:$B, $B87, 'SEANCE 1'!$C:$C, AG$2, 'SEANCE 1'!$F:$F, AG$5)=0, "", COUNTIFS('SEANCE 1'!$B:$B, $B87, 'SEANCE 1'!$C:$C, AG$2, 'SEANCE 1'!$F:$F, AG$5))</f>
        <v/>
      </c>
      <c r="AH87" s="64" t="str">
        <f ca="1">IF(COUNTIFS('SEANCE 1'!$B:$B, $B87, 'SEANCE 1'!$C:$C, AH$2, 'SEANCE 1'!$F:$F, AH$5)=0, "", COUNTIFS('SEANCE 1'!$B:$B, $B87, 'SEANCE 1'!$C:$C, AH$2, 'SEANCE 1'!$F:$F, AH$5))</f>
        <v/>
      </c>
      <c r="AI87" s="64" t="str">
        <f ca="1">IF(COUNTIFS('SEANCE 1'!$B:$B, $B87, 'SEANCE 1'!$C:$C, AI$2, 'SEANCE 1'!$F:$F, AI$5)=0, "", COUNTIFS('SEANCE 1'!$B:$B, $B87, 'SEANCE 1'!$C:$C, AI$2, 'SEANCE 1'!$F:$F, AI$5))</f>
        <v/>
      </c>
      <c r="AJ87" s="64" t="str">
        <f ca="1">IF(COUNTIFS('SEANCE 1'!$B:$B, $B87, 'SEANCE 1'!$C:$C, AJ$2, 'SEANCE 1'!$F:$F, AJ$5)=0, "", COUNTIFS('SEANCE 1'!$B:$B, $B87, 'SEANCE 1'!$C:$C, AJ$2, 'SEANCE 1'!$F:$F, AJ$5))</f>
        <v/>
      </c>
      <c r="AK87" s="64" t="str">
        <f ca="1">IF(COUNTIFS('SEANCE 1'!$B:$B, $B87, 'SEANCE 1'!$C:$C, AK$2, 'SEANCE 1'!$F:$F, AK$5)=0, "", COUNTIFS('SEANCE 1'!$B:$B, $B87, 'SEANCE 1'!$C:$C, AK$2, 'SEANCE 1'!$F:$F, AK$5))</f>
        <v/>
      </c>
      <c r="AL87" s="64" t="str">
        <f ca="1">IF(COUNTIFS('SEANCE 1'!$B:$B, $B87, 'SEANCE 1'!$C:$C, AL$2, 'SEANCE 1'!$F:$F, AL$5)=0, "", COUNTIFS('SEANCE 1'!$B:$B, $B87, 'SEANCE 1'!$C:$C, AL$2, 'SEANCE 1'!$F:$F, AL$5))</f>
        <v/>
      </c>
      <c r="AM87" s="64" t="str">
        <f ca="1">IF(COUNTIFS('SEANCE 1'!$B:$B, $B87, 'SEANCE 1'!$C:$C, AM$2, 'SEANCE 1'!$F:$F, AM$5)=0, "", COUNTIFS('SEANCE 1'!$B:$B, $B87, 'SEANCE 1'!$C:$C, AM$2, 'SEANCE 1'!$F:$F, AM$5))</f>
        <v/>
      </c>
      <c r="AN87" s="64" t="str">
        <f ca="1">IF(COUNTIFS('SEANCE 1'!$B:$B, $B87, 'SEANCE 1'!$C:$C, AN$2, 'SEANCE 1'!$F:$F, AN$5)=0, "", COUNTIFS('SEANCE 1'!$B:$B, $B87, 'SEANCE 1'!$C:$C, AN$2, 'SEANCE 1'!$F:$F, AN$5))</f>
        <v/>
      </c>
      <c r="AO87" s="64" t="str">
        <f ca="1">IF(COUNTIFS('SEANCE 1'!$B:$B, $B87, 'SEANCE 1'!$C:$C, AO$2, 'SEANCE 1'!$F:$F, AO$5)=0, "", COUNTIFS('SEANCE 1'!$B:$B, $B87, 'SEANCE 1'!$C:$C, AO$2, 'SEANCE 1'!$F:$F, AO$5))</f>
        <v/>
      </c>
      <c r="AP87" s="64" t="str">
        <f ca="1">IF(COUNTIFS('SEANCE 1'!$B:$B, $B87, 'SEANCE 1'!$C:$C, AP$2, 'SEANCE 1'!$F:$F, AP$5)=0, "", COUNTIFS('SEANCE 1'!$B:$B, $B87, 'SEANCE 1'!$C:$C, AP$2, 'SEANCE 1'!$F:$F, AP$5))</f>
        <v/>
      </c>
      <c r="AQ87" s="64" t="str">
        <f ca="1">IF(COUNTIFS('SEANCE 1'!$B:$B, $B87, 'SEANCE 1'!$C:$C, AQ$2, 'SEANCE 1'!$F:$F, AQ$5)=0, "", COUNTIFS('SEANCE 1'!$B:$B, $B87, 'SEANCE 1'!$C:$C, AQ$2, 'SEANCE 1'!$F:$F, AQ$5))</f>
        <v/>
      </c>
      <c r="AR87" s="64" t="str">
        <f ca="1">IF(COUNTIFS('SEANCE 1'!$B:$B, $B87, 'SEANCE 1'!$C:$C, AR$2, 'SEANCE 1'!$F:$F, AR$5)=0, "", COUNTIFS('SEANCE 1'!$B:$B, $B87, 'SEANCE 1'!$C:$C, AR$2, 'SEANCE 1'!$F:$F, AR$5))</f>
        <v/>
      </c>
      <c r="AS87" s="64" t="str">
        <f ca="1">IF(COUNTIFS('SEANCE 1'!$B:$B, $B87, 'SEANCE 1'!$C:$C, AS$2, 'SEANCE 1'!$F:$F, AS$5)=0, "", COUNTIFS('SEANCE 1'!$B:$B, $B87, 'SEANCE 1'!$C:$C, AS$2, 'SEANCE 1'!$F:$F, AS$5))</f>
        <v/>
      </c>
      <c r="AT87" s="64" t="str">
        <f ca="1">IF(COUNTIFS('SEANCE 1'!$B:$B, $B87, 'SEANCE 1'!$C:$C, AT$2, 'SEANCE 1'!$F:$F, AT$5)=0, "", COUNTIFS('SEANCE 1'!$B:$B, $B87, 'SEANCE 1'!$C:$C, AT$2, 'SEANCE 1'!$F:$F, AT$5))</f>
        <v/>
      </c>
      <c r="AU87" s="64" t="str">
        <f ca="1">IF(COUNTIFS('SEANCE 1'!$B:$B, $B87, 'SEANCE 1'!$C:$C, AU$2, 'SEANCE 1'!$F:$F, AU$5)=0, "", COUNTIFS('SEANCE 1'!$B:$B, $B87, 'SEANCE 1'!$C:$C, AU$2, 'SEANCE 1'!$F:$F, AU$5))</f>
        <v/>
      </c>
      <c r="AV87" s="64" t="str">
        <f ca="1">IF(COUNTIFS('SEANCE 1'!$B:$B, $B87, 'SEANCE 1'!$C:$C, AV$2, 'SEANCE 1'!$F:$F, AV$5)=0, "", COUNTIFS('SEANCE 1'!$B:$B, $B87, 'SEANCE 1'!$C:$C, AV$2, 'SEANCE 1'!$F:$F, AV$5))</f>
        <v/>
      </c>
      <c r="AW87" s="64" t="str">
        <f ca="1">IF(COUNTIFS('SEANCE 1'!$B:$B, $B87, 'SEANCE 1'!$C:$C, AW$2, 'SEANCE 1'!$F:$F, AW$5)=0, "", COUNTIFS('SEANCE 1'!$B:$B, $B87, 'SEANCE 1'!$C:$C, AW$2, 'SEANCE 1'!$F:$F, AW$5))</f>
        <v/>
      </c>
      <c r="AX87" s="64" t="str">
        <f ca="1">IF(COUNTIFS('SEANCE 1'!$B:$B, $B87, 'SEANCE 1'!$C:$C, AX$2, 'SEANCE 1'!$F:$F, AX$5)=0, "", COUNTIFS('SEANCE 1'!$B:$B, $B87, 'SEANCE 1'!$C:$C, AX$2, 'SEANCE 1'!$F:$F, AX$5))</f>
        <v/>
      </c>
      <c r="AY87" s="64" t="str">
        <f ca="1">IF(COUNTIFS('SEANCE 1'!$B:$B, $B87, 'SEANCE 1'!$C:$C, AY$2, 'SEANCE 1'!$F:$F, AY$5)=0, "", COUNTIFS('SEANCE 1'!$B:$B, $B87, 'SEANCE 1'!$C:$C, AY$2, 'SEANCE 1'!$F:$F, AY$5))</f>
        <v/>
      </c>
      <c r="AZ87" s="32">
        <f t="shared" ca="1" si="1"/>
        <v>0</v>
      </c>
    </row>
    <row r="88" spans="1:52">
      <c r="A88" s="44" t="str">
        <f>IF('SEANCE 1'!$B84&lt;&gt;"",'SEANCE 1'!$A84,"")</f>
        <v/>
      </c>
      <c r="B88" s="44" t="str">
        <f t="array" aca="1" ref="B88" ca="1">IF(ISNA(INDEX(ListeB,MATCH(0,COUNTIF($B$5:B87,ListeB),0))),"",INDEX(ListeB,MATCH(0,COUNTIF($B$5:B87,ListeB),0)))</f>
        <v/>
      </c>
      <c r="C88" s="64" t="str">
        <f ca="1">IF(COUNTIFS('SEANCE 1'!$B:$B, $B88, 'SEANCE 1'!$C:$C, C$2, 'SEANCE 1'!$F:$F, C$5)=0, "", COUNTIFS('SEANCE 1'!$B:$B, $B88, 'SEANCE 1'!$C:$C, C$2, 'SEANCE 1'!$F:$F, C$5))</f>
        <v/>
      </c>
      <c r="D88" s="64" t="str">
        <f ca="1">IF(COUNTIFS('SEANCE 1'!$B:$B, $B88, 'SEANCE 1'!$C:$C, D$2, 'SEANCE 1'!$F:$F, D$5)=0, "", COUNTIFS('SEANCE 1'!$B:$B, $B88, 'SEANCE 1'!$C:$C, D$2, 'SEANCE 1'!$F:$F, D$5))</f>
        <v/>
      </c>
      <c r="E88" s="64" t="str">
        <f ca="1">IF(COUNTIFS('SEANCE 1'!$B:$B, $B88, 'SEANCE 1'!$C:$C, E$2, 'SEANCE 1'!$F:$F, E$5)=0, "", COUNTIFS('SEANCE 1'!$B:$B, $B88, 'SEANCE 1'!$C:$C, E$2, 'SEANCE 1'!$F:$F, E$5))</f>
        <v/>
      </c>
      <c r="F88" s="64" t="str">
        <f ca="1">IF(COUNTIFS('SEANCE 1'!$B:$B, $B88, 'SEANCE 1'!$C:$C, F$2, 'SEANCE 1'!$F:$F, F$5)=0, "", COUNTIFS('SEANCE 1'!$B:$B, $B88, 'SEANCE 1'!$C:$C, F$2, 'SEANCE 1'!$F:$F, F$5))</f>
        <v/>
      </c>
      <c r="G88" s="64" t="str">
        <f ca="1">IF(COUNTIFS('SEANCE 1'!$B:$B, $B88, 'SEANCE 1'!$C:$C, G$2, 'SEANCE 1'!$F:$F, G$5)=0, "", COUNTIFS('SEANCE 1'!$B:$B, $B88, 'SEANCE 1'!$C:$C, G$2, 'SEANCE 1'!$F:$F, G$5))</f>
        <v/>
      </c>
      <c r="H88" s="64" t="str">
        <f ca="1">IF(COUNTIFS('SEANCE 1'!$B:$B, $B88, 'SEANCE 1'!$C:$C, H$2, 'SEANCE 1'!$F:$F, H$5)=0, "", COUNTIFS('SEANCE 1'!$B:$B, $B88, 'SEANCE 1'!$C:$C, H$2, 'SEANCE 1'!$F:$F, H$5))</f>
        <v/>
      </c>
      <c r="I88" s="64" t="str">
        <f ca="1">IF(COUNTIFS('SEANCE 1'!$B:$B, $B88, 'SEANCE 1'!$C:$C, I$2, 'SEANCE 1'!$F:$F, I$5)=0, "", COUNTIFS('SEANCE 1'!$B:$B, $B88, 'SEANCE 1'!$C:$C, I$2, 'SEANCE 1'!$F:$F, I$5))</f>
        <v/>
      </c>
      <c r="J88" s="64" t="str">
        <f ca="1">IF(COUNTIFS('SEANCE 1'!$B:$B, $B88, 'SEANCE 1'!$C:$C, J$2, 'SEANCE 1'!$F:$F, J$5)=0, "", COUNTIFS('SEANCE 1'!$B:$B, $B88, 'SEANCE 1'!$C:$C, J$2, 'SEANCE 1'!$F:$F, J$5))</f>
        <v/>
      </c>
      <c r="K88" s="64" t="str">
        <f ca="1">IF(COUNTIFS('SEANCE 1'!$B:$B, $B88, 'SEANCE 1'!$C:$C, K$2, 'SEANCE 1'!$F:$F, K$5)=0, "", COUNTIFS('SEANCE 1'!$B:$B, $B88, 'SEANCE 1'!$C:$C, K$2, 'SEANCE 1'!$F:$F, K$5))</f>
        <v/>
      </c>
      <c r="L88" s="64" t="str">
        <f ca="1">IF(COUNTIFS('SEANCE 1'!$B:$B, $B88, 'SEANCE 1'!$C:$C, L$2, 'SEANCE 1'!$F:$F, L$5)=0, "", COUNTIFS('SEANCE 1'!$B:$B, $B88, 'SEANCE 1'!$C:$C, L$2, 'SEANCE 1'!$F:$F, L$5))</f>
        <v/>
      </c>
      <c r="M88" s="64" t="str">
        <f ca="1">IF(COUNTIFS('SEANCE 1'!$B:$B, $B88, 'SEANCE 1'!$C:$C, M$2, 'SEANCE 1'!$F:$F, M$5)=0, "", COUNTIFS('SEANCE 1'!$B:$B, $B88, 'SEANCE 1'!$C:$C, M$2, 'SEANCE 1'!$F:$F, M$5))</f>
        <v/>
      </c>
      <c r="N88" s="64" t="str">
        <f ca="1">IF(COUNTIFS('SEANCE 1'!$B:$B, $B88, 'SEANCE 1'!$C:$C, N$2, 'SEANCE 1'!$F:$F, N$5)=0, "", COUNTIFS('SEANCE 1'!$B:$B, $B88, 'SEANCE 1'!$C:$C, N$2, 'SEANCE 1'!$F:$F, N$5))</f>
        <v/>
      </c>
      <c r="O88" s="64" t="str">
        <f ca="1">IF(COUNTIFS('SEANCE 1'!$B:$B, $B88, 'SEANCE 1'!$C:$C, O$2, 'SEANCE 1'!$F:$F, O$5)=0, "", COUNTIFS('SEANCE 1'!$B:$B, $B88, 'SEANCE 1'!$C:$C, O$2, 'SEANCE 1'!$F:$F, O$5))</f>
        <v/>
      </c>
      <c r="P88" s="64" t="str">
        <f ca="1">IF(COUNTIFS('SEANCE 1'!$B:$B, $B88, 'SEANCE 1'!$C:$C, P$2, 'SEANCE 1'!$F:$F, P$5)=0, "", COUNTIFS('SEANCE 1'!$B:$B, $B88, 'SEANCE 1'!$C:$C, P$2, 'SEANCE 1'!$F:$F, P$5))</f>
        <v/>
      </c>
      <c r="Q88" s="64" t="str">
        <f ca="1">IF(COUNTIFS('SEANCE 1'!$B:$B, $B88, 'SEANCE 1'!$C:$C, Q$2, 'SEANCE 1'!$F:$F, Q$5)=0, "", COUNTIFS('SEANCE 1'!$B:$B, $B88, 'SEANCE 1'!$C:$C, Q$2, 'SEANCE 1'!$F:$F, Q$5))</f>
        <v/>
      </c>
      <c r="R88" s="64" t="str">
        <f ca="1">IF(COUNTIFS('SEANCE 1'!$B:$B, $B88, 'SEANCE 1'!$C:$C, R$2, 'SEANCE 1'!$F:$F, R$5)=0, "", COUNTIFS('SEANCE 1'!$B:$B, $B88, 'SEANCE 1'!$C:$C, R$2, 'SEANCE 1'!$F:$F, R$5))</f>
        <v/>
      </c>
      <c r="S88" s="64" t="str">
        <f ca="1">IF(COUNTIFS('SEANCE 1'!$B:$B, $B88, 'SEANCE 1'!$C:$C, S$2, 'SEANCE 1'!$F:$F, S$5)=0, "", COUNTIFS('SEANCE 1'!$B:$B, $B88, 'SEANCE 1'!$C:$C, S$2, 'SEANCE 1'!$F:$F, S$5))</f>
        <v/>
      </c>
      <c r="T88" s="64" t="str">
        <f ca="1">IF(COUNTIFS('SEANCE 1'!$B:$B, $B88, 'SEANCE 1'!$C:$C, T$2, 'SEANCE 1'!$F:$F, T$5)=0, "", COUNTIFS('SEANCE 1'!$B:$B, $B88, 'SEANCE 1'!$C:$C, T$2, 'SEANCE 1'!$F:$F, T$5))</f>
        <v/>
      </c>
      <c r="U88" s="64" t="str">
        <f ca="1">IF(COUNTIFS('SEANCE 1'!$B:$B, $B88, 'SEANCE 1'!$C:$C, U$2, 'SEANCE 1'!$F:$F, U$5)=0, "", COUNTIFS('SEANCE 1'!$B:$B, $B88, 'SEANCE 1'!$C:$C, U$2, 'SEANCE 1'!$F:$F, U$5))</f>
        <v/>
      </c>
      <c r="V88" s="64" t="str">
        <f ca="1">IF(COUNTIFS('SEANCE 1'!$B:$B, $B88, 'SEANCE 1'!$C:$C, V$2, 'SEANCE 1'!$F:$F, V$5)=0, "", COUNTIFS('SEANCE 1'!$B:$B, $B88, 'SEANCE 1'!$C:$C, V$2, 'SEANCE 1'!$F:$F, V$5))</f>
        <v/>
      </c>
      <c r="W88" s="64" t="str">
        <f ca="1">IF(COUNTIFS('SEANCE 1'!$B:$B, $B88, 'SEANCE 1'!$C:$C, W$2, 'SEANCE 1'!$F:$F, W$5)=0, "", COUNTIFS('SEANCE 1'!$B:$B, $B88, 'SEANCE 1'!$C:$C, W$2, 'SEANCE 1'!$F:$F, W$5))</f>
        <v/>
      </c>
      <c r="X88" s="64" t="str">
        <f ca="1">IF(COUNTIFS('SEANCE 1'!$B:$B, $B88, 'SEANCE 1'!$C:$C, X$2, 'SEANCE 1'!$F:$F, X$5)=0, "", COUNTIFS('SEANCE 1'!$B:$B, $B88, 'SEANCE 1'!$C:$C, X$2, 'SEANCE 1'!$F:$F, X$5))</f>
        <v/>
      </c>
      <c r="Y88" s="64" t="str">
        <f ca="1">IF(COUNTIFS('SEANCE 1'!$B:$B, $B88, 'SEANCE 1'!$C:$C, Y$2, 'SEANCE 1'!$F:$F, Y$5)=0, "", COUNTIFS('SEANCE 1'!$B:$B, $B88, 'SEANCE 1'!$C:$C, Y$2, 'SEANCE 1'!$F:$F, Y$5))</f>
        <v/>
      </c>
      <c r="Z88" s="64" t="str">
        <f ca="1">IF(COUNTIFS('SEANCE 1'!$B:$B, $B88, 'SEANCE 1'!$C:$C, Z$2, 'SEANCE 1'!$F:$F, Z$5)=0, "", COUNTIFS('SEANCE 1'!$B:$B, $B88, 'SEANCE 1'!$C:$C, Z$2, 'SEANCE 1'!$F:$F, Z$5))</f>
        <v/>
      </c>
      <c r="AA88" s="64" t="str">
        <f ca="1">IF(COUNTIFS('SEANCE 1'!$B:$B, $B88, 'SEANCE 1'!$C:$C, AA$2, 'SEANCE 1'!$F:$F, AA$5)=0, "", COUNTIFS('SEANCE 1'!$B:$B, $B88, 'SEANCE 1'!$C:$C, AA$2, 'SEANCE 1'!$F:$F, AA$5))</f>
        <v/>
      </c>
      <c r="AB88" s="64" t="str">
        <f ca="1">IF(COUNTIFS('SEANCE 1'!$B:$B, $B88, 'SEANCE 1'!$C:$C, AB$2, 'SEANCE 1'!$F:$F, AB$5)=0, "", COUNTIFS('SEANCE 1'!$B:$B, $B88, 'SEANCE 1'!$C:$C, AB$2, 'SEANCE 1'!$F:$F, AB$5))</f>
        <v/>
      </c>
      <c r="AC88" s="64" t="str">
        <f ca="1">IF(COUNTIFS('SEANCE 1'!$B:$B, $B88, 'SEANCE 1'!$C:$C, AC$2, 'SEANCE 1'!$F:$F, AC$5)=0, "", COUNTIFS('SEANCE 1'!$B:$B, $B88, 'SEANCE 1'!$C:$C, AC$2, 'SEANCE 1'!$F:$F, AC$5))</f>
        <v/>
      </c>
      <c r="AD88" s="64" t="str">
        <f ca="1">IF(COUNTIFS('SEANCE 1'!$B:$B, $B88, 'SEANCE 1'!$C:$C, AD$2, 'SEANCE 1'!$F:$F, AD$5)=0, "", COUNTIFS('SEANCE 1'!$B:$B, $B88, 'SEANCE 1'!$C:$C, AD$2, 'SEANCE 1'!$F:$F, AD$5))</f>
        <v/>
      </c>
      <c r="AE88" s="64" t="str">
        <f ca="1">IF(COUNTIFS('SEANCE 1'!$B:$B, $B88, 'SEANCE 1'!$C:$C, AE$2, 'SEANCE 1'!$F:$F, AE$5)=0, "", COUNTIFS('SEANCE 1'!$B:$B, $B88, 'SEANCE 1'!$C:$C, AE$2, 'SEANCE 1'!$F:$F, AE$5))</f>
        <v/>
      </c>
      <c r="AF88" s="64" t="str">
        <f ca="1">IF(COUNTIFS('SEANCE 1'!$B:$B, $B88, 'SEANCE 1'!$C:$C, AF$2, 'SEANCE 1'!$F:$F, AF$5)=0, "", COUNTIFS('SEANCE 1'!$B:$B, $B88, 'SEANCE 1'!$C:$C, AF$2, 'SEANCE 1'!$F:$F, AF$5))</f>
        <v/>
      </c>
      <c r="AG88" s="64" t="str">
        <f ca="1">IF(COUNTIFS('SEANCE 1'!$B:$B, $B88, 'SEANCE 1'!$C:$C, AG$2, 'SEANCE 1'!$F:$F, AG$5)=0, "", COUNTIFS('SEANCE 1'!$B:$B, $B88, 'SEANCE 1'!$C:$C, AG$2, 'SEANCE 1'!$F:$F, AG$5))</f>
        <v/>
      </c>
      <c r="AH88" s="64" t="str">
        <f ca="1">IF(COUNTIFS('SEANCE 1'!$B:$B, $B88, 'SEANCE 1'!$C:$C, AH$2, 'SEANCE 1'!$F:$F, AH$5)=0, "", COUNTIFS('SEANCE 1'!$B:$B, $B88, 'SEANCE 1'!$C:$C, AH$2, 'SEANCE 1'!$F:$F, AH$5))</f>
        <v/>
      </c>
      <c r="AI88" s="64" t="str">
        <f ca="1">IF(COUNTIFS('SEANCE 1'!$B:$B, $B88, 'SEANCE 1'!$C:$C, AI$2, 'SEANCE 1'!$F:$F, AI$5)=0, "", COUNTIFS('SEANCE 1'!$B:$B, $B88, 'SEANCE 1'!$C:$C, AI$2, 'SEANCE 1'!$F:$F, AI$5))</f>
        <v/>
      </c>
      <c r="AJ88" s="64" t="str">
        <f ca="1">IF(COUNTIFS('SEANCE 1'!$B:$B, $B88, 'SEANCE 1'!$C:$C, AJ$2, 'SEANCE 1'!$F:$F, AJ$5)=0, "", COUNTIFS('SEANCE 1'!$B:$B, $B88, 'SEANCE 1'!$C:$C, AJ$2, 'SEANCE 1'!$F:$F, AJ$5))</f>
        <v/>
      </c>
      <c r="AK88" s="64" t="str">
        <f ca="1">IF(COUNTIFS('SEANCE 1'!$B:$B, $B88, 'SEANCE 1'!$C:$C, AK$2, 'SEANCE 1'!$F:$F, AK$5)=0, "", COUNTIFS('SEANCE 1'!$B:$B, $B88, 'SEANCE 1'!$C:$C, AK$2, 'SEANCE 1'!$F:$F, AK$5))</f>
        <v/>
      </c>
      <c r="AL88" s="64" t="str">
        <f ca="1">IF(COUNTIFS('SEANCE 1'!$B:$B, $B88, 'SEANCE 1'!$C:$C, AL$2, 'SEANCE 1'!$F:$F, AL$5)=0, "", COUNTIFS('SEANCE 1'!$B:$B, $B88, 'SEANCE 1'!$C:$C, AL$2, 'SEANCE 1'!$F:$F, AL$5))</f>
        <v/>
      </c>
      <c r="AM88" s="64" t="str">
        <f ca="1">IF(COUNTIFS('SEANCE 1'!$B:$B, $B88, 'SEANCE 1'!$C:$C, AM$2, 'SEANCE 1'!$F:$F, AM$5)=0, "", COUNTIFS('SEANCE 1'!$B:$B, $B88, 'SEANCE 1'!$C:$C, AM$2, 'SEANCE 1'!$F:$F, AM$5))</f>
        <v/>
      </c>
      <c r="AN88" s="64" t="str">
        <f ca="1">IF(COUNTIFS('SEANCE 1'!$B:$B, $B88, 'SEANCE 1'!$C:$C, AN$2, 'SEANCE 1'!$F:$F, AN$5)=0, "", COUNTIFS('SEANCE 1'!$B:$B, $B88, 'SEANCE 1'!$C:$C, AN$2, 'SEANCE 1'!$F:$F, AN$5))</f>
        <v/>
      </c>
      <c r="AO88" s="64" t="str">
        <f ca="1">IF(COUNTIFS('SEANCE 1'!$B:$B, $B88, 'SEANCE 1'!$C:$C, AO$2, 'SEANCE 1'!$F:$F, AO$5)=0, "", COUNTIFS('SEANCE 1'!$B:$B, $B88, 'SEANCE 1'!$C:$C, AO$2, 'SEANCE 1'!$F:$F, AO$5))</f>
        <v/>
      </c>
      <c r="AP88" s="64" t="str">
        <f ca="1">IF(COUNTIFS('SEANCE 1'!$B:$B, $B88, 'SEANCE 1'!$C:$C, AP$2, 'SEANCE 1'!$F:$F, AP$5)=0, "", COUNTIFS('SEANCE 1'!$B:$B, $B88, 'SEANCE 1'!$C:$C, AP$2, 'SEANCE 1'!$F:$F, AP$5))</f>
        <v/>
      </c>
      <c r="AQ88" s="64" t="str">
        <f ca="1">IF(COUNTIFS('SEANCE 1'!$B:$B, $B88, 'SEANCE 1'!$C:$C, AQ$2, 'SEANCE 1'!$F:$F, AQ$5)=0, "", COUNTIFS('SEANCE 1'!$B:$B, $B88, 'SEANCE 1'!$C:$C, AQ$2, 'SEANCE 1'!$F:$F, AQ$5))</f>
        <v/>
      </c>
      <c r="AR88" s="64" t="str">
        <f ca="1">IF(COUNTIFS('SEANCE 1'!$B:$B, $B88, 'SEANCE 1'!$C:$C, AR$2, 'SEANCE 1'!$F:$F, AR$5)=0, "", COUNTIFS('SEANCE 1'!$B:$B, $B88, 'SEANCE 1'!$C:$C, AR$2, 'SEANCE 1'!$F:$F, AR$5))</f>
        <v/>
      </c>
      <c r="AS88" s="64" t="str">
        <f ca="1">IF(COUNTIFS('SEANCE 1'!$B:$B, $B88, 'SEANCE 1'!$C:$C, AS$2, 'SEANCE 1'!$F:$F, AS$5)=0, "", COUNTIFS('SEANCE 1'!$B:$B, $B88, 'SEANCE 1'!$C:$C, AS$2, 'SEANCE 1'!$F:$F, AS$5))</f>
        <v/>
      </c>
      <c r="AT88" s="64" t="str">
        <f ca="1">IF(COUNTIFS('SEANCE 1'!$B:$B, $B88, 'SEANCE 1'!$C:$C, AT$2, 'SEANCE 1'!$F:$F, AT$5)=0, "", COUNTIFS('SEANCE 1'!$B:$B, $B88, 'SEANCE 1'!$C:$C, AT$2, 'SEANCE 1'!$F:$F, AT$5))</f>
        <v/>
      </c>
      <c r="AU88" s="64" t="str">
        <f ca="1">IF(COUNTIFS('SEANCE 1'!$B:$B, $B88, 'SEANCE 1'!$C:$C, AU$2, 'SEANCE 1'!$F:$F, AU$5)=0, "", COUNTIFS('SEANCE 1'!$B:$B, $B88, 'SEANCE 1'!$C:$C, AU$2, 'SEANCE 1'!$F:$F, AU$5))</f>
        <v/>
      </c>
      <c r="AV88" s="64" t="str">
        <f ca="1">IF(COUNTIFS('SEANCE 1'!$B:$B, $B88, 'SEANCE 1'!$C:$C, AV$2, 'SEANCE 1'!$F:$F, AV$5)=0, "", COUNTIFS('SEANCE 1'!$B:$B, $B88, 'SEANCE 1'!$C:$C, AV$2, 'SEANCE 1'!$F:$F, AV$5))</f>
        <v/>
      </c>
      <c r="AW88" s="64" t="str">
        <f ca="1">IF(COUNTIFS('SEANCE 1'!$B:$B, $B88, 'SEANCE 1'!$C:$C, AW$2, 'SEANCE 1'!$F:$F, AW$5)=0, "", COUNTIFS('SEANCE 1'!$B:$B, $B88, 'SEANCE 1'!$C:$C, AW$2, 'SEANCE 1'!$F:$F, AW$5))</f>
        <v/>
      </c>
      <c r="AX88" s="64" t="str">
        <f ca="1">IF(COUNTIFS('SEANCE 1'!$B:$B, $B88, 'SEANCE 1'!$C:$C, AX$2, 'SEANCE 1'!$F:$F, AX$5)=0, "", COUNTIFS('SEANCE 1'!$B:$B, $B88, 'SEANCE 1'!$C:$C, AX$2, 'SEANCE 1'!$F:$F, AX$5))</f>
        <v/>
      </c>
      <c r="AY88" s="64" t="str">
        <f ca="1">IF(COUNTIFS('SEANCE 1'!$B:$B, $B88, 'SEANCE 1'!$C:$C, AY$2, 'SEANCE 1'!$F:$F, AY$5)=0, "", COUNTIFS('SEANCE 1'!$B:$B, $B88, 'SEANCE 1'!$C:$C, AY$2, 'SEANCE 1'!$F:$F, AY$5))</f>
        <v/>
      </c>
      <c r="AZ88" s="32">
        <f t="shared" ca="1" si="1"/>
        <v>0</v>
      </c>
    </row>
    <row r="89" spans="1:52">
      <c r="A89" s="44" t="str">
        <f>IF('SEANCE 1'!$B85&lt;&gt;"",'SEANCE 1'!$A85,"")</f>
        <v/>
      </c>
      <c r="B89" s="44" t="str">
        <f t="array" aca="1" ref="B89" ca="1">IF(ISNA(INDEX(ListeB,MATCH(0,COUNTIF($B$5:B88,ListeB),0))),"",INDEX(ListeB,MATCH(0,COUNTIF($B$5:B88,ListeB),0)))</f>
        <v/>
      </c>
      <c r="C89" s="64" t="str">
        <f ca="1">IF(COUNTIFS('SEANCE 1'!$B:$B, $B89, 'SEANCE 1'!$C:$C, C$2, 'SEANCE 1'!$F:$F, C$5)=0, "", COUNTIFS('SEANCE 1'!$B:$B, $B89, 'SEANCE 1'!$C:$C, C$2, 'SEANCE 1'!$F:$F, C$5))</f>
        <v/>
      </c>
      <c r="D89" s="64" t="str">
        <f ca="1">IF(COUNTIFS('SEANCE 1'!$B:$B, $B89, 'SEANCE 1'!$C:$C, D$2, 'SEANCE 1'!$F:$F, D$5)=0, "", COUNTIFS('SEANCE 1'!$B:$B, $B89, 'SEANCE 1'!$C:$C, D$2, 'SEANCE 1'!$F:$F, D$5))</f>
        <v/>
      </c>
      <c r="E89" s="64" t="str">
        <f ca="1">IF(COUNTIFS('SEANCE 1'!$B:$B, $B89, 'SEANCE 1'!$C:$C, E$2, 'SEANCE 1'!$F:$F, E$5)=0, "", COUNTIFS('SEANCE 1'!$B:$B, $B89, 'SEANCE 1'!$C:$C, E$2, 'SEANCE 1'!$F:$F, E$5))</f>
        <v/>
      </c>
      <c r="F89" s="64" t="str">
        <f ca="1">IF(COUNTIFS('SEANCE 1'!$B:$B, $B89, 'SEANCE 1'!$C:$C, F$2, 'SEANCE 1'!$F:$F, F$5)=0, "", COUNTIFS('SEANCE 1'!$B:$B, $B89, 'SEANCE 1'!$C:$C, F$2, 'SEANCE 1'!$F:$F, F$5))</f>
        <v/>
      </c>
      <c r="G89" s="64" t="str">
        <f ca="1">IF(COUNTIFS('SEANCE 1'!$B:$B, $B89, 'SEANCE 1'!$C:$C, G$2, 'SEANCE 1'!$F:$F, G$5)=0, "", COUNTIFS('SEANCE 1'!$B:$B, $B89, 'SEANCE 1'!$C:$C, G$2, 'SEANCE 1'!$F:$F, G$5))</f>
        <v/>
      </c>
      <c r="H89" s="64" t="str">
        <f ca="1">IF(COUNTIFS('SEANCE 1'!$B:$B, $B89, 'SEANCE 1'!$C:$C, H$2, 'SEANCE 1'!$F:$F, H$5)=0, "", COUNTIFS('SEANCE 1'!$B:$B, $B89, 'SEANCE 1'!$C:$C, H$2, 'SEANCE 1'!$F:$F, H$5))</f>
        <v/>
      </c>
      <c r="I89" s="64" t="str">
        <f ca="1">IF(COUNTIFS('SEANCE 1'!$B:$B, $B89, 'SEANCE 1'!$C:$C, I$2, 'SEANCE 1'!$F:$F, I$5)=0, "", COUNTIFS('SEANCE 1'!$B:$B, $B89, 'SEANCE 1'!$C:$C, I$2, 'SEANCE 1'!$F:$F, I$5))</f>
        <v/>
      </c>
      <c r="J89" s="64" t="str">
        <f ca="1">IF(COUNTIFS('SEANCE 1'!$B:$B, $B89, 'SEANCE 1'!$C:$C, J$2, 'SEANCE 1'!$F:$F, J$5)=0, "", COUNTIFS('SEANCE 1'!$B:$B, $B89, 'SEANCE 1'!$C:$C, J$2, 'SEANCE 1'!$F:$F, J$5))</f>
        <v/>
      </c>
      <c r="K89" s="64" t="str">
        <f ca="1">IF(COUNTIFS('SEANCE 1'!$B:$B, $B89, 'SEANCE 1'!$C:$C, K$2, 'SEANCE 1'!$F:$F, K$5)=0, "", COUNTIFS('SEANCE 1'!$B:$B, $B89, 'SEANCE 1'!$C:$C, K$2, 'SEANCE 1'!$F:$F, K$5))</f>
        <v/>
      </c>
      <c r="L89" s="64" t="str">
        <f ca="1">IF(COUNTIFS('SEANCE 1'!$B:$B, $B89, 'SEANCE 1'!$C:$C, L$2, 'SEANCE 1'!$F:$F, L$5)=0, "", COUNTIFS('SEANCE 1'!$B:$B, $B89, 'SEANCE 1'!$C:$C, L$2, 'SEANCE 1'!$F:$F, L$5))</f>
        <v/>
      </c>
      <c r="M89" s="64" t="str">
        <f ca="1">IF(COUNTIFS('SEANCE 1'!$B:$B, $B89, 'SEANCE 1'!$C:$C, M$2, 'SEANCE 1'!$F:$F, M$5)=0, "", COUNTIFS('SEANCE 1'!$B:$B, $B89, 'SEANCE 1'!$C:$C, M$2, 'SEANCE 1'!$F:$F, M$5))</f>
        <v/>
      </c>
      <c r="N89" s="64" t="str">
        <f ca="1">IF(COUNTIFS('SEANCE 1'!$B:$B, $B89, 'SEANCE 1'!$C:$C, N$2, 'SEANCE 1'!$F:$F, N$5)=0, "", COUNTIFS('SEANCE 1'!$B:$B, $B89, 'SEANCE 1'!$C:$C, N$2, 'SEANCE 1'!$F:$F, N$5))</f>
        <v/>
      </c>
      <c r="O89" s="64" t="str">
        <f ca="1">IF(COUNTIFS('SEANCE 1'!$B:$B, $B89, 'SEANCE 1'!$C:$C, O$2, 'SEANCE 1'!$F:$F, O$5)=0, "", COUNTIFS('SEANCE 1'!$B:$B, $B89, 'SEANCE 1'!$C:$C, O$2, 'SEANCE 1'!$F:$F, O$5))</f>
        <v/>
      </c>
      <c r="P89" s="64" t="str">
        <f ca="1">IF(COUNTIFS('SEANCE 1'!$B:$B, $B89, 'SEANCE 1'!$C:$C, P$2, 'SEANCE 1'!$F:$F, P$5)=0, "", COUNTIFS('SEANCE 1'!$B:$B, $B89, 'SEANCE 1'!$C:$C, P$2, 'SEANCE 1'!$F:$F, P$5))</f>
        <v/>
      </c>
      <c r="Q89" s="64" t="str">
        <f ca="1">IF(COUNTIFS('SEANCE 1'!$B:$B, $B89, 'SEANCE 1'!$C:$C, Q$2, 'SEANCE 1'!$F:$F, Q$5)=0, "", COUNTIFS('SEANCE 1'!$B:$B, $B89, 'SEANCE 1'!$C:$C, Q$2, 'SEANCE 1'!$F:$F, Q$5))</f>
        <v/>
      </c>
      <c r="R89" s="64" t="str">
        <f ca="1">IF(COUNTIFS('SEANCE 1'!$B:$B, $B89, 'SEANCE 1'!$C:$C, R$2, 'SEANCE 1'!$F:$F, R$5)=0, "", COUNTIFS('SEANCE 1'!$B:$B, $B89, 'SEANCE 1'!$C:$C, R$2, 'SEANCE 1'!$F:$F, R$5))</f>
        <v/>
      </c>
      <c r="S89" s="64" t="str">
        <f ca="1">IF(COUNTIFS('SEANCE 1'!$B:$B, $B89, 'SEANCE 1'!$C:$C, S$2, 'SEANCE 1'!$F:$F, S$5)=0, "", COUNTIFS('SEANCE 1'!$B:$B, $B89, 'SEANCE 1'!$C:$C, S$2, 'SEANCE 1'!$F:$F, S$5))</f>
        <v/>
      </c>
      <c r="T89" s="64" t="str">
        <f ca="1">IF(COUNTIFS('SEANCE 1'!$B:$B, $B89, 'SEANCE 1'!$C:$C, T$2, 'SEANCE 1'!$F:$F, T$5)=0, "", COUNTIFS('SEANCE 1'!$B:$B, $B89, 'SEANCE 1'!$C:$C, T$2, 'SEANCE 1'!$F:$F, T$5))</f>
        <v/>
      </c>
      <c r="U89" s="64" t="str">
        <f ca="1">IF(COUNTIFS('SEANCE 1'!$B:$B, $B89, 'SEANCE 1'!$C:$C, U$2, 'SEANCE 1'!$F:$F, U$5)=0, "", COUNTIFS('SEANCE 1'!$B:$B, $B89, 'SEANCE 1'!$C:$C, U$2, 'SEANCE 1'!$F:$F, U$5))</f>
        <v/>
      </c>
      <c r="V89" s="64" t="str">
        <f ca="1">IF(COUNTIFS('SEANCE 1'!$B:$B, $B89, 'SEANCE 1'!$C:$C, V$2, 'SEANCE 1'!$F:$F, V$5)=0, "", COUNTIFS('SEANCE 1'!$B:$B, $B89, 'SEANCE 1'!$C:$C, V$2, 'SEANCE 1'!$F:$F, V$5))</f>
        <v/>
      </c>
      <c r="W89" s="64" t="str">
        <f ca="1">IF(COUNTIFS('SEANCE 1'!$B:$B, $B89, 'SEANCE 1'!$C:$C, W$2, 'SEANCE 1'!$F:$F, W$5)=0, "", COUNTIFS('SEANCE 1'!$B:$B, $B89, 'SEANCE 1'!$C:$C, W$2, 'SEANCE 1'!$F:$F, W$5))</f>
        <v/>
      </c>
      <c r="X89" s="64" t="str">
        <f ca="1">IF(COUNTIFS('SEANCE 1'!$B:$B, $B89, 'SEANCE 1'!$C:$C, X$2, 'SEANCE 1'!$F:$F, X$5)=0, "", COUNTIFS('SEANCE 1'!$B:$B, $B89, 'SEANCE 1'!$C:$C, X$2, 'SEANCE 1'!$F:$F, X$5))</f>
        <v/>
      </c>
      <c r="Y89" s="64" t="str">
        <f ca="1">IF(COUNTIFS('SEANCE 1'!$B:$B, $B89, 'SEANCE 1'!$C:$C, Y$2, 'SEANCE 1'!$F:$F, Y$5)=0, "", COUNTIFS('SEANCE 1'!$B:$B, $B89, 'SEANCE 1'!$C:$C, Y$2, 'SEANCE 1'!$F:$F, Y$5))</f>
        <v/>
      </c>
      <c r="Z89" s="64" t="str">
        <f ca="1">IF(COUNTIFS('SEANCE 1'!$B:$B, $B89, 'SEANCE 1'!$C:$C, Z$2, 'SEANCE 1'!$F:$F, Z$5)=0, "", COUNTIFS('SEANCE 1'!$B:$B, $B89, 'SEANCE 1'!$C:$C, Z$2, 'SEANCE 1'!$F:$F, Z$5))</f>
        <v/>
      </c>
      <c r="AA89" s="64" t="str">
        <f ca="1">IF(COUNTIFS('SEANCE 1'!$B:$B, $B89, 'SEANCE 1'!$C:$C, AA$2, 'SEANCE 1'!$F:$F, AA$5)=0, "", COUNTIFS('SEANCE 1'!$B:$B, $B89, 'SEANCE 1'!$C:$C, AA$2, 'SEANCE 1'!$F:$F, AA$5))</f>
        <v/>
      </c>
      <c r="AB89" s="64" t="str">
        <f ca="1">IF(COUNTIFS('SEANCE 1'!$B:$B, $B89, 'SEANCE 1'!$C:$C, AB$2, 'SEANCE 1'!$F:$F, AB$5)=0, "", COUNTIFS('SEANCE 1'!$B:$B, $B89, 'SEANCE 1'!$C:$C, AB$2, 'SEANCE 1'!$F:$F, AB$5))</f>
        <v/>
      </c>
      <c r="AC89" s="64" t="str">
        <f ca="1">IF(COUNTIFS('SEANCE 1'!$B:$B, $B89, 'SEANCE 1'!$C:$C, AC$2, 'SEANCE 1'!$F:$F, AC$5)=0, "", COUNTIFS('SEANCE 1'!$B:$B, $B89, 'SEANCE 1'!$C:$C, AC$2, 'SEANCE 1'!$F:$F, AC$5))</f>
        <v/>
      </c>
      <c r="AD89" s="64" t="str">
        <f ca="1">IF(COUNTIFS('SEANCE 1'!$B:$B, $B89, 'SEANCE 1'!$C:$C, AD$2, 'SEANCE 1'!$F:$F, AD$5)=0, "", COUNTIFS('SEANCE 1'!$B:$B, $B89, 'SEANCE 1'!$C:$C, AD$2, 'SEANCE 1'!$F:$F, AD$5))</f>
        <v/>
      </c>
      <c r="AE89" s="64" t="str">
        <f ca="1">IF(COUNTIFS('SEANCE 1'!$B:$B, $B89, 'SEANCE 1'!$C:$C, AE$2, 'SEANCE 1'!$F:$F, AE$5)=0, "", COUNTIFS('SEANCE 1'!$B:$B, $B89, 'SEANCE 1'!$C:$C, AE$2, 'SEANCE 1'!$F:$F, AE$5))</f>
        <v/>
      </c>
      <c r="AF89" s="64" t="str">
        <f ca="1">IF(COUNTIFS('SEANCE 1'!$B:$B, $B89, 'SEANCE 1'!$C:$C, AF$2, 'SEANCE 1'!$F:$F, AF$5)=0, "", COUNTIFS('SEANCE 1'!$B:$B, $B89, 'SEANCE 1'!$C:$C, AF$2, 'SEANCE 1'!$F:$F, AF$5))</f>
        <v/>
      </c>
      <c r="AG89" s="64" t="str">
        <f ca="1">IF(COUNTIFS('SEANCE 1'!$B:$B, $B89, 'SEANCE 1'!$C:$C, AG$2, 'SEANCE 1'!$F:$F, AG$5)=0, "", COUNTIFS('SEANCE 1'!$B:$B, $B89, 'SEANCE 1'!$C:$C, AG$2, 'SEANCE 1'!$F:$F, AG$5))</f>
        <v/>
      </c>
      <c r="AH89" s="64" t="str">
        <f ca="1">IF(COUNTIFS('SEANCE 1'!$B:$B, $B89, 'SEANCE 1'!$C:$C, AH$2, 'SEANCE 1'!$F:$F, AH$5)=0, "", COUNTIFS('SEANCE 1'!$B:$B, $B89, 'SEANCE 1'!$C:$C, AH$2, 'SEANCE 1'!$F:$F, AH$5))</f>
        <v/>
      </c>
      <c r="AI89" s="64" t="str">
        <f ca="1">IF(COUNTIFS('SEANCE 1'!$B:$B, $B89, 'SEANCE 1'!$C:$C, AI$2, 'SEANCE 1'!$F:$F, AI$5)=0, "", COUNTIFS('SEANCE 1'!$B:$B, $B89, 'SEANCE 1'!$C:$C, AI$2, 'SEANCE 1'!$F:$F, AI$5))</f>
        <v/>
      </c>
      <c r="AJ89" s="64" t="str">
        <f ca="1">IF(COUNTIFS('SEANCE 1'!$B:$B, $B89, 'SEANCE 1'!$C:$C, AJ$2, 'SEANCE 1'!$F:$F, AJ$5)=0, "", COUNTIFS('SEANCE 1'!$B:$B, $B89, 'SEANCE 1'!$C:$C, AJ$2, 'SEANCE 1'!$F:$F, AJ$5))</f>
        <v/>
      </c>
      <c r="AK89" s="64" t="str">
        <f ca="1">IF(COUNTIFS('SEANCE 1'!$B:$B, $B89, 'SEANCE 1'!$C:$C, AK$2, 'SEANCE 1'!$F:$F, AK$5)=0, "", COUNTIFS('SEANCE 1'!$B:$B, $B89, 'SEANCE 1'!$C:$C, AK$2, 'SEANCE 1'!$F:$F, AK$5))</f>
        <v/>
      </c>
      <c r="AL89" s="64" t="str">
        <f ca="1">IF(COUNTIFS('SEANCE 1'!$B:$B, $B89, 'SEANCE 1'!$C:$C, AL$2, 'SEANCE 1'!$F:$F, AL$5)=0, "", COUNTIFS('SEANCE 1'!$B:$B, $B89, 'SEANCE 1'!$C:$C, AL$2, 'SEANCE 1'!$F:$F, AL$5))</f>
        <v/>
      </c>
      <c r="AM89" s="64" t="str">
        <f ca="1">IF(COUNTIFS('SEANCE 1'!$B:$B, $B89, 'SEANCE 1'!$C:$C, AM$2, 'SEANCE 1'!$F:$F, AM$5)=0, "", COUNTIFS('SEANCE 1'!$B:$B, $B89, 'SEANCE 1'!$C:$C, AM$2, 'SEANCE 1'!$F:$F, AM$5))</f>
        <v/>
      </c>
      <c r="AN89" s="64" t="str">
        <f ca="1">IF(COUNTIFS('SEANCE 1'!$B:$B, $B89, 'SEANCE 1'!$C:$C, AN$2, 'SEANCE 1'!$F:$F, AN$5)=0, "", COUNTIFS('SEANCE 1'!$B:$B, $B89, 'SEANCE 1'!$C:$C, AN$2, 'SEANCE 1'!$F:$F, AN$5))</f>
        <v/>
      </c>
      <c r="AO89" s="64" t="str">
        <f ca="1">IF(COUNTIFS('SEANCE 1'!$B:$B, $B89, 'SEANCE 1'!$C:$C, AO$2, 'SEANCE 1'!$F:$F, AO$5)=0, "", COUNTIFS('SEANCE 1'!$B:$B, $B89, 'SEANCE 1'!$C:$C, AO$2, 'SEANCE 1'!$F:$F, AO$5))</f>
        <v/>
      </c>
      <c r="AP89" s="64" t="str">
        <f ca="1">IF(COUNTIFS('SEANCE 1'!$B:$B, $B89, 'SEANCE 1'!$C:$C, AP$2, 'SEANCE 1'!$F:$F, AP$5)=0, "", COUNTIFS('SEANCE 1'!$B:$B, $B89, 'SEANCE 1'!$C:$C, AP$2, 'SEANCE 1'!$F:$F, AP$5))</f>
        <v/>
      </c>
      <c r="AQ89" s="64" t="str">
        <f ca="1">IF(COUNTIFS('SEANCE 1'!$B:$B, $B89, 'SEANCE 1'!$C:$C, AQ$2, 'SEANCE 1'!$F:$F, AQ$5)=0, "", COUNTIFS('SEANCE 1'!$B:$B, $B89, 'SEANCE 1'!$C:$C, AQ$2, 'SEANCE 1'!$F:$F, AQ$5))</f>
        <v/>
      </c>
      <c r="AR89" s="64" t="str">
        <f ca="1">IF(COUNTIFS('SEANCE 1'!$B:$B, $B89, 'SEANCE 1'!$C:$C, AR$2, 'SEANCE 1'!$F:$F, AR$5)=0, "", COUNTIFS('SEANCE 1'!$B:$B, $B89, 'SEANCE 1'!$C:$C, AR$2, 'SEANCE 1'!$F:$F, AR$5))</f>
        <v/>
      </c>
      <c r="AS89" s="64" t="str">
        <f ca="1">IF(COUNTIFS('SEANCE 1'!$B:$B, $B89, 'SEANCE 1'!$C:$C, AS$2, 'SEANCE 1'!$F:$F, AS$5)=0, "", COUNTIFS('SEANCE 1'!$B:$B, $B89, 'SEANCE 1'!$C:$C, AS$2, 'SEANCE 1'!$F:$F, AS$5))</f>
        <v/>
      </c>
      <c r="AT89" s="64" t="str">
        <f ca="1">IF(COUNTIFS('SEANCE 1'!$B:$B, $B89, 'SEANCE 1'!$C:$C, AT$2, 'SEANCE 1'!$F:$F, AT$5)=0, "", COUNTIFS('SEANCE 1'!$B:$B, $B89, 'SEANCE 1'!$C:$C, AT$2, 'SEANCE 1'!$F:$F, AT$5))</f>
        <v/>
      </c>
      <c r="AU89" s="64" t="str">
        <f ca="1">IF(COUNTIFS('SEANCE 1'!$B:$B, $B89, 'SEANCE 1'!$C:$C, AU$2, 'SEANCE 1'!$F:$F, AU$5)=0, "", COUNTIFS('SEANCE 1'!$B:$B, $B89, 'SEANCE 1'!$C:$C, AU$2, 'SEANCE 1'!$F:$F, AU$5))</f>
        <v/>
      </c>
      <c r="AV89" s="64" t="str">
        <f ca="1">IF(COUNTIFS('SEANCE 1'!$B:$B, $B89, 'SEANCE 1'!$C:$C, AV$2, 'SEANCE 1'!$F:$F, AV$5)=0, "", COUNTIFS('SEANCE 1'!$B:$B, $B89, 'SEANCE 1'!$C:$C, AV$2, 'SEANCE 1'!$F:$F, AV$5))</f>
        <v/>
      </c>
      <c r="AW89" s="64" t="str">
        <f ca="1">IF(COUNTIFS('SEANCE 1'!$B:$B, $B89, 'SEANCE 1'!$C:$C, AW$2, 'SEANCE 1'!$F:$F, AW$5)=0, "", COUNTIFS('SEANCE 1'!$B:$B, $B89, 'SEANCE 1'!$C:$C, AW$2, 'SEANCE 1'!$F:$F, AW$5))</f>
        <v/>
      </c>
      <c r="AX89" s="64" t="str">
        <f ca="1">IF(COUNTIFS('SEANCE 1'!$B:$B, $B89, 'SEANCE 1'!$C:$C, AX$2, 'SEANCE 1'!$F:$F, AX$5)=0, "", COUNTIFS('SEANCE 1'!$B:$B, $B89, 'SEANCE 1'!$C:$C, AX$2, 'SEANCE 1'!$F:$F, AX$5))</f>
        <v/>
      </c>
      <c r="AY89" s="64" t="str">
        <f ca="1">IF(COUNTIFS('SEANCE 1'!$B:$B, $B89, 'SEANCE 1'!$C:$C, AY$2, 'SEANCE 1'!$F:$F, AY$5)=0, "", COUNTIFS('SEANCE 1'!$B:$B, $B89, 'SEANCE 1'!$C:$C, AY$2, 'SEANCE 1'!$F:$F, AY$5))</f>
        <v/>
      </c>
      <c r="AZ89" s="32">
        <f t="shared" ca="1" si="1"/>
        <v>0</v>
      </c>
    </row>
    <row r="90" spans="1:52">
      <c r="A90" s="44" t="str">
        <f>IF('SEANCE 1'!$B86&lt;&gt;"",'SEANCE 1'!$A86,"")</f>
        <v/>
      </c>
      <c r="B90" s="44" t="str">
        <f t="array" aca="1" ref="B90" ca="1">IF(ISNA(INDEX(ListeB,MATCH(0,COUNTIF($B$5:B89,ListeB),0))),"",INDEX(ListeB,MATCH(0,COUNTIF($B$5:B89,ListeB),0)))</f>
        <v/>
      </c>
      <c r="C90" s="64" t="str">
        <f ca="1">IF(COUNTIFS('SEANCE 1'!$B:$B, $B90, 'SEANCE 1'!$C:$C, C$2, 'SEANCE 1'!$F:$F, C$5)=0, "", COUNTIFS('SEANCE 1'!$B:$B, $B90, 'SEANCE 1'!$C:$C, C$2, 'SEANCE 1'!$F:$F, C$5))</f>
        <v/>
      </c>
      <c r="D90" s="64" t="str">
        <f ca="1">IF(COUNTIFS('SEANCE 1'!$B:$B, $B90, 'SEANCE 1'!$C:$C, D$2, 'SEANCE 1'!$F:$F, D$5)=0, "", COUNTIFS('SEANCE 1'!$B:$B, $B90, 'SEANCE 1'!$C:$C, D$2, 'SEANCE 1'!$F:$F, D$5))</f>
        <v/>
      </c>
      <c r="E90" s="64" t="str">
        <f ca="1">IF(COUNTIFS('SEANCE 1'!$B:$B, $B90, 'SEANCE 1'!$C:$C, E$2, 'SEANCE 1'!$F:$F, E$5)=0, "", COUNTIFS('SEANCE 1'!$B:$B, $B90, 'SEANCE 1'!$C:$C, E$2, 'SEANCE 1'!$F:$F, E$5))</f>
        <v/>
      </c>
      <c r="F90" s="64" t="str">
        <f ca="1">IF(COUNTIFS('SEANCE 1'!$B:$B, $B90, 'SEANCE 1'!$C:$C, F$2, 'SEANCE 1'!$F:$F, F$5)=0, "", COUNTIFS('SEANCE 1'!$B:$B, $B90, 'SEANCE 1'!$C:$C, F$2, 'SEANCE 1'!$F:$F, F$5))</f>
        <v/>
      </c>
      <c r="G90" s="64" t="str">
        <f ca="1">IF(COUNTIFS('SEANCE 1'!$B:$B, $B90, 'SEANCE 1'!$C:$C, G$2, 'SEANCE 1'!$F:$F, G$5)=0, "", COUNTIFS('SEANCE 1'!$B:$B, $B90, 'SEANCE 1'!$C:$C, G$2, 'SEANCE 1'!$F:$F, G$5))</f>
        <v/>
      </c>
      <c r="H90" s="64" t="str">
        <f ca="1">IF(COUNTIFS('SEANCE 1'!$B:$B, $B90, 'SEANCE 1'!$C:$C, H$2, 'SEANCE 1'!$F:$F, H$5)=0, "", COUNTIFS('SEANCE 1'!$B:$B, $B90, 'SEANCE 1'!$C:$C, H$2, 'SEANCE 1'!$F:$F, H$5))</f>
        <v/>
      </c>
      <c r="I90" s="64" t="str">
        <f ca="1">IF(COUNTIFS('SEANCE 1'!$B:$B, $B90, 'SEANCE 1'!$C:$C, I$2, 'SEANCE 1'!$F:$F, I$5)=0, "", COUNTIFS('SEANCE 1'!$B:$B, $B90, 'SEANCE 1'!$C:$C, I$2, 'SEANCE 1'!$F:$F, I$5))</f>
        <v/>
      </c>
      <c r="J90" s="64" t="str">
        <f ca="1">IF(COUNTIFS('SEANCE 1'!$B:$B, $B90, 'SEANCE 1'!$C:$C, J$2, 'SEANCE 1'!$F:$F, J$5)=0, "", COUNTIFS('SEANCE 1'!$B:$B, $B90, 'SEANCE 1'!$C:$C, J$2, 'SEANCE 1'!$F:$F, J$5))</f>
        <v/>
      </c>
      <c r="K90" s="64" t="str">
        <f ca="1">IF(COUNTIFS('SEANCE 1'!$B:$B, $B90, 'SEANCE 1'!$C:$C, K$2, 'SEANCE 1'!$F:$F, K$5)=0, "", COUNTIFS('SEANCE 1'!$B:$B, $B90, 'SEANCE 1'!$C:$C, K$2, 'SEANCE 1'!$F:$F, K$5))</f>
        <v/>
      </c>
      <c r="L90" s="64" t="str">
        <f ca="1">IF(COUNTIFS('SEANCE 1'!$B:$B, $B90, 'SEANCE 1'!$C:$C, L$2, 'SEANCE 1'!$F:$F, L$5)=0, "", COUNTIFS('SEANCE 1'!$B:$B, $B90, 'SEANCE 1'!$C:$C, L$2, 'SEANCE 1'!$F:$F, L$5))</f>
        <v/>
      </c>
      <c r="M90" s="64" t="str">
        <f ca="1">IF(COUNTIFS('SEANCE 1'!$B:$B, $B90, 'SEANCE 1'!$C:$C, M$2, 'SEANCE 1'!$F:$F, M$5)=0, "", COUNTIFS('SEANCE 1'!$B:$B, $B90, 'SEANCE 1'!$C:$C, M$2, 'SEANCE 1'!$F:$F, M$5))</f>
        <v/>
      </c>
      <c r="N90" s="64" t="str">
        <f ca="1">IF(COUNTIFS('SEANCE 1'!$B:$B, $B90, 'SEANCE 1'!$C:$C, N$2, 'SEANCE 1'!$F:$F, N$5)=0, "", COUNTIFS('SEANCE 1'!$B:$B, $B90, 'SEANCE 1'!$C:$C, N$2, 'SEANCE 1'!$F:$F, N$5))</f>
        <v/>
      </c>
      <c r="O90" s="64" t="str">
        <f ca="1">IF(COUNTIFS('SEANCE 1'!$B:$B, $B90, 'SEANCE 1'!$C:$C, O$2, 'SEANCE 1'!$F:$F, O$5)=0, "", COUNTIFS('SEANCE 1'!$B:$B, $B90, 'SEANCE 1'!$C:$C, O$2, 'SEANCE 1'!$F:$F, O$5))</f>
        <v/>
      </c>
      <c r="P90" s="64" t="str">
        <f ca="1">IF(COUNTIFS('SEANCE 1'!$B:$B, $B90, 'SEANCE 1'!$C:$C, P$2, 'SEANCE 1'!$F:$F, P$5)=0, "", COUNTIFS('SEANCE 1'!$B:$B, $B90, 'SEANCE 1'!$C:$C, P$2, 'SEANCE 1'!$F:$F, P$5))</f>
        <v/>
      </c>
      <c r="Q90" s="64" t="str">
        <f ca="1">IF(COUNTIFS('SEANCE 1'!$B:$B, $B90, 'SEANCE 1'!$C:$C, Q$2, 'SEANCE 1'!$F:$F, Q$5)=0, "", COUNTIFS('SEANCE 1'!$B:$B, $B90, 'SEANCE 1'!$C:$C, Q$2, 'SEANCE 1'!$F:$F, Q$5))</f>
        <v/>
      </c>
      <c r="R90" s="64" t="str">
        <f ca="1">IF(COUNTIFS('SEANCE 1'!$B:$B, $B90, 'SEANCE 1'!$C:$C, R$2, 'SEANCE 1'!$F:$F, R$5)=0, "", COUNTIFS('SEANCE 1'!$B:$B, $B90, 'SEANCE 1'!$C:$C, R$2, 'SEANCE 1'!$F:$F, R$5))</f>
        <v/>
      </c>
      <c r="S90" s="64" t="str">
        <f ca="1">IF(COUNTIFS('SEANCE 1'!$B:$B, $B90, 'SEANCE 1'!$C:$C, S$2, 'SEANCE 1'!$F:$F, S$5)=0, "", COUNTIFS('SEANCE 1'!$B:$B, $B90, 'SEANCE 1'!$C:$C, S$2, 'SEANCE 1'!$F:$F, S$5))</f>
        <v/>
      </c>
      <c r="T90" s="64" t="str">
        <f ca="1">IF(COUNTIFS('SEANCE 1'!$B:$B, $B90, 'SEANCE 1'!$C:$C, T$2, 'SEANCE 1'!$F:$F, T$5)=0, "", COUNTIFS('SEANCE 1'!$B:$B, $B90, 'SEANCE 1'!$C:$C, T$2, 'SEANCE 1'!$F:$F, T$5))</f>
        <v/>
      </c>
      <c r="U90" s="64" t="str">
        <f ca="1">IF(COUNTIFS('SEANCE 1'!$B:$B, $B90, 'SEANCE 1'!$C:$C, U$2, 'SEANCE 1'!$F:$F, U$5)=0, "", COUNTIFS('SEANCE 1'!$B:$B, $B90, 'SEANCE 1'!$C:$C, U$2, 'SEANCE 1'!$F:$F, U$5))</f>
        <v/>
      </c>
      <c r="V90" s="64" t="str">
        <f ca="1">IF(COUNTIFS('SEANCE 1'!$B:$B, $B90, 'SEANCE 1'!$C:$C, V$2, 'SEANCE 1'!$F:$F, V$5)=0, "", COUNTIFS('SEANCE 1'!$B:$B, $B90, 'SEANCE 1'!$C:$C, V$2, 'SEANCE 1'!$F:$F, V$5))</f>
        <v/>
      </c>
      <c r="W90" s="64" t="str">
        <f ca="1">IF(COUNTIFS('SEANCE 1'!$B:$B, $B90, 'SEANCE 1'!$C:$C, W$2, 'SEANCE 1'!$F:$F, W$5)=0, "", COUNTIFS('SEANCE 1'!$B:$B, $B90, 'SEANCE 1'!$C:$C, W$2, 'SEANCE 1'!$F:$F, W$5))</f>
        <v/>
      </c>
      <c r="X90" s="64" t="str">
        <f ca="1">IF(COUNTIFS('SEANCE 1'!$B:$B, $B90, 'SEANCE 1'!$C:$C, X$2, 'SEANCE 1'!$F:$F, X$5)=0, "", COUNTIFS('SEANCE 1'!$B:$B, $B90, 'SEANCE 1'!$C:$C, X$2, 'SEANCE 1'!$F:$F, X$5))</f>
        <v/>
      </c>
      <c r="Y90" s="64" t="str">
        <f ca="1">IF(COUNTIFS('SEANCE 1'!$B:$B, $B90, 'SEANCE 1'!$C:$C, Y$2, 'SEANCE 1'!$F:$F, Y$5)=0, "", COUNTIFS('SEANCE 1'!$B:$B, $B90, 'SEANCE 1'!$C:$C, Y$2, 'SEANCE 1'!$F:$F, Y$5))</f>
        <v/>
      </c>
      <c r="Z90" s="64" t="str">
        <f ca="1">IF(COUNTIFS('SEANCE 1'!$B:$B, $B90, 'SEANCE 1'!$C:$C, Z$2, 'SEANCE 1'!$F:$F, Z$5)=0, "", COUNTIFS('SEANCE 1'!$B:$B, $B90, 'SEANCE 1'!$C:$C, Z$2, 'SEANCE 1'!$F:$F, Z$5))</f>
        <v/>
      </c>
      <c r="AA90" s="64" t="str">
        <f ca="1">IF(COUNTIFS('SEANCE 1'!$B:$B, $B90, 'SEANCE 1'!$C:$C, AA$2, 'SEANCE 1'!$F:$F, AA$5)=0, "", COUNTIFS('SEANCE 1'!$B:$B, $B90, 'SEANCE 1'!$C:$C, AA$2, 'SEANCE 1'!$F:$F, AA$5))</f>
        <v/>
      </c>
      <c r="AB90" s="64" t="str">
        <f ca="1">IF(COUNTIFS('SEANCE 1'!$B:$B, $B90, 'SEANCE 1'!$C:$C, AB$2, 'SEANCE 1'!$F:$F, AB$5)=0, "", COUNTIFS('SEANCE 1'!$B:$B, $B90, 'SEANCE 1'!$C:$C, AB$2, 'SEANCE 1'!$F:$F, AB$5))</f>
        <v/>
      </c>
      <c r="AC90" s="64" t="str">
        <f ca="1">IF(COUNTIFS('SEANCE 1'!$B:$B, $B90, 'SEANCE 1'!$C:$C, AC$2, 'SEANCE 1'!$F:$F, AC$5)=0, "", COUNTIFS('SEANCE 1'!$B:$B, $B90, 'SEANCE 1'!$C:$C, AC$2, 'SEANCE 1'!$F:$F, AC$5))</f>
        <v/>
      </c>
      <c r="AD90" s="64" t="str">
        <f ca="1">IF(COUNTIFS('SEANCE 1'!$B:$B, $B90, 'SEANCE 1'!$C:$C, AD$2, 'SEANCE 1'!$F:$F, AD$5)=0, "", COUNTIFS('SEANCE 1'!$B:$B, $B90, 'SEANCE 1'!$C:$C, AD$2, 'SEANCE 1'!$F:$F, AD$5))</f>
        <v/>
      </c>
      <c r="AE90" s="64" t="str">
        <f ca="1">IF(COUNTIFS('SEANCE 1'!$B:$B, $B90, 'SEANCE 1'!$C:$C, AE$2, 'SEANCE 1'!$F:$F, AE$5)=0, "", COUNTIFS('SEANCE 1'!$B:$B, $B90, 'SEANCE 1'!$C:$C, AE$2, 'SEANCE 1'!$F:$F, AE$5))</f>
        <v/>
      </c>
      <c r="AF90" s="64" t="str">
        <f ca="1">IF(COUNTIFS('SEANCE 1'!$B:$B, $B90, 'SEANCE 1'!$C:$C, AF$2, 'SEANCE 1'!$F:$F, AF$5)=0, "", COUNTIFS('SEANCE 1'!$B:$B, $B90, 'SEANCE 1'!$C:$C, AF$2, 'SEANCE 1'!$F:$F, AF$5))</f>
        <v/>
      </c>
      <c r="AG90" s="64" t="str">
        <f ca="1">IF(COUNTIFS('SEANCE 1'!$B:$B, $B90, 'SEANCE 1'!$C:$C, AG$2, 'SEANCE 1'!$F:$F, AG$5)=0, "", COUNTIFS('SEANCE 1'!$B:$B, $B90, 'SEANCE 1'!$C:$C, AG$2, 'SEANCE 1'!$F:$F, AG$5))</f>
        <v/>
      </c>
      <c r="AH90" s="64" t="str">
        <f ca="1">IF(COUNTIFS('SEANCE 1'!$B:$B, $B90, 'SEANCE 1'!$C:$C, AH$2, 'SEANCE 1'!$F:$F, AH$5)=0, "", COUNTIFS('SEANCE 1'!$B:$B, $B90, 'SEANCE 1'!$C:$C, AH$2, 'SEANCE 1'!$F:$F, AH$5))</f>
        <v/>
      </c>
      <c r="AI90" s="64" t="str">
        <f ca="1">IF(COUNTIFS('SEANCE 1'!$B:$B, $B90, 'SEANCE 1'!$C:$C, AI$2, 'SEANCE 1'!$F:$F, AI$5)=0, "", COUNTIFS('SEANCE 1'!$B:$B, $B90, 'SEANCE 1'!$C:$C, AI$2, 'SEANCE 1'!$F:$F, AI$5))</f>
        <v/>
      </c>
      <c r="AJ90" s="64" t="str">
        <f ca="1">IF(COUNTIFS('SEANCE 1'!$B:$B, $B90, 'SEANCE 1'!$C:$C, AJ$2, 'SEANCE 1'!$F:$F, AJ$5)=0, "", COUNTIFS('SEANCE 1'!$B:$B, $B90, 'SEANCE 1'!$C:$C, AJ$2, 'SEANCE 1'!$F:$F, AJ$5))</f>
        <v/>
      </c>
      <c r="AK90" s="64" t="str">
        <f ca="1">IF(COUNTIFS('SEANCE 1'!$B:$B, $B90, 'SEANCE 1'!$C:$C, AK$2, 'SEANCE 1'!$F:$F, AK$5)=0, "", COUNTIFS('SEANCE 1'!$B:$B, $B90, 'SEANCE 1'!$C:$C, AK$2, 'SEANCE 1'!$F:$F, AK$5))</f>
        <v/>
      </c>
      <c r="AL90" s="64" t="str">
        <f ca="1">IF(COUNTIFS('SEANCE 1'!$B:$B, $B90, 'SEANCE 1'!$C:$C, AL$2, 'SEANCE 1'!$F:$F, AL$5)=0, "", COUNTIFS('SEANCE 1'!$B:$B, $B90, 'SEANCE 1'!$C:$C, AL$2, 'SEANCE 1'!$F:$F, AL$5))</f>
        <v/>
      </c>
      <c r="AM90" s="64" t="str">
        <f ca="1">IF(COUNTIFS('SEANCE 1'!$B:$B, $B90, 'SEANCE 1'!$C:$C, AM$2, 'SEANCE 1'!$F:$F, AM$5)=0, "", COUNTIFS('SEANCE 1'!$B:$B, $B90, 'SEANCE 1'!$C:$C, AM$2, 'SEANCE 1'!$F:$F, AM$5))</f>
        <v/>
      </c>
      <c r="AN90" s="64" t="str">
        <f ca="1">IF(COUNTIFS('SEANCE 1'!$B:$B, $B90, 'SEANCE 1'!$C:$C, AN$2, 'SEANCE 1'!$F:$F, AN$5)=0, "", COUNTIFS('SEANCE 1'!$B:$B, $B90, 'SEANCE 1'!$C:$C, AN$2, 'SEANCE 1'!$F:$F, AN$5))</f>
        <v/>
      </c>
      <c r="AO90" s="64" t="str">
        <f ca="1">IF(COUNTIFS('SEANCE 1'!$B:$B, $B90, 'SEANCE 1'!$C:$C, AO$2, 'SEANCE 1'!$F:$F, AO$5)=0, "", COUNTIFS('SEANCE 1'!$B:$B, $B90, 'SEANCE 1'!$C:$C, AO$2, 'SEANCE 1'!$F:$F, AO$5))</f>
        <v/>
      </c>
      <c r="AP90" s="64" t="str">
        <f ca="1">IF(COUNTIFS('SEANCE 1'!$B:$B, $B90, 'SEANCE 1'!$C:$C, AP$2, 'SEANCE 1'!$F:$F, AP$5)=0, "", COUNTIFS('SEANCE 1'!$B:$B, $B90, 'SEANCE 1'!$C:$C, AP$2, 'SEANCE 1'!$F:$F, AP$5))</f>
        <v/>
      </c>
      <c r="AQ90" s="64" t="str">
        <f ca="1">IF(COUNTIFS('SEANCE 1'!$B:$B, $B90, 'SEANCE 1'!$C:$C, AQ$2, 'SEANCE 1'!$F:$F, AQ$5)=0, "", COUNTIFS('SEANCE 1'!$B:$B, $B90, 'SEANCE 1'!$C:$C, AQ$2, 'SEANCE 1'!$F:$F, AQ$5))</f>
        <v/>
      </c>
      <c r="AR90" s="64" t="str">
        <f ca="1">IF(COUNTIFS('SEANCE 1'!$B:$B, $B90, 'SEANCE 1'!$C:$C, AR$2, 'SEANCE 1'!$F:$F, AR$5)=0, "", COUNTIFS('SEANCE 1'!$B:$B, $B90, 'SEANCE 1'!$C:$C, AR$2, 'SEANCE 1'!$F:$F, AR$5))</f>
        <v/>
      </c>
      <c r="AS90" s="64" t="str">
        <f ca="1">IF(COUNTIFS('SEANCE 1'!$B:$B, $B90, 'SEANCE 1'!$C:$C, AS$2, 'SEANCE 1'!$F:$F, AS$5)=0, "", COUNTIFS('SEANCE 1'!$B:$B, $B90, 'SEANCE 1'!$C:$C, AS$2, 'SEANCE 1'!$F:$F, AS$5))</f>
        <v/>
      </c>
      <c r="AT90" s="64" t="str">
        <f ca="1">IF(COUNTIFS('SEANCE 1'!$B:$B, $B90, 'SEANCE 1'!$C:$C, AT$2, 'SEANCE 1'!$F:$F, AT$5)=0, "", COUNTIFS('SEANCE 1'!$B:$B, $B90, 'SEANCE 1'!$C:$C, AT$2, 'SEANCE 1'!$F:$F, AT$5))</f>
        <v/>
      </c>
      <c r="AU90" s="64" t="str">
        <f ca="1">IF(COUNTIFS('SEANCE 1'!$B:$B, $B90, 'SEANCE 1'!$C:$C, AU$2, 'SEANCE 1'!$F:$F, AU$5)=0, "", COUNTIFS('SEANCE 1'!$B:$B, $B90, 'SEANCE 1'!$C:$C, AU$2, 'SEANCE 1'!$F:$F, AU$5))</f>
        <v/>
      </c>
      <c r="AV90" s="64" t="str">
        <f ca="1">IF(COUNTIFS('SEANCE 1'!$B:$B, $B90, 'SEANCE 1'!$C:$C, AV$2, 'SEANCE 1'!$F:$F, AV$5)=0, "", COUNTIFS('SEANCE 1'!$B:$B, $B90, 'SEANCE 1'!$C:$C, AV$2, 'SEANCE 1'!$F:$F, AV$5))</f>
        <v/>
      </c>
      <c r="AW90" s="64" t="str">
        <f ca="1">IF(COUNTIFS('SEANCE 1'!$B:$B, $B90, 'SEANCE 1'!$C:$C, AW$2, 'SEANCE 1'!$F:$F, AW$5)=0, "", COUNTIFS('SEANCE 1'!$B:$B, $B90, 'SEANCE 1'!$C:$C, AW$2, 'SEANCE 1'!$F:$F, AW$5))</f>
        <v/>
      </c>
      <c r="AX90" s="64" t="str">
        <f ca="1">IF(COUNTIFS('SEANCE 1'!$B:$B, $B90, 'SEANCE 1'!$C:$C, AX$2, 'SEANCE 1'!$F:$F, AX$5)=0, "", COUNTIFS('SEANCE 1'!$B:$B, $B90, 'SEANCE 1'!$C:$C, AX$2, 'SEANCE 1'!$F:$F, AX$5))</f>
        <v/>
      </c>
      <c r="AY90" s="64" t="str">
        <f ca="1">IF(COUNTIFS('SEANCE 1'!$B:$B, $B90, 'SEANCE 1'!$C:$C, AY$2, 'SEANCE 1'!$F:$F, AY$5)=0, "", COUNTIFS('SEANCE 1'!$B:$B, $B90, 'SEANCE 1'!$C:$C, AY$2, 'SEANCE 1'!$F:$F, AY$5))</f>
        <v/>
      </c>
      <c r="AZ90" s="32">
        <f t="shared" ca="1" si="1"/>
        <v>0</v>
      </c>
    </row>
    <row r="91" spans="1:52">
      <c r="A91" s="44" t="str">
        <f>IF('SEANCE 1'!$B87&lt;&gt;"",'SEANCE 1'!$A87,"")</f>
        <v/>
      </c>
      <c r="B91" s="44" t="str">
        <f t="array" aca="1" ref="B91" ca="1">IF(ISNA(INDEX(ListeB,MATCH(0,COUNTIF($B$5:B90,ListeB),0))),"",INDEX(ListeB,MATCH(0,COUNTIF($B$5:B90,ListeB),0)))</f>
        <v/>
      </c>
      <c r="C91" s="64" t="str">
        <f ca="1">IF(COUNTIFS('SEANCE 1'!$B:$B, $B91, 'SEANCE 1'!$C:$C, C$2, 'SEANCE 1'!$F:$F, C$5)=0, "", COUNTIFS('SEANCE 1'!$B:$B, $B91, 'SEANCE 1'!$C:$C, C$2, 'SEANCE 1'!$F:$F, C$5))</f>
        <v/>
      </c>
      <c r="D91" s="64" t="str">
        <f ca="1">IF(COUNTIFS('SEANCE 1'!$B:$B, $B91, 'SEANCE 1'!$C:$C, D$2, 'SEANCE 1'!$F:$F, D$5)=0, "", COUNTIFS('SEANCE 1'!$B:$B, $B91, 'SEANCE 1'!$C:$C, D$2, 'SEANCE 1'!$F:$F, D$5))</f>
        <v/>
      </c>
      <c r="E91" s="64" t="str">
        <f ca="1">IF(COUNTIFS('SEANCE 1'!$B:$B, $B91, 'SEANCE 1'!$C:$C, E$2, 'SEANCE 1'!$F:$F, E$5)=0, "", COUNTIFS('SEANCE 1'!$B:$B, $B91, 'SEANCE 1'!$C:$C, E$2, 'SEANCE 1'!$F:$F, E$5))</f>
        <v/>
      </c>
      <c r="F91" s="64" t="str">
        <f ca="1">IF(COUNTIFS('SEANCE 1'!$B:$B, $B91, 'SEANCE 1'!$C:$C, F$2, 'SEANCE 1'!$F:$F, F$5)=0, "", COUNTIFS('SEANCE 1'!$B:$B, $B91, 'SEANCE 1'!$C:$C, F$2, 'SEANCE 1'!$F:$F, F$5))</f>
        <v/>
      </c>
      <c r="G91" s="64" t="str">
        <f ca="1">IF(COUNTIFS('SEANCE 1'!$B:$B, $B91, 'SEANCE 1'!$C:$C, G$2, 'SEANCE 1'!$F:$F, G$5)=0, "", COUNTIFS('SEANCE 1'!$B:$B, $B91, 'SEANCE 1'!$C:$C, G$2, 'SEANCE 1'!$F:$F, G$5))</f>
        <v/>
      </c>
      <c r="H91" s="64" t="str">
        <f ca="1">IF(COUNTIFS('SEANCE 1'!$B:$B, $B91, 'SEANCE 1'!$C:$C, H$2, 'SEANCE 1'!$F:$F, H$5)=0, "", COUNTIFS('SEANCE 1'!$B:$B, $B91, 'SEANCE 1'!$C:$C, H$2, 'SEANCE 1'!$F:$F, H$5))</f>
        <v/>
      </c>
      <c r="I91" s="64" t="str">
        <f ca="1">IF(COUNTIFS('SEANCE 1'!$B:$B, $B91, 'SEANCE 1'!$C:$C, I$2, 'SEANCE 1'!$F:$F, I$5)=0, "", COUNTIFS('SEANCE 1'!$B:$B, $B91, 'SEANCE 1'!$C:$C, I$2, 'SEANCE 1'!$F:$F, I$5))</f>
        <v/>
      </c>
      <c r="J91" s="64" t="str">
        <f ca="1">IF(COUNTIFS('SEANCE 1'!$B:$B, $B91, 'SEANCE 1'!$C:$C, J$2, 'SEANCE 1'!$F:$F, J$5)=0, "", COUNTIFS('SEANCE 1'!$B:$B, $B91, 'SEANCE 1'!$C:$C, J$2, 'SEANCE 1'!$F:$F, J$5))</f>
        <v/>
      </c>
      <c r="K91" s="64" t="str">
        <f ca="1">IF(COUNTIFS('SEANCE 1'!$B:$B, $B91, 'SEANCE 1'!$C:$C, K$2, 'SEANCE 1'!$F:$F, K$5)=0, "", COUNTIFS('SEANCE 1'!$B:$B, $B91, 'SEANCE 1'!$C:$C, K$2, 'SEANCE 1'!$F:$F, K$5))</f>
        <v/>
      </c>
      <c r="L91" s="64" t="str">
        <f ca="1">IF(COUNTIFS('SEANCE 1'!$B:$B, $B91, 'SEANCE 1'!$C:$C, L$2, 'SEANCE 1'!$F:$F, L$5)=0, "", COUNTIFS('SEANCE 1'!$B:$B, $B91, 'SEANCE 1'!$C:$C, L$2, 'SEANCE 1'!$F:$F, L$5))</f>
        <v/>
      </c>
      <c r="M91" s="64" t="str">
        <f ca="1">IF(COUNTIFS('SEANCE 1'!$B:$B, $B91, 'SEANCE 1'!$C:$C, M$2, 'SEANCE 1'!$F:$F, M$5)=0, "", COUNTIFS('SEANCE 1'!$B:$B, $B91, 'SEANCE 1'!$C:$C, M$2, 'SEANCE 1'!$F:$F, M$5))</f>
        <v/>
      </c>
      <c r="N91" s="64" t="str">
        <f ca="1">IF(COUNTIFS('SEANCE 1'!$B:$B, $B91, 'SEANCE 1'!$C:$C, N$2, 'SEANCE 1'!$F:$F, N$5)=0, "", COUNTIFS('SEANCE 1'!$B:$B, $B91, 'SEANCE 1'!$C:$C, N$2, 'SEANCE 1'!$F:$F, N$5))</f>
        <v/>
      </c>
      <c r="O91" s="64" t="str">
        <f ca="1">IF(COUNTIFS('SEANCE 1'!$B:$B, $B91, 'SEANCE 1'!$C:$C, O$2, 'SEANCE 1'!$F:$F, O$5)=0, "", COUNTIFS('SEANCE 1'!$B:$B, $B91, 'SEANCE 1'!$C:$C, O$2, 'SEANCE 1'!$F:$F, O$5))</f>
        <v/>
      </c>
      <c r="P91" s="64" t="str">
        <f ca="1">IF(COUNTIFS('SEANCE 1'!$B:$B, $B91, 'SEANCE 1'!$C:$C, P$2, 'SEANCE 1'!$F:$F, P$5)=0, "", COUNTIFS('SEANCE 1'!$B:$B, $B91, 'SEANCE 1'!$C:$C, P$2, 'SEANCE 1'!$F:$F, P$5))</f>
        <v/>
      </c>
      <c r="Q91" s="64" t="str">
        <f ca="1">IF(COUNTIFS('SEANCE 1'!$B:$B, $B91, 'SEANCE 1'!$C:$C, Q$2, 'SEANCE 1'!$F:$F, Q$5)=0, "", COUNTIFS('SEANCE 1'!$B:$B, $B91, 'SEANCE 1'!$C:$C, Q$2, 'SEANCE 1'!$F:$F, Q$5))</f>
        <v/>
      </c>
      <c r="R91" s="64" t="str">
        <f ca="1">IF(COUNTIFS('SEANCE 1'!$B:$B, $B91, 'SEANCE 1'!$C:$C, R$2, 'SEANCE 1'!$F:$F, R$5)=0, "", COUNTIFS('SEANCE 1'!$B:$B, $B91, 'SEANCE 1'!$C:$C, R$2, 'SEANCE 1'!$F:$F, R$5))</f>
        <v/>
      </c>
      <c r="S91" s="64" t="str">
        <f ca="1">IF(COUNTIFS('SEANCE 1'!$B:$B, $B91, 'SEANCE 1'!$C:$C, S$2, 'SEANCE 1'!$F:$F, S$5)=0, "", COUNTIFS('SEANCE 1'!$B:$B, $B91, 'SEANCE 1'!$C:$C, S$2, 'SEANCE 1'!$F:$F, S$5))</f>
        <v/>
      </c>
      <c r="T91" s="64" t="str">
        <f ca="1">IF(COUNTIFS('SEANCE 1'!$B:$B, $B91, 'SEANCE 1'!$C:$C, T$2, 'SEANCE 1'!$F:$F, T$5)=0, "", COUNTIFS('SEANCE 1'!$B:$B, $B91, 'SEANCE 1'!$C:$C, T$2, 'SEANCE 1'!$F:$F, T$5))</f>
        <v/>
      </c>
      <c r="U91" s="64" t="str">
        <f ca="1">IF(COUNTIFS('SEANCE 1'!$B:$B, $B91, 'SEANCE 1'!$C:$C, U$2, 'SEANCE 1'!$F:$F, U$5)=0, "", COUNTIFS('SEANCE 1'!$B:$B, $B91, 'SEANCE 1'!$C:$C, U$2, 'SEANCE 1'!$F:$F, U$5))</f>
        <v/>
      </c>
      <c r="V91" s="64" t="str">
        <f ca="1">IF(COUNTIFS('SEANCE 1'!$B:$B, $B91, 'SEANCE 1'!$C:$C, V$2, 'SEANCE 1'!$F:$F, V$5)=0, "", COUNTIFS('SEANCE 1'!$B:$B, $B91, 'SEANCE 1'!$C:$C, V$2, 'SEANCE 1'!$F:$F, V$5))</f>
        <v/>
      </c>
      <c r="W91" s="64" t="str">
        <f ca="1">IF(COUNTIFS('SEANCE 1'!$B:$B, $B91, 'SEANCE 1'!$C:$C, W$2, 'SEANCE 1'!$F:$F, W$5)=0, "", COUNTIFS('SEANCE 1'!$B:$B, $B91, 'SEANCE 1'!$C:$C, W$2, 'SEANCE 1'!$F:$F, W$5))</f>
        <v/>
      </c>
      <c r="X91" s="64" t="str">
        <f ca="1">IF(COUNTIFS('SEANCE 1'!$B:$B, $B91, 'SEANCE 1'!$C:$C, X$2, 'SEANCE 1'!$F:$F, X$5)=0, "", COUNTIFS('SEANCE 1'!$B:$B, $B91, 'SEANCE 1'!$C:$C, X$2, 'SEANCE 1'!$F:$F, X$5))</f>
        <v/>
      </c>
      <c r="Y91" s="64" t="str">
        <f ca="1">IF(COUNTIFS('SEANCE 1'!$B:$B, $B91, 'SEANCE 1'!$C:$C, Y$2, 'SEANCE 1'!$F:$F, Y$5)=0, "", COUNTIFS('SEANCE 1'!$B:$B, $B91, 'SEANCE 1'!$C:$C, Y$2, 'SEANCE 1'!$F:$F, Y$5))</f>
        <v/>
      </c>
      <c r="Z91" s="64" t="str">
        <f ca="1">IF(COUNTIFS('SEANCE 1'!$B:$B, $B91, 'SEANCE 1'!$C:$C, Z$2, 'SEANCE 1'!$F:$F, Z$5)=0, "", COUNTIFS('SEANCE 1'!$B:$B, $B91, 'SEANCE 1'!$C:$C, Z$2, 'SEANCE 1'!$F:$F, Z$5))</f>
        <v/>
      </c>
      <c r="AA91" s="64" t="str">
        <f ca="1">IF(COUNTIFS('SEANCE 1'!$B:$B, $B91, 'SEANCE 1'!$C:$C, AA$2, 'SEANCE 1'!$F:$F, AA$5)=0, "", COUNTIFS('SEANCE 1'!$B:$B, $B91, 'SEANCE 1'!$C:$C, AA$2, 'SEANCE 1'!$F:$F, AA$5))</f>
        <v/>
      </c>
      <c r="AB91" s="64" t="str">
        <f ca="1">IF(COUNTIFS('SEANCE 1'!$B:$B, $B91, 'SEANCE 1'!$C:$C, AB$2, 'SEANCE 1'!$F:$F, AB$5)=0, "", COUNTIFS('SEANCE 1'!$B:$B, $B91, 'SEANCE 1'!$C:$C, AB$2, 'SEANCE 1'!$F:$F, AB$5))</f>
        <v/>
      </c>
      <c r="AC91" s="64" t="str">
        <f ca="1">IF(COUNTIFS('SEANCE 1'!$B:$B, $B91, 'SEANCE 1'!$C:$C, AC$2, 'SEANCE 1'!$F:$F, AC$5)=0, "", COUNTIFS('SEANCE 1'!$B:$B, $B91, 'SEANCE 1'!$C:$C, AC$2, 'SEANCE 1'!$F:$F, AC$5))</f>
        <v/>
      </c>
      <c r="AD91" s="64" t="str">
        <f ca="1">IF(COUNTIFS('SEANCE 1'!$B:$B, $B91, 'SEANCE 1'!$C:$C, AD$2, 'SEANCE 1'!$F:$F, AD$5)=0, "", COUNTIFS('SEANCE 1'!$B:$B, $B91, 'SEANCE 1'!$C:$C, AD$2, 'SEANCE 1'!$F:$F, AD$5))</f>
        <v/>
      </c>
      <c r="AE91" s="64" t="str">
        <f ca="1">IF(COUNTIFS('SEANCE 1'!$B:$B, $B91, 'SEANCE 1'!$C:$C, AE$2, 'SEANCE 1'!$F:$F, AE$5)=0, "", COUNTIFS('SEANCE 1'!$B:$B, $B91, 'SEANCE 1'!$C:$C, AE$2, 'SEANCE 1'!$F:$F, AE$5))</f>
        <v/>
      </c>
      <c r="AF91" s="64" t="str">
        <f ca="1">IF(COUNTIFS('SEANCE 1'!$B:$B, $B91, 'SEANCE 1'!$C:$C, AF$2, 'SEANCE 1'!$F:$F, AF$5)=0, "", COUNTIFS('SEANCE 1'!$B:$B, $B91, 'SEANCE 1'!$C:$C, AF$2, 'SEANCE 1'!$F:$F, AF$5))</f>
        <v/>
      </c>
      <c r="AG91" s="64" t="str">
        <f ca="1">IF(COUNTIFS('SEANCE 1'!$B:$B, $B91, 'SEANCE 1'!$C:$C, AG$2, 'SEANCE 1'!$F:$F, AG$5)=0, "", COUNTIFS('SEANCE 1'!$B:$B, $B91, 'SEANCE 1'!$C:$C, AG$2, 'SEANCE 1'!$F:$F, AG$5))</f>
        <v/>
      </c>
      <c r="AH91" s="64" t="str">
        <f ca="1">IF(COUNTIFS('SEANCE 1'!$B:$B, $B91, 'SEANCE 1'!$C:$C, AH$2, 'SEANCE 1'!$F:$F, AH$5)=0, "", COUNTIFS('SEANCE 1'!$B:$B, $B91, 'SEANCE 1'!$C:$C, AH$2, 'SEANCE 1'!$F:$F, AH$5))</f>
        <v/>
      </c>
      <c r="AI91" s="64" t="str">
        <f ca="1">IF(COUNTIFS('SEANCE 1'!$B:$B, $B91, 'SEANCE 1'!$C:$C, AI$2, 'SEANCE 1'!$F:$F, AI$5)=0, "", COUNTIFS('SEANCE 1'!$B:$B, $B91, 'SEANCE 1'!$C:$C, AI$2, 'SEANCE 1'!$F:$F, AI$5))</f>
        <v/>
      </c>
      <c r="AJ91" s="64" t="str">
        <f ca="1">IF(COUNTIFS('SEANCE 1'!$B:$B, $B91, 'SEANCE 1'!$C:$C, AJ$2, 'SEANCE 1'!$F:$F, AJ$5)=0, "", COUNTIFS('SEANCE 1'!$B:$B, $B91, 'SEANCE 1'!$C:$C, AJ$2, 'SEANCE 1'!$F:$F, AJ$5))</f>
        <v/>
      </c>
      <c r="AK91" s="64" t="str">
        <f ca="1">IF(COUNTIFS('SEANCE 1'!$B:$B, $B91, 'SEANCE 1'!$C:$C, AK$2, 'SEANCE 1'!$F:$F, AK$5)=0, "", COUNTIFS('SEANCE 1'!$B:$B, $B91, 'SEANCE 1'!$C:$C, AK$2, 'SEANCE 1'!$F:$F, AK$5))</f>
        <v/>
      </c>
      <c r="AL91" s="64" t="str">
        <f ca="1">IF(COUNTIFS('SEANCE 1'!$B:$B, $B91, 'SEANCE 1'!$C:$C, AL$2, 'SEANCE 1'!$F:$F, AL$5)=0, "", COUNTIFS('SEANCE 1'!$B:$B, $B91, 'SEANCE 1'!$C:$C, AL$2, 'SEANCE 1'!$F:$F, AL$5))</f>
        <v/>
      </c>
      <c r="AM91" s="64" t="str">
        <f ca="1">IF(COUNTIFS('SEANCE 1'!$B:$B, $B91, 'SEANCE 1'!$C:$C, AM$2, 'SEANCE 1'!$F:$F, AM$5)=0, "", COUNTIFS('SEANCE 1'!$B:$B, $B91, 'SEANCE 1'!$C:$C, AM$2, 'SEANCE 1'!$F:$F, AM$5))</f>
        <v/>
      </c>
      <c r="AN91" s="64" t="str">
        <f ca="1">IF(COUNTIFS('SEANCE 1'!$B:$B, $B91, 'SEANCE 1'!$C:$C, AN$2, 'SEANCE 1'!$F:$F, AN$5)=0, "", COUNTIFS('SEANCE 1'!$B:$B, $B91, 'SEANCE 1'!$C:$C, AN$2, 'SEANCE 1'!$F:$F, AN$5))</f>
        <v/>
      </c>
      <c r="AO91" s="64" t="str">
        <f ca="1">IF(COUNTIFS('SEANCE 1'!$B:$B, $B91, 'SEANCE 1'!$C:$C, AO$2, 'SEANCE 1'!$F:$F, AO$5)=0, "", COUNTIFS('SEANCE 1'!$B:$B, $B91, 'SEANCE 1'!$C:$C, AO$2, 'SEANCE 1'!$F:$F, AO$5))</f>
        <v/>
      </c>
      <c r="AP91" s="64" t="str">
        <f ca="1">IF(COUNTIFS('SEANCE 1'!$B:$B, $B91, 'SEANCE 1'!$C:$C, AP$2, 'SEANCE 1'!$F:$F, AP$5)=0, "", COUNTIFS('SEANCE 1'!$B:$B, $B91, 'SEANCE 1'!$C:$C, AP$2, 'SEANCE 1'!$F:$F, AP$5))</f>
        <v/>
      </c>
      <c r="AQ91" s="64" t="str">
        <f ca="1">IF(COUNTIFS('SEANCE 1'!$B:$B, $B91, 'SEANCE 1'!$C:$C, AQ$2, 'SEANCE 1'!$F:$F, AQ$5)=0, "", COUNTIFS('SEANCE 1'!$B:$B, $B91, 'SEANCE 1'!$C:$C, AQ$2, 'SEANCE 1'!$F:$F, AQ$5))</f>
        <v/>
      </c>
      <c r="AR91" s="64" t="str">
        <f ca="1">IF(COUNTIFS('SEANCE 1'!$B:$B, $B91, 'SEANCE 1'!$C:$C, AR$2, 'SEANCE 1'!$F:$F, AR$5)=0, "", COUNTIFS('SEANCE 1'!$B:$B, $B91, 'SEANCE 1'!$C:$C, AR$2, 'SEANCE 1'!$F:$F, AR$5))</f>
        <v/>
      </c>
      <c r="AS91" s="64" t="str">
        <f ca="1">IF(COUNTIFS('SEANCE 1'!$B:$B, $B91, 'SEANCE 1'!$C:$C, AS$2, 'SEANCE 1'!$F:$F, AS$5)=0, "", COUNTIFS('SEANCE 1'!$B:$B, $B91, 'SEANCE 1'!$C:$C, AS$2, 'SEANCE 1'!$F:$F, AS$5))</f>
        <v/>
      </c>
      <c r="AT91" s="64" t="str">
        <f ca="1">IF(COUNTIFS('SEANCE 1'!$B:$B, $B91, 'SEANCE 1'!$C:$C, AT$2, 'SEANCE 1'!$F:$F, AT$5)=0, "", COUNTIFS('SEANCE 1'!$B:$B, $B91, 'SEANCE 1'!$C:$C, AT$2, 'SEANCE 1'!$F:$F, AT$5))</f>
        <v/>
      </c>
      <c r="AU91" s="64" t="str">
        <f ca="1">IF(COUNTIFS('SEANCE 1'!$B:$B, $B91, 'SEANCE 1'!$C:$C, AU$2, 'SEANCE 1'!$F:$F, AU$5)=0, "", COUNTIFS('SEANCE 1'!$B:$B, $B91, 'SEANCE 1'!$C:$C, AU$2, 'SEANCE 1'!$F:$F, AU$5))</f>
        <v/>
      </c>
      <c r="AV91" s="64" t="str">
        <f ca="1">IF(COUNTIFS('SEANCE 1'!$B:$B, $B91, 'SEANCE 1'!$C:$C, AV$2, 'SEANCE 1'!$F:$F, AV$5)=0, "", COUNTIFS('SEANCE 1'!$B:$B, $B91, 'SEANCE 1'!$C:$C, AV$2, 'SEANCE 1'!$F:$F, AV$5))</f>
        <v/>
      </c>
      <c r="AW91" s="64" t="str">
        <f ca="1">IF(COUNTIFS('SEANCE 1'!$B:$B, $B91, 'SEANCE 1'!$C:$C, AW$2, 'SEANCE 1'!$F:$F, AW$5)=0, "", COUNTIFS('SEANCE 1'!$B:$B, $B91, 'SEANCE 1'!$C:$C, AW$2, 'SEANCE 1'!$F:$F, AW$5))</f>
        <v/>
      </c>
      <c r="AX91" s="64" t="str">
        <f ca="1">IF(COUNTIFS('SEANCE 1'!$B:$B, $B91, 'SEANCE 1'!$C:$C, AX$2, 'SEANCE 1'!$F:$F, AX$5)=0, "", COUNTIFS('SEANCE 1'!$B:$B, $B91, 'SEANCE 1'!$C:$C, AX$2, 'SEANCE 1'!$F:$F, AX$5))</f>
        <v/>
      </c>
      <c r="AY91" s="64" t="str">
        <f ca="1">IF(COUNTIFS('SEANCE 1'!$B:$B, $B91, 'SEANCE 1'!$C:$C, AY$2, 'SEANCE 1'!$F:$F, AY$5)=0, "", COUNTIFS('SEANCE 1'!$B:$B, $B91, 'SEANCE 1'!$C:$C, AY$2, 'SEANCE 1'!$F:$F, AY$5))</f>
        <v/>
      </c>
      <c r="AZ91" s="32">
        <f t="shared" ca="1" si="1"/>
        <v>0</v>
      </c>
    </row>
    <row r="92" spans="1:52">
      <c r="A92" s="44" t="str">
        <f>IF('SEANCE 1'!$B88&lt;&gt;"",'SEANCE 1'!$A88,"")</f>
        <v/>
      </c>
      <c r="B92" s="44" t="str">
        <f t="array" aca="1" ref="B92" ca="1">IF(ISNA(INDEX(ListeB,MATCH(0,COUNTIF($B$5:B91,ListeB),0))),"",INDEX(ListeB,MATCH(0,COUNTIF($B$5:B91,ListeB),0)))</f>
        <v/>
      </c>
      <c r="C92" s="64" t="str">
        <f ca="1">IF(COUNTIFS('SEANCE 1'!$B:$B, $B92, 'SEANCE 1'!$C:$C, C$2, 'SEANCE 1'!$F:$F, C$5)=0, "", COUNTIFS('SEANCE 1'!$B:$B, $B92, 'SEANCE 1'!$C:$C, C$2, 'SEANCE 1'!$F:$F, C$5))</f>
        <v/>
      </c>
      <c r="D92" s="64" t="str">
        <f ca="1">IF(COUNTIFS('SEANCE 1'!$B:$B, $B92, 'SEANCE 1'!$C:$C, D$2, 'SEANCE 1'!$F:$F, D$5)=0, "", COUNTIFS('SEANCE 1'!$B:$B, $B92, 'SEANCE 1'!$C:$C, D$2, 'SEANCE 1'!$F:$F, D$5))</f>
        <v/>
      </c>
      <c r="E92" s="64" t="str">
        <f ca="1">IF(COUNTIFS('SEANCE 1'!$B:$B, $B92, 'SEANCE 1'!$C:$C, E$2, 'SEANCE 1'!$F:$F, E$5)=0, "", COUNTIFS('SEANCE 1'!$B:$B, $B92, 'SEANCE 1'!$C:$C, E$2, 'SEANCE 1'!$F:$F, E$5))</f>
        <v/>
      </c>
      <c r="F92" s="64" t="str">
        <f ca="1">IF(COUNTIFS('SEANCE 1'!$B:$B, $B92, 'SEANCE 1'!$C:$C, F$2, 'SEANCE 1'!$F:$F, F$5)=0, "", COUNTIFS('SEANCE 1'!$B:$B, $B92, 'SEANCE 1'!$C:$C, F$2, 'SEANCE 1'!$F:$F, F$5))</f>
        <v/>
      </c>
      <c r="G92" s="64" t="str">
        <f ca="1">IF(COUNTIFS('SEANCE 1'!$B:$B, $B92, 'SEANCE 1'!$C:$C, G$2, 'SEANCE 1'!$F:$F, G$5)=0, "", COUNTIFS('SEANCE 1'!$B:$B, $B92, 'SEANCE 1'!$C:$C, G$2, 'SEANCE 1'!$F:$F, G$5))</f>
        <v/>
      </c>
      <c r="H92" s="64" t="str">
        <f ca="1">IF(COUNTIFS('SEANCE 1'!$B:$B, $B92, 'SEANCE 1'!$C:$C, H$2, 'SEANCE 1'!$F:$F, H$5)=0, "", COUNTIFS('SEANCE 1'!$B:$B, $B92, 'SEANCE 1'!$C:$C, H$2, 'SEANCE 1'!$F:$F, H$5))</f>
        <v/>
      </c>
      <c r="I92" s="64" t="str">
        <f ca="1">IF(COUNTIFS('SEANCE 1'!$B:$B, $B92, 'SEANCE 1'!$C:$C, I$2, 'SEANCE 1'!$F:$F, I$5)=0, "", COUNTIFS('SEANCE 1'!$B:$B, $B92, 'SEANCE 1'!$C:$C, I$2, 'SEANCE 1'!$F:$F, I$5))</f>
        <v/>
      </c>
      <c r="J92" s="64" t="str">
        <f ca="1">IF(COUNTIFS('SEANCE 1'!$B:$B, $B92, 'SEANCE 1'!$C:$C, J$2, 'SEANCE 1'!$F:$F, J$5)=0, "", COUNTIFS('SEANCE 1'!$B:$B, $B92, 'SEANCE 1'!$C:$C, J$2, 'SEANCE 1'!$F:$F, J$5))</f>
        <v/>
      </c>
      <c r="K92" s="64" t="str">
        <f ca="1">IF(COUNTIFS('SEANCE 1'!$B:$B, $B92, 'SEANCE 1'!$C:$C, K$2, 'SEANCE 1'!$F:$F, K$5)=0, "", COUNTIFS('SEANCE 1'!$B:$B, $B92, 'SEANCE 1'!$C:$C, K$2, 'SEANCE 1'!$F:$F, K$5))</f>
        <v/>
      </c>
      <c r="L92" s="64" t="str">
        <f ca="1">IF(COUNTIFS('SEANCE 1'!$B:$B, $B92, 'SEANCE 1'!$C:$C, L$2, 'SEANCE 1'!$F:$F, L$5)=0, "", COUNTIFS('SEANCE 1'!$B:$B, $B92, 'SEANCE 1'!$C:$C, L$2, 'SEANCE 1'!$F:$F, L$5))</f>
        <v/>
      </c>
      <c r="M92" s="64" t="str">
        <f ca="1">IF(COUNTIFS('SEANCE 1'!$B:$B, $B92, 'SEANCE 1'!$C:$C, M$2, 'SEANCE 1'!$F:$F, M$5)=0, "", COUNTIFS('SEANCE 1'!$B:$B, $B92, 'SEANCE 1'!$C:$C, M$2, 'SEANCE 1'!$F:$F, M$5))</f>
        <v/>
      </c>
      <c r="N92" s="64" t="str">
        <f ca="1">IF(COUNTIFS('SEANCE 1'!$B:$B, $B92, 'SEANCE 1'!$C:$C, N$2, 'SEANCE 1'!$F:$F, N$5)=0, "", COUNTIFS('SEANCE 1'!$B:$B, $B92, 'SEANCE 1'!$C:$C, N$2, 'SEANCE 1'!$F:$F, N$5))</f>
        <v/>
      </c>
      <c r="O92" s="64" t="str">
        <f ca="1">IF(COUNTIFS('SEANCE 1'!$B:$B, $B92, 'SEANCE 1'!$C:$C, O$2, 'SEANCE 1'!$F:$F, O$5)=0, "", COUNTIFS('SEANCE 1'!$B:$B, $B92, 'SEANCE 1'!$C:$C, O$2, 'SEANCE 1'!$F:$F, O$5))</f>
        <v/>
      </c>
      <c r="P92" s="64" t="str">
        <f ca="1">IF(COUNTIFS('SEANCE 1'!$B:$B, $B92, 'SEANCE 1'!$C:$C, P$2, 'SEANCE 1'!$F:$F, P$5)=0, "", COUNTIFS('SEANCE 1'!$B:$B, $B92, 'SEANCE 1'!$C:$C, P$2, 'SEANCE 1'!$F:$F, P$5))</f>
        <v/>
      </c>
      <c r="Q92" s="64" t="str">
        <f ca="1">IF(COUNTIFS('SEANCE 1'!$B:$B, $B92, 'SEANCE 1'!$C:$C, Q$2, 'SEANCE 1'!$F:$F, Q$5)=0, "", COUNTIFS('SEANCE 1'!$B:$B, $B92, 'SEANCE 1'!$C:$C, Q$2, 'SEANCE 1'!$F:$F, Q$5))</f>
        <v/>
      </c>
      <c r="R92" s="64" t="str">
        <f ca="1">IF(COUNTIFS('SEANCE 1'!$B:$B, $B92, 'SEANCE 1'!$C:$C, R$2, 'SEANCE 1'!$F:$F, R$5)=0, "", COUNTIFS('SEANCE 1'!$B:$B, $B92, 'SEANCE 1'!$C:$C, R$2, 'SEANCE 1'!$F:$F, R$5))</f>
        <v/>
      </c>
      <c r="S92" s="64" t="str">
        <f ca="1">IF(COUNTIFS('SEANCE 1'!$B:$B, $B92, 'SEANCE 1'!$C:$C, S$2, 'SEANCE 1'!$F:$F, S$5)=0, "", COUNTIFS('SEANCE 1'!$B:$B, $B92, 'SEANCE 1'!$C:$C, S$2, 'SEANCE 1'!$F:$F, S$5))</f>
        <v/>
      </c>
      <c r="T92" s="64" t="str">
        <f ca="1">IF(COUNTIFS('SEANCE 1'!$B:$B, $B92, 'SEANCE 1'!$C:$C, T$2, 'SEANCE 1'!$F:$F, T$5)=0, "", COUNTIFS('SEANCE 1'!$B:$B, $B92, 'SEANCE 1'!$C:$C, T$2, 'SEANCE 1'!$F:$F, T$5))</f>
        <v/>
      </c>
      <c r="U92" s="64" t="str">
        <f ca="1">IF(COUNTIFS('SEANCE 1'!$B:$B, $B92, 'SEANCE 1'!$C:$C, U$2, 'SEANCE 1'!$F:$F, U$5)=0, "", COUNTIFS('SEANCE 1'!$B:$B, $B92, 'SEANCE 1'!$C:$C, U$2, 'SEANCE 1'!$F:$F, U$5))</f>
        <v/>
      </c>
      <c r="V92" s="64" t="str">
        <f ca="1">IF(COUNTIFS('SEANCE 1'!$B:$B, $B92, 'SEANCE 1'!$C:$C, V$2, 'SEANCE 1'!$F:$F, V$5)=0, "", COUNTIFS('SEANCE 1'!$B:$B, $B92, 'SEANCE 1'!$C:$C, V$2, 'SEANCE 1'!$F:$F, V$5))</f>
        <v/>
      </c>
      <c r="W92" s="64" t="str">
        <f ca="1">IF(COUNTIFS('SEANCE 1'!$B:$B, $B92, 'SEANCE 1'!$C:$C, W$2, 'SEANCE 1'!$F:$F, W$5)=0, "", COUNTIFS('SEANCE 1'!$B:$B, $B92, 'SEANCE 1'!$C:$C, W$2, 'SEANCE 1'!$F:$F, W$5))</f>
        <v/>
      </c>
      <c r="X92" s="64" t="str">
        <f ca="1">IF(COUNTIFS('SEANCE 1'!$B:$B, $B92, 'SEANCE 1'!$C:$C, X$2, 'SEANCE 1'!$F:$F, X$5)=0, "", COUNTIFS('SEANCE 1'!$B:$B, $B92, 'SEANCE 1'!$C:$C, X$2, 'SEANCE 1'!$F:$F, X$5))</f>
        <v/>
      </c>
      <c r="Y92" s="64" t="str">
        <f ca="1">IF(COUNTIFS('SEANCE 1'!$B:$B, $B92, 'SEANCE 1'!$C:$C, Y$2, 'SEANCE 1'!$F:$F, Y$5)=0, "", COUNTIFS('SEANCE 1'!$B:$B, $B92, 'SEANCE 1'!$C:$C, Y$2, 'SEANCE 1'!$F:$F, Y$5))</f>
        <v/>
      </c>
      <c r="Z92" s="64" t="str">
        <f ca="1">IF(COUNTIFS('SEANCE 1'!$B:$B, $B92, 'SEANCE 1'!$C:$C, Z$2, 'SEANCE 1'!$F:$F, Z$5)=0, "", COUNTIFS('SEANCE 1'!$B:$B, $B92, 'SEANCE 1'!$C:$C, Z$2, 'SEANCE 1'!$F:$F, Z$5))</f>
        <v/>
      </c>
      <c r="AA92" s="64" t="str">
        <f ca="1">IF(COUNTIFS('SEANCE 1'!$B:$B, $B92, 'SEANCE 1'!$C:$C, AA$2, 'SEANCE 1'!$F:$F, AA$5)=0, "", COUNTIFS('SEANCE 1'!$B:$B, $B92, 'SEANCE 1'!$C:$C, AA$2, 'SEANCE 1'!$F:$F, AA$5))</f>
        <v/>
      </c>
      <c r="AB92" s="64" t="str">
        <f ca="1">IF(COUNTIFS('SEANCE 1'!$B:$B, $B92, 'SEANCE 1'!$C:$C, AB$2, 'SEANCE 1'!$F:$F, AB$5)=0, "", COUNTIFS('SEANCE 1'!$B:$B, $B92, 'SEANCE 1'!$C:$C, AB$2, 'SEANCE 1'!$F:$F, AB$5))</f>
        <v/>
      </c>
      <c r="AC92" s="64" t="str">
        <f ca="1">IF(COUNTIFS('SEANCE 1'!$B:$B, $B92, 'SEANCE 1'!$C:$C, AC$2, 'SEANCE 1'!$F:$F, AC$5)=0, "", COUNTIFS('SEANCE 1'!$B:$B, $B92, 'SEANCE 1'!$C:$C, AC$2, 'SEANCE 1'!$F:$F, AC$5))</f>
        <v/>
      </c>
      <c r="AD92" s="64" t="str">
        <f ca="1">IF(COUNTIFS('SEANCE 1'!$B:$B, $B92, 'SEANCE 1'!$C:$C, AD$2, 'SEANCE 1'!$F:$F, AD$5)=0, "", COUNTIFS('SEANCE 1'!$B:$B, $B92, 'SEANCE 1'!$C:$C, AD$2, 'SEANCE 1'!$F:$F, AD$5))</f>
        <v/>
      </c>
      <c r="AE92" s="64" t="str">
        <f ca="1">IF(COUNTIFS('SEANCE 1'!$B:$B, $B92, 'SEANCE 1'!$C:$C, AE$2, 'SEANCE 1'!$F:$F, AE$5)=0, "", COUNTIFS('SEANCE 1'!$B:$B, $B92, 'SEANCE 1'!$C:$C, AE$2, 'SEANCE 1'!$F:$F, AE$5))</f>
        <v/>
      </c>
      <c r="AF92" s="64" t="str">
        <f ca="1">IF(COUNTIFS('SEANCE 1'!$B:$B, $B92, 'SEANCE 1'!$C:$C, AF$2, 'SEANCE 1'!$F:$F, AF$5)=0, "", COUNTIFS('SEANCE 1'!$B:$B, $B92, 'SEANCE 1'!$C:$C, AF$2, 'SEANCE 1'!$F:$F, AF$5))</f>
        <v/>
      </c>
      <c r="AG92" s="64" t="str">
        <f ca="1">IF(COUNTIFS('SEANCE 1'!$B:$B, $B92, 'SEANCE 1'!$C:$C, AG$2, 'SEANCE 1'!$F:$F, AG$5)=0, "", COUNTIFS('SEANCE 1'!$B:$B, $B92, 'SEANCE 1'!$C:$C, AG$2, 'SEANCE 1'!$F:$F, AG$5))</f>
        <v/>
      </c>
      <c r="AH92" s="64" t="str">
        <f ca="1">IF(COUNTIFS('SEANCE 1'!$B:$B, $B92, 'SEANCE 1'!$C:$C, AH$2, 'SEANCE 1'!$F:$F, AH$5)=0, "", COUNTIFS('SEANCE 1'!$B:$B, $B92, 'SEANCE 1'!$C:$C, AH$2, 'SEANCE 1'!$F:$F, AH$5))</f>
        <v/>
      </c>
      <c r="AI92" s="64" t="str">
        <f ca="1">IF(COUNTIFS('SEANCE 1'!$B:$B, $B92, 'SEANCE 1'!$C:$C, AI$2, 'SEANCE 1'!$F:$F, AI$5)=0, "", COUNTIFS('SEANCE 1'!$B:$B, $B92, 'SEANCE 1'!$C:$C, AI$2, 'SEANCE 1'!$F:$F, AI$5))</f>
        <v/>
      </c>
      <c r="AJ92" s="64" t="str">
        <f ca="1">IF(COUNTIFS('SEANCE 1'!$B:$B, $B92, 'SEANCE 1'!$C:$C, AJ$2, 'SEANCE 1'!$F:$F, AJ$5)=0, "", COUNTIFS('SEANCE 1'!$B:$B, $B92, 'SEANCE 1'!$C:$C, AJ$2, 'SEANCE 1'!$F:$F, AJ$5))</f>
        <v/>
      </c>
      <c r="AK92" s="64" t="str">
        <f ca="1">IF(COUNTIFS('SEANCE 1'!$B:$B, $B92, 'SEANCE 1'!$C:$C, AK$2, 'SEANCE 1'!$F:$F, AK$5)=0, "", COUNTIFS('SEANCE 1'!$B:$B, $B92, 'SEANCE 1'!$C:$C, AK$2, 'SEANCE 1'!$F:$F, AK$5))</f>
        <v/>
      </c>
      <c r="AL92" s="64" t="str">
        <f ca="1">IF(COUNTIFS('SEANCE 1'!$B:$B, $B92, 'SEANCE 1'!$C:$C, AL$2, 'SEANCE 1'!$F:$F, AL$5)=0, "", COUNTIFS('SEANCE 1'!$B:$B, $B92, 'SEANCE 1'!$C:$C, AL$2, 'SEANCE 1'!$F:$F, AL$5))</f>
        <v/>
      </c>
      <c r="AM92" s="64" t="str">
        <f ca="1">IF(COUNTIFS('SEANCE 1'!$B:$B, $B92, 'SEANCE 1'!$C:$C, AM$2, 'SEANCE 1'!$F:$F, AM$5)=0, "", COUNTIFS('SEANCE 1'!$B:$B, $B92, 'SEANCE 1'!$C:$C, AM$2, 'SEANCE 1'!$F:$F, AM$5))</f>
        <v/>
      </c>
      <c r="AN92" s="64" t="str">
        <f ca="1">IF(COUNTIFS('SEANCE 1'!$B:$B, $B92, 'SEANCE 1'!$C:$C, AN$2, 'SEANCE 1'!$F:$F, AN$5)=0, "", COUNTIFS('SEANCE 1'!$B:$B, $B92, 'SEANCE 1'!$C:$C, AN$2, 'SEANCE 1'!$F:$F, AN$5))</f>
        <v/>
      </c>
      <c r="AO92" s="64" t="str">
        <f ca="1">IF(COUNTIFS('SEANCE 1'!$B:$B, $B92, 'SEANCE 1'!$C:$C, AO$2, 'SEANCE 1'!$F:$F, AO$5)=0, "", COUNTIFS('SEANCE 1'!$B:$B, $B92, 'SEANCE 1'!$C:$C, AO$2, 'SEANCE 1'!$F:$F, AO$5))</f>
        <v/>
      </c>
      <c r="AP92" s="64" t="str">
        <f ca="1">IF(COUNTIFS('SEANCE 1'!$B:$B, $B92, 'SEANCE 1'!$C:$C, AP$2, 'SEANCE 1'!$F:$F, AP$5)=0, "", COUNTIFS('SEANCE 1'!$B:$B, $B92, 'SEANCE 1'!$C:$C, AP$2, 'SEANCE 1'!$F:$F, AP$5))</f>
        <v/>
      </c>
      <c r="AQ92" s="64" t="str">
        <f ca="1">IF(COUNTIFS('SEANCE 1'!$B:$B, $B92, 'SEANCE 1'!$C:$C, AQ$2, 'SEANCE 1'!$F:$F, AQ$5)=0, "", COUNTIFS('SEANCE 1'!$B:$B, $B92, 'SEANCE 1'!$C:$C, AQ$2, 'SEANCE 1'!$F:$F, AQ$5))</f>
        <v/>
      </c>
      <c r="AR92" s="64" t="str">
        <f ca="1">IF(COUNTIFS('SEANCE 1'!$B:$B, $B92, 'SEANCE 1'!$C:$C, AR$2, 'SEANCE 1'!$F:$F, AR$5)=0, "", COUNTIFS('SEANCE 1'!$B:$B, $B92, 'SEANCE 1'!$C:$C, AR$2, 'SEANCE 1'!$F:$F, AR$5))</f>
        <v/>
      </c>
      <c r="AS92" s="64" t="str">
        <f ca="1">IF(COUNTIFS('SEANCE 1'!$B:$B, $B92, 'SEANCE 1'!$C:$C, AS$2, 'SEANCE 1'!$F:$F, AS$5)=0, "", COUNTIFS('SEANCE 1'!$B:$B, $B92, 'SEANCE 1'!$C:$C, AS$2, 'SEANCE 1'!$F:$F, AS$5))</f>
        <v/>
      </c>
      <c r="AT92" s="64" t="str">
        <f ca="1">IF(COUNTIFS('SEANCE 1'!$B:$B, $B92, 'SEANCE 1'!$C:$C, AT$2, 'SEANCE 1'!$F:$F, AT$5)=0, "", COUNTIFS('SEANCE 1'!$B:$B, $B92, 'SEANCE 1'!$C:$C, AT$2, 'SEANCE 1'!$F:$F, AT$5))</f>
        <v/>
      </c>
      <c r="AU92" s="64" t="str">
        <f ca="1">IF(COUNTIFS('SEANCE 1'!$B:$B, $B92, 'SEANCE 1'!$C:$C, AU$2, 'SEANCE 1'!$F:$F, AU$5)=0, "", COUNTIFS('SEANCE 1'!$B:$B, $B92, 'SEANCE 1'!$C:$C, AU$2, 'SEANCE 1'!$F:$F, AU$5))</f>
        <v/>
      </c>
      <c r="AV92" s="64" t="str">
        <f ca="1">IF(COUNTIFS('SEANCE 1'!$B:$B, $B92, 'SEANCE 1'!$C:$C, AV$2, 'SEANCE 1'!$F:$F, AV$5)=0, "", COUNTIFS('SEANCE 1'!$B:$B, $B92, 'SEANCE 1'!$C:$C, AV$2, 'SEANCE 1'!$F:$F, AV$5))</f>
        <v/>
      </c>
      <c r="AW92" s="64" t="str">
        <f ca="1">IF(COUNTIFS('SEANCE 1'!$B:$B, $B92, 'SEANCE 1'!$C:$C, AW$2, 'SEANCE 1'!$F:$F, AW$5)=0, "", COUNTIFS('SEANCE 1'!$B:$B, $B92, 'SEANCE 1'!$C:$C, AW$2, 'SEANCE 1'!$F:$F, AW$5))</f>
        <v/>
      </c>
      <c r="AX92" s="64" t="str">
        <f ca="1">IF(COUNTIFS('SEANCE 1'!$B:$B, $B92, 'SEANCE 1'!$C:$C, AX$2, 'SEANCE 1'!$F:$F, AX$5)=0, "", COUNTIFS('SEANCE 1'!$B:$B, $B92, 'SEANCE 1'!$C:$C, AX$2, 'SEANCE 1'!$F:$F, AX$5))</f>
        <v/>
      </c>
      <c r="AY92" s="64" t="str">
        <f ca="1">IF(COUNTIFS('SEANCE 1'!$B:$B, $B92, 'SEANCE 1'!$C:$C, AY$2, 'SEANCE 1'!$F:$F, AY$5)=0, "", COUNTIFS('SEANCE 1'!$B:$B, $B92, 'SEANCE 1'!$C:$C, AY$2, 'SEANCE 1'!$F:$F, AY$5))</f>
        <v/>
      </c>
      <c r="AZ92" s="32">
        <f t="shared" ca="1" si="1"/>
        <v>0</v>
      </c>
    </row>
    <row r="93" spans="1:52">
      <c r="A93" s="44" t="str">
        <f>IF('SEANCE 1'!$B89&lt;&gt;"",'SEANCE 1'!$A89,"")</f>
        <v/>
      </c>
      <c r="B93" s="44" t="str">
        <f t="array" aca="1" ref="B93" ca="1">IF(ISNA(INDEX(ListeB,MATCH(0,COUNTIF($B$5:B92,ListeB),0))),"",INDEX(ListeB,MATCH(0,COUNTIF($B$5:B92,ListeB),0)))</f>
        <v/>
      </c>
      <c r="C93" s="64" t="str">
        <f ca="1">IF(COUNTIFS('SEANCE 1'!$B:$B, $B93, 'SEANCE 1'!$C:$C, C$2, 'SEANCE 1'!$F:$F, C$5)=0, "", COUNTIFS('SEANCE 1'!$B:$B, $B93, 'SEANCE 1'!$C:$C, C$2, 'SEANCE 1'!$F:$F, C$5))</f>
        <v/>
      </c>
      <c r="D93" s="64" t="str">
        <f ca="1">IF(COUNTIFS('SEANCE 1'!$B:$B, $B93, 'SEANCE 1'!$C:$C, D$2, 'SEANCE 1'!$F:$F, D$5)=0, "", COUNTIFS('SEANCE 1'!$B:$B, $B93, 'SEANCE 1'!$C:$C, D$2, 'SEANCE 1'!$F:$F, D$5))</f>
        <v/>
      </c>
      <c r="E93" s="64" t="str">
        <f ca="1">IF(COUNTIFS('SEANCE 1'!$B:$B, $B93, 'SEANCE 1'!$C:$C, E$2, 'SEANCE 1'!$F:$F, E$5)=0, "", COUNTIFS('SEANCE 1'!$B:$B, $B93, 'SEANCE 1'!$C:$C, E$2, 'SEANCE 1'!$F:$F, E$5))</f>
        <v/>
      </c>
      <c r="F93" s="64" t="str">
        <f ca="1">IF(COUNTIFS('SEANCE 1'!$B:$B, $B93, 'SEANCE 1'!$C:$C, F$2, 'SEANCE 1'!$F:$F, F$5)=0, "", COUNTIFS('SEANCE 1'!$B:$B, $B93, 'SEANCE 1'!$C:$C, F$2, 'SEANCE 1'!$F:$F, F$5))</f>
        <v/>
      </c>
      <c r="G93" s="64" t="str">
        <f ca="1">IF(COUNTIFS('SEANCE 1'!$B:$B, $B93, 'SEANCE 1'!$C:$C, G$2, 'SEANCE 1'!$F:$F, G$5)=0, "", COUNTIFS('SEANCE 1'!$B:$B, $B93, 'SEANCE 1'!$C:$C, G$2, 'SEANCE 1'!$F:$F, G$5))</f>
        <v/>
      </c>
      <c r="H93" s="64" t="str">
        <f ca="1">IF(COUNTIFS('SEANCE 1'!$B:$B, $B93, 'SEANCE 1'!$C:$C, H$2, 'SEANCE 1'!$F:$F, H$5)=0, "", COUNTIFS('SEANCE 1'!$B:$B, $B93, 'SEANCE 1'!$C:$C, H$2, 'SEANCE 1'!$F:$F, H$5))</f>
        <v/>
      </c>
      <c r="I93" s="64" t="str">
        <f ca="1">IF(COUNTIFS('SEANCE 1'!$B:$B, $B93, 'SEANCE 1'!$C:$C, I$2, 'SEANCE 1'!$F:$F, I$5)=0, "", COUNTIFS('SEANCE 1'!$B:$B, $B93, 'SEANCE 1'!$C:$C, I$2, 'SEANCE 1'!$F:$F, I$5))</f>
        <v/>
      </c>
      <c r="J93" s="64" t="str">
        <f ca="1">IF(COUNTIFS('SEANCE 1'!$B:$B, $B93, 'SEANCE 1'!$C:$C, J$2, 'SEANCE 1'!$F:$F, J$5)=0, "", COUNTIFS('SEANCE 1'!$B:$B, $B93, 'SEANCE 1'!$C:$C, J$2, 'SEANCE 1'!$F:$F, J$5))</f>
        <v/>
      </c>
      <c r="K93" s="64" t="str">
        <f ca="1">IF(COUNTIFS('SEANCE 1'!$B:$B, $B93, 'SEANCE 1'!$C:$C, K$2, 'SEANCE 1'!$F:$F, K$5)=0, "", COUNTIFS('SEANCE 1'!$B:$B, $B93, 'SEANCE 1'!$C:$C, K$2, 'SEANCE 1'!$F:$F, K$5))</f>
        <v/>
      </c>
      <c r="L93" s="64" t="str">
        <f ca="1">IF(COUNTIFS('SEANCE 1'!$B:$B, $B93, 'SEANCE 1'!$C:$C, L$2, 'SEANCE 1'!$F:$F, L$5)=0, "", COUNTIFS('SEANCE 1'!$B:$B, $B93, 'SEANCE 1'!$C:$C, L$2, 'SEANCE 1'!$F:$F, L$5))</f>
        <v/>
      </c>
      <c r="M93" s="64" t="str">
        <f ca="1">IF(COUNTIFS('SEANCE 1'!$B:$B, $B93, 'SEANCE 1'!$C:$C, M$2, 'SEANCE 1'!$F:$F, M$5)=0, "", COUNTIFS('SEANCE 1'!$B:$B, $B93, 'SEANCE 1'!$C:$C, M$2, 'SEANCE 1'!$F:$F, M$5))</f>
        <v/>
      </c>
      <c r="N93" s="64" t="str">
        <f ca="1">IF(COUNTIFS('SEANCE 1'!$B:$B, $B93, 'SEANCE 1'!$C:$C, N$2, 'SEANCE 1'!$F:$F, N$5)=0, "", COUNTIFS('SEANCE 1'!$B:$B, $B93, 'SEANCE 1'!$C:$C, N$2, 'SEANCE 1'!$F:$F, N$5))</f>
        <v/>
      </c>
      <c r="O93" s="64" t="str">
        <f ca="1">IF(COUNTIFS('SEANCE 1'!$B:$B, $B93, 'SEANCE 1'!$C:$C, O$2, 'SEANCE 1'!$F:$F, O$5)=0, "", COUNTIFS('SEANCE 1'!$B:$B, $B93, 'SEANCE 1'!$C:$C, O$2, 'SEANCE 1'!$F:$F, O$5))</f>
        <v/>
      </c>
      <c r="P93" s="64" t="str">
        <f ca="1">IF(COUNTIFS('SEANCE 1'!$B:$B, $B93, 'SEANCE 1'!$C:$C, P$2, 'SEANCE 1'!$F:$F, P$5)=0, "", COUNTIFS('SEANCE 1'!$B:$B, $B93, 'SEANCE 1'!$C:$C, P$2, 'SEANCE 1'!$F:$F, P$5))</f>
        <v/>
      </c>
      <c r="Q93" s="64" t="str">
        <f ca="1">IF(COUNTIFS('SEANCE 1'!$B:$B, $B93, 'SEANCE 1'!$C:$C, Q$2, 'SEANCE 1'!$F:$F, Q$5)=0, "", COUNTIFS('SEANCE 1'!$B:$B, $B93, 'SEANCE 1'!$C:$C, Q$2, 'SEANCE 1'!$F:$F, Q$5))</f>
        <v/>
      </c>
      <c r="R93" s="64" t="str">
        <f ca="1">IF(COUNTIFS('SEANCE 1'!$B:$B, $B93, 'SEANCE 1'!$C:$C, R$2, 'SEANCE 1'!$F:$F, R$5)=0, "", COUNTIFS('SEANCE 1'!$B:$B, $B93, 'SEANCE 1'!$C:$C, R$2, 'SEANCE 1'!$F:$F, R$5))</f>
        <v/>
      </c>
      <c r="S93" s="64" t="str">
        <f ca="1">IF(COUNTIFS('SEANCE 1'!$B:$B, $B93, 'SEANCE 1'!$C:$C, S$2, 'SEANCE 1'!$F:$F, S$5)=0, "", COUNTIFS('SEANCE 1'!$B:$B, $B93, 'SEANCE 1'!$C:$C, S$2, 'SEANCE 1'!$F:$F, S$5))</f>
        <v/>
      </c>
      <c r="T93" s="64" t="str">
        <f ca="1">IF(COUNTIFS('SEANCE 1'!$B:$B, $B93, 'SEANCE 1'!$C:$C, T$2, 'SEANCE 1'!$F:$F, T$5)=0, "", COUNTIFS('SEANCE 1'!$B:$B, $B93, 'SEANCE 1'!$C:$C, T$2, 'SEANCE 1'!$F:$F, T$5))</f>
        <v/>
      </c>
      <c r="U93" s="64" t="str">
        <f ca="1">IF(COUNTIFS('SEANCE 1'!$B:$B, $B93, 'SEANCE 1'!$C:$C, U$2, 'SEANCE 1'!$F:$F, U$5)=0, "", COUNTIFS('SEANCE 1'!$B:$B, $B93, 'SEANCE 1'!$C:$C, U$2, 'SEANCE 1'!$F:$F, U$5))</f>
        <v/>
      </c>
      <c r="V93" s="64" t="str">
        <f ca="1">IF(COUNTIFS('SEANCE 1'!$B:$B, $B93, 'SEANCE 1'!$C:$C, V$2, 'SEANCE 1'!$F:$F, V$5)=0, "", COUNTIFS('SEANCE 1'!$B:$B, $B93, 'SEANCE 1'!$C:$C, V$2, 'SEANCE 1'!$F:$F, V$5))</f>
        <v/>
      </c>
      <c r="W93" s="64" t="str">
        <f ca="1">IF(COUNTIFS('SEANCE 1'!$B:$B, $B93, 'SEANCE 1'!$C:$C, W$2, 'SEANCE 1'!$F:$F, W$5)=0, "", COUNTIFS('SEANCE 1'!$B:$B, $B93, 'SEANCE 1'!$C:$C, W$2, 'SEANCE 1'!$F:$F, W$5))</f>
        <v/>
      </c>
      <c r="X93" s="64" t="str">
        <f ca="1">IF(COUNTIFS('SEANCE 1'!$B:$B, $B93, 'SEANCE 1'!$C:$C, X$2, 'SEANCE 1'!$F:$F, X$5)=0, "", COUNTIFS('SEANCE 1'!$B:$B, $B93, 'SEANCE 1'!$C:$C, X$2, 'SEANCE 1'!$F:$F, X$5))</f>
        <v/>
      </c>
      <c r="Y93" s="64" t="str">
        <f ca="1">IF(COUNTIFS('SEANCE 1'!$B:$B, $B93, 'SEANCE 1'!$C:$C, Y$2, 'SEANCE 1'!$F:$F, Y$5)=0, "", COUNTIFS('SEANCE 1'!$B:$B, $B93, 'SEANCE 1'!$C:$C, Y$2, 'SEANCE 1'!$F:$F, Y$5))</f>
        <v/>
      </c>
      <c r="Z93" s="64" t="str">
        <f ca="1">IF(COUNTIFS('SEANCE 1'!$B:$B, $B93, 'SEANCE 1'!$C:$C, Z$2, 'SEANCE 1'!$F:$F, Z$5)=0, "", COUNTIFS('SEANCE 1'!$B:$B, $B93, 'SEANCE 1'!$C:$C, Z$2, 'SEANCE 1'!$F:$F, Z$5))</f>
        <v/>
      </c>
      <c r="AA93" s="64" t="str">
        <f ca="1">IF(COUNTIFS('SEANCE 1'!$B:$B, $B93, 'SEANCE 1'!$C:$C, AA$2, 'SEANCE 1'!$F:$F, AA$5)=0, "", COUNTIFS('SEANCE 1'!$B:$B, $B93, 'SEANCE 1'!$C:$C, AA$2, 'SEANCE 1'!$F:$F, AA$5))</f>
        <v/>
      </c>
      <c r="AB93" s="64" t="str">
        <f ca="1">IF(COUNTIFS('SEANCE 1'!$B:$B, $B93, 'SEANCE 1'!$C:$C, AB$2, 'SEANCE 1'!$F:$F, AB$5)=0, "", COUNTIFS('SEANCE 1'!$B:$B, $B93, 'SEANCE 1'!$C:$C, AB$2, 'SEANCE 1'!$F:$F, AB$5))</f>
        <v/>
      </c>
      <c r="AC93" s="64" t="str">
        <f ca="1">IF(COUNTIFS('SEANCE 1'!$B:$B, $B93, 'SEANCE 1'!$C:$C, AC$2, 'SEANCE 1'!$F:$F, AC$5)=0, "", COUNTIFS('SEANCE 1'!$B:$B, $B93, 'SEANCE 1'!$C:$C, AC$2, 'SEANCE 1'!$F:$F, AC$5))</f>
        <v/>
      </c>
      <c r="AD93" s="64" t="str">
        <f ca="1">IF(COUNTIFS('SEANCE 1'!$B:$B, $B93, 'SEANCE 1'!$C:$C, AD$2, 'SEANCE 1'!$F:$F, AD$5)=0, "", COUNTIFS('SEANCE 1'!$B:$B, $B93, 'SEANCE 1'!$C:$C, AD$2, 'SEANCE 1'!$F:$F, AD$5))</f>
        <v/>
      </c>
      <c r="AE93" s="64" t="str">
        <f ca="1">IF(COUNTIFS('SEANCE 1'!$B:$B, $B93, 'SEANCE 1'!$C:$C, AE$2, 'SEANCE 1'!$F:$F, AE$5)=0, "", COUNTIFS('SEANCE 1'!$B:$B, $B93, 'SEANCE 1'!$C:$C, AE$2, 'SEANCE 1'!$F:$F, AE$5))</f>
        <v/>
      </c>
      <c r="AF93" s="64" t="str">
        <f ca="1">IF(COUNTIFS('SEANCE 1'!$B:$B, $B93, 'SEANCE 1'!$C:$C, AF$2, 'SEANCE 1'!$F:$F, AF$5)=0, "", COUNTIFS('SEANCE 1'!$B:$B, $B93, 'SEANCE 1'!$C:$C, AF$2, 'SEANCE 1'!$F:$F, AF$5))</f>
        <v/>
      </c>
      <c r="AG93" s="64" t="str">
        <f ca="1">IF(COUNTIFS('SEANCE 1'!$B:$B, $B93, 'SEANCE 1'!$C:$C, AG$2, 'SEANCE 1'!$F:$F, AG$5)=0, "", COUNTIFS('SEANCE 1'!$B:$B, $B93, 'SEANCE 1'!$C:$C, AG$2, 'SEANCE 1'!$F:$F, AG$5))</f>
        <v/>
      </c>
      <c r="AH93" s="64" t="str">
        <f ca="1">IF(COUNTIFS('SEANCE 1'!$B:$B, $B93, 'SEANCE 1'!$C:$C, AH$2, 'SEANCE 1'!$F:$F, AH$5)=0, "", COUNTIFS('SEANCE 1'!$B:$B, $B93, 'SEANCE 1'!$C:$C, AH$2, 'SEANCE 1'!$F:$F, AH$5))</f>
        <v/>
      </c>
      <c r="AI93" s="64" t="str">
        <f ca="1">IF(COUNTIFS('SEANCE 1'!$B:$B, $B93, 'SEANCE 1'!$C:$C, AI$2, 'SEANCE 1'!$F:$F, AI$5)=0, "", COUNTIFS('SEANCE 1'!$B:$B, $B93, 'SEANCE 1'!$C:$C, AI$2, 'SEANCE 1'!$F:$F, AI$5))</f>
        <v/>
      </c>
      <c r="AJ93" s="64" t="str">
        <f ca="1">IF(COUNTIFS('SEANCE 1'!$B:$B, $B93, 'SEANCE 1'!$C:$C, AJ$2, 'SEANCE 1'!$F:$F, AJ$5)=0, "", COUNTIFS('SEANCE 1'!$B:$B, $B93, 'SEANCE 1'!$C:$C, AJ$2, 'SEANCE 1'!$F:$F, AJ$5))</f>
        <v/>
      </c>
      <c r="AK93" s="64" t="str">
        <f ca="1">IF(COUNTIFS('SEANCE 1'!$B:$B, $B93, 'SEANCE 1'!$C:$C, AK$2, 'SEANCE 1'!$F:$F, AK$5)=0, "", COUNTIFS('SEANCE 1'!$B:$B, $B93, 'SEANCE 1'!$C:$C, AK$2, 'SEANCE 1'!$F:$F, AK$5))</f>
        <v/>
      </c>
      <c r="AL93" s="64" t="str">
        <f ca="1">IF(COUNTIFS('SEANCE 1'!$B:$B, $B93, 'SEANCE 1'!$C:$C, AL$2, 'SEANCE 1'!$F:$F, AL$5)=0, "", COUNTIFS('SEANCE 1'!$B:$B, $B93, 'SEANCE 1'!$C:$C, AL$2, 'SEANCE 1'!$F:$F, AL$5))</f>
        <v/>
      </c>
      <c r="AM93" s="64" t="str">
        <f ca="1">IF(COUNTIFS('SEANCE 1'!$B:$B, $B93, 'SEANCE 1'!$C:$C, AM$2, 'SEANCE 1'!$F:$F, AM$5)=0, "", COUNTIFS('SEANCE 1'!$B:$B, $B93, 'SEANCE 1'!$C:$C, AM$2, 'SEANCE 1'!$F:$F, AM$5))</f>
        <v/>
      </c>
      <c r="AN93" s="64" t="str">
        <f ca="1">IF(COUNTIFS('SEANCE 1'!$B:$B, $B93, 'SEANCE 1'!$C:$C, AN$2, 'SEANCE 1'!$F:$F, AN$5)=0, "", COUNTIFS('SEANCE 1'!$B:$B, $B93, 'SEANCE 1'!$C:$C, AN$2, 'SEANCE 1'!$F:$F, AN$5))</f>
        <v/>
      </c>
      <c r="AO93" s="64" t="str">
        <f ca="1">IF(COUNTIFS('SEANCE 1'!$B:$B, $B93, 'SEANCE 1'!$C:$C, AO$2, 'SEANCE 1'!$F:$F, AO$5)=0, "", COUNTIFS('SEANCE 1'!$B:$B, $B93, 'SEANCE 1'!$C:$C, AO$2, 'SEANCE 1'!$F:$F, AO$5))</f>
        <v/>
      </c>
      <c r="AP93" s="64" t="str">
        <f ca="1">IF(COUNTIFS('SEANCE 1'!$B:$B, $B93, 'SEANCE 1'!$C:$C, AP$2, 'SEANCE 1'!$F:$F, AP$5)=0, "", COUNTIFS('SEANCE 1'!$B:$B, $B93, 'SEANCE 1'!$C:$C, AP$2, 'SEANCE 1'!$F:$F, AP$5))</f>
        <v/>
      </c>
      <c r="AQ93" s="64" t="str">
        <f ca="1">IF(COUNTIFS('SEANCE 1'!$B:$B, $B93, 'SEANCE 1'!$C:$C, AQ$2, 'SEANCE 1'!$F:$F, AQ$5)=0, "", COUNTIFS('SEANCE 1'!$B:$B, $B93, 'SEANCE 1'!$C:$C, AQ$2, 'SEANCE 1'!$F:$F, AQ$5))</f>
        <v/>
      </c>
      <c r="AR93" s="64" t="str">
        <f ca="1">IF(COUNTIFS('SEANCE 1'!$B:$B, $B93, 'SEANCE 1'!$C:$C, AR$2, 'SEANCE 1'!$F:$F, AR$5)=0, "", COUNTIFS('SEANCE 1'!$B:$B, $B93, 'SEANCE 1'!$C:$C, AR$2, 'SEANCE 1'!$F:$F, AR$5))</f>
        <v/>
      </c>
      <c r="AS93" s="64" t="str">
        <f ca="1">IF(COUNTIFS('SEANCE 1'!$B:$B, $B93, 'SEANCE 1'!$C:$C, AS$2, 'SEANCE 1'!$F:$F, AS$5)=0, "", COUNTIFS('SEANCE 1'!$B:$B, $B93, 'SEANCE 1'!$C:$C, AS$2, 'SEANCE 1'!$F:$F, AS$5))</f>
        <v/>
      </c>
      <c r="AT93" s="64" t="str">
        <f ca="1">IF(COUNTIFS('SEANCE 1'!$B:$B, $B93, 'SEANCE 1'!$C:$C, AT$2, 'SEANCE 1'!$F:$F, AT$5)=0, "", COUNTIFS('SEANCE 1'!$B:$B, $B93, 'SEANCE 1'!$C:$C, AT$2, 'SEANCE 1'!$F:$F, AT$5))</f>
        <v/>
      </c>
      <c r="AU93" s="64" t="str">
        <f ca="1">IF(COUNTIFS('SEANCE 1'!$B:$B, $B93, 'SEANCE 1'!$C:$C, AU$2, 'SEANCE 1'!$F:$F, AU$5)=0, "", COUNTIFS('SEANCE 1'!$B:$B, $B93, 'SEANCE 1'!$C:$C, AU$2, 'SEANCE 1'!$F:$F, AU$5))</f>
        <v/>
      </c>
      <c r="AV93" s="64" t="str">
        <f ca="1">IF(COUNTIFS('SEANCE 1'!$B:$B, $B93, 'SEANCE 1'!$C:$C, AV$2, 'SEANCE 1'!$F:$F, AV$5)=0, "", COUNTIFS('SEANCE 1'!$B:$B, $B93, 'SEANCE 1'!$C:$C, AV$2, 'SEANCE 1'!$F:$F, AV$5))</f>
        <v/>
      </c>
      <c r="AW93" s="64" t="str">
        <f ca="1">IF(COUNTIFS('SEANCE 1'!$B:$B, $B93, 'SEANCE 1'!$C:$C, AW$2, 'SEANCE 1'!$F:$F, AW$5)=0, "", COUNTIFS('SEANCE 1'!$B:$B, $B93, 'SEANCE 1'!$C:$C, AW$2, 'SEANCE 1'!$F:$F, AW$5))</f>
        <v/>
      </c>
      <c r="AX93" s="64" t="str">
        <f ca="1">IF(COUNTIFS('SEANCE 1'!$B:$B, $B93, 'SEANCE 1'!$C:$C, AX$2, 'SEANCE 1'!$F:$F, AX$5)=0, "", COUNTIFS('SEANCE 1'!$B:$B, $B93, 'SEANCE 1'!$C:$C, AX$2, 'SEANCE 1'!$F:$F, AX$5))</f>
        <v/>
      </c>
      <c r="AY93" s="64" t="str">
        <f ca="1">IF(COUNTIFS('SEANCE 1'!$B:$B, $B93, 'SEANCE 1'!$C:$C, AY$2, 'SEANCE 1'!$F:$F, AY$5)=0, "", COUNTIFS('SEANCE 1'!$B:$B, $B93, 'SEANCE 1'!$C:$C, AY$2, 'SEANCE 1'!$F:$F, AY$5))</f>
        <v/>
      </c>
      <c r="AZ93" s="32">
        <f t="shared" ca="1" si="1"/>
        <v>0</v>
      </c>
    </row>
    <row r="94" spans="1:52">
      <c r="A94" s="44" t="str">
        <f>IF('SEANCE 1'!$B90&lt;&gt;"",'SEANCE 1'!$A90,"")</f>
        <v/>
      </c>
      <c r="B94" s="44" t="str">
        <f t="array" aca="1" ref="B94" ca="1">IF(ISNA(INDEX(ListeB,MATCH(0,COUNTIF($B$5:B93,ListeB),0))),"",INDEX(ListeB,MATCH(0,COUNTIF($B$5:B93,ListeB),0)))</f>
        <v/>
      </c>
      <c r="C94" s="64" t="str">
        <f ca="1">IF(COUNTIFS('SEANCE 1'!$B:$B, $B94, 'SEANCE 1'!$C:$C, C$2, 'SEANCE 1'!$F:$F, C$5)=0, "", COUNTIFS('SEANCE 1'!$B:$B, $B94, 'SEANCE 1'!$C:$C, C$2, 'SEANCE 1'!$F:$F, C$5))</f>
        <v/>
      </c>
      <c r="D94" s="64" t="str">
        <f ca="1">IF(COUNTIFS('SEANCE 1'!$B:$B, $B94, 'SEANCE 1'!$C:$C, D$2, 'SEANCE 1'!$F:$F, D$5)=0, "", COUNTIFS('SEANCE 1'!$B:$B, $B94, 'SEANCE 1'!$C:$C, D$2, 'SEANCE 1'!$F:$F, D$5))</f>
        <v/>
      </c>
      <c r="E94" s="64" t="str">
        <f ca="1">IF(COUNTIFS('SEANCE 1'!$B:$B, $B94, 'SEANCE 1'!$C:$C, E$2, 'SEANCE 1'!$F:$F, E$5)=0, "", COUNTIFS('SEANCE 1'!$B:$B, $B94, 'SEANCE 1'!$C:$C, E$2, 'SEANCE 1'!$F:$F, E$5))</f>
        <v/>
      </c>
      <c r="F94" s="64" t="str">
        <f ca="1">IF(COUNTIFS('SEANCE 1'!$B:$B, $B94, 'SEANCE 1'!$C:$C, F$2, 'SEANCE 1'!$F:$F, F$5)=0, "", COUNTIFS('SEANCE 1'!$B:$B, $B94, 'SEANCE 1'!$C:$C, F$2, 'SEANCE 1'!$F:$F, F$5))</f>
        <v/>
      </c>
      <c r="G94" s="64" t="str">
        <f ca="1">IF(COUNTIFS('SEANCE 1'!$B:$B, $B94, 'SEANCE 1'!$C:$C, G$2, 'SEANCE 1'!$F:$F, G$5)=0, "", COUNTIFS('SEANCE 1'!$B:$B, $B94, 'SEANCE 1'!$C:$C, G$2, 'SEANCE 1'!$F:$F, G$5))</f>
        <v/>
      </c>
      <c r="H94" s="64" t="str">
        <f ca="1">IF(COUNTIFS('SEANCE 1'!$B:$B, $B94, 'SEANCE 1'!$C:$C, H$2, 'SEANCE 1'!$F:$F, H$5)=0, "", COUNTIFS('SEANCE 1'!$B:$B, $B94, 'SEANCE 1'!$C:$C, H$2, 'SEANCE 1'!$F:$F, H$5))</f>
        <v/>
      </c>
      <c r="I94" s="64" t="str">
        <f ca="1">IF(COUNTIFS('SEANCE 1'!$B:$B, $B94, 'SEANCE 1'!$C:$C, I$2, 'SEANCE 1'!$F:$F, I$5)=0, "", COUNTIFS('SEANCE 1'!$B:$B, $B94, 'SEANCE 1'!$C:$C, I$2, 'SEANCE 1'!$F:$F, I$5))</f>
        <v/>
      </c>
      <c r="J94" s="64" t="str">
        <f ca="1">IF(COUNTIFS('SEANCE 1'!$B:$B, $B94, 'SEANCE 1'!$C:$C, J$2, 'SEANCE 1'!$F:$F, J$5)=0, "", COUNTIFS('SEANCE 1'!$B:$B, $B94, 'SEANCE 1'!$C:$C, J$2, 'SEANCE 1'!$F:$F, J$5))</f>
        <v/>
      </c>
      <c r="K94" s="64" t="str">
        <f ca="1">IF(COUNTIFS('SEANCE 1'!$B:$B, $B94, 'SEANCE 1'!$C:$C, K$2, 'SEANCE 1'!$F:$F, K$5)=0, "", COUNTIFS('SEANCE 1'!$B:$B, $B94, 'SEANCE 1'!$C:$C, K$2, 'SEANCE 1'!$F:$F, K$5))</f>
        <v/>
      </c>
      <c r="L94" s="64" t="str">
        <f ca="1">IF(COUNTIFS('SEANCE 1'!$B:$B, $B94, 'SEANCE 1'!$C:$C, L$2, 'SEANCE 1'!$F:$F, L$5)=0, "", COUNTIFS('SEANCE 1'!$B:$B, $B94, 'SEANCE 1'!$C:$C, L$2, 'SEANCE 1'!$F:$F, L$5))</f>
        <v/>
      </c>
      <c r="M94" s="64" t="str">
        <f ca="1">IF(COUNTIFS('SEANCE 1'!$B:$B, $B94, 'SEANCE 1'!$C:$C, M$2, 'SEANCE 1'!$F:$F, M$5)=0, "", COUNTIFS('SEANCE 1'!$B:$B, $B94, 'SEANCE 1'!$C:$C, M$2, 'SEANCE 1'!$F:$F, M$5))</f>
        <v/>
      </c>
      <c r="N94" s="64" t="str">
        <f ca="1">IF(COUNTIFS('SEANCE 1'!$B:$B, $B94, 'SEANCE 1'!$C:$C, N$2, 'SEANCE 1'!$F:$F, N$5)=0, "", COUNTIFS('SEANCE 1'!$B:$B, $B94, 'SEANCE 1'!$C:$C, N$2, 'SEANCE 1'!$F:$F, N$5))</f>
        <v/>
      </c>
      <c r="O94" s="64" t="str">
        <f ca="1">IF(COUNTIFS('SEANCE 1'!$B:$B, $B94, 'SEANCE 1'!$C:$C, O$2, 'SEANCE 1'!$F:$F, O$5)=0, "", COUNTIFS('SEANCE 1'!$B:$B, $B94, 'SEANCE 1'!$C:$C, O$2, 'SEANCE 1'!$F:$F, O$5))</f>
        <v/>
      </c>
      <c r="P94" s="64" t="str">
        <f ca="1">IF(COUNTIFS('SEANCE 1'!$B:$B, $B94, 'SEANCE 1'!$C:$C, P$2, 'SEANCE 1'!$F:$F, P$5)=0, "", COUNTIFS('SEANCE 1'!$B:$B, $B94, 'SEANCE 1'!$C:$C, P$2, 'SEANCE 1'!$F:$F, P$5))</f>
        <v/>
      </c>
      <c r="Q94" s="64" t="str">
        <f ca="1">IF(COUNTIFS('SEANCE 1'!$B:$B, $B94, 'SEANCE 1'!$C:$C, Q$2, 'SEANCE 1'!$F:$F, Q$5)=0, "", COUNTIFS('SEANCE 1'!$B:$B, $B94, 'SEANCE 1'!$C:$C, Q$2, 'SEANCE 1'!$F:$F, Q$5))</f>
        <v/>
      </c>
      <c r="R94" s="64" t="str">
        <f ca="1">IF(COUNTIFS('SEANCE 1'!$B:$B, $B94, 'SEANCE 1'!$C:$C, R$2, 'SEANCE 1'!$F:$F, R$5)=0, "", COUNTIFS('SEANCE 1'!$B:$B, $B94, 'SEANCE 1'!$C:$C, R$2, 'SEANCE 1'!$F:$F, R$5))</f>
        <v/>
      </c>
      <c r="S94" s="64" t="str">
        <f ca="1">IF(COUNTIFS('SEANCE 1'!$B:$B, $B94, 'SEANCE 1'!$C:$C, S$2, 'SEANCE 1'!$F:$F, S$5)=0, "", COUNTIFS('SEANCE 1'!$B:$B, $B94, 'SEANCE 1'!$C:$C, S$2, 'SEANCE 1'!$F:$F, S$5))</f>
        <v/>
      </c>
      <c r="T94" s="64" t="str">
        <f ca="1">IF(COUNTIFS('SEANCE 1'!$B:$B, $B94, 'SEANCE 1'!$C:$C, T$2, 'SEANCE 1'!$F:$F, T$5)=0, "", COUNTIFS('SEANCE 1'!$B:$B, $B94, 'SEANCE 1'!$C:$C, T$2, 'SEANCE 1'!$F:$F, T$5))</f>
        <v/>
      </c>
      <c r="U94" s="64" t="str">
        <f ca="1">IF(COUNTIFS('SEANCE 1'!$B:$B, $B94, 'SEANCE 1'!$C:$C, U$2, 'SEANCE 1'!$F:$F, U$5)=0, "", COUNTIFS('SEANCE 1'!$B:$B, $B94, 'SEANCE 1'!$C:$C, U$2, 'SEANCE 1'!$F:$F, U$5))</f>
        <v/>
      </c>
      <c r="V94" s="64" t="str">
        <f ca="1">IF(COUNTIFS('SEANCE 1'!$B:$B, $B94, 'SEANCE 1'!$C:$C, V$2, 'SEANCE 1'!$F:$F, V$5)=0, "", COUNTIFS('SEANCE 1'!$B:$B, $B94, 'SEANCE 1'!$C:$C, V$2, 'SEANCE 1'!$F:$F, V$5))</f>
        <v/>
      </c>
      <c r="W94" s="64" t="str">
        <f ca="1">IF(COUNTIFS('SEANCE 1'!$B:$B, $B94, 'SEANCE 1'!$C:$C, W$2, 'SEANCE 1'!$F:$F, W$5)=0, "", COUNTIFS('SEANCE 1'!$B:$B, $B94, 'SEANCE 1'!$C:$C, W$2, 'SEANCE 1'!$F:$F, W$5))</f>
        <v/>
      </c>
      <c r="X94" s="64" t="str">
        <f ca="1">IF(COUNTIFS('SEANCE 1'!$B:$B, $B94, 'SEANCE 1'!$C:$C, X$2, 'SEANCE 1'!$F:$F, X$5)=0, "", COUNTIFS('SEANCE 1'!$B:$B, $B94, 'SEANCE 1'!$C:$C, X$2, 'SEANCE 1'!$F:$F, X$5))</f>
        <v/>
      </c>
      <c r="Y94" s="64" t="str">
        <f ca="1">IF(COUNTIFS('SEANCE 1'!$B:$B, $B94, 'SEANCE 1'!$C:$C, Y$2, 'SEANCE 1'!$F:$F, Y$5)=0, "", COUNTIFS('SEANCE 1'!$B:$B, $B94, 'SEANCE 1'!$C:$C, Y$2, 'SEANCE 1'!$F:$F, Y$5))</f>
        <v/>
      </c>
      <c r="Z94" s="64" t="str">
        <f ca="1">IF(COUNTIFS('SEANCE 1'!$B:$B, $B94, 'SEANCE 1'!$C:$C, Z$2, 'SEANCE 1'!$F:$F, Z$5)=0, "", COUNTIFS('SEANCE 1'!$B:$B, $B94, 'SEANCE 1'!$C:$C, Z$2, 'SEANCE 1'!$F:$F, Z$5))</f>
        <v/>
      </c>
      <c r="AA94" s="64" t="str">
        <f ca="1">IF(COUNTIFS('SEANCE 1'!$B:$B, $B94, 'SEANCE 1'!$C:$C, AA$2, 'SEANCE 1'!$F:$F, AA$5)=0, "", COUNTIFS('SEANCE 1'!$B:$B, $B94, 'SEANCE 1'!$C:$C, AA$2, 'SEANCE 1'!$F:$F, AA$5))</f>
        <v/>
      </c>
      <c r="AB94" s="64" t="str">
        <f ca="1">IF(COUNTIFS('SEANCE 1'!$B:$B, $B94, 'SEANCE 1'!$C:$C, AB$2, 'SEANCE 1'!$F:$F, AB$5)=0, "", COUNTIFS('SEANCE 1'!$B:$B, $B94, 'SEANCE 1'!$C:$C, AB$2, 'SEANCE 1'!$F:$F, AB$5))</f>
        <v/>
      </c>
      <c r="AC94" s="64" t="str">
        <f ca="1">IF(COUNTIFS('SEANCE 1'!$B:$B, $B94, 'SEANCE 1'!$C:$C, AC$2, 'SEANCE 1'!$F:$F, AC$5)=0, "", COUNTIFS('SEANCE 1'!$B:$B, $B94, 'SEANCE 1'!$C:$C, AC$2, 'SEANCE 1'!$F:$F, AC$5))</f>
        <v/>
      </c>
      <c r="AD94" s="64" t="str">
        <f ca="1">IF(COUNTIFS('SEANCE 1'!$B:$B, $B94, 'SEANCE 1'!$C:$C, AD$2, 'SEANCE 1'!$F:$F, AD$5)=0, "", COUNTIFS('SEANCE 1'!$B:$B, $B94, 'SEANCE 1'!$C:$C, AD$2, 'SEANCE 1'!$F:$F, AD$5))</f>
        <v/>
      </c>
      <c r="AE94" s="64" t="str">
        <f ca="1">IF(COUNTIFS('SEANCE 1'!$B:$B, $B94, 'SEANCE 1'!$C:$C, AE$2, 'SEANCE 1'!$F:$F, AE$5)=0, "", COUNTIFS('SEANCE 1'!$B:$B, $B94, 'SEANCE 1'!$C:$C, AE$2, 'SEANCE 1'!$F:$F, AE$5))</f>
        <v/>
      </c>
      <c r="AF94" s="64" t="str">
        <f ca="1">IF(COUNTIFS('SEANCE 1'!$B:$B, $B94, 'SEANCE 1'!$C:$C, AF$2, 'SEANCE 1'!$F:$F, AF$5)=0, "", COUNTIFS('SEANCE 1'!$B:$B, $B94, 'SEANCE 1'!$C:$C, AF$2, 'SEANCE 1'!$F:$F, AF$5))</f>
        <v/>
      </c>
      <c r="AG94" s="64" t="str">
        <f ca="1">IF(COUNTIFS('SEANCE 1'!$B:$B, $B94, 'SEANCE 1'!$C:$C, AG$2, 'SEANCE 1'!$F:$F, AG$5)=0, "", COUNTIFS('SEANCE 1'!$B:$B, $B94, 'SEANCE 1'!$C:$C, AG$2, 'SEANCE 1'!$F:$F, AG$5))</f>
        <v/>
      </c>
      <c r="AH94" s="64" t="str">
        <f ca="1">IF(COUNTIFS('SEANCE 1'!$B:$B, $B94, 'SEANCE 1'!$C:$C, AH$2, 'SEANCE 1'!$F:$F, AH$5)=0, "", COUNTIFS('SEANCE 1'!$B:$B, $B94, 'SEANCE 1'!$C:$C, AH$2, 'SEANCE 1'!$F:$F, AH$5))</f>
        <v/>
      </c>
      <c r="AI94" s="64" t="str">
        <f ca="1">IF(COUNTIFS('SEANCE 1'!$B:$B, $B94, 'SEANCE 1'!$C:$C, AI$2, 'SEANCE 1'!$F:$F, AI$5)=0, "", COUNTIFS('SEANCE 1'!$B:$B, $B94, 'SEANCE 1'!$C:$C, AI$2, 'SEANCE 1'!$F:$F, AI$5))</f>
        <v/>
      </c>
      <c r="AJ94" s="64" t="str">
        <f ca="1">IF(COUNTIFS('SEANCE 1'!$B:$B, $B94, 'SEANCE 1'!$C:$C, AJ$2, 'SEANCE 1'!$F:$F, AJ$5)=0, "", COUNTIFS('SEANCE 1'!$B:$B, $B94, 'SEANCE 1'!$C:$C, AJ$2, 'SEANCE 1'!$F:$F, AJ$5))</f>
        <v/>
      </c>
      <c r="AK94" s="64" t="str">
        <f ca="1">IF(COUNTIFS('SEANCE 1'!$B:$B, $B94, 'SEANCE 1'!$C:$C, AK$2, 'SEANCE 1'!$F:$F, AK$5)=0, "", COUNTIFS('SEANCE 1'!$B:$B, $B94, 'SEANCE 1'!$C:$C, AK$2, 'SEANCE 1'!$F:$F, AK$5))</f>
        <v/>
      </c>
      <c r="AL94" s="64" t="str">
        <f ca="1">IF(COUNTIFS('SEANCE 1'!$B:$B, $B94, 'SEANCE 1'!$C:$C, AL$2, 'SEANCE 1'!$F:$F, AL$5)=0, "", COUNTIFS('SEANCE 1'!$B:$B, $B94, 'SEANCE 1'!$C:$C, AL$2, 'SEANCE 1'!$F:$F, AL$5))</f>
        <v/>
      </c>
      <c r="AM94" s="64" t="str">
        <f ca="1">IF(COUNTIFS('SEANCE 1'!$B:$B, $B94, 'SEANCE 1'!$C:$C, AM$2, 'SEANCE 1'!$F:$F, AM$5)=0, "", COUNTIFS('SEANCE 1'!$B:$B, $B94, 'SEANCE 1'!$C:$C, AM$2, 'SEANCE 1'!$F:$F, AM$5))</f>
        <v/>
      </c>
      <c r="AN94" s="64" t="str">
        <f ca="1">IF(COUNTIFS('SEANCE 1'!$B:$B, $B94, 'SEANCE 1'!$C:$C, AN$2, 'SEANCE 1'!$F:$F, AN$5)=0, "", COUNTIFS('SEANCE 1'!$B:$B, $B94, 'SEANCE 1'!$C:$C, AN$2, 'SEANCE 1'!$F:$F, AN$5))</f>
        <v/>
      </c>
      <c r="AO94" s="64" t="str">
        <f ca="1">IF(COUNTIFS('SEANCE 1'!$B:$B, $B94, 'SEANCE 1'!$C:$C, AO$2, 'SEANCE 1'!$F:$F, AO$5)=0, "", COUNTIFS('SEANCE 1'!$B:$B, $B94, 'SEANCE 1'!$C:$C, AO$2, 'SEANCE 1'!$F:$F, AO$5))</f>
        <v/>
      </c>
      <c r="AP94" s="64" t="str">
        <f ca="1">IF(COUNTIFS('SEANCE 1'!$B:$B, $B94, 'SEANCE 1'!$C:$C, AP$2, 'SEANCE 1'!$F:$F, AP$5)=0, "", COUNTIFS('SEANCE 1'!$B:$B, $B94, 'SEANCE 1'!$C:$C, AP$2, 'SEANCE 1'!$F:$F, AP$5))</f>
        <v/>
      </c>
      <c r="AQ94" s="64" t="str">
        <f ca="1">IF(COUNTIFS('SEANCE 1'!$B:$B, $B94, 'SEANCE 1'!$C:$C, AQ$2, 'SEANCE 1'!$F:$F, AQ$5)=0, "", COUNTIFS('SEANCE 1'!$B:$B, $B94, 'SEANCE 1'!$C:$C, AQ$2, 'SEANCE 1'!$F:$F, AQ$5))</f>
        <v/>
      </c>
      <c r="AR94" s="64" t="str">
        <f ca="1">IF(COUNTIFS('SEANCE 1'!$B:$B, $B94, 'SEANCE 1'!$C:$C, AR$2, 'SEANCE 1'!$F:$F, AR$5)=0, "", COUNTIFS('SEANCE 1'!$B:$B, $B94, 'SEANCE 1'!$C:$C, AR$2, 'SEANCE 1'!$F:$F, AR$5))</f>
        <v/>
      </c>
      <c r="AS94" s="64" t="str">
        <f ca="1">IF(COUNTIFS('SEANCE 1'!$B:$B, $B94, 'SEANCE 1'!$C:$C, AS$2, 'SEANCE 1'!$F:$F, AS$5)=0, "", COUNTIFS('SEANCE 1'!$B:$B, $B94, 'SEANCE 1'!$C:$C, AS$2, 'SEANCE 1'!$F:$F, AS$5))</f>
        <v/>
      </c>
      <c r="AT94" s="64" t="str">
        <f ca="1">IF(COUNTIFS('SEANCE 1'!$B:$B, $B94, 'SEANCE 1'!$C:$C, AT$2, 'SEANCE 1'!$F:$F, AT$5)=0, "", COUNTIFS('SEANCE 1'!$B:$B, $B94, 'SEANCE 1'!$C:$C, AT$2, 'SEANCE 1'!$F:$F, AT$5))</f>
        <v/>
      </c>
      <c r="AU94" s="64" t="str">
        <f ca="1">IF(COUNTIFS('SEANCE 1'!$B:$B, $B94, 'SEANCE 1'!$C:$C, AU$2, 'SEANCE 1'!$F:$F, AU$5)=0, "", COUNTIFS('SEANCE 1'!$B:$B, $B94, 'SEANCE 1'!$C:$C, AU$2, 'SEANCE 1'!$F:$F, AU$5))</f>
        <v/>
      </c>
      <c r="AV94" s="64" t="str">
        <f ca="1">IF(COUNTIFS('SEANCE 1'!$B:$B, $B94, 'SEANCE 1'!$C:$C, AV$2, 'SEANCE 1'!$F:$F, AV$5)=0, "", COUNTIFS('SEANCE 1'!$B:$B, $B94, 'SEANCE 1'!$C:$C, AV$2, 'SEANCE 1'!$F:$F, AV$5))</f>
        <v/>
      </c>
      <c r="AW94" s="64" t="str">
        <f ca="1">IF(COUNTIFS('SEANCE 1'!$B:$B, $B94, 'SEANCE 1'!$C:$C, AW$2, 'SEANCE 1'!$F:$F, AW$5)=0, "", COUNTIFS('SEANCE 1'!$B:$B, $B94, 'SEANCE 1'!$C:$C, AW$2, 'SEANCE 1'!$F:$F, AW$5))</f>
        <v/>
      </c>
      <c r="AX94" s="64" t="str">
        <f ca="1">IF(COUNTIFS('SEANCE 1'!$B:$B, $B94, 'SEANCE 1'!$C:$C, AX$2, 'SEANCE 1'!$F:$F, AX$5)=0, "", COUNTIFS('SEANCE 1'!$B:$B, $B94, 'SEANCE 1'!$C:$C, AX$2, 'SEANCE 1'!$F:$F, AX$5))</f>
        <v/>
      </c>
      <c r="AY94" s="64" t="str">
        <f ca="1">IF(COUNTIFS('SEANCE 1'!$B:$B, $B94, 'SEANCE 1'!$C:$C, AY$2, 'SEANCE 1'!$F:$F, AY$5)=0, "", COUNTIFS('SEANCE 1'!$B:$B, $B94, 'SEANCE 1'!$C:$C, AY$2, 'SEANCE 1'!$F:$F, AY$5))</f>
        <v/>
      </c>
      <c r="AZ94" s="32">
        <f t="shared" ca="1" si="1"/>
        <v>0</v>
      </c>
    </row>
    <row r="95" spans="1:52">
      <c r="A95" s="44" t="str">
        <f>IF('SEANCE 1'!$B91&lt;&gt;"",'SEANCE 1'!$A91,"")</f>
        <v/>
      </c>
      <c r="B95" s="44" t="str">
        <f t="array" aca="1" ref="B95" ca="1">IF(ISNA(INDEX(ListeB,MATCH(0,COUNTIF($B$5:B94,ListeB),0))),"",INDEX(ListeB,MATCH(0,COUNTIF($B$5:B94,ListeB),0)))</f>
        <v/>
      </c>
      <c r="C95" s="64" t="str">
        <f ca="1">IF(COUNTIFS('SEANCE 1'!$B:$B, $B95, 'SEANCE 1'!$C:$C, C$2, 'SEANCE 1'!$F:$F, C$5)=0, "", COUNTIFS('SEANCE 1'!$B:$B, $B95, 'SEANCE 1'!$C:$C, C$2, 'SEANCE 1'!$F:$F, C$5))</f>
        <v/>
      </c>
      <c r="D95" s="64" t="str">
        <f ca="1">IF(COUNTIFS('SEANCE 1'!$B:$B, $B95, 'SEANCE 1'!$C:$C, D$2, 'SEANCE 1'!$F:$F, D$5)=0, "", COUNTIFS('SEANCE 1'!$B:$B, $B95, 'SEANCE 1'!$C:$C, D$2, 'SEANCE 1'!$F:$F, D$5))</f>
        <v/>
      </c>
      <c r="E95" s="64" t="str">
        <f ca="1">IF(COUNTIFS('SEANCE 1'!$B:$B, $B95, 'SEANCE 1'!$C:$C, E$2, 'SEANCE 1'!$F:$F, E$5)=0, "", COUNTIFS('SEANCE 1'!$B:$B, $B95, 'SEANCE 1'!$C:$C, E$2, 'SEANCE 1'!$F:$F, E$5))</f>
        <v/>
      </c>
      <c r="F95" s="64" t="str">
        <f ca="1">IF(COUNTIFS('SEANCE 1'!$B:$B, $B95, 'SEANCE 1'!$C:$C, F$2, 'SEANCE 1'!$F:$F, F$5)=0, "", COUNTIFS('SEANCE 1'!$B:$B, $B95, 'SEANCE 1'!$C:$C, F$2, 'SEANCE 1'!$F:$F, F$5))</f>
        <v/>
      </c>
      <c r="G95" s="64" t="str">
        <f ca="1">IF(COUNTIFS('SEANCE 1'!$B:$B, $B95, 'SEANCE 1'!$C:$C, G$2, 'SEANCE 1'!$F:$F, G$5)=0, "", COUNTIFS('SEANCE 1'!$B:$B, $B95, 'SEANCE 1'!$C:$C, G$2, 'SEANCE 1'!$F:$F, G$5))</f>
        <v/>
      </c>
      <c r="H95" s="64" t="str">
        <f ca="1">IF(COUNTIFS('SEANCE 1'!$B:$B, $B95, 'SEANCE 1'!$C:$C, H$2, 'SEANCE 1'!$F:$F, H$5)=0, "", COUNTIFS('SEANCE 1'!$B:$B, $B95, 'SEANCE 1'!$C:$C, H$2, 'SEANCE 1'!$F:$F, H$5))</f>
        <v/>
      </c>
      <c r="I95" s="64" t="str">
        <f ca="1">IF(COUNTIFS('SEANCE 1'!$B:$B, $B95, 'SEANCE 1'!$C:$C, I$2, 'SEANCE 1'!$F:$F, I$5)=0, "", COUNTIFS('SEANCE 1'!$B:$B, $B95, 'SEANCE 1'!$C:$C, I$2, 'SEANCE 1'!$F:$F, I$5))</f>
        <v/>
      </c>
      <c r="J95" s="64" t="str">
        <f ca="1">IF(COUNTIFS('SEANCE 1'!$B:$B, $B95, 'SEANCE 1'!$C:$C, J$2, 'SEANCE 1'!$F:$F, J$5)=0, "", COUNTIFS('SEANCE 1'!$B:$B, $B95, 'SEANCE 1'!$C:$C, J$2, 'SEANCE 1'!$F:$F, J$5))</f>
        <v/>
      </c>
      <c r="K95" s="64" t="str">
        <f ca="1">IF(COUNTIFS('SEANCE 1'!$B:$B, $B95, 'SEANCE 1'!$C:$C, K$2, 'SEANCE 1'!$F:$F, K$5)=0, "", COUNTIFS('SEANCE 1'!$B:$B, $B95, 'SEANCE 1'!$C:$C, K$2, 'SEANCE 1'!$F:$F, K$5))</f>
        <v/>
      </c>
      <c r="L95" s="64" t="str">
        <f ca="1">IF(COUNTIFS('SEANCE 1'!$B:$B, $B95, 'SEANCE 1'!$C:$C, L$2, 'SEANCE 1'!$F:$F, L$5)=0, "", COUNTIFS('SEANCE 1'!$B:$B, $B95, 'SEANCE 1'!$C:$C, L$2, 'SEANCE 1'!$F:$F, L$5))</f>
        <v/>
      </c>
      <c r="M95" s="64" t="str">
        <f ca="1">IF(COUNTIFS('SEANCE 1'!$B:$B, $B95, 'SEANCE 1'!$C:$C, M$2, 'SEANCE 1'!$F:$F, M$5)=0, "", COUNTIFS('SEANCE 1'!$B:$B, $B95, 'SEANCE 1'!$C:$C, M$2, 'SEANCE 1'!$F:$F, M$5))</f>
        <v/>
      </c>
      <c r="N95" s="64" t="str">
        <f ca="1">IF(COUNTIFS('SEANCE 1'!$B:$B, $B95, 'SEANCE 1'!$C:$C, N$2, 'SEANCE 1'!$F:$F, N$5)=0, "", COUNTIFS('SEANCE 1'!$B:$B, $B95, 'SEANCE 1'!$C:$C, N$2, 'SEANCE 1'!$F:$F, N$5))</f>
        <v/>
      </c>
      <c r="O95" s="64" t="str">
        <f ca="1">IF(COUNTIFS('SEANCE 1'!$B:$B, $B95, 'SEANCE 1'!$C:$C, O$2, 'SEANCE 1'!$F:$F, O$5)=0, "", COUNTIFS('SEANCE 1'!$B:$B, $B95, 'SEANCE 1'!$C:$C, O$2, 'SEANCE 1'!$F:$F, O$5))</f>
        <v/>
      </c>
      <c r="P95" s="64" t="str">
        <f ca="1">IF(COUNTIFS('SEANCE 1'!$B:$B, $B95, 'SEANCE 1'!$C:$C, P$2, 'SEANCE 1'!$F:$F, P$5)=0, "", COUNTIFS('SEANCE 1'!$B:$B, $B95, 'SEANCE 1'!$C:$C, P$2, 'SEANCE 1'!$F:$F, P$5))</f>
        <v/>
      </c>
      <c r="Q95" s="64" t="str">
        <f ca="1">IF(COUNTIFS('SEANCE 1'!$B:$B, $B95, 'SEANCE 1'!$C:$C, Q$2, 'SEANCE 1'!$F:$F, Q$5)=0, "", COUNTIFS('SEANCE 1'!$B:$B, $B95, 'SEANCE 1'!$C:$C, Q$2, 'SEANCE 1'!$F:$F, Q$5))</f>
        <v/>
      </c>
      <c r="R95" s="64" t="str">
        <f ca="1">IF(COUNTIFS('SEANCE 1'!$B:$B, $B95, 'SEANCE 1'!$C:$C, R$2, 'SEANCE 1'!$F:$F, R$5)=0, "", COUNTIFS('SEANCE 1'!$B:$B, $B95, 'SEANCE 1'!$C:$C, R$2, 'SEANCE 1'!$F:$F, R$5))</f>
        <v/>
      </c>
      <c r="S95" s="64" t="str">
        <f ca="1">IF(COUNTIFS('SEANCE 1'!$B:$B, $B95, 'SEANCE 1'!$C:$C, S$2, 'SEANCE 1'!$F:$F, S$5)=0, "", COUNTIFS('SEANCE 1'!$B:$B, $B95, 'SEANCE 1'!$C:$C, S$2, 'SEANCE 1'!$F:$F, S$5))</f>
        <v/>
      </c>
      <c r="T95" s="64" t="str">
        <f ca="1">IF(COUNTIFS('SEANCE 1'!$B:$B, $B95, 'SEANCE 1'!$C:$C, T$2, 'SEANCE 1'!$F:$F, T$5)=0, "", COUNTIFS('SEANCE 1'!$B:$B, $B95, 'SEANCE 1'!$C:$C, T$2, 'SEANCE 1'!$F:$F, T$5))</f>
        <v/>
      </c>
      <c r="U95" s="64" t="str">
        <f ca="1">IF(COUNTIFS('SEANCE 1'!$B:$B, $B95, 'SEANCE 1'!$C:$C, U$2, 'SEANCE 1'!$F:$F, U$5)=0, "", COUNTIFS('SEANCE 1'!$B:$B, $B95, 'SEANCE 1'!$C:$C, U$2, 'SEANCE 1'!$F:$F, U$5))</f>
        <v/>
      </c>
      <c r="V95" s="64" t="str">
        <f ca="1">IF(COUNTIFS('SEANCE 1'!$B:$B, $B95, 'SEANCE 1'!$C:$C, V$2, 'SEANCE 1'!$F:$F, V$5)=0, "", COUNTIFS('SEANCE 1'!$B:$B, $B95, 'SEANCE 1'!$C:$C, V$2, 'SEANCE 1'!$F:$F, V$5))</f>
        <v/>
      </c>
      <c r="W95" s="64" t="str">
        <f ca="1">IF(COUNTIFS('SEANCE 1'!$B:$B, $B95, 'SEANCE 1'!$C:$C, W$2, 'SEANCE 1'!$F:$F, W$5)=0, "", COUNTIFS('SEANCE 1'!$B:$B, $B95, 'SEANCE 1'!$C:$C, W$2, 'SEANCE 1'!$F:$F, W$5))</f>
        <v/>
      </c>
      <c r="X95" s="64" t="str">
        <f ca="1">IF(COUNTIFS('SEANCE 1'!$B:$B, $B95, 'SEANCE 1'!$C:$C, X$2, 'SEANCE 1'!$F:$F, X$5)=0, "", COUNTIFS('SEANCE 1'!$B:$B, $B95, 'SEANCE 1'!$C:$C, X$2, 'SEANCE 1'!$F:$F, X$5))</f>
        <v/>
      </c>
      <c r="Y95" s="64" t="str">
        <f ca="1">IF(COUNTIFS('SEANCE 1'!$B:$B, $B95, 'SEANCE 1'!$C:$C, Y$2, 'SEANCE 1'!$F:$F, Y$5)=0, "", COUNTIFS('SEANCE 1'!$B:$B, $B95, 'SEANCE 1'!$C:$C, Y$2, 'SEANCE 1'!$F:$F, Y$5))</f>
        <v/>
      </c>
      <c r="Z95" s="64" t="str">
        <f ca="1">IF(COUNTIFS('SEANCE 1'!$B:$B, $B95, 'SEANCE 1'!$C:$C, Z$2, 'SEANCE 1'!$F:$F, Z$5)=0, "", COUNTIFS('SEANCE 1'!$B:$B, $B95, 'SEANCE 1'!$C:$C, Z$2, 'SEANCE 1'!$F:$F, Z$5))</f>
        <v/>
      </c>
      <c r="AA95" s="64" t="str">
        <f ca="1">IF(COUNTIFS('SEANCE 1'!$B:$B, $B95, 'SEANCE 1'!$C:$C, AA$2, 'SEANCE 1'!$F:$F, AA$5)=0, "", COUNTIFS('SEANCE 1'!$B:$B, $B95, 'SEANCE 1'!$C:$C, AA$2, 'SEANCE 1'!$F:$F, AA$5))</f>
        <v/>
      </c>
      <c r="AB95" s="64" t="str">
        <f ca="1">IF(COUNTIFS('SEANCE 1'!$B:$B, $B95, 'SEANCE 1'!$C:$C, AB$2, 'SEANCE 1'!$F:$F, AB$5)=0, "", COUNTIFS('SEANCE 1'!$B:$B, $B95, 'SEANCE 1'!$C:$C, AB$2, 'SEANCE 1'!$F:$F, AB$5))</f>
        <v/>
      </c>
      <c r="AC95" s="64" t="str">
        <f ca="1">IF(COUNTIFS('SEANCE 1'!$B:$B, $B95, 'SEANCE 1'!$C:$C, AC$2, 'SEANCE 1'!$F:$F, AC$5)=0, "", COUNTIFS('SEANCE 1'!$B:$B, $B95, 'SEANCE 1'!$C:$C, AC$2, 'SEANCE 1'!$F:$F, AC$5))</f>
        <v/>
      </c>
      <c r="AD95" s="64" t="str">
        <f ca="1">IF(COUNTIFS('SEANCE 1'!$B:$B, $B95, 'SEANCE 1'!$C:$C, AD$2, 'SEANCE 1'!$F:$F, AD$5)=0, "", COUNTIFS('SEANCE 1'!$B:$B, $B95, 'SEANCE 1'!$C:$C, AD$2, 'SEANCE 1'!$F:$F, AD$5))</f>
        <v/>
      </c>
      <c r="AE95" s="64" t="str">
        <f ca="1">IF(COUNTIFS('SEANCE 1'!$B:$B, $B95, 'SEANCE 1'!$C:$C, AE$2, 'SEANCE 1'!$F:$F, AE$5)=0, "", COUNTIFS('SEANCE 1'!$B:$B, $B95, 'SEANCE 1'!$C:$C, AE$2, 'SEANCE 1'!$F:$F, AE$5))</f>
        <v/>
      </c>
      <c r="AF95" s="64" t="str">
        <f ca="1">IF(COUNTIFS('SEANCE 1'!$B:$B, $B95, 'SEANCE 1'!$C:$C, AF$2, 'SEANCE 1'!$F:$F, AF$5)=0, "", COUNTIFS('SEANCE 1'!$B:$B, $B95, 'SEANCE 1'!$C:$C, AF$2, 'SEANCE 1'!$F:$F, AF$5))</f>
        <v/>
      </c>
      <c r="AG95" s="64" t="str">
        <f ca="1">IF(COUNTIFS('SEANCE 1'!$B:$B, $B95, 'SEANCE 1'!$C:$C, AG$2, 'SEANCE 1'!$F:$F, AG$5)=0, "", COUNTIFS('SEANCE 1'!$B:$B, $B95, 'SEANCE 1'!$C:$C, AG$2, 'SEANCE 1'!$F:$F, AG$5))</f>
        <v/>
      </c>
      <c r="AH95" s="64" t="str">
        <f ca="1">IF(COUNTIFS('SEANCE 1'!$B:$B, $B95, 'SEANCE 1'!$C:$C, AH$2, 'SEANCE 1'!$F:$F, AH$5)=0, "", COUNTIFS('SEANCE 1'!$B:$B, $B95, 'SEANCE 1'!$C:$C, AH$2, 'SEANCE 1'!$F:$F, AH$5))</f>
        <v/>
      </c>
      <c r="AI95" s="64" t="str">
        <f ca="1">IF(COUNTIFS('SEANCE 1'!$B:$B, $B95, 'SEANCE 1'!$C:$C, AI$2, 'SEANCE 1'!$F:$F, AI$5)=0, "", COUNTIFS('SEANCE 1'!$B:$B, $B95, 'SEANCE 1'!$C:$C, AI$2, 'SEANCE 1'!$F:$F, AI$5))</f>
        <v/>
      </c>
      <c r="AJ95" s="64" t="str">
        <f ca="1">IF(COUNTIFS('SEANCE 1'!$B:$B, $B95, 'SEANCE 1'!$C:$C, AJ$2, 'SEANCE 1'!$F:$F, AJ$5)=0, "", COUNTIFS('SEANCE 1'!$B:$B, $B95, 'SEANCE 1'!$C:$C, AJ$2, 'SEANCE 1'!$F:$F, AJ$5))</f>
        <v/>
      </c>
      <c r="AK95" s="64" t="str">
        <f ca="1">IF(COUNTIFS('SEANCE 1'!$B:$B, $B95, 'SEANCE 1'!$C:$C, AK$2, 'SEANCE 1'!$F:$F, AK$5)=0, "", COUNTIFS('SEANCE 1'!$B:$B, $B95, 'SEANCE 1'!$C:$C, AK$2, 'SEANCE 1'!$F:$F, AK$5))</f>
        <v/>
      </c>
      <c r="AL95" s="64" t="str">
        <f ca="1">IF(COUNTIFS('SEANCE 1'!$B:$B, $B95, 'SEANCE 1'!$C:$C, AL$2, 'SEANCE 1'!$F:$F, AL$5)=0, "", COUNTIFS('SEANCE 1'!$B:$B, $B95, 'SEANCE 1'!$C:$C, AL$2, 'SEANCE 1'!$F:$F, AL$5))</f>
        <v/>
      </c>
      <c r="AM95" s="64" t="str">
        <f ca="1">IF(COUNTIFS('SEANCE 1'!$B:$B, $B95, 'SEANCE 1'!$C:$C, AM$2, 'SEANCE 1'!$F:$F, AM$5)=0, "", COUNTIFS('SEANCE 1'!$B:$B, $B95, 'SEANCE 1'!$C:$C, AM$2, 'SEANCE 1'!$F:$F, AM$5))</f>
        <v/>
      </c>
      <c r="AN95" s="64" t="str">
        <f ca="1">IF(COUNTIFS('SEANCE 1'!$B:$B, $B95, 'SEANCE 1'!$C:$C, AN$2, 'SEANCE 1'!$F:$F, AN$5)=0, "", COUNTIFS('SEANCE 1'!$B:$B, $B95, 'SEANCE 1'!$C:$C, AN$2, 'SEANCE 1'!$F:$F, AN$5))</f>
        <v/>
      </c>
      <c r="AO95" s="64" t="str">
        <f ca="1">IF(COUNTIFS('SEANCE 1'!$B:$B, $B95, 'SEANCE 1'!$C:$C, AO$2, 'SEANCE 1'!$F:$F, AO$5)=0, "", COUNTIFS('SEANCE 1'!$B:$B, $B95, 'SEANCE 1'!$C:$C, AO$2, 'SEANCE 1'!$F:$F, AO$5))</f>
        <v/>
      </c>
      <c r="AP95" s="64" t="str">
        <f ca="1">IF(COUNTIFS('SEANCE 1'!$B:$B, $B95, 'SEANCE 1'!$C:$C, AP$2, 'SEANCE 1'!$F:$F, AP$5)=0, "", COUNTIFS('SEANCE 1'!$B:$B, $B95, 'SEANCE 1'!$C:$C, AP$2, 'SEANCE 1'!$F:$F, AP$5))</f>
        <v/>
      </c>
      <c r="AQ95" s="64" t="str">
        <f ca="1">IF(COUNTIFS('SEANCE 1'!$B:$B, $B95, 'SEANCE 1'!$C:$C, AQ$2, 'SEANCE 1'!$F:$F, AQ$5)=0, "", COUNTIFS('SEANCE 1'!$B:$B, $B95, 'SEANCE 1'!$C:$C, AQ$2, 'SEANCE 1'!$F:$F, AQ$5))</f>
        <v/>
      </c>
      <c r="AR95" s="64" t="str">
        <f ca="1">IF(COUNTIFS('SEANCE 1'!$B:$B, $B95, 'SEANCE 1'!$C:$C, AR$2, 'SEANCE 1'!$F:$F, AR$5)=0, "", COUNTIFS('SEANCE 1'!$B:$B, $B95, 'SEANCE 1'!$C:$C, AR$2, 'SEANCE 1'!$F:$F, AR$5))</f>
        <v/>
      </c>
      <c r="AS95" s="64" t="str">
        <f ca="1">IF(COUNTIFS('SEANCE 1'!$B:$B, $B95, 'SEANCE 1'!$C:$C, AS$2, 'SEANCE 1'!$F:$F, AS$5)=0, "", COUNTIFS('SEANCE 1'!$B:$B, $B95, 'SEANCE 1'!$C:$C, AS$2, 'SEANCE 1'!$F:$F, AS$5))</f>
        <v/>
      </c>
      <c r="AT95" s="64" t="str">
        <f ca="1">IF(COUNTIFS('SEANCE 1'!$B:$B, $B95, 'SEANCE 1'!$C:$C, AT$2, 'SEANCE 1'!$F:$F, AT$5)=0, "", COUNTIFS('SEANCE 1'!$B:$B, $B95, 'SEANCE 1'!$C:$C, AT$2, 'SEANCE 1'!$F:$F, AT$5))</f>
        <v/>
      </c>
      <c r="AU95" s="64" t="str">
        <f ca="1">IF(COUNTIFS('SEANCE 1'!$B:$B, $B95, 'SEANCE 1'!$C:$C, AU$2, 'SEANCE 1'!$F:$F, AU$5)=0, "", COUNTIFS('SEANCE 1'!$B:$B, $B95, 'SEANCE 1'!$C:$C, AU$2, 'SEANCE 1'!$F:$F, AU$5))</f>
        <v/>
      </c>
      <c r="AV95" s="64" t="str">
        <f ca="1">IF(COUNTIFS('SEANCE 1'!$B:$B, $B95, 'SEANCE 1'!$C:$C, AV$2, 'SEANCE 1'!$F:$F, AV$5)=0, "", COUNTIFS('SEANCE 1'!$B:$B, $B95, 'SEANCE 1'!$C:$C, AV$2, 'SEANCE 1'!$F:$F, AV$5))</f>
        <v/>
      </c>
      <c r="AW95" s="64" t="str">
        <f ca="1">IF(COUNTIFS('SEANCE 1'!$B:$B, $B95, 'SEANCE 1'!$C:$C, AW$2, 'SEANCE 1'!$F:$F, AW$5)=0, "", COUNTIFS('SEANCE 1'!$B:$B, $B95, 'SEANCE 1'!$C:$C, AW$2, 'SEANCE 1'!$F:$F, AW$5))</f>
        <v/>
      </c>
      <c r="AX95" s="64" t="str">
        <f ca="1">IF(COUNTIFS('SEANCE 1'!$B:$B, $B95, 'SEANCE 1'!$C:$C, AX$2, 'SEANCE 1'!$F:$F, AX$5)=0, "", COUNTIFS('SEANCE 1'!$B:$B, $B95, 'SEANCE 1'!$C:$C, AX$2, 'SEANCE 1'!$F:$F, AX$5))</f>
        <v/>
      </c>
      <c r="AY95" s="64" t="str">
        <f ca="1">IF(COUNTIFS('SEANCE 1'!$B:$B, $B95, 'SEANCE 1'!$C:$C, AY$2, 'SEANCE 1'!$F:$F, AY$5)=0, "", COUNTIFS('SEANCE 1'!$B:$B, $B95, 'SEANCE 1'!$C:$C, AY$2, 'SEANCE 1'!$F:$F, AY$5))</f>
        <v/>
      </c>
      <c r="AZ95" s="32">
        <f t="shared" ca="1" si="1"/>
        <v>0</v>
      </c>
    </row>
    <row r="96" spans="1:52">
      <c r="A96" s="44" t="str">
        <f>IF('SEANCE 1'!$B92&lt;&gt;"",'SEANCE 1'!$A92,"")</f>
        <v/>
      </c>
      <c r="B96" s="44" t="str">
        <f t="array" aca="1" ref="B96" ca="1">IF(ISNA(INDEX(ListeB,MATCH(0,COUNTIF($B$5:B95,ListeB),0))),"",INDEX(ListeB,MATCH(0,COUNTIF($B$5:B95,ListeB),0)))</f>
        <v/>
      </c>
      <c r="C96" s="64" t="str">
        <f ca="1">IF(COUNTIFS('SEANCE 1'!$B:$B, $B96, 'SEANCE 1'!$C:$C, C$2, 'SEANCE 1'!$F:$F, C$5)=0, "", COUNTIFS('SEANCE 1'!$B:$B, $B96, 'SEANCE 1'!$C:$C, C$2, 'SEANCE 1'!$F:$F, C$5))</f>
        <v/>
      </c>
      <c r="D96" s="64" t="str">
        <f ca="1">IF(COUNTIFS('SEANCE 1'!$B:$B, $B96, 'SEANCE 1'!$C:$C, D$2, 'SEANCE 1'!$F:$F, D$5)=0, "", COUNTIFS('SEANCE 1'!$B:$B, $B96, 'SEANCE 1'!$C:$C, D$2, 'SEANCE 1'!$F:$F, D$5))</f>
        <v/>
      </c>
      <c r="E96" s="64" t="str">
        <f ca="1">IF(COUNTIFS('SEANCE 1'!$B:$B, $B96, 'SEANCE 1'!$C:$C, E$2, 'SEANCE 1'!$F:$F, E$5)=0, "", COUNTIFS('SEANCE 1'!$B:$B, $B96, 'SEANCE 1'!$C:$C, E$2, 'SEANCE 1'!$F:$F, E$5))</f>
        <v/>
      </c>
      <c r="F96" s="64" t="str">
        <f ca="1">IF(COUNTIFS('SEANCE 1'!$B:$B, $B96, 'SEANCE 1'!$C:$C, F$2, 'SEANCE 1'!$F:$F, F$5)=0, "", COUNTIFS('SEANCE 1'!$B:$B, $B96, 'SEANCE 1'!$C:$C, F$2, 'SEANCE 1'!$F:$F, F$5))</f>
        <v/>
      </c>
      <c r="G96" s="64" t="str">
        <f ca="1">IF(COUNTIFS('SEANCE 1'!$B:$B, $B96, 'SEANCE 1'!$C:$C, G$2, 'SEANCE 1'!$F:$F, G$5)=0, "", COUNTIFS('SEANCE 1'!$B:$B, $B96, 'SEANCE 1'!$C:$C, G$2, 'SEANCE 1'!$F:$F, G$5))</f>
        <v/>
      </c>
      <c r="H96" s="64" t="str">
        <f ca="1">IF(COUNTIFS('SEANCE 1'!$B:$B, $B96, 'SEANCE 1'!$C:$C, H$2, 'SEANCE 1'!$F:$F, H$5)=0, "", COUNTIFS('SEANCE 1'!$B:$B, $B96, 'SEANCE 1'!$C:$C, H$2, 'SEANCE 1'!$F:$F, H$5))</f>
        <v/>
      </c>
      <c r="I96" s="64" t="str">
        <f ca="1">IF(COUNTIFS('SEANCE 1'!$B:$B, $B96, 'SEANCE 1'!$C:$C, I$2, 'SEANCE 1'!$F:$F, I$5)=0, "", COUNTIFS('SEANCE 1'!$B:$B, $B96, 'SEANCE 1'!$C:$C, I$2, 'SEANCE 1'!$F:$F, I$5))</f>
        <v/>
      </c>
      <c r="J96" s="64" t="str">
        <f ca="1">IF(COUNTIFS('SEANCE 1'!$B:$B, $B96, 'SEANCE 1'!$C:$C, J$2, 'SEANCE 1'!$F:$F, J$5)=0, "", COUNTIFS('SEANCE 1'!$B:$B, $B96, 'SEANCE 1'!$C:$C, J$2, 'SEANCE 1'!$F:$F, J$5))</f>
        <v/>
      </c>
      <c r="K96" s="64" t="str">
        <f ca="1">IF(COUNTIFS('SEANCE 1'!$B:$B, $B96, 'SEANCE 1'!$C:$C, K$2, 'SEANCE 1'!$F:$F, K$5)=0, "", COUNTIFS('SEANCE 1'!$B:$B, $B96, 'SEANCE 1'!$C:$C, K$2, 'SEANCE 1'!$F:$F, K$5))</f>
        <v/>
      </c>
      <c r="L96" s="64" t="str">
        <f ca="1">IF(COUNTIFS('SEANCE 1'!$B:$B, $B96, 'SEANCE 1'!$C:$C, L$2, 'SEANCE 1'!$F:$F, L$5)=0, "", COUNTIFS('SEANCE 1'!$B:$B, $B96, 'SEANCE 1'!$C:$C, L$2, 'SEANCE 1'!$F:$F, L$5))</f>
        <v/>
      </c>
      <c r="M96" s="64" t="str">
        <f ca="1">IF(COUNTIFS('SEANCE 1'!$B:$B, $B96, 'SEANCE 1'!$C:$C, M$2, 'SEANCE 1'!$F:$F, M$5)=0, "", COUNTIFS('SEANCE 1'!$B:$B, $B96, 'SEANCE 1'!$C:$C, M$2, 'SEANCE 1'!$F:$F, M$5))</f>
        <v/>
      </c>
      <c r="N96" s="64" t="str">
        <f ca="1">IF(COUNTIFS('SEANCE 1'!$B:$B, $B96, 'SEANCE 1'!$C:$C, N$2, 'SEANCE 1'!$F:$F, N$5)=0, "", COUNTIFS('SEANCE 1'!$B:$B, $B96, 'SEANCE 1'!$C:$C, N$2, 'SEANCE 1'!$F:$F, N$5))</f>
        <v/>
      </c>
      <c r="O96" s="64" t="str">
        <f ca="1">IF(COUNTIFS('SEANCE 1'!$B:$B, $B96, 'SEANCE 1'!$C:$C, O$2, 'SEANCE 1'!$F:$F, O$5)=0, "", COUNTIFS('SEANCE 1'!$B:$B, $B96, 'SEANCE 1'!$C:$C, O$2, 'SEANCE 1'!$F:$F, O$5))</f>
        <v/>
      </c>
      <c r="P96" s="64" t="str">
        <f ca="1">IF(COUNTIFS('SEANCE 1'!$B:$B, $B96, 'SEANCE 1'!$C:$C, P$2, 'SEANCE 1'!$F:$F, P$5)=0, "", COUNTIFS('SEANCE 1'!$B:$B, $B96, 'SEANCE 1'!$C:$C, P$2, 'SEANCE 1'!$F:$F, P$5))</f>
        <v/>
      </c>
      <c r="Q96" s="64" t="str">
        <f ca="1">IF(COUNTIFS('SEANCE 1'!$B:$B, $B96, 'SEANCE 1'!$C:$C, Q$2, 'SEANCE 1'!$F:$F, Q$5)=0, "", COUNTIFS('SEANCE 1'!$B:$B, $B96, 'SEANCE 1'!$C:$C, Q$2, 'SEANCE 1'!$F:$F, Q$5))</f>
        <v/>
      </c>
      <c r="R96" s="64" t="str">
        <f ca="1">IF(COUNTIFS('SEANCE 1'!$B:$B, $B96, 'SEANCE 1'!$C:$C, R$2, 'SEANCE 1'!$F:$F, R$5)=0, "", COUNTIFS('SEANCE 1'!$B:$B, $B96, 'SEANCE 1'!$C:$C, R$2, 'SEANCE 1'!$F:$F, R$5))</f>
        <v/>
      </c>
      <c r="S96" s="64" t="str">
        <f ca="1">IF(COUNTIFS('SEANCE 1'!$B:$B, $B96, 'SEANCE 1'!$C:$C, S$2, 'SEANCE 1'!$F:$F, S$5)=0, "", COUNTIFS('SEANCE 1'!$B:$B, $B96, 'SEANCE 1'!$C:$C, S$2, 'SEANCE 1'!$F:$F, S$5))</f>
        <v/>
      </c>
      <c r="T96" s="64" t="str">
        <f ca="1">IF(COUNTIFS('SEANCE 1'!$B:$B, $B96, 'SEANCE 1'!$C:$C, T$2, 'SEANCE 1'!$F:$F, T$5)=0, "", COUNTIFS('SEANCE 1'!$B:$B, $B96, 'SEANCE 1'!$C:$C, T$2, 'SEANCE 1'!$F:$F, T$5))</f>
        <v/>
      </c>
      <c r="U96" s="64" t="str">
        <f ca="1">IF(COUNTIFS('SEANCE 1'!$B:$B, $B96, 'SEANCE 1'!$C:$C, U$2, 'SEANCE 1'!$F:$F, U$5)=0, "", COUNTIFS('SEANCE 1'!$B:$B, $B96, 'SEANCE 1'!$C:$C, U$2, 'SEANCE 1'!$F:$F, U$5))</f>
        <v/>
      </c>
      <c r="V96" s="64" t="str">
        <f ca="1">IF(COUNTIFS('SEANCE 1'!$B:$B, $B96, 'SEANCE 1'!$C:$C, V$2, 'SEANCE 1'!$F:$F, V$5)=0, "", COUNTIFS('SEANCE 1'!$B:$B, $B96, 'SEANCE 1'!$C:$C, V$2, 'SEANCE 1'!$F:$F, V$5))</f>
        <v/>
      </c>
      <c r="W96" s="64" t="str">
        <f ca="1">IF(COUNTIFS('SEANCE 1'!$B:$B, $B96, 'SEANCE 1'!$C:$C, W$2, 'SEANCE 1'!$F:$F, W$5)=0, "", COUNTIFS('SEANCE 1'!$B:$B, $B96, 'SEANCE 1'!$C:$C, W$2, 'SEANCE 1'!$F:$F, W$5))</f>
        <v/>
      </c>
      <c r="X96" s="64" t="str">
        <f ca="1">IF(COUNTIFS('SEANCE 1'!$B:$B, $B96, 'SEANCE 1'!$C:$C, X$2, 'SEANCE 1'!$F:$F, X$5)=0, "", COUNTIFS('SEANCE 1'!$B:$B, $B96, 'SEANCE 1'!$C:$C, X$2, 'SEANCE 1'!$F:$F, X$5))</f>
        <v/>
      </c>
      <c r="Y96" s="64" t="str">
        <f ca="1">IF(COUNTIFS('SEANCE 1'!$B:$B, $B96, 'SEANCE 1'!$C:$C, Y$2, 'SEANCE 1'!$F:$F, Y$5)=0, "", COUNTIFS('SEANCE 1'!$B:$B, $B96, 'SEANCE 1'!$C:$C, Y$2, 'SEANCE 1'!$F:$F, Y$5))</f>
        <v/>
      </c>
      <c r="Z96" s="64" t="str">
        <f ca="1">IF(COUNTIFS('SEANCE 1'!$B:$B, $B96, 'SEANCE 1'!$C:$C, Z$2, 'SEANCE 1'!$F:$F, Z$5)=0, "", COUNTIFS('SEANCE 1'!$B:$B, $B96, 'SEANCE 1'!$C:$C, Z$2, 'SEANCE 1'!$F:$F, Z$5))</f>
        <v/>
      </c>
      <c r="AA96" s="64" t="str">
        <f ca="1">IF(COUNTIFS('SEANCE 1'!$B:$B, $B96, 'SEANCE 1'!$C:$C, AA$2, 'SEANCE 1'!$F:$F, AA$5)=0, "", COUNTIFS('SEANCE 1'!$B:$B, $B96, 'SEANCE 1'!$C:$C, AA$2, 'SEANCE 1'!$F:$F, AA$5))</f>
        <v/>
      </c>
      <c r="AB96" s="64" t="str">
        <f ca="1">IF(COUNTIFS('SEANCE 1'!$B:$B, $B96, 'SEANCE 1'!$C:$C, AB$2, 'SEANCE 1'!$F:$F, AB$5)=0, "", COUNTIFS('SEANCE 1'!$B:$B, $B96, 'SEANCE 1'!$C:$C, AB$2, 'SEANCE 1'!$F:$F, AB$5))</f>
        <v/>
      </c>
      <c r="AC96" s="64" t="str">
        <f ca="1">IF(COUNTIFS('SEANCE 1'!$B:$B, $B96, 'SEANCE 1'!$C:$C, AC$2, 'SEANCE 1'!$F:$F, AC$5)=0, "", COUNTIFS('SEANCE 1'!$B:$B, $B96, 'SEANCE 1'!$C:$C, AC$2, 'SEANCE 1'!$F:$F, AC$5))</f>
        <v/>
      </c>
      <c r="AD96" s="64" t="str">
        <f ca="1">IF(COUNTIFS('SEANCE 1'!$B:$B, $B96, 'SEANCE 1'!$C:$C, AD$2, 'SEANCE 1'!$F:$F, AD$5)=0, "", COUNTIFS('SEANCE 1'!$B:$B, $B96, 'SEANCE 1'!$C:$C, AD$2, 'SEANCE 1'!$F:$F, AD$5))</f>
        <v/>
      </c>
      <c r="AE96" s="64" t="str">
        <f ca="1">IF(COUNTIFS('SEANCE 1'!$B:$B, $B96, 'SEANCE 1'!$C:$C, AE$2, 'SEANCE 1'!$F:$F, AE$5)=0, "", COUNTIFS('SEANCE 1'!$B:$B, $B96, 'SEANCE 1'!$C:$C, AE$2, 'SEANCE 1'!$F:$F, AE$5))</f>
        <v/>
      </c>
      <c r="AF96" s="64" t="str">
        <f ca="1">IF(COUNTIFS('SEANCE 1'!$B:$B, $B96, 'SEANCE 1'!$C:$C, AF$2, 'SEANCE 1'!$F:$F, AF$5)=0, "", COUNTIFS('SEANCE 1'!$B:$B, $B96, 'SEANCE 1'!$C:$C, AF$2, 'SEANCE 1'!$F:$F, AF$5))</f>
        <v/>
      </c>
      <c r="AG96" s="64" t="str">
        <f ca="1">IF(COUNTIFS('SEANCE 1'!$B:$B, $B96, 'SEANCE 1'!$C:$C, AG$2, 'SEANCE 1'!$F:$F, AG$5)=0, "", COUNTIFS('SEANCE 1'!$B:$B, $B96, 'SEANCE 1'!$C:$C, AG$2, 'SEANCE 1'!$F:$F, AG$5))</f>
        <v/>
      </c>
      <c r="AH96" s="64" t="str">
        <f ca="1">IF(COUNTIFS('SEANCE 1'!$B:$B, $B96, 'SEANCE 1'!$C:$C, AH$2, 'SEANCE 1'!$F:$F, AH$5)=0, "", COUNTIFS('SEANCE 1'!$B:$B, $B96, 'SEANCE 1'!$C:$C, AH$2, 'SEANCE 1'!$F:$F, AH$5))</f>
        <v/>
      </c>
      <c r="AI96" s="64" t="str">
        <f ca="1">IF(COUNTIFS('SEANCE 1'!$B:$B, $B96, 'SEANCE 1'!$C:$C, AI$2, 'SEANCE 1'!$F:$F, AI$5)=0, "", COUNTIFS('SEANCE 1'!$B:$B, $B96, 'SEANCE 1'!$C:$C, AI$2, 'SEANCE 1'!$F:$F, AI$5))</f>
        <v/>
      </c>
      <c r="AJ96" s="64" t="str">
        <f ca="1">IF(COUNTIFS('SEANCE 1'!$B:$B, $B96, 'SEANCE 1'!$C:$C, AJ$2, 'SEANCE 1'!$F:$F, AJ$5)=0, "", COUNTIFS('SEANCE 1'!$B:$B, $B96, 'SEANCE 1'!$C:$C, AJ$2, 'SEANCE 1'!$F:$F, AJ$5))</f>
        <v/>
      </c>
      <c r="AK96" s="64" t="str">
        <f ca="1">IF(COUNTIFS('SEANCE 1'!$B:$B, $B96, 'SEANCE 1'!$C:$C, AK$2, 'SEANCE 1'!$F:$F, AK$5)=0, "", COUNTIFS('SEANCE 1'!$B:$B, $B96, 'SEANCE 1'!$C:$C, AK$2, 'SEANCE 1'!$F:$F, AK$5))</f>
        <v/>
      </c>
      <c r="AL96" s="64" t="str">
        <f ca="1">IF(COUNTIFS('SEANCE 1'!$B:$B, $B96, 'SEANCE 1'!$C:$C, AL$2, 'SEANCE 1'!$F:$F, AL$5)=0, "", COUNTIFS('SEANCE 1'!$B:$B, $B96, 'SEANCE 1'!$C:$C, AL$2, 'SEANCE 1'!$F:$F, AL$5))</f>
        <v/>
      </c>
      <c r="AM96" s="64" t="str">
        <f ca="1">IF(COUNTIFS('SEANCE 1'!$B:$B, $B96, 'SEANCE 1'!$C:$C, AM$2, 'SEANCE 1'!$F:$F, AM$5)=0, "", COUNTIFS('SEANCE 1'!$B:$B, $B96, 'SEANCE 1'!$C:$C, AM$2, 'SEANCE 1'!$F:$F, AM$5))</f>
        <v/>
      </c>
      <c r="AN96" s="64" t="str">
        <f ca="1">IF(COUNTIFS('SEANCE 1'!$B:$B, $B96, 'SEANCE 1'!$C:$C, AN$2, 'SEANCE 1'!$F:$F, AN$5)=0, "", COUNTIFS('SEANCE 1'!$B:$B, $B96, 'SEANCE 1'!$C:$C, AN$2, 'SEANCE 1'!$F:$F, AN$5))</f>
        <v/>
      </c>
      <c r="AO96" s="64" t="str">
        <f ca="1">IF(COUNTIFS('SEANCE 1'!$B:$B, $B96, 'SEANCE 1'!$C:$C, AO$2, 'SEANCE 1'!$F:$F, AO$5)=0, "", COUNTIFS('SEANCE 1'!$B:$B, $B96, 'SEANCE 1'!$C:$C, AO$2, 'SEANCE 1'!$F:$F, AO$5))</f>
        <v/>
      </c>
      <c r="AP96" s="64" t="str">
        <f ca="1">IF(COUNTIFS('SEANCE 1'!$B:$B, $B96, 'SEANCE 1'!$C:$C, AP$2, 'SEANCE 1'!$F:$F, AP$5)=0, "", COUNTIFS('SEANCE 1'!$B:$B, $B96, 'SEANCE 1'!$C:$C, AP$2, 'SEANCE 1'!$F:$F, AP$5))</f>
        <v/>
      </c>
      <c r="AQ96" s="64" t="str">
        <f ca="1">IF(COUNTIFS('SEANCE 1'!$B:$B, $B96, 'SEANCE 1'!$C:$C, AQ$2, 'SEANCE 1'!$F:$F, AQ$5)=0, "", COUNTIFS('SEANCE 1'!$B:$B, $B96, 'SEANCE 1'!$C:$C, AQ$2, 'SEANCE 1'!$F:$F, AQ$5))</f>
        <v/>
      </c>
      <c r="AR96" s="64" t="str">
        <f ca="1">IF(COUNTIFS('SEANCE 1'!$B:$B, $B96, 'SEANCE 1'!$C:$C, AR$2, 'SEANCE 1'!$F:$F, AR$5)=0, "", COUNTIFS('SEANCE 1'!$B:$B, $B96, 'SEANCE 1'!$C:$C, AR$2, 'SEANCE 1'!$F:$F, AR$5))</f>
        <v/>
      </c>
      <c r="AS96" s="64" t="str">
        <f ca="1">IF(COUNTIFS('SEANCE 1'!$B:$B, $B96, 'SEANCE 1'!$C:$C, AS$2, 'SEANCE 1'!$F:$F, AS$5)=0, "", COUNTIFS('SEANCE 1'!$B:$B, $B96, 'SEANCE 1'!$C:$C, AS$2, 'SEANCE 1'!$F:$F, AS$5))</f>
        <v/>
      </c>
      <c r="AT96" s="64" t="str">
        <f ca="1">IF(COUNTIFS('SEANCE 1'!$B:$B, $B96, 'SEANCE 1'!$C:$C, AT$2, 'SEANCE 1'!$F:$F, AT$5)=0, "", COUNTIFS('SEANCE 1'!$B:$B, $B96, 'SEANCE 1'!$C:$C, AT$2, 'SEANCE 1'!$F:$F, AT$5))</f>
        <v/>
      </c>
      <c r="AU96" s="64" t="str">
        <f ca="1">IF(COUNTIFS('SEANCE 1'!$B:$B, $B96, 'SEANCE 1'!$C:$C, AU$2, 'SEANCE 1'!$F:$F, AU$5)=0, "", COUNTIFS('SEANCE 1'!$B:$B, $B96, 'SEANCE 1'!$C:$C, AU$2, 'SEANCE 1'!$F:$F, AU$5))</f>
        <v/>
      </c>
      <c r="AV96" s="64" t="str">
        <f ca="1">IF(COUNTIFS('SEANCE 1'!$B:$B, $B96, 'SEANCE 1'!$C:$C, AV$2, 'SEANCE 1'!$F:$F, AV$5)=0, "", COUNTIFS('SEANCE 1'!$B:$B, $B96, 'SEANCE 1'!$C:$C, AV$2, 'SEANCE 1'!$F:$F, AV$5))</f>
        <v/>
      </c>
      <c r="AW96" s="64" t="str">
        <f ca="1">IF(COUNTIFS('SEANCE 1'!$B:$B, $B96, 'SEANCE 1'!$C:$C, AW$2, 'SEANCE 1'!$F:$F, AW$5)=0, "", COUNTIFS('SEANCE 1'!$B:$B, $B96, 'SEANCE 1'!$C:$C, AW$2, 'SEANCE 1'!$F:$F, AW$5))</f>
        <v/>
      </c>
      <c r="AX96" s="64" t="str">
        <f ca="1">IF(COUNTIFS('SEANCE 1'!$B:$B, $B96, 'SEANCE 1'!$C:$C, AX$2, 'SEANCE 1'!$F:$F, AX$5)=0, "", COUNTIFS('SEANCE 1'!$B:$B, $B96, 'SEANCE 1'!$C:$C, AX$2, 'SEANCE 1'!$F:$F, AX$5))</f>
        <v/>
      </c>
      <c r="AY96" s="64" t="str">
        <f ca="1">IF(COUNTIFS('SEANCE 1'!$B:$B, $B96, 'SEANCE 1'!$C:$C, AY$2, 'SEANCE 1'!$F:$F, AY$5)=0, "", COUNTIFS('SEANCE 1'!$B:$B, $B96, 'SEANCE 1'!$C:$C, AY$2, 'SEANCE 1'!$F:$F, AY$5))</f>
        <v/>
      </c>
      <c r="AZ96" s="32">
        <f t="shared" ca="1" si="1"/>
        <v>0</v>
      </c>
    </row>
    <row r="97" spans="1:52">
      <c r="A97" s="44" t="str">
        <f>IF('SEANCE 1'!$B93&lt;&gt;"",'SEANCE 1'!$A93,"")</f>
        <v/>
      </c>
      <c r="B97" s="44" t="str">
        <f t="array" aca="1" ref="B97" ca="1">IF(ISNA(INDEX(ListeB,MATCH(0,COUNTIF($B$5:B96,ListeB),0))),"",INDEX(ListeB,MATCH(0,COUNTIF($B$5:B96,ListeB),0)))</f>
        <v/>
      </c>
      <c r="C97" s="64" t="str">
        <f ca="1">IF(COUNTIFS('SEANCE 1'!$B:$B, $B97, 'SEANCE 1'!$C:$C, C$2, 'SEANCE 1'!$F:$F, C$5)=0, "", COUNTIFS('SEANCE 1'!$B:$B, $B97, 'SEANCE 1'!$C:$C, C$2, 'SEANCE 1'!$F:$F, C$5))</f>
        <v/>
      </c>
      <c r="D97" s="64" t="str">
        <f ca="1">IF(COUNTIFS('SEANCE 1'!$B:$B, $B97, 'SEANCE 1'!$C:$C, D$2, 'SEANCE 1'!$F:$F, D$5)=0, "", COUNTIFS('SEANCE 1'!$B:$B, $B97, 'SEANCE 1'!$C:$C, D$2, 'SEANCE 1'!$F:$F, D$5))</f>
        <v/>
      </c>
      <c r="E97" s="64" t="str">
        <f ca="1">IF(COUNTIFS('SEANCE 1'!$B:$B, $B97, 'SEANCE 1'!$C:$C, E$2, 'SEANCE 1'!$F:$F, E$5)=0, "", COUNTIFS('SEANCE 1'!$B:$B, $B97, 'SEANCE 1'!$C:$C, E$2, 'SEANCE 1'!$F:$F, E$5))</f>
        <v/>
      </c>
      <c r="F97" s="64" t="str">
        <f ca="1">IF(COUNTIFS('SEANCE 1'!$B:$B, $B97, 'SEANCE 1'!$C:$C, F$2, 'SEANCE 1'!$F:$F, F$5)=0, "", COUNTIFS('SEANCE 1'!$B:$B, $B97, 'SEANCE 1'!$C:$C, F$2, 'SEANCE 1'!$F:$F, F$5))</f>
        <v/>
      </c>
      <c r="G97" s="64" t="str">
        <f ca="1">IF(COUNTIFS('SEANCE 1'!$B:$B, $B97, 'SEANCE 1'!$C:$C, G$2, 'SEANCE 1'!$F:$F, G$5)=0, "", COUNTIFS('SEANCE 1'!$B:$B, $B97, 'SEANCE 1'!$C:$C, G$2, 'SEANCE 1'!$F:$F, G$5))</f>
        <v/>
      </c>
      <c r="H97" s="64" t="str">
        <f ca="1">IF(COUNTIFS('SEANCE 1'!$B:$B, $B97, 'SEANCE 1'!$C:$C, H$2, 'SEANCE 1'!$F:$F, H$5)=0, "", COUNTIFS('SEANCE 1'!$B:$B, $B97, 'SEANCE 1'!$C:$C, H$2, 'SEANCE 1'!$F:$F, H$5))</f>
        <v/>
      </c>
      <c r="I97" s="64" t="str">
        <f ca="1">IF(COUNTIFS('SEANCE 1'!$B:$B, $B97, 'SEANCE 1'!$C:$C, I$2, 'SEANCE 1'!$F:$F, I$5)=0, "", COUNTIFS('SEANCE 1'!$B:$B, $B97, 'SEANCE 1'!$C:$C, I$2, 'SEANCE 1'!$F:$F, I$5))</f>
        <v/>
      </c>
      <c r="J97" s="64" t="str">
        <f ca="1">IF(COUNTIFS('SEANCE 1'!$B:$B, $B97, 'SEANCE 1'!$C:$C, J$2, 'SEANCE 1'!$F:$F, J$5)=0, "", COUNTIFS('SEANCE 1'!$B:$B, $B97, 'SEANCE 1'!$C:$C, J$2, 'SEANCE 1'!$F:$F, J$5))</f>
        <v/>
      </c>
      <c r="K97" s="64" t="str">
        <f ca="1">IF(COUNTIFS('SEANCE 1'!$B:$B, $B97, 'SEANCE 1'!$C:$C, K$2, 'SEANCE 1'!$F:$F, K$5)=0, "", COUNTIFS('SEANCE 1'!$B:$B, $B97, 'SEANCE 1'!$C:$C, K$2, 'SEANCE 1'!$F:$F, K$5))</f>
        <v/>
      </c>
      <c r="L97" s="64" t="str">
        <f ca="1">IF(COUNTIFS('SEANCE 1'!$B:$B, $B97, 'SEANCE 1'!$C:$C, L$2, 'SEANCE 1'!$F:$F, L$5)=0, "", COUNTIFS('SEANCE 1'!$B:$B, $B97, 'SEANCE 1'!$C:$C, L$2, 'SEANCE 1'!$F:$F, L$5))</f>
        <v/>
      </c>
      <c r="M97" s="64" t="str">
        <f ca="1">IF(COUNTIFS('SEANCE 1'!$B:$B, $B97, 'SEANCE 1'!$C:$C, M$2, 'SEANCE 1'!$F:$F, M$5)=0, "", COUNTIFS('SEANCE 1'!$B:$B, $B97, 'SEANCE 1'!$C:$C, M$2, 'SEANCE 1'!$F:$F, M$5))</f>
        <v/>
      </c>
      <c r="N97" s="64" t="str">
        <f ca="1">IF(COUNTIFS('SEANCE 1'!$B:$B, $B97, 'SEANCE 1'!$C:$C, N$2, 'SEANCE 1'!$F:$F, N$5)=0, "", COUNTIFS('SEANCE 1'!$B:$B, $B97, 'SEANCE 1'!$C:$C, N$2, 'SEANCE 1'!$F:$F, N$5))</f>
        <v/>
      </c>
      <c r="O97" s="64" t="str">
        <f ca="1">IF(COUNTIFS('SEANCE 1'!$B:$B, $B97, 'SEANCE 1'!$C:$C, O$2, 'SEANCE 1'!$F:$F, O$5)=0, "", COUNTIFS('SEANCE 1'!$B:$B, $B97, 'SEANCE 1'!$C:$C, O$2, 'SEANCE 1'!$F:$F, O$5))</f>
        <v/>
      </c>
      <c r="P97" s="64" t="str">
        <f ca="1">IF(COUNTIFS('SEANCE 1'!$B:$B, $B97, 'SEANCE 1'!$C:$C, P$2, 'SEANCE 1'!$F:$F, P$5)=0, "", COUNTIFS('SEANCE 1'!$B:$B, $B97, 'SEANCE 1'!$C:$C, P$2, 'SEANCE 1'!$F:$F, P$5))</f>
        <v/>
      </c>
      <c r="Q97" s="64" t="str">
        <f ca="1">IF(COUNTIFS('SEANCE 1'!$B:$B, $B97, 'SEANCE 1'!$C:$C, Q$2, 'SEANCE 1'!$F:$F, Q$5)=0, "", COUNTIFS('SEANCE 1'!$B:$B, $B97, 'SEANCE 1'!$C:$C, Q$2, 'SEANCE 1'!$F:$F, Q$5))</f>
        <v/>
      </c>
      <c r="R97" s="64" t="str">
        <f ca="1">IF(COUNTIFS('SEANCE 1'!$B:$B, $B97, 'SEANCE 1'!$C:$C, R$2, 'SEANCE 1'!$F:$F, R$5)=0, "", COUNTIFS('SEANCE 1'!$B:$B, $B97, 'SEANCE 1'!$C:$C, R$2, 'SEANCE 1'!$F:$F, R$5))</f>
        <v/>
      </c>
      <c r="S97" s="64" t="str">
        <f ca="1">IF(COUNTIFS('SEANCE 1'!$B:$B, $B97, 'SEANCE 1'!$C:$C, S$2, 'SEANCE 1'!$F:$F, S$5)=0, "", COUNTIFS('SEANCE 1'!$B:$B, $B97, 'SEANCE 1'!$C:$C, S$2, 'SEANCE 1'!$F:$F, S$5))</f>
        <v/>
      </c>
      <c r="T97" s="64" t="str">
        <f ca="1">IF(COUNTIFS('SEANCE 1'!$B:$B, $B97, 'SEANCE 1'!$C:$C, T$2, 'SEANCE 1'!$F:$F, T$5)=0, "", COUNTIFS('SEANCE 1'!$B:$B, $B97, 'SEANCE 1'!$C:$C, T$2, 'SEANCE 1'!$F:$F, T$5))</f>
        <v/>
      </c>
      <c r="U97" s="64" t="str">
        <f ca="1">IF(COUNTIFS('SEANCE 1'!$B:$B, $B97, 'SEANCE 1'!$C:$C, U$2, 'SEANCE 1'!$F:$F, U$5)=0, "", COUNTIFS('SEANCE 1'!$B:$B, $B97, 'SEANCE 1'!$C:$C, U$2, 'SEANCE 1'!$F:$F, U$5))</f>
        <v/>
      </c>
      <c r="V97" s="64" t="str">
        <f ca="1">IF(COUNTIFS('SEANCE 1'!$B:$B, $B97, 'SEANCE 1'!$C:$C, V$2, 'SEANCE 1'!$F:$F, V$5)=0, "", COUNTIFS('SEANCE 1'!$B:$B, $B97, 'SEANCE 1'!$C:$C, V$2, 'SEANCE 1'!$F:$F, V$5))</f>
        <v/>
      </c>
      <c r="W97" s="64" t="str">
        <f ca="1">IF(COUNTIFS('SEANCE 1'!$B:$B, $B97, 'SEANCE 1'!$C:$C, W$2, 'SEANCE 1'!$F:$F, W$5)=0, "", COUNTIFS('SEANCE 1'!$B:$B, $B97, 'SEANCE 1'!$C:$C, W$2, 'SEANCE 1'!$F:$F, W$5))</f>
        <v/>
      </c>
      <c r="X97" s="64" t="str">
        <f ca="1">IF(COUNTIFS('SEANCE 1'!$B:$B, $B97, 'SEANCE 1'!$C:$C, X$2, 'SEANCE 1'!$F:$F, X$5)=0, "", COUNTIFS('SEANCE 1'!$B:$B, $B97, 'SEANCE 1'!$C:$C, X$2, 'SEANCE 1'!$F:$F, X$5))</f>
        <v/>
      </c>
      <c r="Y97" s="64" t="str">
        <f ca="1">IF(COUNTIFS('SEANCE 1'!$B:$B, $B97, 'SEANCE 1'!$C:$C, Y$2, 'SEANCE 1'!$F:$F, Y$5)=0, "", COUNTIFS('SEANCE 1'!$B:$B, $B97, 'SEANCE 1'!$C:$C, Y$2, 'SEANCE 1'!$F:$F, Y$5))</f>
        <v/>
      </c>
      <c r="Z97" s="64" t="str">
        <f ca="1">IF(COUNTIFS('SEANCE 1'!$B:$B, $B97, 'SEANCE 1'!$C:$C, Z$2, 'SEANCE 1'!$F:$F, Z$5)=0, "", COUNTIFS('SEANCE 1'!$B:$B, $B97, 'SEANCE 1'!$C:$C, Z$2, 'SEANCE 1'!$F:$F, Z$5))</f>
        <v/>
      </c>
      <c r="AA97" s="64" t="str">
        <f ca="1">IF(COUNTIFS('SEANCE 1'!$B:$B, $B97, 'SEANCE 1'!$C:$C, AA$2, 'SEANCE 1'!$F:$F, AA$5)=0, "", COUNTIFS('SEANCE 1'!$B:$B, $B97, 'SEANCE 1'!$C:$C, AA$2, 'SEANCE 1'!$F:$F, AA$5))</f>
        <v/>
      </c>
      <c r="AB97" s="64" t="str">
        <f ca="1">IF(COUNTIFS('SEANCE 1'!$B:$B, $B97, 'SEANCE 1'!$C:$C, AB$2, 'SEANCE 1'!$F:$F, AB$5)=0, "", COUNTIFS('SEANCE 1'!$B:$B, $B97, 'SEANCE 1'!$C:$C, AB$2, 'SEANCE 1'!$F:$F, AB$5))</f>
        <v/>
      </c>
      <c r="AC97" s="64" t="str">
        <f ca="1">IF(COUNTIFS('SEANCE 1'!$B:$B, $B97, 'SEANCE 1'!$C:$C, AC$2, 'SEANCE 1'!$F:$F, AC$5)=0, "", COUNTIFS('SEANCE 1'!$B:$B, $B97, 'SEANCE 1'!$C:$C, AC$2, 'SEANCE 1'!$F:$F, AC$5))</f>
        <v/>
      </c>
      <c r="AD97" s="64" t="str">
        <f ca="1">IF(COUNTIFS('SEANCE 1'!$B:$B, $B97, 'SEANCE 1'!$C:$C, AD$2, 'SEANCE 1'!$F:$F, AD$5)=0, "", COUNTIFS('SEANCE 1'!$B:$B, $B97, 'SEANCE 1'!$C:$C, AD$2, 'SEANCE 1'!$F:$F, AD$5))</f>
        <v/>
      </c>
      <c r="AE97" s="64" t="str">
        <f ca="1">IF(COUNTIFS('SEANCE 1'!$B:$B, $B97, 'SEANCE 1'!$C:$C, AE$2, 'SEANCE 1'!$F:$F, AE$5)=0, "", COUNTIFS('SEANCE 1'!$B:$B, $B97, 'SEANCE 1'!$C:$C, AE$2, 'SEANCE 1'!$F:$F, AE$5))</f>
        <v/>
      </c>
      <c r="AF97" s="64" t="str">
        <f ca="1">IF(COUNTIFS('SEANCE 1'!$B:$B, $B97, 'SEANCE 1'!$C:$C, AF$2, 'SEANCE 1'!$F:$F, AF$5)=0, "", COUNTIFS('SEANCE 1'!$B:$B, $B97, 'SEANCE 1'!$C:$C, AF$2, 'SEANCE 1'!$F:$F, AF$5))</f>
        <v/>
      </c>
      <c r="AG97" s="64" t="str">
        <f ca="1">IF(COUNTIFS('SEANCE 1'!$B:$B, $B97, 'SEANCE 1'!$C:$C, AG$2, 'SEANCE 1'!$F:$F, AG$5)=0, "", COUNTIFS('SEANCE 1'!$B:$B, $B97, 'SEANCE 1'!$C:$C, AG$2, 'SEANCE 1'!$F:$F, AG$5))</f>
        <v/>
      </c>
      <c r="AH97" s="64" t="str">
        <f ca="1">IF(COUNTIFS('SEANCE 1'!$B:$B, $B97, 'SEANCE 1'!$C:$C, AH$2, 'SEANCE 1'!$F:$F, AH$5)=0, "", COUNTIFS('SEANCE 1'!$B:$B, $B97, 'SEANCE 1'!$C:$C, AH$2, 'SEANCE 1'!$F:$F, AH$5))</f>
        <v/>
      </c>
      <c r="AI97" s="64" t="str">
        <f ca="1">IF(COUNTIFS('SEANCE 1'!$B:$B, $B97, 'SEANCE 1'!$C:$C, AI$2, 'SEANCE 1'!$F:$F, AI$5)=0, "", COUNTIFS('SEANCE 1'!$B:$B, $B97, 'SEANCE 1'!$C:$C, AI$2, 'SEANCE 1'!$F:$F, AI$5))</f>
        <v/>
      </c>
      <c r="AJ97" s="64" t="str">
        <f ca="1">IF(COUNTIFS('SEANCE 1'!$B:$B, $B97, 'SEANCE 1'!$C:$C, AJ$2, 'SEANCE 1'!$F:$F, AJ$5)=0, "", COUNTIFS('SEANCE 1'!$B:$B, $B97, 'SEANCE 1'!$C:$C, AJ$2, 'SEANCE 1'!$F:$F, AJ$5))</f>
        <v/>
      </c>
      <c r="AK97" s="64" t="str">
        <f ca="1">IF(COUNTIFS('SEANCE 1'!$B:$B, $B97, 'SEANCE 1'!$C:$C, AK$2, 'SEANCE 1'!$F:$F, AK$5)=0, "", COUNTIFS('SEANCE 1'!$B:$B, $B97, 'SEANCE 1'!$C:$C, AK$2, 'SEANCE 1'!$F:$F, AK$5))</f>
        <v/>
      </c>
      <c r="AL97" s="64" t="str">
        <f ca="1">IF(COUNTIFS('SEANCE 1'!$B:$B, $B97, 'SEANCE 1'!$C:$C, AL$2, 'SEANCE 1'!$F:$F, AL$5)=0, "", COUNTIFS('SEANCE 1'!$B:$B, $B97, 'SEANCE 1'!$C:$C, AL$2, 'SEANCE 1'!$F:$F, AL$5))</f>
        <v/>
      </c>
      <c r="AM97" s="64" t="str">
        <f ca="1">IF(COUNTIFS('SEANCE 1'!$B:$B, $B97, 'SEANCE 1'!$C:$C, AM$2, 'SEANCE 1'!$F:$F, AM$5)=0, "", COUNTIFS('SEANCE 1'!$B:$B, $B97, 'SEANCE 1'!$C:$C, AM$2, 'SEANCE 1'!$F:$F, AM$5))</f>
        <v/>
      </c>
      <c r="AN97" s="64" t="str">
        <f ca="1">IF(COUNTIFS('SEANCE 1'!$B:$B, $B97, 'SEANCE 1'!$C:$C, AN$2, 'SEANCE 1'!$F:$F, AN$5)=0, "", COUNTIFS('SEANCE 1'!$B:$B, $B97, 'SEANCE 1'!$C:$C, AN$2, 'SEANCE 1'!$F:$F, AN$5))</f>
        <v/>
      </c>
      <c r="AO97" s="64" t="str">
        <f ca="1">IF(COUNTIFS('SEANCE 1'!$B:$B, $B97, 'SEANCE 1'!$C:$C, AO$2, 'SEANCE 1'!$F:$F, AO$5)=0, "", COUNTIFS('SEANCE 1'!$B:$B, $B97, 'SEANCE 1'!$C:$C, AO$2, 'SEANCE 1'!$F:$F, AO$5))</f>
        <v/>
      </c>
      <c r="AP97" s="64" t="str">
        <f ca="1">IF(COUNTIFS('SEANCE 1'!$B:$B, $B97, 'SEANCE 1'!$C:$C, AP$2, 'SEANCE 1'!$F:$F, AP$5)=0, "", COUNTIFS('SEANCE 1'!$B:$B, $B97, 'SEANCE 1'!$C:$C, AP$2, 'SEANCE 1'!$F:$F, AP$5))</f>
        <v/>
      </c>
      <c r="AQ97" s="64" t="str">
        <f ca="1">IF(COUNTIFS('SEANCE 1'!$B:$B, $B97, 'SEANCE 1'!$C:$C, AQ$2, 'SEANCE 1'!$F:$F, AQ$5)=0, "", COUNTIFS('SEANCE 1'!$B:$B, $B97, 'SEANCE 1'!$C:$C, AQ$2, 'SEANCE 1'!$F:$F, AQ$5))</f>
        <v/>
      </c>
      <c r="AR97" s="64" t="str">
        <f ca="1">IF(COUNTIFS('SEANCE 1'!$B:$B, $B97, 'SEANCE 1'!$C:$C, AR$2, 'SEANCE 1'!$F:$F, AR$5)=0, "", COUNTIFS('SEANCE 1'!$B:$B, $B97, 'SEANCE 1'!$C:$C, AR$2, 'SEANCE 1'!$F:$F, AR$5))</f>
        <v/>
      </c>
      <c r="AS97" s="64" t="str">
        <f ca="1">IF(COUNTIFS('SEANCE 1'!$B:$B, $B97, 'SEANCE 1'!$C:$C, AS$2, 'SEANCE 1'!$F:$F, AS$5)=0, "", COUNTIFS('SEANCE 1'!$B:$B, $B97, 'SEANCE 1'!$C:$C, AS$2, 'SEANCE 1'!$F:$F, AS$5))</f>
        <v/>
      </c>
      <c r="AT97" s="64" t="str">
        <f ca="1">IF(COUNTIFS('SEANCE 1'!$B:$B, $B97, 'SEANCE 1'!$C:$C, AT$2, 'SEANCE 1'!$F:$F, AT$5)=0, "", COUNTIFS('SEANCE 1'!$B:$B, $B97, 'SEANCE 1'!$C:$C, AT$2, 'SEANCE 1'!$F:$F, AT$5))</f>
        <v/>
      </c>
      <c r="AU97" s="64" t="str">
        <f ca="1">IF(COUNTIFS('SEANCE 1'!$B:$B, $B97, 'SEANCE 1'!$C:$C, AU$2, 'SEANCE 1'!$F:$F, AU$5)=0, "", COUNTIFS('SEANCE 1'!$B:$B, $B97, 'SEANCE 1'!$C:$C, AU$2, 'SEANCE 1'!$F:$F, AU$5))</f>
        <v/>
      </c>
      <c r="AV97" s="64" t="str">
        <f ca="1">IF(COUNTIFS('SEANCE 1'!$B:$B, $B97, 'SEANCE 1'!$C:$C, AV$2, 'SEANCE 1'!$F:$F, AV$5)=0, "", COUNTIFS('SEANCE 1'!$B:$B, $B97, 'SEANCE 1'!$C:$C, AV$2, 'SEANCE 1'!$F:$F, AV$5))</f>
        <v/>
      </c>
      <c r="AW97" s="64" t="str">
        <f ca="1">IF(COUNTIFS('SEANCE 1'!$B:$B, $B97, 'SEANCE 1'!$C:$C, AW$2, 'SEANCE 1'!$F:$F, AW$5)=0, "", COUNTIFS('SEANCE 1'!$B:$B, $B97, 'SEANCE 1'!$C:$C, AW$2, 'SEANCE 1'!$F:$F, AW$5))</f>
        <v/>
      </c>
      <c r="AX97" s="64" t="str">
        <f ca="1">IF(COUNTIFS('SEANCE 1'!$B:$B, $B97, 'SEANCE 1'!$C:$C, AX$2, 'SEANCE 1'!$F:$F, AX$5)=0, "", COUNTIFS('SEANCE 1'!$B:$B, $B97, 'SEANCE 1'!$C:$C, AX$2, 'SEANCE 1'!$F:$F, AX$5))</f>
        <v/>
      </c>
      <c r="AY97" s="64" t="str">
        <f ca="1">IF(COUNTIFS('SEANCE 1'!$B:$B, $B97, 'SEANCE 1'!$C:$C, AY$2, 'SEANCE 1'!$F:$F, AY$5)=0, "", COUNTIFS('SEANCE 1'!$B:$B, $B97, 'SEANCE 1'!$C:$C, AY$2, 'SEANCE 1'!$F:$F, AY$5))</f>
        <v/>
      </c>
      <c r="AZ97" s="32">
        <f t="shared" ca="1" si="1"/>
        <v>0</v>
      </c>
    </row>
    <row r="98" spans="1:52">
      <c r="A98" s="44" t="str">
        <f>IF('SEANCE 1'!$B94&lt;&gt;"",'SEANCE 1'!$A94,"")</f>
        <v/>
      </c>
      <c r="B98" s="44" t="str">
        <f t="array" aca="1" ref="B98" ca="1">IF(ISNA(INDEX(ListeB,MATCH(0,COUNTIF($B$5:B97,ListeB),0))),"",INDEX(ListeB,MATCH(0,COUNTIF($B$5:B97,ListeB),0)))</f>
        <v/>
      </c>
      <c r="C98" s="64" t="str">
        <f ca="1">IF(COUNTIFS('SEANCE 1'!$B:$B, $B98, 'SEANCE 1'!$C:$C, C$2, 'SEANCE 1'!$F:$F, C$5)=0, "", COUNTIFS('SEANCE 1'!$B:$B, $B98, 'SEANCE 1'!$C:$C, C$2, 'SEANCE 1'!$F:$F, C$5))</f>
        <v/>
      </c>
      <c r="D98" s="64" t="str">
        <f ca="1">IF(COUNTIFS('SEANCE 1'!$B:$B, $B98, 'SEANCE 1'!$C:$C, D$2, 'SEANCE 1'!$F:$F, D$5)=0, "", COUNTIFS('SEANCE 1'!$B:$B, $B98, 'SEANCE 1'!$C:$C, D$2, 'SEANCE 1'!$F:$F, D$5))</f>
        <v/>
      </c>
      <c r="E98" s="64" t="str">
        <f ca="1">IF(COUNTIFS('SEANCE 1'!$B:$B, $B98, 'SEANCE 1'!$C:$C, E$2, 'SEANCE 1'!$F:$F, E$5)=0, "", COUNTIFS('SEANCE 1'!$B:$B, $B98, 'SEANCE 1'!$C:$C, E$2, 'SEANCE 1'!$F:$F, E$5))</f>
        <v/>
      </c>
      <c r="F98" s="64" t="str">
        <f ca="1">IF(COUNTIFS('SEANCE 1'!$B:$B, $B98, 'SEANCE 1'!$C:$C, F$2, 'SEANCE 1'!$F:$F, F$5)=0, "", COUNTIFS('SEANCE 1'!$B:$B, $B98, 'SEANCE 1'!$C:$C, F$2, 'SEANCE 1'!$F:$F, F$5))</f>
        <v/>
      </c>
      <c r="G98" s="64" t="str">
        <f ca="1">IF(COUNTIFS('SEANCE 1'!$B:$B, $B98, 'SEANCE 1'!$C:$C, G$2, 'SEANCE 1'!$F:$F, G$5)=0, "", COUNTIFS('SEANCE 1'!$B:$B, $B98, 'SEANCE 1'!$C:$C, G$2, 'SEANCE 1'!$F:$F, G$5))</f>
        <v/>
      </c>
      <c r="H98" s="64" t="str">
        <f ca="1">IF(COUNTIFS('SEANCE 1'!$B:$B, $B98, 'SEANCE 1'!$C:$C, H$2, 'SEANCE 1'!$F:$F, H$5)=0, "", COUNTIFS('SEANCE 1'!$B:$B, $B98, 'SEANCE 1'!$C:$C, H$2, 'SEANCE 1'!$F:$F, H$5))</f>
        <v/>
      </c>
      <c r="I98" s="64" t="str">
        <f ca="1">IF(COUNTIFS('SEANCE 1'!$B:$B, $B98, 'SEANCE 1'!$C:$C, I$2, 'SEANCE 1'!$F:$F, I$5)=0, "", COUNTIFS('SEANCE 1'!$B:$B, $B98, 'SEANCE 1'!$C:$C, I$2, 'SEANCE 1'!$F:$F, I$5))</f>
        <v/>
      </c>
      <c r="J98" s="64" t="str">
        <f ca="1">IF(COUNTIFS('SEANCE 1'!$B:$B, $B98, 'SEANCE 1'!$C:$C, J$2, 'SEANCE 1'!$F:$F, J$5)=0, "", COUNTIFS('SEANCE 1'!$B:$B, $B98, 'SEANCE 1'!$C:$C, J$2, 'SEANCE 1'!$F:$F, J$5))</f>
        <v/>
      </c>
      <c r="K98" s="64" t="str">
        <f ca="1">IF(COUNTIFS('SEANCE 1'!$B:$B, $B98, 'SEANCE 1'!$C:$C, K$2, 'SEANCE 1'!$F:$F, K$5)=0, "", COUNTIFS('SEANCE 1'!$B:$B, $B98, 'SEANCE 1'!$C:$C, K$2, 'SEANCE 1'!$F:$F, K$5))</f>
        <v/>
      </c>
      <c r="L98" s="64" t="str">
        <f ca="1">IF(COUNTIFS('SEANCE 1'!$B:$B, $B98, 'SEANCE 1'!$C:$C, L$2, 'SEANCE 1'!$F:$F, L$5)=0, "", COUNTIFS('SEANCE 1'!$B:$B, $B98, 'SEANCE 1'!$C:$C, L$2, 'SEANCE 1'!$F:$F, L$5))</f>
        <v/>
      </c>
      <c r="M98" s="64" t="str">
        <f ca="1">IF(COUNTIFS('SEANCE 1'!$B:$B, $B98, 'SEANCE 1'!$C:$C, M$2, 'SEANCE 1'!$F:$F, M$5)=0, "", COUNTIFS('SEANCE 1'!$B:$B, $B98, 'SEANCE 1'!$C:$C, M$2, 'SEANCE 1'!$F:$F, M$5))</f>
        <v/>
      </c>
      <c r="N98" s="64" t="str">
        <f ca="1">IF(COUNTIFS('SEANCE 1'!$B:$B, $B98, 'SEANCE 1'!$C:$C, N$2, 'SEANCE 1'!$F:$F, N$5)=0, "", COUNTIFS('SEANCE 1'!$B:$B, $B98, 'SEANCE 1'!$C:$C, N$2, 'SEANCE 1'!$F:$F, N$5))</f>
        <v/>
      </c>
      <c r="O98" s="64" t="str">
        <f ca="1">IF(COUNTIFS('SEANCE 1'!$B:$B, $B98, 'SEANCE 1'!$C:$C, O$2, 'SEANCE 1'!$F:$F, O$5)=0, "", COUNTIFS('SEANCE 1'!$B:$B, $B98, 'SEANCE 1'!$C:$C, O$2, 'SEANCE 1'!$F:$F, O$5))</f>
        <v/>
      </c>
      <c r="P98" s="64" t="str">
        <f ca="1">IF(COUNTIFS('SEANCE 1'!$B:$B, $B98, 'SEANCE 1'!$C:$C, P$2, 'SEANCE 1'!$F:$F, P$5)=0, "", COUNTIFS('SEANCE 1'!$B:$B, $B98, 'SEANCE 1'!$C:$C, P$2, 'SEANCE 1'!$F:$F, P$5))</f>
        <v/>
      </c>
      <c r="Q98" s="64" t="str">
        <f ca="1">IF(COUNTIFS('SEANCE 1'!$B:$B, $B98, 'SEANCE 1'!$C:$C, Q$2, 'SEANCE 1'!$F:$F, Q$5)=0, "", COUNTIFS('SEANCE 1'!$B:$B, $B98, 'SEANCE 1'!$C:$C, Q$2, 'SEANCE 1'!$F:$F, Q$5))</f>
        <v/>
      </c>
      <c r="R98" s="64" t="str">
        <f ca="1">IF(COUNTIFS('SEANCE 1'!$B:$B, $B98, 'SEANCE 1'!$C:$C, R$2, 'SEANCE 1'!$F:$F, R$5)=0, "", COUNTIFS('SEANCE 1'!$B:$B, $B98, 'SEANCE 1'!$C:$C, R$2, 'SEANCE 1'!$F:$F, R$5))</f>
        <v/>
      </c>
      <c r="S98" s="64" t="str">
        <f ca="1">IF(COUNTIFS('SEANCE 1'!$B:$B, $B98, 'SEANCE 1'!$C:$C, S$2, 'SEANCE 1'!$F:$F, S$5)=0, "", COUNTIFS('SEANCE 1'!$B:$B, $B98, 'SEANCE 1'!$C:$C, S$2, 'SEANCE 1'!$F:$F, S$5))</f>
        <v/>
      </c>
      <c r="T98" s="64" t="str">
        <f ca="1">IF(COUNTIFS('SEANCE 1'!$B:$B, $B98, 'SEANCE 1'!$C:$C, T$2, 'SEANCE 1'!$F:$F, T$5)=0, "", COUNTIFS('SEANCE 1'!$B:$B, $B98, 'SEANCE 1'!$C:$C, T$2, 'SEANCE 1'!$F:$F, T$5))</f>
        <v/>
      </c>
      <c r="U98" s="64" t="str">
        <f ca="1">IF(COUNTIFS('SEANCE 1'!$B:$B, $B98, 'SEANCE 1'!$C:$C, U$2, 'SEANCE 1'!$F:$F, U$5)=0, "", COUNTIFS('SEANCE 1'!$B:$B, $B98, 'SEANCE 1'!$C:$C, U$2, 'SEANCE 1'!$F:$F, U$5))</f>
        <v/>
      </c>
      <c r="V98" s="64" t="str">
        <f ca="1">IF(COUNTIFS('SEANCE 1'!$B:$B, $B98, 'SEANCE 1'!$C:$C, V$2, 'SEANCE 1'!$F:$F, V$5)=0, "", COUNTIFS('SEANCE 1'!$B:$B, $B98, 'SEANCE 1'!$C:$C, V$2, 'SEANCE 1'!$F:$F, V$5))</f>
        <v/>
      </c>
      <c r="W98" s="64" t="str">
        <f ca="1">IF(COUNTIFS('SEANCE 1'!$B:$B, $B98, 'SEANCE 1'!$C:$C, W$2, 'SEANCE 1'!$F:$F, W$5)=0, "", COUNTIFS('SEANCE 1'!$B:$B, $B98, 'SEANCE 1'!$C:$C, W$2, 'SEANCE 1'!$F:$F, W$5))</f>
        <v/>
      </c>
      <c r="X98" s="64" t="str">
        <f ca="1">IF(COUNTIFS('SEANCE 1'!$B:$B, $B98, 'SEANCE 1'!$C:$C, X$2, 'SEANCE 1'!$F:$F, X$5)=0, "", COUNTIFS('SEANCE 1'!$B:$B, $B98, 'SEANCE 1'!$C:$C, X$2, 'SEANCE 1'!$F:$F, X$5))</f>
        <v/>
      </c>
      <c r="Y98" s="64" t="str">
        <f ca="1">IF(COUNTIFS('SEANCE 1'!$B:$B, $B98, 'SEANCE 1'!$C:$C, Y$2, 'SEANCE 1'!$F:$F, Y$5)=0, "", COUNTIFS('SEANCE 1'!$B:$B, $B98, 'SEANCE 1'!$C:$C, Y$2, 'SEANCE 1'!$F:$F, Y$5))</f>
        <v/>
      </c>
      <c r="Z98" s="64" t="str">
        <f ca="1">IF(COUNTIFS('SEANCE 1'!$B:$B, $B98, 'SEANCE 1'!$C:$C, Z$2, 'SEANCE 1'!$F:$F, Z$5)=0, "", COUNTIFS('SEANCE 1'!$B:$B, $B98, 'SEANCE 1'!$C:$C, Z$2, 'SEANCE 1'!$F:$F, Z$5))</f>
        <v/>
      </c>
      <c r="AA98" s="64" t="str">
        <f ca="1">IF(COUNTIFS('SEANCE 1'!$B:$B, $B98, 'SEANCE 1'!$C:$C, AA$2, 'SEANCE 1'!$F:$F, AA$5)=0, "", COUNTIFS('SEANCE 1'!$B:$B, $B98, 'SEANCE 1'!$C:$C, AA$2, 'SEANCE 1'!$F:$F, AA$5))</f>
        <v/>
      </c>
      <c r="AB98" s="64" t="str">
        <f ca="1">IF(COUNTIFS('SEANCE 1'!$B:$B, $B98, 'SEANCE 1'!$C:$C, AB$2, 'SEANCE 1'!$F:$F, AB$5)=0, "", COUNTIFS('SEANCE 1'!$B:$B, $B98, 'SEANCE 1'!$C:$C, AB$2, 'SEANCE 1'!$F:$F, AB$5))</f>
        <v/>
      </c>
      <c r="AC98" s="64" t="str">
        <f ca="1">IF(COUNTIFS('SEANCE 1'!$B:$B, $B98, 'SEANCE 1'!$C:$C, AC$2, 'SEANCE 1'!$F:$F, AC$5)=0, "", COUNTIFS('SEANCE 1'!$B:$B, $B98, 'SEANCE 1'!$C:$C, AC$2, 'SEANCE 1'!$F:$F, AC$5))</f>
        <v/>
      </c>
      <c r="AD98" s="64" t="str">
        <f ca="1">IF(COUNTIFS('SEANCE 1'!$B:$B, $B98, 'SEANCE 1'!$C:$C, AD$2, 'SEANCE 1'!$F:$F, AD$5)=0, "", COUNTIFS('SEANCE 1'!$B:$B, $B98, 'SEANCE 1'!$C:$C, AD$2, 'SEANCE 1'!$F:$F, AD$5))</f>
        <v/>
      </c>
      <c r="AE98" s="64" t="str">
        <f ca="1">IF(COUNTIFS('SEANCE 1'!$B:$B, $B98, 'SEANCE 1'!$C:$C, AE$2, 'SEANCE 1'!$F:$F, AE$5)=0, "", COUNTIFS('SEANCE 1'!$B:$B, $B98, 'SEANCE 1'!$C:$C, AE$2, 'SEANCE 1'!$F:$F, AE$5))</f>
        <v/>
      </c>
      <c r="AF98" s="64" t="str">
        <f ca="1">IF(COUNTIFS('SEANCE 1'!$B:$B, $B98, 'SEANCE 1'!$C:$C, AF$2, 'SEANCE 1'!$F:$F, AF$5)=0, "", COUNTIFS('SEANCE 1'!$B:$B, $B98, 'SEANCE 1'!$C:$C, AF$2, 'SEANCE 1'!$F:$F, AF$5))</f>
        <v/>
      </c>
      <c r="AG98" s="64" t="str">
        <f ca="1">IF(COUNTIFS('SEANCE 1'!$B:$B, $B98, 'SEANCE 1'!$C:$C, AG$2, 'SEANCE 1'!$F:$F, AG$5)=0, "", COUNTIFS('SEANCE 1'!$B:$B, $B98, 'SEANCE 1'!$C:$C, AG$2, 'SEANCE 1'!$F:$F, AG$5))</f>
        <v/>
      </c>
      <c r="AH98" s="64" t="str">
        <f ca="1">IF(COUNTIFS('SEANCE 1'!$B:$B, $B98, 'SEANCE 1'!$C:$C, AH$2, 'SEANCE 1'!$F:$F, AH$5)=0, "", COUNTIFS('SEANCE 1'!$B:$B, $B98, 'SEANCE 1'!$C:$C, AH$2, 'SEANCE 1'!$F:$F, AH$5))</f>
        <v/>
      </c>
      <c r="AI98" s="64" t="str">
        <f ca="1">IF(COUNTIFS('SEANCE 1'!$B:$B, $B98, 'SEANCE 1'!$C:$C, AI$2, 'SEANCE 1'!$F:$F, AI$5)=0, "", COUNTIFS('SEANCE 1'!$B:$B, $B98, 'SEANCE 1'!$C:$C, AI$2, 'SEANCE 1'!$F:$F, AI$5))</f>
        <v/>
      </c>
      <c r="AJ98" s="64" t="str">
        <f ca="1">IF(COUNTIFS('SEANCE 1'!$B:$B, $B98, 'SEANCE 1'!$C:$C, AJ$2, 'SEANCE 1'!$F:$F, AJ$5)=0, "", COUNTIFS('SEANCE 1'!$B:$B, $B98, 'SEANCE 1'!$C:$C, AJ$2, 'SEANCE 1'!$F:$F, AJ$5))</f>
        <v/>
      </c>
      <c r="AK98" s="64" t="str">
        <f ca="1">IF(COUNTIFS('SEANCE 1'!$B:$B, $B98, 'SEANCE 1'!$C:$C, AK$2, 'SEANCE 1'!$F:$F, AK$5)=0, "", COUNTIFS('SEANCE 1'!$B:$B, $B98, 'SEANCE 1'!$C:$C, AK$2, 'SEANCE 1'!$F:$F, AK$5))</f>
        <v/>
      </c>
      <c r="AL98" s="64" t="str">
        <f ca="1">IF(COUNTIFS('SEANCE 1'!$B:$B, $B98, 'SEANCE 1'!$C:$C, AL$2, 'SEANCE 1'!$F:$F, AL$5)=0, "", COUNTIFS('SEANCE 1'!$B:$B, $B98, 'SEANCE 1'!$C:$C, AL$2, 'SEANCE 1'!$F:$F, AL$5))</f>
        <v/>
      </c>
      <c r="AM98" s="64" t="str">
        <f ca="1">IF(COUNTIFS('SEANCE 1'!$B:$B, $B98, 'SEANCE 1'!$C:$C, AM$2, 'SEANCE 1'!$F:$F, AM$5)=0, "", COUNTIFS('SEANCE 1'!$B:$B, $B98, 'SEANCE 1'!$C:$C, AM$2, 'SEANCE 1'!$F:$F, AM$5))</f>
        <v/>
      </c>
      <c r="AN98" s="64" t="str">
        <f ca="1">IF(COUNTIFS('SEANCE 1'!$B:$B, $B98, 'SEANCE 1'!$C:$C, AN$2, 'SEANCE 1'!$F:$F, AN$5)=0, "", COUNTIFS('SEANCE 1'!$B:$B, $B98, 'SEANCE 1'!$C:$C, AN$2, 'SEANCE 1'!$F:$F, AN$5))</f>
        <v/>
      </c>
      <c r="AO98" s="64" t="str">
        <f ca="1">IF(COUNTIFS('SEANCE 1'!$B:$B, $B98, 'SEANCE 1'!$C:$C, AO$2, 'SEANCE 1'!$F:$F, AO$5)=0, "", COUNTIFS('SEANCE 1'!$B:$B, $B98, 'SEANCE 1'!$C:$C, AO$2, 'SEANCE 1'!$F:$F, AO$5))</f>
        <v/>
      </c>
      <c r="AP98" s="64" t="str">
        <f ca="1">IF(COUNTIFS('SEANCE 1'!$B:$B, $B98, 'SEANCE 1'!$C:$C, AP$2, 'SEANCE 1'!$F:$F, AP$5)=0, "", COUNTIFS('SEANCE 1'!$B:$B, $B98, 'SEANCE 1'!$C:$C, AP$2, 'SEANCE 1'!$F:$F, AP$5))</f>
        <v/>
      </c>
      <c r="AQ98" s="64" t="str">
        <f ca="1">IF(COUNTIFS('SEANCE 1'!$B:$B, $B98, 'SEANCE 1'!$C:$C, AQ$2, 'SEANCE 1'!$F:$F, AQ$5)=0, "", COUNTIFS('SEANCE 1'!$B:$B, $B98, 'SEANCE 1'!$C:$C, AQ$2, 'SEANCE 1'!$F:$F, AQ$5))</f>
        <v/>
      </c>
      <c r="AR98" s="64" t="str">
        <f ca="1">IF(COUNTIFS('SEANCE 1'!$B:$B, $B98, 'SEANCE 1'!$C:$C, AR$2, 'SEANCE 1'!$F:$F, AR$5)=0, "", COUNTIFS('SEANCE 1'!$B:$B, $B98, 'SEANCE 1'!$C:$C, AR$2, 'SEANCE 1'!$F:$F, AR$5))</f>
        <v/>
      </c>
      <c r="AS98" s="64" t="str">
        <f ca="1">IF(COUNTIFS('SEANCE 1'!$B:$B, $B98, 'SEANCE 1'!$C:$C, AS$2, 'SEANCE 1'!$F:$F, AS$5)=0, "", COUNTIFS('SEANCE 1'!$B:$B, $B98, 'SEANCE 1'!$C:$C, AS$2, 'SEANCE 1'!$F:$F, AS$5))</f>
        <v/>
      </c>
      <c r="AT98" s="64" t="str">
        <f ca="1">IF(COUNTIFS('SEANCE 1'!$B:$B, $B98, 'SEANCE 1'!$C:$C, AT$2, 'SEANCE 1'!$F:$F, AT$5)=0, "", COUNTIFS('SEANCE 1'!$B:$B, $B98, 'SEANCE 1'!$C:$C, AT$2, 'SEANCE 1'!$F:$F, AT$5))</f>
        <v/>
      </c>
      <c r="AU98" s="64" t="str">
        <f ca="1">IF(COUNTIFS('SEANCE 1'!$B:$B, $B98, 'SEANCE 1'!$C:$C, AU$2, 'SEANCE 1'!$F:$F, AU$5)=0, "", COUNTIFS('SEANCE 1'!$B:$B, $B98, 'SEANCE 1'!$C:$C, AU$2, 'SEANCE 1'!$F:$F, AU$5))</f>
        <v/>
      </c>
      <c r="AV98" s="64" t="str">
        <f ca="1">IF(COUNTIFS('SEANCE 1'!$B:$B, $B98, 'SEANCE 1'!$C:$C, AV$2, 'SEANCE 1'!$F:$F, AV$5)=0, "", COUNTIFS('SEANCE 1'!$B:$B, $B98, 'SEANCE 1'!$C:$C, AV$2, 'SEANCE 1'!$F:$F, AV$5))</f>
        <v/>
      </c>
      <c r="AW98" s="64" t="str">
        <f ca="1">IF(COUNTIFS('SEANCE 1'!$B:$B, $B98, 'SEANCE 1'!$C:$C, AW$2, 'SEANCE 1'!$F:$F, AW$5)=0, "", COUNTIFS('SEANCE 1'!$B:$B, $B98, 'SEANCE 1'!$C:$C, AW$2, 'SEANCE 1'!$F:$F, AW$5))</f>
        <v/>
      </c>
      <c r="AX98" s="64" t="str">
        <f ca="1">IF(COUNTIFS('SEANCE 1'!$B:$B, $B98, 'SEANCE 1'!$C:$C, AX$2, 'SEANCE 1'!$F:$F, AX$5)=0, "", COUNTIFS('SEANCE 1'!$B:$B, $B98, 'SEANCE 1'!$C:$C, AX$2, 'SEANCE 1'!$F:$F, AX$5))</f>
        <v/>
      </c>
      <c r="AY98" s="64" t="str">
        <f ca="1">IF(COUNTIFS('SEANCE 1'!$B:$B, $B98, 'SEANCE 1'!$C:$C, AY$2, 'SEANCE 1'!$F:$F, AY$5)=0, "", COUNTIFS('SEANCE 1'!$B:$B, $B98, 'SEANCE 1'!$C:$C, AY$2, 'SEANCE 1'!$F:$F, AY$5))</f>
        <v/>
      </c>
      <c r="AZ98" s="32">
        <f t="shared" ca="1" si="1"/>
        <v>0</v>
      </c>
    </row>
    <row r="99" spans="1:52">
      <c r="A99" s="44" t="str">
        <f>IF('SEANCE 1'!$B95&lt;&gt;"",'SEANCE 1'!$A95,"")</f>
        <v/>
      </c>
      <c r="B99" s="44" t="str">
        <f t="array" aca="1" ref="B99" ca="1">IF(ISNA(INDEX(ListeB,MATCH(0,COUNTIF($B$5:B98,ListeB),0))),"",INDEX(ListeB,MATCH(0,COUNTIF($B$5:B98,ListeB),0)))</f>
        <v/>
      </c>
      <c r="C99" s="64" t="str">
        <f ca="1">IF(COUNTIFS('SEANCE 1'!$B:$B, $B99, 'SEANCE 1'!$C:$C, C$2, 'SEANCE 1'!$F:$F, C$5)=0, "", COUNTIFS('SEANCE 1'!$B:$B, $B99, 'SEANCE 1'!$C:$C, C$2, 'SEANCE 1'!$F:$F, C$5))</f>
        <v/>
      </c>
      <c r="D99" s="64" t="str">
        <f ca="1">IF(COUNTIFS('SEANCE 1'!$B:$B, $B99, 'SEANCE 1'!$C:$C, D$2, 'SEANCE 1'!$F:$F, D$5)=0, "", COUNTIFS('SEANCE 1'!$B:$B, $B99, 'SEANCE 1'!$C:$C, D$2, 'SEANCE 1'!$F:$F, D$5))</f>
        <v/>
      </c>
      <c r="E99" s="64" t="str">
        <f ca="1">IF(COUNTIFS('SEANCE 1'!$B:$B, $B99, 'SEANCE 1'!$C:$C, E$2, 'SEANCE 1'!$F:$F, E$5)=0, "", COUNTIFS('SEANCE 1'!$B:$B, $B99, 'SEANCE 1'!$C:$C, E$2, 'SEANCE 1'!$F:$F, E$5))</f>
        <v/>
      </c>
      <c r="F99" s="64" t="str">
        <f ca="1">IF(COUNTIFS('SEANCE 1'!$B:$B, $B99, 'SEANCE 1'!$C:$C, F$2, 'SEANCE 1'!$F:$F, F$5)=0, "", COUNTIFS('SEANCE 1'!$B:$B, $B99, 'SEANCE 1'!$C:$C, F$2, 'SEANCE 1'!$F:$F, F$5))</f>
        <v/>
      </c>
      <c r="G99" s="64" t="str">
        <f ca="1">IF(COUNTIFS('SEANCE 1'!$B:$B, $B99, 'SEANCE 1'!$C:$C, G$2, 'SEANCE 1'!$F:$F, G$5)=0, "", COUNTIFS('SEANCE 1'!$B:$B, $B99, 'SEANCE 1'!$C:$C, G$2, 'SEANCE 1'!$F:$F, G$5))</f>
        <v/>
      </c>
      <c r="H99" s="64" t="str">
        <f ca="1">IF(COUNTIFS('SEANCE 1'!$B:$B, $B99, 'SEANCE 1'!$C:$C, H$2, 'SEANCE 1'!$F:$F, H$5)=0, "", COUNTIFS('SEANCE 1'!$B:$B, $B99, 'SEANCE 1'!$C:$C, H$2, 'SEANCE 1'!$F:$F, H$5))</f>
        <v/>
      </c>
      <c r="I99" s="64" t="str">
        <f ca="1">IF(COUNTIFS('SEANCE 1'!$B:$B, $B99, 'SEANCE 1'!$C:$C, I$2, 'SEANCE 1'!$F:$F, I$5)=0, "", COUNTIFS('SEANCE 1'!$B:$B, $B99, 'SEANCE 1'!$C:$C, I$2, 'SEANCE 1'!$F:$F, I$5))</f>
        <v/>
      </c>
      <c r="J99" s="64" t="str">
        <f ca="1">IF(COUNTIFS('SEANCE 1'!$B:$B, $B99, 'SEANCE 1'!$C:$C, J$2, 'SEANCE 1'!$F:$F, J$5)=0, "", COUNTIFS('SEANCE 1'!$B:$B, $B99, 'SEANCE 1'!$C:$C, J$2, 'SEANCE 1'!$F:$F, J$5))</f>
        <v/>
      </c>
      <c r="K99" s="64" t="str">
        <f ca="1">IF(COUNTIFS('SEANCE 1'!$B:$B, $B99, 'SEANCE 1'!$C:$C, K$2, 'SEANCE 1'!$F:$F, K$5)=0, "", COUNTIFS('SEANCE 1'!$B:$B, $B99, 'SEANCE 1'!$C:$C, K$2, 'SEANCE 1'!$F:$F, K$5))</f>
        <v/>
      </c>
      <c r="L99" s="64" t="str">
        <f ca="1">IF(COUNTIFS('SEANCE 1'!$B:$B, $B99, 'SEANCE 1'!$C:$C, L$2, 'SEANCE 1'!$F:$F, L$5)=0, "", COUNTIFS('SEANCE 1'!$B:$B, $B99, 'SEANCE 1'!$C:$C, L$2, 'SEANCE 1'!$F:$F, L$5))</f>
        <v/>
      </c>
      <c r="M99" s="64" t="str">
        <f ca="1">IF(COUNTIFS('SEANCE 1'!$B:$B, $B99, 'SEANCE 1'!$C:$C, M$2, 'SEANCE 1'!$F:$F, M$5)=0, "", COUNTIFS('SEANCE 1'!$B:$B, $B99, 'SEANCE 1'!$C:$C, M$2, 'SEANCE 1'!$F:$F, M$5))</f>
        <v/>
      </c>
      <c r="N99" s="64" t="str">
        <f ca="1">IF(COUNTIFS('SEANCE 1'!$B:$B, $B99, 'SEANCE 1'!$C:$C, N$2, 'SEANCE 1'!$F:$F, N$5)=0, "", COUNTIFS('SEANCE 1'!$B:$B, $B99, 'SEANCE 1'!$C:$C, N$2, 'SEANCE 1'!$F:$F, N$5))</f>
        <v/>
      </c>
      <c r="O99" s="64" t="str">
        <f ca="1">IF(COUNTIFS('SEANCE 1'!$B:$B, $B99, 'SEANCE 1'!$C:$C, O$2, 'SEANCE 1'!$F:$F, O$5)=0, "", COUNTIFS('SEANCE 1'!$B:$B, $B99, 'SEANCE 1'!$C:$C, O$2, 'SEANCE 1'!$F:$F, O$5))</f>
        <v/>
      </c>
      <c r="P99" s="64" t="str">
        <f ca="1">IF(COUNTIFS('SEANCE 1'!$B:$B, $B99, 'SEANCE 1'!$C:$C, P$2, 'SEANCE 1'!$F:$F, P$5)=0, "", COUNTIFS('SEANCE 1'!$B:$B, $B99, 'SEANCE 1'!$C:$C, P$2, 'SEANCE 1'!$F:$F, P$5))</f>
        <v/>
      </c>
      <c r="Q99" s="64" t="str">
        <f ca="1">IF(COUNTIFS('SEANCE 1'!$B:$B, $B99, 'SEANCE 1'!$C:$C, Q$2, 'SEANCE 1'!$F:$F, Q$5)=0, "", COUNTIFS('SEANCE 1'!$B:$B, $B99, 'SEANCE 1'!$C:$C, Q$2, 'SEANCE 1'!$F:$F, Q$5))</f>
        <v/>
      </c>
      <c r="R99" s="64" t="str">
        <f ca="1">IF(COUNTIFS('SEANCE 1'!$B:$B, $B99, 'SEANCE 1'!$C:$C, R$2, 'SEANCE 1'!$F:$F, R$5)=0, "", COUNTIFS('SEANCE 1'!$B:$B, $B99, 'SEANCE 1'!$C:$C, R$2, 'SEANCE 1'!$F:$F, R$5))</f>
        <v/>
      </c>
      <c r="S99" s="64" t="str">
        <f ca="1">IF(COUNTIFS('SEANCE 1'!$B:$B, $B99, 'SEANCE 1'!$C:$C, S$2, 'SEANCE 1'!$F:$F, S$5)=0, "", COUNTIFS('SEANCE 1'!$B:$B, $B99, 'SEANCE 1'!$C:$C, S$2, 'SEANCE 1'!$F:$F, S$5))</f>
        <v/>
      </c>
      <c r="T99" s="64" t="str">
        <f ca="1">IF(COUNTIFS('SEANCE 1'!$B:$B, $B99, 'SEANCE 1'!$C:$C, T$2, 'SEANCE 1'!$F:$F, T$5)=0, "", COUNTIFS('SEANCE 1'!$B:$B, $B99, 'SEANCE 1'!$C:$C, T$2, 'SEANCE 1'!$F:$F, T$5))</f>
        <v/>
      </c>
      <c r="U99" s="64" t="str">
        <f ca="1">IF(COUNTIFS('SEANCE 1'!$B:$B, $B99, 'SEANCE 1'!$C:$C, U$2, 'SEANCE 1'!$F:$F, U$5)=0, "", COUNTIFS('SEANCE 1'!$B:$B, $B99, 'SEANCE 1'!$C:$C, U$2, 'SEANCE 1'!$F:$F, U$5))</f>
        <v/>
      </c>
      <c r="V99" s="64" t="str">
        <f ca="1">IF(COUNTIFS('SEANCE 1'!$B:$B, $B99, 'SEANCE 1'!$C:$C, V$2, 'SEANCE 1'!$F:$F, V$5)=0, "", COUNTIFS('SEANCE 1'!$B:$B, $B99, 'SEANCE 1'!$C:$C, V$2, 'SEANCE 1'!$F:$F, V$5))</f>
        <v/>
      </c>
      <c r="W99" s="64" t="str">
        <f ca="1">IF(COUNTIFS('SEANCE 1'!$B:$B, $B99, 'SEANCE 1'!$C:$C, W$2, 'SEANCE 1'!$F:$F, W$5)=0, "", COUNTIFS('SEANCE 1'!$B:$B, $B99, 'SEANCE 1'!$C:$C, W$2, 'SEANCE 1'!$F:$F, W$5))</f>
        <v/>
      </c>
      <c r="X99" s="64" t="str">
        <f ca="1">IF(COUNTIFS('SEANCE 1'!$B:$B, $B99, 'SEANCE 1'!$C:$C, X$2, 'SEANCE 1'!$F:$F, X$5)=0, "", COUNTIFS('SEANCE 1'!$B:$B, $B99, 'SEANCE 1'!$C:$C, X$2, 'SEANCE 1'!$F:$F, X$5))</f>
        <v/>
      </c>
      <c r="Y99" s="64" t="str">
        <f ca="1">IF(COUNTIFS('SEANCE 1'!$B:$B, $B99, 'SEANCE 1'!$C:$C, Y$2, 'SEANCE 1'!$F:$F, Y$5)=0, "", COUNTIFS('SEANCE 1'!$B:$B, $B99, 'SEANCE 1'!$C:$C, Y$2, 'SEANCE 1'!$F:$F, Y$5))</f>
        <v/>
      </c>
      <c r="Z99" s="64" t="str">
        <f ca="1">IF(COUNTIFS('SEANCE 1'!$B:$B, $B99, 'SEANCE 1'!$C:$C, Z$2, 'SEANCE 1'!$F:$F, Z$5)=0, "", COUNTIFS('SEANCE 1'!$B:$B, $B99, 'SEANCE 1'!$C:$C, Z$2, 'SEANCE 1'!$F:$F, Z$5))</f>
        <v/>
      </c>
      <c r="AA99" s="64" t="str">
        <f ca="1">IF(COUNTIFS('SEANCE 1'!$B:$B, $B99, 'SEANCE 1'!$C:$C, AA$2, 'SEANCE 1'!$F:$F, AA$5)=0, "", COUNTIFS('SEANCE 1'!$B:$B, $B99, 'SEANCE 1'!$C:$C, AA$2, 'SEANCE 1'!$F:$F, AA$5))</f>
        <v/>
      </c>
      <c r="AB99" s="64" t="str">
        <f ca="1">IF(COUNTIFS('SEANCE 1'!$B:$B, $B99, 'SEANCE 1'!$C:$C, AB$2, 'SEANCE 1'!$F:$F, AB$5)=0, "", COUNTIFS('SEANCE 1'!$B:$B, $B99, 'SEANCE 1'!$C:$C, AB$2, 'SEANCE 1'!$F:$F, AB$5))</f>
        <v/>
      </c>
      <c r="AC99" s="64" t="str">
        <f ca="1">IF(COUNTIFS('SEANCE 1'!$B:$B, $B99, 'SEANCE 1'!$C:$C, AC$2, 'SEANCE 1'!$F:$F, AC$5)=0, "", COUNTIFS('SEANCE 1'!$B:$B, $B99, 'SEANCE 1'!$C:$C, AC$2, 'SEANCE 1'!$F:$F, AC$5))</f>
        <v/>
      </c>
      <c r="AD99" s="64" t="str">
        <f ca="1">IF(COUNTIFS('SEANCE 1'!$B:$B, $B99, 'SEANCE 1'!$C:$C, AD$2, 'SEANCE 1'!$F:$F, AD$5)=0, "", COUNTIFS('SEANCE 1'!$B:$B, $B99, 'SEANCE 1'!$C:$C, AD$2, 'SEANCE 1'!$F:$F, AD$5))</f>
        <v/>
      </c>
      <c r="AE99" s="64" t="str">
        <f ca="1">IF(COUNTIFS('SEANCE 1'!$B:$B, $B99, 'SEANCE 1'!$C:$C, AE$2, 'SEANCE 1'!$F:$F, AE$5)=0, "", COUNTIFS('SEANCE 1'!$B:$B, $B99, 'SEANCE 1'!$C:$C, AE$2, 'SEANCE 1'!$F:$F, AE$5))</f>
        <v/>
      </c>
      <c r="AF99" s="64" t="str">
        <f ca="1">IF(COUNTIFS('SEANCE 1'!$B:$B, $B99, 'SEANCE 1'!$C:$C, AF$2, 'SEANCE 1'!$F:$F, AF$5)=0, "", COUNTIFS('SEANCE 1'!$B:$B, $B99, 'SEANCE 1'!$C:$C, AF$2, 'SEANCE 1'!$F:$F, AF$5))</f>
        <v/>
      </c>
      <c r="AG99" s="64" t="str">
        <f ca="1">IF(COUNTIFS('SEANCE 1'!$B:$B, $B99, 'SEANCE 1'!$C:$C, AG$2, 'SEANCE 1'!$F:$F, AG$5)=0, "", COUNTIFS('SEANCE 1'!$B:$B, $B99, 'SEANCE 1'!$C:$C, AG$2, 'SEANCE 1'!$F:$F, AG$5))</f>
        <v/>
      </c>
      <c r="AH99" s="64" t="str">
        <f ca="1">IF(COUNTIFS('SEANCE 1'!$B:$B, $B99, 'SEANCE 1'!$C:$C, AH$2, 'SEANCE 1'!$F:$F, AH$5)=0, "", COUNTIFS('SEANCE 1'!$B:$B, $B99, 'SEANCE 1'!$C:$C, AH$2, 'SEANCE 1'!$F:$F, AH$5))</f>
        <v/>
      </c>
      <c r="AI99" s="64" t="str">
        <f ca="1">IF(COUNTIFS('SEANCE 1'!$B:$B, $B99, 'SEANCE 1'!$C:$C, AI$2, 'SEANCE 1'!$F:$F, AI$5)=0, "", COUNTIFS('SEANCE 1'!$B:$B, $B99, 'SEANCE 1'!$C:$C, AI$2, 'SEANCE 1'!$F:$F, AI$5))</f>
        <v/>
      </c>
      <c r="AJ99" s="64" t="str">
        <f ca="1">IF(COUNTIFS('SEANCE 1'!$B:$B, $B99, 'SEANCE 1'!$C:$C, AJ$2, 'SEANCE 1'!$F:$F, AJ$5)=0, "", COUNTIFS('SEANCE 1'!$B:$B, $B99, 'SEANCE 1'!$C:$C, AJ$2, 'SEANCE 1'!$F:$F, AJ$5))</f>
        <v/>
      </c>
      <c r="AK99" s="64" t="str">
        <f ca="1">IF(COUNTIFS('SEANCE 1'!$B:$B, $B99, 'SEANCE 1'!$C:$C, AK$2, 'SEANCE 1'!$F:$F, AK$5)=0, "", COUNTIFS('SEANCE 1'!$B:$B, $B99, 'SEANCE 1'!$C:$C, AK$2, 'SEANCE 1'!$F:$F, AK$5))</f>
        <v/>
      </c>
      <c r="AL99" s="64" t="str">
        <f ca="1">IF(COUNTIFS('SEANCE 1'!$B:$B, $B99, 'SEANCE 1'!$C:$C, AL$2, 'SEANCE 1'!$F:$F, AL$5)=0, "", COUNTIFS('SEANCE 1'!$B:$B, $B99, 'SEANCE 1'!$C:$C, AL$2, 'SEANCE 1'!$F:$F, AL$5))</f>
        <v/>
      </c>
      <c r="AM99" s="64" t="str">
        <f ca="1">IF(COUNTIFS('SEANCE 1'!$B:$B, $B99, 'SEANCE 1'!$C:$C, AM$2, 'SEANCE 1'!$F:$F, AM$5)=0, "", COUNTIFS('SEANCE 1'!$B:$B, $B99, 'SEANCE 1'!$C:$C, AM$2, 'SEANCE 1'!$F:$F, AM$5))</f>
        <v/>
      </c>
      <c r="AN99" s="64" t="str">
        <f ca="1">IF(COUNTIFS('SEANCE 1'!$B:$B, $B99, 'SEANCE 1'!$C:$C, AN$2, 'SEANCE 1'!$F:$F, AN$5)=0, "", COUNTIFS('SEANCE 1'!$B:$B, $B99, 'SEANCE 1'!$C:$C, AN$2, 'SEANCE 1'!$F:$F, AN$5))</f>
        <v/>
      </c>
      <c r="AO99" s="64" t="str">
        <f ca="1">IF(COUNTIFS('SEANCE 1'!$B:$B, $B99, 'SEANCE 1'!$C:$C, AO$2, 'SEANCE 1'!$F:$F, AO$5)=0, "", COUNTIFS('SEANCE 1'!$B:$B, $B99, 'SEANCE 1'!$C:$C, AO$2, 'SEANCE 1'!$F:$F, AO$5))</f>
        <v/>
      </c>
      <c r="AP99" s="64" t="str">
        <f ca="1">IF(COUNTIFS('SEANCE 1'!$B:$B, $B99, 'SEANCE 1'!$C:$C, AP$2, 'SEANCE 1'!$F:$F, AP$5)=0, "", COUNTIFS('SEANCE 1'!$B:$B, $B99, 'SEANCE 1'!$C:$C, AP$2, 'SEANCE 1'!$F:$F, AP$5))</f>
        <v/>
      </c>
      <c r="AQ99" s="64" t="str">
        <f ca="1">IF(COUNTIFS('SEANCE 1'!$B:$B, $B99, 'SEANCE 1'!$C:$C, AQ$2, 'SEANCE 1'!$F:$F, AQ$5)=0, "", COUNTIFS('SEANCE 1'!$B:$B, $B99, 'SEANCE 1'!$C:$C, AQ$2, 'SEANCE 1'!$F:$F, AQ$5))</f>
        <v/>
      </c>
      <c r="AR99" s="64" t="str">
        <f ca="1">IF(COUNTIFS('SEANCE 1'!$B:$B, $B99, 'SEANCE 1'!$C:$C, AR$2, 'SEANCE 1'!$F:$F, AR$5)=0, "", COUNTIFS('SEANCE 1'!$B:$B, $B99, 'SEANCE 1'!$C:$C, AR$2, 'SEANCE 1'!$F:$F, AR$5))</f>
        <v/>
      </c>
      <c r="AS99" s="64" t="str">
        <f ca="1">IF(COUNTIFS('SEANCE 1'!$B:$B, $B99, 'SEANCE 1'!$C:$C, AS$2, 'SEANCE 1'!$F:$F, AS$5)=0, "", COUNTIFS('SEANCE 1'!$B:$B, $B99, 'SEANCE 1'!$C:$C, AS$2, 'SEANCE 1'!$F:$F, AS$5))</f>
        <v/>
      </c>
      <c r="AT99" s="64" t="str">
        <f ca="1">IF(COUNTIFS('SEANCE 1'!$B:$B, $B99, 'SEANCE 1'!$C:$C, AT$2, 'SEANCE 1'!$F:$F, AT$5)=0, "", COUNTIFS('SEANCE 1'!$B:$B, $B99, 'SEANCE 1'!$C:$C, AT$2, 'SEANCE 1'!$F:$F, AT$5))</f>
        <v/>
      </c>
      <c r="AU99" s="64" t="str">
        <f ca="1">IF(COUNTIFS('SEANCE 1'!$B:$B, $B99, 'SEANCE 1'!$C:$C, AU$2, 'SEANCE 1'!$F:$F, AU$5)=0, "", COUNTIFS('SEANCE 1'!$B:$B, $B99, 'SEANCE 1'!$C:$C, AU$2, 'SEANCE 1'!$F:$F, AU$5))</f>
        <v/>
      </c>
      <c r="AV99" s="64" t="str">
        <f ca="1">IF(COUNTIFS('SEANCE 1'!$B:$B, $B99, 'SEANCE 1'!$C:$C, AV$2, 'SEANCE 1'!$F:$F, AV$5)=0, "", COUNTIFS('SEANCE 1'!$B:$B, $B99, 'SEANCE 1'!$C:$C, AV$2, 'SEANCE 1'!$F:$F, AV$5))</f>
        <v/>
      </c>
      <c r="AW99" s="64" t="str">
        <f ca="1">IF(COUNTIFS('SEANCE 1'!$B:$B, $B99, 'SEANCE 1'!$C:$C, AW$2, 'SEANCE 1'!$F:$F, AW$5)=0, "", COUNTIFS('SEANCE 1'!$B:$B, $B99, 'SEANCE 1'!$C:$C, AW$2, 'SEANCE 1'!$F:$F, AW$5))</f>
        <v/>
      </c>
      <c r="AX99" s="64" t="str">
        <f ca="1">IF(COUNTIFS('SEANCE 1'!$B:$B, $B99, 'SEANCE 1'!$C:$C, AX$2, 'SEANCE 1'!$F:$F, AX$5)=0, "", COUNTIFS('SEANCE 1'!$B:$B, $B99, 'SEANCE 1'!$C:$C, AX$2, 'SEANCE 1'!$F:$F, AX$5))</f>
        <v/>
      </c>
      <c r="AY99" s="64" t="str">
        <f ca="1">IF(COUNTIFS('SEANCE 1'!$B:$B, $B99, 'SEANCE 1'!$C:$C, AY$2, 'SEANCE 1'!$F:$F, AY$5)=0, "", COUNTIFS('SEANCE 1'!$B:$B, $B99, 'SEANCE 1'!$C:$C, AY$2, 'SEANCE 1'!$F:$F, AY$5))</f>
        <v/>
      </c>
      <c r="AZ99" s="32">
        <f t="shared" ca="1" si="1"/>
        <v>0</v>
      </c>
    </row>
    <row r="100" spans="1:52">
      <c r="A100" s="44" t="str">
        <f>IF('SEANCE 1'!$B96&lt;&gt;"",'SEANCE 1'!$A96,"")</f>
        <v/>
      </c>
      <c r="B100" s="44" t="str">
        <f t="array" aca="1" ref="B100" ca="1">IF(ISNA(INDEX(ListeB,MATCH(0,COUNTIF($B$5:B99,ListeB),0))),"",INDEX(ListeB,MATCH(0,COUNTIF($B$5:B99,ListeB),0)))</f>
        <v/>
      </c>
      <c r="C100" s="64" t="str">
        <f ca="1">IF(COUNTIFS('SEANCE 1'!$B:$B, $B100, 'SEANCE 1'!$C:$C, C$2, 'SEANCE 1'!$F:$F, C$5)=0, "", COUNTIFS('SEANCE 1'!$B:$B, $B100, 'SEANCE 1'!$C:$C, C$2, 'SEANCE 1'!$F:$F, C$5))</f>
        <v/>
      </c>
      <c r="D100" s="64" t="str">
        <f ca="1">IF(COUNTIFS('SEANCE 1'!$B:$B, $B100, 'SEANCE 1'!$C:$C, D$2, 'SEANCE 1'!$F:$F, D$5)=0, "", COUNTIFS('SEANCE 1'!$B:$B, $B100, 'SEANCE 1'!$C:$C, D$2, 'SEANCE 1'!$F:$F, D$5))</f>
        <v/>
      </c>
      <c r="E100" s="64" t="str">
        <f ca="1">IF(COUNTIFS('SEANCE 1'!$B:$B, $B100, 'SEANCE 1'!$C:$C, E$2, 'SEANCE 1'!$F:$F, E$5)=0, "", COUNTIFS('SEANCE 1'!$B:$B, $B100, 'SEANCE 1'!$C:$C, E$2, 'SEANCE 1'!$F:$F, E$5))</f>
        <v/>
      </c>
      <c r="F100" s="64" t="str">
        <f ca="1">IF(COUNTIFS('SEANCE 1'!$B:$B, $B100, 'SEANCE 1'!$C:$C, F$2, 'SEANCE 1'!$F:$F, F$5)=0, "", COUNTIFS('SEANCE 1'!$B:$B, $B100, 'SEANCE 1'!$C:$C, F$2, 'SEANCE 1'!$F:$F, F$5))</f>
        <v/>
      </c>
      <c r="G100" s="64" t="str">
        <f ca="1">IF(COUNTIFS('SEANCE 1'!$B:$B, $B100, 'SEANCE 1'!$C:$C, G$2, 'SEANCE 1'!$F:$F, G$5)=0, "", COUNTIFS('SEANCE 1'!$B:$B, $B100, 'SEANCE 1'!$C:$C, G$2, 'SEANCE 1'!$F:$F, G$5))</f>
        <v/>
      </c>
      <c r="H100" s="64" t="str">
        <f ca="1">IF(COUNTIFS('SEANCE 1'!$B:$B, $B100, 'SEANCE 1'!$C:$C, H$2, 'SEANCE 1'!$F:$F, H$5)=0, "", COUNTIFS('SEANCE 1'!$B:$B, $B100, 'SEANCE 1'!$C:$C, H$2, 'SEANCE 1'!$F:$F, H$5))</f>
        <v/>
      </c>
      <c r="I100" s="64" t="str">
        <f ca="1">IF(COUNTIFS('SEANCE 1'!$B:$B, $B100, 'SEANCE 1'!$C:$C, I$2, 'SEANCE 1'!$F:$F, I$5)=0, "", COUNTIFS('SEANCE 1'!$B:$B, $B100, 'SEANCE 1'!$C:$C, I$2, 'SEANCE 1'!$F:$F, I$5))</f>
        <v/>
      </c>
      <c r="J100" s="64" t="str">
        <f ca="1">IF(COUNTIFS('SEANCE 1'!$B:$B, $B100, 'SEANCE 1'!$C:$C, J$2, 'SEANCE 1'!$F:$F, J$5)=0, "", COUNTIFS('SEANCE 1'!$B:$B, $B100, 'SEANCE 1'!$C:$C, J$2, 'SEANCE 1'!$F:$F, J$5))</f>
        <v/>
      </c>
      <c r="K100" s="64" t="str">
        <f ca="1">IF(COUNTIFS('SEANCE 1'!$B:$B, $B100, 'SEANCE 1'!$C:$C, K$2, 'SEANCE 1'!$F:$F, K$5)=0, "", COUNTIFS('SEANCE 1'!$B:$B, $B100, 'SEANCE 1'!$C:$C, K$2, 'SEANCE 1'!$F:$F, K$5))</f>
        <v/>
      </c>
      <c r="L100" s="64" t="str">
        <f ca="1">IF(COUNTIFS('SEANCE 1'!$B:$B, $B100, 'SEANCE 1'!$C:$C, L$2, 'SEANCE 1'!$F:$F, L$5)=0, "", COUNTIFS('SEANCE 1'!$B:$B, $B100, 'SEANCE 1'!$C:$C, L$2, 'SEANCE 1'!$F:$F, L$5))</f>
        <v/>
      </c>
      <c r="M100" s="64" t="str">
        <f ca="1">IF(COUNTIFS('SEANCE 1'!$B:$B, $B100, 'SEANCE 1'!$C:$C, M$2, 'SEANCE 1'!$F:$F, M$5)=0, "", COUNTIFS('SEANCE 1'!$B:$B, $B100, 'SEANCE 1'!$C:$C, M$2, 'SEANCE 1'!$F:$F, M$5))</f>
        <v/>
      </c>
      <c r="N100" s="64" t="str">
        <f ca="1">IF(COUNTIFS('SEANCE 1'!$B:$B, $B100, 'SEANCE 1'!$C:$C, N$2, 'SEANCE 1'!$F:$F, N$5)=0, "", COUNTIFS('SEANCE 1'!$B:$B, $B100, 'SEANCE 1'!$C:$C, N$2, 'SEANCE 1'!$F:$F, N$5))</f>
        <v/>
      </c>
      <c r="O100" s="64" t="str">
        <f ca="1">IF(COUNTIFS('SEANCE 1'!$B:$B, $B100, 'SEANCE 1'!$C:$C, O$2, 'SEANCE 1'!$F:$F, O$5)=0, "", COUNTIFS('SEANCE 1'!$B:$B, $B100, 'SEANCE 1'!$C:$C, O$2, 'SEANCE 1'!$F:$F, O$5))</f>
        <v/>
      </c>
      <c r="P100" s="64" t="str">
        <f ca="1">IF(COUNTIFS('SEANCE 1'!$B:$B, $B100, 'SEANCE 1'!$C:$C, P$2, 'SEANCE 1'!$F:$F, P$5)=0, "", COUNTIFS('SEANCE 1'!$B:$B, $B100, 'SEANCE 1'!$C:$C, P$2, 'SEANCE 1'!$F:$F, P$5))</f>
        <v/>
      </c>
      <c r="Q100" s="64" t="str">
        <f ca="1">IF(COUNTIFS('SEANCE 1'!$B:$B, $B100, 'SEANCE 1'!$C:$C, Q$2, 'SEANCE 1'!$F:$F, Q$5)=0, "", COUNTIFS('SEANCE 1'!$B:$B, $B100, 'SEANCE 1'!$C:$C, Q$2, 'SEANCE 1'!$F:$F, Q$5))</f>
        <v/>
      </c>
      <c r="R100" s="64" t="str">
        <f ca="1">IF(COUNTIFS('SEANCE 1'!$B:$B, $B100, 'SEANCE 1'!$C:$C, R$2, 'SEANCE 1'!$F:$F, R$5)=0, "", COUNTIFS('SEANCE 1'!$B:$B, $B100, 'SEANCE 1'!$C:$C, R$2, 'SEANCE 1'!$F:$F, R$5))</f>
        <v/>
      </c>
      <c r="S100" s="64" t="str">
        <f ca="1">IF(COUNTIFS('SEANCE 1'!$B:$B, $B100, 'SEANCE 1'!$C:$C, S$2, 'SEANCE 1'!$F:$F, S$5)=0, "", COUNTIFS('SEANCE 1'!$B:$B, $B100, 'SEANCE 1'!$C:$C, S$2, 'SEANCE 1'!$F:$F, S$5))</f>
        <v/>
      </c>
      <c r="T100" s="64" t="str">
        <f ca="1">IF(COUNTIFS('SEANCE 1'!$B:$B, $B100, 'SEANCE 1'!$C:$C, T$2, 'SEANCE 1'!$F:$F, T$5)=0, "", COUNTIFS('SEANCE 1'!$B:$B, $B100, 'SEANCE 1'!$C:$C, T$2, 'SEANCE 1'!$F:$F, T$5))</f>
        <v/>
      </c>
      <c r="U100" s="64" t="str">
        <f ca="1">IF(COUNTIFS('SEANCE 1'!$B:$B, $B100, 'SEANCE 1'!$C:$C, U$2, 'SEANCE 1'!$F:$F, U$5)=0, "", COUNTIFS('SEANCE 1'!$B:$B, $B100, 'SEANCE 1'!$C:$C, U$2, 'SEANCE 1'!$F:$F, U$5))</f>
        <v/>
      </c>
      <c r="V100" s="64" t="str">
        <f ca="1">IF(COUNTIFS('SEANCE 1'!$B:$B, $B100, 'SEANCE 1'!$C:$C, V$2, 'SEANCE 1'!$F:$F, V$5)=0, "", COUNTIFS('SEANCE 1'!$B:$B, $B100, 'SEANCE 1'!$C:$C, V$2, 'SEANCE 1'!$F:$F, V$5))</f>
        <v/>
      </c>
      <c r="W100" s="64" t="str">
        <f ca="1">IF(COUNTIFS('SEANCE 1'!$B:$B, $B100, 'SEANCE 1'!$C:$C, W$2, 'SEANCE 1'!$F:$F, W$5)=0, "", COUNTIFS('SEANCE 1'!$B:$B, $B100, 'SEANCE 1'!$C:$C, W$2, 'SEANCE 1'!$F:$F, W$5))</f>
        <v/>
      </c>
      <c r="X100" s="64" t="str">
        <f ca="1">IF(COUNTIFS('SEANCE 1'!$B:$B, $B100, 'SEANCE 1'!$C:$C, X$2, 'SEANCE 1'!$F:$F, X$5)=0, "", COUNTIFS('SEANCE 1'!$B:$B, $B100, 'SEANCE 1'!$C:$C, X$2, 'SEANCE 1'!$F:$F, X$5))</f>
        <v/>
      </c>
      <c r="Y100" s="64" t="str">
        <f ca="1">IF(COUNTIFS('SEANCE 1'!$B:$B, $B100, 'SEANCE 1'!$C:$C, Y$2, 'SEANCE 1'!$F:$F, Y$5)=0, "", COUNTIFS('SEANCE 1'!$B:$B, $B100, 'SEANCE 1'!$C:$C, Y$2, 'SEANCE 1'!$F:$F, Y$5))</f>
        <v/>
      </c>
      <c r="Z100" s="64" t="str">
        <f ca="1">IF(COUNTIFS('SEANCE 1'!$B:$B, $B100, 'SEANCE 1'!$C:$C, Z$2, 'SEANCE 1'!$F:$F, Z$5)=0, "", COUNTIFS('SEANCE 1'!$B:$B, $B100, 'SEANCE 1'!$C:$C, Z$2, 'SEANCE 1'!$F:$F, Z$5))</f>
        <v/>
      </c>
      <c r="AA100" s="64" t="str">
        <f ca="1">IF(COUNTIFS('SEANCE 1'!$B:$B, $B100, 'SEANCE 1'!$C:$C, AA$2, 'SEANCE 1'!$F:$F, AA$5)=0, "", COUNTIFS('SEANCE 1'!$B:$B, $B100, 'SEANCE 1'!$C:$C, AA$2, 'SEANCE 1'!$F:$F, AA$5))</f>
        <v/>
      </c>
      <c r="AB100" s="64" t="str">
        <f ca="1">IF(COUNTIFS('SEANCE 1'!$B:$B, $B100, 'SEANCE 1'!$C:$C, AB$2, 'SEANCE 1'!$F:$F, AB$5)=0, "", COUNTIFS('SEANCE 1'!$B:$B, $B100, 'SEANCE 1'!$C:$C, AB$2, 'SEANCE 1'!$F:$F, AB$5))</f>
        <v/>
      </c>
      <c r="AC100" s="64" t="str">
        <f ca="1">IF(COUNTIFS('SEANCE 1'!$B:$B, $B100, 'SEANCE 1'!$C:$C, AC$2, 'SEANCE 1'!$F:$F, AC$5)=0, "", COUNTIFS('SEANCE 1'!$B:$B, $B100, 'SEANCE 1'!$C:$C, AC$2, 'SEANCE 1'!$F:$F, AC$5))</f>
        <v/>
      </c>
      <c r="AD100" s="64" t="str">
        <f ca="1">IF(COUNTIFS('SEANCE 1'!$B:$B, $B100, 'SEANCE 1'!$C:$C, AD$2, 'SEANCE 1'!$F:$F, AD$5)=0, "", COUNTIFS('SEANCE 1'!$B:$B, $B100, 'SEANCE 1'!$C:$C, AD$2, 'SEANCE 1'!$F:$F, AD$5))</f>
        <v/>
      </c>
      <c r="AE100" s="64" t="str">
        <f ca="1">IF(COUNTIFS('SEANCE 1'!$B:$B, $B100, 'SEANCE 1'!$C:$C, AE$2, 'SEANCE 1'!$F:$F, AE$5)=0, "", COUNTIFS('SEANCE 1'!$B:$B, $B100, 'SEANCE 1'!$C:$C, AE$2, 'SEANCE 1'!$F:$F, AE$5))</f>
        <v/>
      </c>
      <c r="AF100" s="64" t="str">
        <f ca="1">IF(COUNTIFS('SEANCE 1'!$B:$B, $B100, 'SEANCE 1'!$C:$C, AF$2, 'SEANCE 1'!$F:$F, AF$5)=0, "", COUNTIFS('SEANCE 1'!$B:$B, $B100, 'SEANCE 1'!$C:$C, AF$2, 'SEANCE 1'!$F:$F, AF$5))</f>
        <v/>
      </c>
      <c r="AG100" s="64" t="str">
        <f ca="1">IF(COUNTIFS('SEANCE 1'!$B:$B, $B100, 'SEANCE 1'!$C:$C, AG$2, 'SEANCE 1'!$F:$F, AG$5)=0, "", COUNTIFS('SEANCE 1'!$B:$B, $B100, 'SEANCE 1'!$C:$C, AG$2, 'SEANCE 1'!$F:$F, AG$5))</f>
        <v/>
      </c>
      <c r="AH100" s="64" t="str">
        <f ca="1">IF(COUNTIFS('SEANCE 1'!$B:$B, $B100, 'SEANCE 1'!$C:$C, AH$2, 'SEANCE 1'!$F:$F, AH$5)=0, "", COUNTIFS('SEANCE 1'!$B:$B, $B100, 'SEANCE 1'!$C:$C, AH$2, 'SEANCE 1'!$F:$F, AH$5))</f>
        <v/>
      </c>
      <c r="AI100" s="64" t="str">
        <f ca="1">IF(COUNTIFS('SEANCE 1'!$B:$B, $B100, 'SEANCE 1'!$C:$C, AI$2, 'SEANCE 1'!$F:$F, AI$5)=0, "", COUNTIFS('SEANCE 1'!$B:$B, $B100, 'SEANCE 1'!$C:$C, AI$2, 'SEANCE 1'!$F:$F, AI$5))</f>
        <v/>
      </c>
      <c r="AJ100" s="64" t="str">
        <f ca="1">IF(COUNTIFS('SEANCE 1'!$B:$B, $B100, 'SEANCE 1'!$C:$C, AJ$2, 'SEANCE 1'!$F:$F, AJ$5)=0, "", COUNTIFS('SEANCE 1'!$B:$B, $B100, 'SEANCE 1'!$C:$C, AJ$2, 'SEANCE 1'!$F:$F, AJ$5))</f>
        <v/>
      </c>
      <c r="AK100" s="64" t="str">
        <f ca="1">IF(COUNTIFS('SEANCE 1'!$B:$B, $B100, 'SEANCE 1'!$C:$C, AK$2, 'SEANCE 1'!$F:$F, AK$5)=0, "", COUNTIFS('SEANCE 1'!$B:$B, $B100, 'SEANCE 1'!$C:$C, AK$2, 'SEANCE 1'!$F:$F, AK$5))</f>
        <v/>
      </c>
      <c r="AL100" s="64" t="str">
        <f ca="1">IF(COUNTIFS('SEANCE 1'!$B:$B, $B100, 'SEANCE 1'!$C:$C, AL$2, 'SEANCE 1'!$F:$F, AL$5)=0, "", COUNTIFS('SEANCE 1'!$B:$B, $B100, 'SEANCE 1'!$C:$C, AL$2, 'SEANCE 1'!$F:$F, AL$5))</f>
        <v/>
      </c>
      <c r="AM100" s="64" t="str">
        <f ca="1">IF(COUNTIFS('SEANCE 1'!$B:$B, $B100, 'SEANCE 1'!$C:$C, AM$2, 'SEANCE 1'!$F:$F, AM$5)=0, "", COUNTIFS('SEANCE 1'!$B:$B, $B100, 'SEANCE 1'!$C:$C, AM$2, 'SEANCE 1'!$F:$F, AM$5))</f>
        <v/>
      </c>
      <c r="AN100" s="64" t="str">
        <f ca="1">IF(COUNTIFS('SEANCE 1'!$B:$B, $B100, 'SEANCE 1'!$C:$C, AN$2, 'SEANCE 1'!$F:$F, AN$5)=0, "", COUNTIFS('SEANCE 1'!$B:$B, $B100, 'SEANCE 1'!$C:$C, AN$2, 'SEANCE 1'!$F:$F, AN$5))</f>
        <v/>
      </c>
      <c r="AO100" s="64" t="str">
        <f ca="1">IF(COUNTIFS('SEANCE 1'!$B:$B, $B100, 'SEANCE 1'!$C:$C, AO$2, 'SEANCE 1'!$F:$F, AO$5)=0, "", COUNTIFS('SEANCE 1'!$B:$B, $B100, 'SEANCE 1'!$C:$C, AO$2, 'SEANCE 1'!$F:$F, AO$5))</f>
        <v/>
      </c>
      <c r="AP100" s="64" t="str">
        <f ca="1">IF(COUNTIFS('SEANCE 1'!$B:$B, $B100, 'SEANCE 1'!$C:$C, AP$2, 'SEANCE 1'!$F:$F, AP$5)=0, "", COUNTIFS('SEANCE 1'!$B:$B, $B100, 'SEANCE 1'!$C:$C, AP$2, 'SEANCE 1'!$F:$F, AP$5))</f>
        <v/>
      </c>
      <c r="AQ100" s="64" t="str">
        <f ca="1">IF(COUNTIFS('SEANCE 1'!$B:$B, $B100, 'SEANCE 1'!$C:$C, AQ$2, 'SEANCE 1'!$F:$F, AQ$5)=0, "", COUNTIFS('SEANCE 1'!$B:$B, $B100, 'SEANCE 1'!$C:$C, AQ$2, 'SEANCE 1'!$F:$F, AQ$5))</f>
        <v/>
      </c>
      <c r="AR100" s="64" t="str">
        <f ca="1">IF(COUNTIFS('SEANCE 1'!$B:$B, $B100, 'SEANCE 1'!$C:$C, AR$2, 'SEANCE 1'!$F:$F, AR$5)=0, "", COUNTIFS('SEANCE 1'!$B:$B, $B100, 'SEANCE 1'!$C:$C, AR$2, 'SEANCE 1'!$F:$F, AR$5))</f>
        <v/>
      </c>
      <c r="AS100" s="64" t="str">
        <f ca="1">IF(COUNTIFS('SEANCE 1'!$B:$B, $B100, 'SEANCE 1'!$C:$C, AS$2, 'SEANCE 1'!$F:$F, AS$5)=0, "", COUNTIFS('SEANCE 1'!$B:$B, $B100, 'SEANCE 1'!$C:$C, AS$2, 'SEANCE 1'!$F:$F, AS$5))</f>
        <v/>
      </c>
      <c r="AT100" s="64" t="str">
        <f ca="1">IF(COUNTIFS('SEANCE 1'!$B:$B, $B100, 'SEANCE 1'!$C:$C, AT$2, 'SEANCE 1'!$F:$F, AT$5)=0, "", COUNTIFS('SEANCE 1'!$B:$B, $B100, 'SEANCE 1'!$C:$C, AT$2, 'SEANCE 1'!$F:$F, AT$5))</f>
        <v/>
      </c>
      <c r="AU100" s="64" t="str">
        <f ca="1">IF(COUNTIFS('SEANCE 1'!$B:$B, $B100, 'SEANCE 1'!$C:$C, AU$2, 'SEANCE 1'!$F:$F, AU$5)=0, "", COUNTIFS('SEANCE 1'!$B:$B, $B100, 'SEANCE 1'!$C:$C, AU$2, 'SEANCE 1'!$F:$F, AU$5))</f>
        <v/>
      </c>
      <c r="AV100" s="64" t="str">
        <f ca="1">IF(COUNTIFS('SEANCE 1'!$B:$B, $B100, 'SEANCE 1'!$C:$C, AV$2, 'SEANCE 1'!$F:$F, AV$5)=0, "", COUNTIFS('SEANCE 1'!$B:$B, $B100, 'SEANCE 1'!$C:$C, AV$2, 'SEANCE 1'!$F:$F, AV$5))</f>
        <v/>
      </c>
      <c r="AW100" s="64" t="str">
        <f ca="1">IF(COUNTIFS('SEANCE 1'!$B:$B, $B100, 'SEANCE 1'!$C:$C, AW$2, 'SEANCE 1'!$F:$F, AW$5)=0, "", COUNTIFS('SEANCE 1'!$B:$B, $B100, 'SEANCE 1'!$C:$C, AW$2, 'SEANCE 1'!$F:$F, AW$5))</f>
        <v/>
      </c>
      <c r="AX100" s="64" t="str">
        <f ca="1">IF(COUNTIFS('SEANCE 1'!$B:$B, $B100, 'SEANCE 1'!$C:$C, AX$2, 'SEANCE 1'!$F:$F, AX$5)=0, "", COUNTIFS('SEANCE 1'!$B:$B, $B100, 'SEANCE 1'!$C:$C, AX$2, 'SEANCE 1'!$F:$F, AX$5))</f>
        <v/>
      </c>
      <c r="AY100" s="64" t="str">
        <f ca="1">IF(COUNTIFS('SEANCE 1'!$B:$B, $B100, 'SEANCE 1'!$C:$C, AY$2, 'SEANCE 1'!$F:$F, AY$5)=0, "", COUNTIFS('SEANCE 1'!$B:$B, $B100, 'SEANCE 1'!$C:$C, AY$2, 'SEANCE 1'!$F:$F, AY$5))</f>
        <v/>
      </c>
      <c r="AZ100" s="32">
        <f t="shared" ca="1" si="1"/>
        <v>0</v>
      </c>
    </row>
    <row r="101" spans="1:52">
      <c r="A101" s="44" t="str">
        <f>IF('SEANCE 1'!$B97&lt;&gt;"",'SEANCE 1'!$A97,"")</f>
        <v/>
      </c>
      <c r="B101" s="44" t="str">
        <f t="array" aca="1" ref="B101" ca="1">IF(ISNA(INDEX(ListeB,MATCH(0,COUNTIF($B$5:B100,ListeB),0))),"",INDEX(ListeB,MATCH(0,COUNTIF($B$5:B100,ListeB),0)))</f>
        <v/>
      </c>
      <c r="C101" s="64" t="str">
        <f ca="1">IF(COUNTIFS('SEANCE 1'!$B:$B, $B101, 'SEANCE 1'!$C:$C, C$2, 'SEANCE 1'!$F:$F, C$5)=0, "", COUNTIFS('SEANCE 1'!$B:$B, $B101, 'SEANCE 1'!$C:$C, C$2, 'SEANCE 1'!$F:$F, C$5))</f>
        <v/>
      </c>
      <c r="D101" s="64" t="str">
        <f ca="1">IF(COUNTIFS('SEANCE 1'!$B:$B, $B101, 'SEANCE 1'!$C:$C, D$2, 'SEANCE 1'!$F:$F, D$5)=0, "", COUNTIFS('SEANCE 1'!$B:$B, $B101, 'SEANCE 1'!$C:$C, D$2, 'SEANCE 1'!$F:$F, D$5))</f>
        <v/>
      </c>
      <c r="E101" s="64" t="str">
        <f ca="1">IF(COUNTIFS('SEANCE 1'!$B:$B, $B101, 'SEANCE 1'!$C:$C, E$2, 'SEANCE 1'!$F:$F, E$5)=0, "", COUNTIFS('SEANCE 1'!$B:$B, $B101, 'SEANCE 1'!$C:$C, E$2, 'SEANCE 1'!$F:$F, E$5))</f>
        <v/>
      </c>
      <c r="F101" s="64" t="str">
        <f ca="1">IF(COUNTIFS('SEANCE 1'!$B:$B, $B101, 'SEANCE 1'!$C:$C, F$2, 'SEANCE 1'!$F:$F, F$5)=0, "", COUNTIFS('SEANCE 1'!$B:$B, $B101, 'SEANCE 1'!$C:$C, F$2, 'SEANCE 1'!$F:$F, F$5))</f>
        <v/>
      </c>
      <c r="G101" s="64" t="str">
        <f ca="1">IF(COUNTIFS('SEANCE 1'!$B:$B, $B101, 'SEANCE 1'!$C:$C, G$2, 'SEANCE 1'!$F:$F, G$5)=0, "", COUNTIFS('SEANCE 1'!$B:$B, $B101, 'SEANCE 1'!$C:$C, G$2, 'SEANCE 1'!$F:$F, G$5))</f>
        <v/>
      </c>
      <c r="H101" s="64" t="str">
        <f ca="1">IF(COUNTIFS('SEANCE 1'!$B:$B, $B101, 'SEANCE 1'!$C:$C, H$2, 'SEANCE 1'!$F:$F, H$5)=0, "", COUNTIFS('SEANCE 1'!$B:$B, $B101, 'SEANCE 1'!$C:$C, H$2, 'SEANCE 1'!$F:$F, H$5))</f>
        <v/>
      </c>
      <c r="I101" s="64" t="str">
        <f ca="1">IF(COUNTIFS('SEANCE 1'!$B:$B, $B101, 'SEANCE 1'!$C:$C, I$2, 'SEANCE 1'!$F:$F, I$5)=0, "", COUNTIFS('SEANCE 1'!$B:$B, $B101, 'SEANCE 1'!$C:$C, I$2, 'SEANCE 1'!$F:$F, I$5))</f>
        <v/>
      </c>
      <c r="J101" s="64" t="str">
        <f ca="1">IF(COUNTIFS('SEANCE 1'!$B:$B, $B101, 'SEANCE 1'!$C:$C, J$2, 'SEANCE 1'!$F:$F, J$5)=0, "", COUNTIFS('SEANCE 1'!$B:$B, $B101, 'SEANCE 1'!$C:$C, J$2, 'SEANCE 1'!$F:$F, J$5))</f>
        <v/>
      </c>
      <c r="K101" s="64" t="str">
        <f ca="1">IF(COUNTIFS('SEANCE 1'!$B:$B, $B101, 'SEANCE 1'!$C:$C, K$2, 'SEANCE 1'!$F:$F, K$5)=0, "", COUNTIFS('SEANCE 1'!$B:$B, $B101, 'SEANCE 1'!$C:$C, K$2, 'SEANCE 1'!$F:$F, K$5))</f>
        <v/>
      </c>
      <c r="L101" s="64" t="str">
        <f ca="1">IF(COUNTIFS('SEANCE 1'!$B:$B, $B101, 'SEANCE 1'!$C:$C, L$2, 'SEANCE 1'!$F:$F, L$5)=0, "", COUNTIFS('SEANCE 1'!$B:$B, $B101, 'SEANCE 1'!$C:$C, L$2, 'SEANCE 1'!$F:$F, L$5))</f>
        <v/>
      </c>
      <c r="M101" s="64" t="str">
        <f ca="1">IF(COUNTIFS('SEANCE 1'!$B:$B, $B101, 'SEANCE 1'!$C:$C, M$2, 'SEANCE 1'!$F:$F, M$5)=0, "", COUNTIFS('SEANCE 1'!$B:$B, $B101, 'SEANCE 1'!$C:$C, M$2, 'SEANCE 1'!$F:$F, M$5))</f>
        <v/>
      </c>
      <c r="N101" s="64" t="str">
        <f ca="1">IF(COUNTIFS('SEANCE 1'!$B:$B, $B101, 'SEANCE 1'!$C:$C, N$2, 'SEANCE 1'!$F:$F, N$5)=0, "", COUNTIFS('SEANCE 1'!$B:$B, $B101, 'SEANCE 1'!$C:$C, N$2, 'SEANCE 1'!$F:$F, N$5))</f>
        <v/>
      </c>
      <c r="O101" s="64" t="str">
        <f ca="1">IF(COUNTIFS('SEANCE 1'!$B:$B, $B101, 'SEANCE 1'!$C:$C, O$2, 'SEANCE 1'!$F:$F, O$5)=0, "", COUNTIFS('SEANCE 1'!$B:$B, $B101, 'SEANCE 1'!$C:$C, O$2, 'SEANCE 1'!$F:$F, O$5))</f>
        <v/>
      </c>
      <c r="P101" s="64" t="str">
        <f ca="1">IF(COUNTIFS('SEANCE 1'!$B:$B, $B101, 'SEANCE 1'!$C:$C, P$2, 'SEANCE 1'!$F:$F, P$5)=0, "", COUNTIFS('SEANCE 1'!$B:$B, $B101, 'SEANCE 1'!$C:$C, P$2, 'SEANCE 1'!$F:$F, P$5))</f>
        <v/>
      </c>
      <c r="Q101" s="64" t="str">
        <f ca="1">IF(COUNTIFS('SEANCE 1'!$B:$B, $B101, 'SEANCE 1'!$C:$C, Q$2, 'SEANCE 1'!$F:$F, Q$5)=0, "", COUNTIFS('SEANCE 1'!$B:$B, $B101, 'SEANCE 1'!$C:$C, Q$2, 'SEANCE 1'!$F:$F, Q$5))</f>
        <v/>
      </c>
      <c r="R101" s="64" t="str">
        <f ca="1">IF(COUNTIFS('SEANCE 1'!$B:$B, $B101, 'SEANCE 1'!$C:$C, R$2, 'SEANCE 1'!$F:$F, R$5)=0, "", COUNTIFS('SEANCE 1'!$B:$B, $B101, 'SEANCE 1'!$C:$C, R$2, 'SEANCE 1'!$F:$F, R$5))</f>
        <v/>
      </c>
      <c r="S101" s="64" t="str">
        <f ca="1">IF(COUNTIFS('SEANCE 1'!$B:$B, $B101, 'SEANCE 1'!$C:$C, S$2, 'SEANCE 1'!$F:$F, S$5)=0, "", COUNTIFS('SEANCE 1'!$B:$B, $B101, 'SEANCE 1'!$C:$C, S$2, 'SEANCE 1'!$F:$F, S$5))</f>
        <v/>
      </c>
      <c r="T101" s="64" t="str">
        <f ca="1">IF(COUNTIFS('SEANCE 1'!$B:$B, $B101, 'SEANCE 1'!$C:$C, T$2, 'SEANCE 1'!$F:$F, T$5)=0, "", COUNTIFS('SEANCE 1'!$B:$B, $B101, 'SEANCE 1'!$C:$C, T$2, 'SEANCE 1'!$F:$F, T$5))</f>
        <v/>
      </c>
      <c r="U101" s="64" t="str">
        <f ca="1">IF(COUNTIFS('SEANCE 1'!$B:$B, $B101, 'SEANCE 1'!$C:$C, U$2, 'SEANCE 1'!$F:$F, U$5)=0, "", COUNTIFS('SEANCE 1'!$B:$B, $B101, 'SEANCE 1'!$C:$C, U$2, 'SEANCE 1'!$F:$F, U$5))</f>
        <v/>
      </c>
      <c r="V101" s="64" t="str">
        <f ca="1">IF(COUNTIFS('SEANCE 1'!$B:$B, $B101, 'SEANCE 1'!$C:$C, V$2, 'SEANCE 1'!$F:$F, V$5)=0, "", COUNTIFS('SEANCE 1'!$B:$B, $B101, 'SEANCE 1'!$C:$C, V$2, 'SEANCE 1'!$F:$F, V$5))</f>
        <v/>
      </c>
      <c r="W101" s="64" t="str">
        <f ca="1">IF(COUNTIFS('SEANCE 1'!$B:$B, $B101, 'SEANCE 1'!$C:$C, W$2, 'SEANCE 1'!$F:$F, W$5)=0, "", COUNTIFS('SEANCE 1'!$B:$B, $B101, 'SEANCE 1'!$C:$C, W$2, 'SEANCE 1'!$F:$F, W$5))</f>
        <v/>
      </c>
      <c r="X101" s="64" t="str">
        <f ca="1">IF(COUNTIFS('SEANCE 1'!$B:$B, $B101, 'SEANCE 1'!$C:$C, X$2, 'SEANCE 1'!$F:$F, X$5)=0, "", COUNTIFS('SEANCE 1'!$B:$B, $B101, 'SEANCE 1'!$C:$C, X$2, 'SEANCE 1'!$F:$F, X$5))</f>
        <v/>
      </c>
      <c r="Y101" s="64" t="str">
        <f ca="1">IF(COUNTIFS('SEANCE 1'!$B:$B, $B101, 'SEANCE 1'!$C:$C, Y$2, 'SEANCE 1'!$F:$F, Y$5)=0, "", COUNTIFS('SEANCE 1'!$B:$B, $B101, 'SEANCE 1'!$C:$C, Y$2, 'SEANCE 1'!$F:$F, Y$5))</f>
        <v/>
      </c>
      <c r="Z101" s="64" t="str">
        <f ca="1">IF(COUNTIFS('SEANCE 1'!$B:$B, $B101, 'SEANCE 1'!$C:$C, Z$2, 'SEANCE 1'!$F:$F, Z$5)=0, "", COUNTIFS('SEANCE 1'!$B:$B, $B101, 'SEANCE 1'!$C:$C, Z$2, 'SEANCE 1'!$F:$F, Z$5))</f>
        <v/>
      </c>
      <c r="AA101" s="64" t="str">
        <f ca="1">IF(COUNTIFS('SEANCE 1'!$B:$B, $B101, 'SEANCE 1'!$C:$C, AA$2, 'SEANCE 1'!$F:$F, AA$5)=0, "", COUNTIFS('SEANCE 1'!$B:$B, $B101, 'SEANCE 1'!$C:$C, AA$2, 'SEANCE 1'!$F:$F, AA$5))</f>
        <v/>
      </c>
      <c r="AB101" s="64" t="str">
        <f ca="1">IF(COUNTIFS('SEANCE 1'!$B:$B, $B101, 'SEANCE 1'!$C:$C, AB$2, 'SEANCE 1'!$F:$F, AB$5)=0, "", COUNTIFS('SEANCE 1'!$B:$B, $B101, 'SEANCE 1'!$C:$C, AB$2, 'SEANCE 1'!$F:$F, AB$5))</f>
        <v/>
      </c>
      <c r="AC101" s="64" t="str">
        <f ca="1">IF(COUNTIFS('SEANCE 1'!$B:$B, $B101, 'SEANCE 1'!$C:$C, AC$2, 'SEANCE 1'!$F:$F, AC$5)=0, "", COUNTIFS('SEANCE 1'!$B:$B, $B101, 'SEANCE 1'!$C:$C, AC$2, 'SEANCE 1'!$F:$F, AC$5))</f>
        <v/>
      </c>
      <c r="AD101" s="64" t="str">
        <f ca="1">IF(COUNTIFS('SEANCE 1'!$B:$B, $B101, 'SEANCE 1'!$C:$C, AD$2, 'SEANCE 1'!$F:$F, AD$5)=0, "", COUNTIFS('SEANCE 1'!$B:$B, $B101, 'SEANCE 1'!$C:$C, AD$2, 'SEANCE 1'!$F:$F, AD$5))</f>
        <v/>
      </c>
      <c r="AE101" s="64" t="str">
        <f ca="1">IF(COUNTIFS('SEANCE 1'!$B:$B, $B101, 'SEANCE 1'!$C:$C, AE$2, 'SEANCE 1'!$F:$F, AE$5)=0, "", COUNTIFS('SEANCE 1'!$B:$B, $B101, 'SEANCE 1'!$C:$C, AE$2, 'SEANCE 1'!$F:$F, AE$5))</f>
        <v/>
      </c>
      <c r="AF101" s="64" t="str">
        <f ca="1">IF(COUNTIFS('SEANCE 1'!$B:$B, $B101, 'SEANCE 1'!$C:$C, AF$2, 'SEANCE 1'!$F:$F, AF$5)=0, "", COUNTIFS('SEANCE 1'!$B:$B, $B101, 'SEANCE 1'!$C:$C, AF$2, 'SEANCE 1'!$F:$F, AF$5))</f>
        <v/>
      </c>
      <c r="AG101" s="64" t="str">
        <f ca="1">IF(COUNTIFS('SEANCE 1'!$B:$B, $B101, 'SEANCE 1'!$C:$C, AG$2, 'SEANCE 1'!$F:$F, AG$5)=0, "", COUNTIFS('SEANCE 1'!$B:$B, $B101, 'SEANCE 1'!$C:$C, AG$2, 'SEANCE 1'!$F:$F, AG$5))</f>
        <v/>
      </c>
      <c r="AH101" s="64" t="str">
        <f ca="1">IF(COUNTIFS('SEANCE 1'!$B:$B, $B101, 'SEANCE 1'!$C:$C, AH$2, 'SEANCE 1'!$F:$F, AH$5)=0, "", COUNTIFS('SEANCE 1'!$B:$B, $B101, 'SEANCE 1'!$C:$C, AH$2, 'SEANCE 1'!$F:$F, AH$5))</f>
        <v/>
      </c>
      <c r="AI101" s="64" t="str">
        <f ca="1">IF(COUNTIFS('SEANCE 1'!$B:$B, $B101, 'SEANCE 1'!$C:$C, AI$2, 'SEANCE 1'!$F:$F, AI$5)=0, "", COUNTIFS('SEANCE 1'!$B:$B, $B101, 'SEANCE 1'!$C:$C, AI$2, 'SEANCE 1'!$F:$F, AI$5))</f>
        <v/>
      </c>
      <c r="AJ101" s="64" t="str">
        <f ca="1">IF(COUNTIFS('SEANCE 1'!$B:$B, $B101, 'SEANCE 1'!$C:$C, AJ$2, 'SEANCE 1'!$F:$F, AJ$5)=0, "", COUNTIFS('SEANCE 1'!$B:$B, $B101, 'SEANCE 1'!$C:$C, AJ$2, 'SEANCE 1'!$F:$F, AJ$5))</f>
        <v/>
      </c>
      <c r="AK101" s="64" t="str">
        <f ca="1">IF(COUNTIFS('SEANCE 1'!$B:$B, $B101, 'SEANCE 1'!$C:$C, AK$2, 'SEANCE 1'!$F:$F, AK$5)=0, "", COUNTIFS('SEANCE 1'!$B:$B, $B101, 'SEANCE 1'!$C:$C, AK$2, 'SEANCE 1'!$F:$F, AK$5))</f>
        <v/>
      </c>
      <c r="AL101" s="64" t="str">
        <f ca="1">IF(COUNTIFS('SEANCE 1'!$B:$B, $B101, 'SEANCE 1'!$C:$C, AL$2, 'SEANCE 1'!$F:$F, AL$5)=0, "", COUNTIFS('SEANCE 1'!$B:$B, $B101, 'SEANCE 1'!$C:$C, AL$2, 'SEANCE 1'!$F:$F, AL$5))</f>
        <v/>
      </c>
      <c r="AM101" s="64" t="str">
        <f ca="1">IF(COUNTIFS('SEANCE 1'!$B:$B, $B101, 'SEANCE 1'!$C:$C, AM$2, 'SEANCE 1'!$F:$F, AM$5)=0, "", COUNTIFS('SEANCE 1'!$B:$B, $B101, 'SEANCE 1'!$C:$C, AM$2, 'SEANCE 1'!$F:$F, AM$5))</f>
        <v/>
      </c>
      <c r="AN101" s="64" t="str">
        <f ca="1">IF(COUNTIFS('SEANCE 1'!$B:$B, $B101, 'SEANCE 1'!$C:$C, AN$2, 'SEANCE 1'!$F:$F, AN$5)=0, "", COUNTIFS('SEANCE 1'!$B:$B, $B101, 'SEANCE 1'!$C:$C, AN$2, 'SEANCE 1'!$F:$F, AN$5))</f>
        <v/>
      </c>
      <c r="AO101" s="64" t="str">
        <f ca="1">IF(COUNTIFS('SEANCE 1'!$B:$B, $B101, 'SEANCE 1'!$C:$C, AO$2, 'SEANCE 1'!$F:$F, AO$5)=0, "", COUNTIFS('SEANCE 1'!$B:$B, $B101, 'SEANCE 1'!$C:$C, AO$2, 'SEANCE 1'!$F:$F, AO$5))</f>
        <v/>
      </c>
      <c r="AP101" s="64" t="str">
        <f ca="1">IF(COUNTIFS('SEANCE 1'!$B:$B, $B101, 'SEANCE 1'!$C:$C, AP$2, 'SEANCE 1'!$F:$F, AP$5)=0, "", COUNTIFS('SEANCE 1'!$B:$B, $B101, 'SEANCE 1'!$C:$C, AP$2, 'SEANCE 1'!$F:$F, AP$5))</f>
        <v/>
      </c>
      <c r="AQ101" s="64" t="str">
        <f ca="1">IF(COUNTIFS('SEANCE 1'!$B:$B, $B101, 'SEANCE 1'!$C:$C, AQ$2, 'SEANCE 1'!$F:$F, AQ$5)=0, "", COUNTIFS('SEANCE 1'!$B:$B, $B101, 'SEANCE 1'!$C:$C, AQ$2, 'SEANCE 1'!$F:$F, AQ$5))</f>
        <v/>
      </c>
      <c r="AR101" s="64" t="str">
        <f ca="1">IF(COUNTIFS('SEANCE 1'!$B:$B, $B101, 'SEANCE 1'!$C:$C, AR$2, 'SEANCE 1'!$F:$F, AR$5)=0, "", COUNTIFS('SEANCE 1'!$B:$B, $B101, 'SEANCE 1'!$C:$C, AR$2, 'SEANCE 1'!$F:$F, AR$5))</f>
        <v/>
      </c>
      <c r="AS101" s="64" t="str">
        <f ca="1">IF(COUNTIFS('SEANCE 1'!$B:$B, $B101, 'SEANCE 1'!$C:$C, AS$2, 'SEANCE 1'!$F:$F, AS$5)=0, "", COUNTIFS('SEANCE 1'!$B:$B, $B101, 'SEANCE 1'!$C:$C, AS$2, 'SEANCE 1'!$F:$F, AS$5))</f>
        <v/>
      </c>
      <c r="AT101" s="64" t="str">
        <f ca="1">IF(COUNTIFS('SEANCE 1'!$B:$B, $B101, 'SEANCE 1'!$C:$C, AT$2, 'SEANCE 1'!$F:$F, AT$5)=0, "", COUNTIFS('SEANCE 1'!$B:$B, $B101, 'SEANCE 1'!$C:$C, AT$2, 'SEANCE 1'!$F:$F, AT$5))</f>
        <v/>
      </c>
      <c r="AU101" s="64" t="str">
        <f ca="1">IF(COUNTIFS('SEANCE 1'!$B:$B, $B101, 'SEANCE 1'!$C:$C, AU$2, 'SEANCE 1'!$F:$F, AU$5)=0, "", COUNTIFS('SEANCE 1'!$B:$B, $B101, 'SEANCE 1'!$C:$C, AU$2, 'SEANCE 1'!$F:$F, AU$5))</f>
        <v/>
      </c>
      <c r="AV101" s="64" t="str">
        <f ca="1">IF(COUNTIFS('SEANCE 1'!$B:$B, $B101, 'SEANCE 1'!$C:$C, AV$2, 'SEANCE 1'!$F:$F, AV$5)=0, "", COUNTIFS('SEANCE 1'!$B:$B, $B101, 'SEANCE 1'!$C:$C, AV$2, 'SEANCE 1'!$F:$F, AV$5))</f>
        <v/>
      </c>
      <c r="AW101" s="64" t="str">
        <f ca="1">IF(COUNTIFS('SEANCE 1'!$B:$B, $B101, 'SEANCE 1'!$C:$C, AW$2, 'SEANCE 1'!$F:$F, AW$5)=0, "", COUNTIFS('SEANCE 1'!$B:$B, $B101, 'SEANCE 1'!$C:$C, AW$2, 'SEANCE 1'!$F:$F, AW$5))</f>
        <v/>
      </c>
      <c r="AX101" s="64" t="str">
        <f ca="1">IF(COUNTIFS('SEANCE 1'!$B:$B, $B101, 'SEANCE 1'!$C:$C, AX$2, 'SEANCE 1'!$F:$F, AX$5)=0, "", COUNTIFS('SEANCE 1'!$B:$B, $B101, 'SEANCE 1'!$C:$C, AX$2, 'SEANCE 1'!$F:$F, AX$5))</f>
        <v/>
      </c>
      <c r="AY101" s="64" t="str">
        <f ca="1">IF(COUNTIFS('SEANCE 1'!$B:$B, $B101, 'SEANCE 1'!$C:$C, AY$2, 'SEANCE 1'!$F:$F, AY$5)=0, "", COUNTIFS('SEANCE 1'!$B:$B, $B101, 'SEANCE 1'!$C:$C, AY$2, 'SEANCE 1'!$F:$F, AY$5))</f>
        <v/>
      </c>
      <c r="AZ101" s="32">
        <f t="shared" ca="1" si="1"/>
        <v>0</v>
      </c>
    </row>
    <row r="102" spans="1:52">
      <c r="A102" s="44" t="str">
        <f>IF('SEANCE 1'!$B98&lt;&gt;"",'SEANCE 1'!$A98,"")</f>
        <v/>
      </c>
      <c r="B102" s="44" t="str">
        <f t="array" aca="1" ref="B102" ca="1">IF(ISNA(INDEX(ListeB,MATCH(0,COUNTIF($B$5:B101,ListeB),0))),"",INDEX(ListeB,MATCH(0,COUNTIF($B$5:B101,ListeB),0)))</f>
        <v/>
      </c>
      <c r="C102" s="64" t="str">
        <f ca="1">IF(COUNTIFS('SEANCE 1'!$B:$B, $B102, 'SEANCE 1'!$C:$C, C$2, 'SEANCE 1'!$F:$F, C$5)=0, "", COUNTIFS('SEANCE 1'!$B:$B, $B102, 'SEANCE 1'!$C:$C, C$2, 'SEANCE 1'!$F:$F, C$5))</f>
        <v/>
      </c>
      <c r="D102" s="64" t="str">
        <f ca="1">IF(COUNTIFS('SEANCE 1'!$B:$B, $B102, 'SEANCE 1'!$C:$C, D$2, 'SEANCE 1'!$F:$F, D$5)=0, "", COUNTIFS('SEANCE 1'!$B:$B, $B102, 'SEANCE 1'!$C:$C, D$2, 'SEANCE 1'!$F:$F, D$5))</f>
        <v/>
      </c>
      <c r="E102" s="64" t="str">
        <f ca="1">IF(COUNTIFS('SEANCE 1'!$B:$B, $B102, 'SEANCE 1'!$C:$C, E$2, 'SEANCE 1'!$F:$F, E$5)=0, "", COUNTIFS('SEANCE 1'!$B:$B, $B102, 'SEANCE 1'!$C:$C, E$2, 'SEANCE 1'!$F:$F, E$5))</f>
        <v/>
      </c>
      <c r="F102" s="64" t="str">
        <f ca="1">IF(COUNTIFS('SEANCE 1'!$B:$B, $B102, 'SEANCE 1'!$C:$C, F$2, 'SEANCE 1'!$F:$F, F$5)=0, "", COUNTIFS('SEANCE 1'!$B:$B, $B102, 'SEANCE 1'!$C:$C, F$2, 'SEANCE 1'!$F:$F, F$5))</f>
        <v/>
      </c>
      <c r="G102" s="64" t="str">
        <f ca="1">IF(COUNTIFS('SEANCE 1'!$B:$B, $B102, 'SEANCE 1'!$C:$C, G$2, 'SEANCE 1'!$F:$F, G$5)=0, "", COUNTIFS('SEANCE 1'!$B:$B, $B102, 'SEANCE 1'!$C:$C, G$2, 'SEANCE 1'!$F:$F, G$5))</f>
        <v/>
      </c>
      <c r="H102" s="64" t="str">
        <f ca="1">IF(COUNTIFS('SEANCE 1'!$B:$B, $B102, 'SEANCE 1'!$C:$C, H$2, 'SEANCE 1'!$F:$F, H$5)=0, "", COUNTIFS('SEANCE 1'!$B:$B, $B102, 'SEANCE 1'!$C:$C, H$2, 'SEANCE 1'!$F:$F, H$5))</f>
        <v/>
      </c>
      <c r="I102" s="64" t="str">
        <f ca="1">IF(COUNTIFS('SEANCE 1'!$B:$B, $B102, 'SEANCE 1'!$C:$C, I$2, 'SEANCE 1'!$F:$F, I$5)=0, "", COUNTIFS('SEANCE 1'!$B:$B, $B102, 'SEANCE 1'!$C:$C, I$2, 'SEANCE 1'!$F:$F, I$5))</f>
        <v/>
      </c>
      <c r="J102" s="64" t="str">
        <f ca="1">IF(COUNTIFS('SEANCE 1'!$B:$B, $B102, 'SEANCE 1'!$C:$C, J$2, 'SEANCE 1'!$F:$F, J$5)=0, "", COUNTIFS('SEANCE 1'!$B:$B, $B102, 'SEANCE 1'!$C:$C, J$2, 'SEANCE 1'!$F:$F, J$5))</f>
        <v/>
      </c>
      <c r="K102" s="64" t="str">
        <f ca="1">IF(COUNTIFS('SEANCE 1'!$B:$B, $B102, 'SEANCE 1'!$C:$C, K$2, 'SEANCE 1'!$F:$F, K$5)=0, "", COUNTIFS('SEANCE 1'!$B:$B, $B102, 'SEANCE 1'!$C:$C, K$2, 'SEANCE 1'!$F:$F, K$5))</f>
        <v/>
      </c>
      <c r="L102" s="64" t="str">
        <f ca="1">IF(COUNTIFS('SEANCE 1'!$B:$B, $B102, 'SEANCE 1'!$C:$C, L$2, 'SEANCE 1'!$F:$F, L$5)=0, "", COUNTIFS('SEANCE 1'!$B:$B, $B102, 'SEANCE 1'!$C:$C, L$2, 'SEANCE 1'!$F:$F, L$5))</f>
        <v/>
      </c>
      <c r="M102" s="64" t="str">
        <f ca="1">IF(COUNTIFS('SEANCE 1'!$B:$B, $B102, 'SEANCE 1'!$C:$C, M$2, 'SEANCE 1'!$F:$F, M$5)=0, "", COUNTIFS('SEANCE 1'!$B:$B, $B102, 'SEANCE 1'!$C:$C, M$2, 'SEANCE 1'!$F:$F, M$5))</f>
        <v/>
      </c>
      <c r="N102" s="64" t="str">
        <f ca="1">IF(COUNTIFS('SEANCE 1'!$B:$B, $B102, 'SEANCE 1'!$C:$C, N$2, 'SEANCE 1'!$F:$F, N$5)=0, "", COUNTIFS('SEANCE 1'!$B:$B, $B102, 'SEANCE 1'!$C:$C, N$2, 'SEANCE 1'!$F:$F, N$5))</f>
        <v/>
      </c>
      <c r="O102" s="64" t="str">
        <f ca="1">IF(COUNTIFS('SEANCE 1'!$B:$B, $B102, 'SEANCE 1'!$C:$C, O$2, 'SEANCE 1'!$F:$F, O$5)=0, "", COUNTIFS('SEANCE 1'!$B:$B, $B102, 'SEANCE 1'!$C:$C, O$2, 'SEANCE 1'!$F:$F, O$5))</f>
        <v/>
      </c>
      <c r="P102" s="64" t="str">
        <f ca="1">IF(COUNTIFS('SEANCE 1'!$B:$B, $B102, 'SEANCE 1'!$C:$C, P$2, 'SEANCE 1'!$F:$F, P$5)=0, "", COUNTIFS('SEANCE 1'!$B:$B, $B102, 'SEANCE 1'!$C:$C, P$2, 'SEANCE 1'!$F:$F, P$5))</f>
        <v/>
      </c>
      <c r="Q102" s="64" t="str">
        <f ca="1">IF(COUNTIFS('SEANCE 1'!$B:$B, $B102, 'SEANCE 1'!$C:$C, Q$2, 'SEANCE 1'!$F:$F, Q$5)=0, "", COUNTIFS('SEANCE 1'!$B:$B, $B102, 'SEANCE 1'!$C:$C, Q$2, 'SEANCE 1'!$F:$F, Q$5))</f>
        <v/>
      </c>
      <c r="R102" s="64" t="str">
        <f ca="1">IF(COUNTIFS('SEANCE 1'!$B:$B, $B102, 'SEANCE 1'!$C:$C, R$2, 'SEANCE 1'!$F:$F, R$5)=0, "", COUNTIFS('SEANCE 1'!$B:$B, $B102, 'SEANCE 1'!$C:$C, R$2, 'SEANCE 1'!$F:$F, R$5))</f>
        <v/>
      </c>
      <c r="S102" s="64" t="str">
        <f ca="1">IF(COUNTIFS('SEANCE 1'!$B:$B, $B102, 'SEANCE 1'!$C:$C, S$2, 'SEANCE 1'!$F:$F, S$5)=0, "", COUNTIFS('SEANCE 1'!$B:$B, $B102, 'SEANCE 1'!$C:$C, S$2, 'SEANCE 1'!$F:$F, S$5))</f>
        <v/>
      </c>
      <c r="T102" s="64" t="str">
        <f ca="1">IF(COUNTIFS('SEANCE 1'!$B:$B, $B102, 'SEANCE 1'!$C:$C, T$2, 'SEANCE 1'!$F:$F, T$5)=0, "", COUNTIFS('SEANCE 1'!$B:$B, $B102, 'SEANCE 1'!$C:$C, T$2, 'SEANCE 1'!$F:$F, T$5))</f>
        <v/>
      </c>
      <c r="U102" s="64" t="str">
        <f ca="1">IF(COUNTIFS('SEANCE 1'!$B:$B, $B102, 'SEANCE 1'!$C:$C, U$2, 'SEANCE 1'!$F:$F, U$5)=0, "", COUNTIFS('SEANCE 1'!$B:$B, $B102, 'SEANCE 1'!$C:$C, U$2, 'SEANCE 1'!$F:$F, U$5))</f>
        <v/>
      </c>
      <c r="V102" s="64" t="str">
        <f ca="1">IF(COUNTIFS('SEANCE 1'!$B:$B, $B102, 'SEANCE 1'!$C:$C, V$2, 'SEANCE 1'!$F:$F, V$5)=0, "", COUNTIFS('SEANCE 1'!$B:$B, $B102, 'SEANCE 1'!$C:$C, V$2, 'SEANCE 1'!$F:$F, V$5))</f>
        <v/>
      </c>
      <c r="W102" s="64" t="str">
        <f ca="1">IF(COUNTIFS('SEANCE 1'!$B:$B, $B102, 'SEANCE 1'!$C:$C, W$2, 'SEANCE 1'!$F:$F, W$5)=0, "", COUNTIFS('SEANCE 1'!$B:$B, $B102, 'SEANCE 1'!$C:$C, W$2, 'SEANCE 1'!$F:$F, W$5))</f>
        <v/>
      </c>
      <c r="X102" s="64" t="str">
        <f ca="1">IF(COUNTIFS('SEANCE 1'!$B:$B, $B102, 'SEANCE 1'!$C:$C, X$2, 'SEANCE 1'!$F:$F, X$5)=0, "", COUNTIFS('SEANCE 1'!$B:$B, $B102, 'SEANCE 1'!$C:$C, X$2, 'SEANCE 1'!$F:$F, X$5))</f>
        <v/>
      </c>
      <c r="Y102" s="64" t="str">
        <f ca="1">IF(COUNTIFS('SEANCE 1'!$B:$B, $B102, 'SEANCE 1'!$C:$C, Y$2, 'SEANCE 1'!$F:$F, Y$5)=0, "", COUNTIFS('SEANCE 1'!$B:$B, $B102, 'SEANCE 1'!$C:$C, Y$2, 'SEANCE 1'!$F:$F, Y$5))</f>
        <v/>
      </c>
      <c r="Z102" s="64" t="str">
        <f ca="1">IF(COUNTIFS('SEANCE 1'!$B:$B, $B102, 'SEANCE 1'!$C:$C, Z$2, 'SEANCE 1'!$F:$F, Z$5)=0, "", COUNTIFS('SEANCE 1'!$B:$B, $B102, 'SEANCE 1'!$C:$C, Z$2, 'SEANCE 1'!$F:$F, Z$5))</f>
        <v/>
      </c>
      <c r="AA102" s="64" t="str">
        <f ca="1">IF(COUNTIFS('SEANCE 1'!$B:$B, $B102, 'SEANCE 1'!$C:$C, AA$2, 'SEANCE 1'!$F:$F, AA$5)=0, "", COUNTIFS('SEANCE 1'!$B:$B, $B102, 'SEANCE 1'!$C:$C, AA$2, 'SEANCE 1'!$F:$F, AA$5))</f>
        <v/>
      </c>
      <c r="AB102" s="64" t="str">
        <f ca="1">IF(COUNTIFS('SEANCE 1'!$B:$B, $B102, 'SEANCE 1'!$C:$C, AB$2, 'SEANCE 1'!$F:$F, AB$5)=0, "", COUNTIFS('SEANCE 1'!$B:$B, $B102, 'SEANCE 1'!$C:$C, AB$2, 'SEANCE 1'!$F:$F, AB$5))</f>
        <v/>
      </c>
      <c r="AC102" s="64" t="str">
        <f ca="1">IF(COUNTIFS('SEANCE 1'!$B:$B, $B102, 'SEANCE 1'!$C:$C, AC$2, 'SEANCE 1'!$F:$F, AC$5)=0, "", COUNTIFS('SEANCE 1'!$B:$B, $B102, 'SEANCE 1'!$C:$C, AC$2, 'SEANCE 1'!$F:$F, AC$5))</f>
        <v/>
      </c>
      <c r="AD102" s="64" t="str">
        <f ca="1">IF(COUNTIFS('SEANCE 1'!$B:$B, $B102, 'SEANCE 1'!$C:$C, AD$2, 'SEANCE 1'!$F:$F, AD$5)=0, "", COUNTIFS('SEANCE 1'!$B:$B, $B102, 'SEANCE 1'!$C:$C, AD$2, 'SEANCE 1'!$F:$F, AD$5))</f>
        <v/>
      </c>
      <c r="AE102" s="64" t="str">
        <f ca="1">IF(COUNTIFS('SEANCE 1'!$B:$B, $B102, 'SEANCE 1'!$C:$C, AE$2, 'SEANCE 1'!$F:$F, AE$5)=0, "", COUNTIFS('SEANCE 1'!$B:$B, $B102, 'SEANCE 1'!$C:$C, AE$2, 'SEANCE 1'!$F:$F, AE$5))</f>
        <v/>
      </c>
      <c r="AF102" s="64" t="str">
        <f ca="1">IF(COUNTIFS('SEANCE 1'!$B:$B, $B102, 'SEANCE 1'!$C:$C, AF$2, 'SEANCE 1'!$F:$F, AF$5)=0, "", COUNTIFS('SEANCE 1'!$B:$B, $B102, 'SEANCE 1'!$C:$C, AF$2, 'SEANCE 1'!$F:$F, AF$5))</f>
        <v/>
      </c>
      <c r="AG102" s="64" t="str">
        <f ca="1">IF(COUNTIFS('SEANCE 1'!$B:$B, $B102, 'SEANCE 1'!$C:$C, AG$2, 'SEANCE 1'!$F:$F, AG$5)=0, "", COUNTIFS('SEANCE 1'!$B:$B, $B102, 'SEANCE 1'!$C:$C, AG$2, 'SEANCE 1'!$F:$F, AG$5))</f>
        <v/>
      </c>
      <c r="AH102" s="64" t="str">
        <f ca="1">IF(COUNTIFS('SEANCE 1'!$B:$B, $B102, 'SEANCE 1'!$C:$C, AH$2, 'SEANCE 1'!$F:$F, AH$5)=0, "", COUNTIFS('SEANCE 1'!$B:$B, $B102, 'SEANCE 1'!$C:$C, AH$2, 'SEANCE 1'!$F:$F, AH$5))</f>
        <v/>
      </c>
      <c r="AI102" s="64" t="str">
        <f ca="1">IF(COUNTIFS('SEANCE 1'!$B:$B, $B102, 'SEANCE 1'!$C:$C, AI$2, 'SEANCE 1'!$F:$F, AI$5)=0, "", COUNTIFS('SEANCE 1'!$B:$B, $B102, 'SEANCE 1'!$C:$C, AI$2, 'SEANCE 1'!$F:$F, AI$5))</f>
        <v/>
      </c>
      <c r="AJ102" s="64" t="str">
        <f ca="1">IF(COUNTIFS('SEANCE 1'!$B:$B, $B102, 'SEANCE 1'!$C:$C, AJ$2, 'SEANCE 1'!$F:$F, AJ$5)=0, "", COUNTIFS('SEANCE 1'!$B:$B, $B102, 'SEANCE 1'!$C:$C, AJ$2, 'SEANCE 1'!$F:$F, AJ$5))</f>
        <v/>
      </c>
      <c r="AK102" s="64" t="str">
        <f ca="1">IF(COUNTIFS('SEANCE 1'!$B:$B, $B102, 'SEANCE 1'!$C:$C, AK$2, 'SEANCE 1'!$F:$F, AK$5)=0, "", COUNTIFS('SEANCE 1'!$B:$B, $B102, 'SEANCE 1'!$C:$C, AK$2, 'SEANCE 1'!$F:$F, AK$5))</f>
        <v/>
      </c>
      <c r="AL102" s="64" t="str">
        <f ca="1">IF(COUNTIFS('SEANCE 1'!$B:$B, $B102, 'SEANCE 1'!$C:$C, AL$2, 'SEANCE 1'!$F:$F, AL$5)=0, "", COUNTIFS('SEANCE 1'!$B:$B, $B102, 'SEANCE 1'!$C:$C, AL$2, 'SEANCE 1'!$F:$F, AL$5))</f>
        <v/>
      </c>
      <c r="AM102" s="64" t="str">
        <f ca="1">IF(COUNTIFS('SEANCE 1'!$B:$B, $B102, 'SEANCE 1'!$C:$C, AM$2, 'SEANCE 1'!$F:$F, AM$5)=0, "", COUNTIFS('SEANCE 1'!$B:$B, $B102, 'SEANCE 1'!$C:$C, AM$2, 'SEANCE 1'!$F:$F, AM$5))</f>
        <v/>
      </c>
      <c r="AN102" s="64" t="str">
        <f ca="1">IF(COUNTIFS('SEANCE 1'!$B:$B, $B102, 'SEANCE 1'!$C:$C, AN$2, 'SEANCE 1'!$F:$F, AN$5)=0, "", COUNTIFS('SEANCE 1'!$B:$B, $B102, 'SEANCE 1'!$C:$C, AN$2, 'SEANCE 1'!$F:$F, AN$5))</f>
        <v/>
      </c>
      <c r="AO102" s="64" t="str">
        <f ca="1">IF(COUNTIFS('SEANCE 1'!$B:$B, $B102, 'SEANCE 1'!$C:$C, AO$2, 'SEANCE 1'!$F:$F, AO$5)=0, "", COUNTIFS('SEANCE 1'!$B:$B, $B102, 'SEANCE 1'!$C:$C, AO$2, 'SEANCE 1'!$F:$F, AO$5))</f>
        <v/>
      </c>
      <c r="AP102" s="64" t="str">
        <f ca="1">IF(COUNTIFS('SEANCE 1'!$B:$B, $B102, 'SEANCE 1'!$C:$C, AP$2, 'SEANCE 1'!$F:$F, AP$5)=0, "", COUNTIFS('SEANCE 1'!$B:$B, $B102, 'SEANCE 1'!$C:$C, AP$2, 'SEANCE 1'!$F:$F, AP$5))</f>
        <v/>
      </c>
      <c r="AQ102" s="64" t="str">
        <f ca="1">IF(COUNTIFS('SEANCE 1'!$B:$B, $B102, 'SEANCE 1'!$C:$C, AQ$2, 'SEANCE 1'!$F:$F, AQ$5)=0, "", COUNTIFS('SEANCE 1'!$B:$B, $B102, 'SEANCE 1'!$C:$C, AQ$2, 'SEANCE 1'!$F:$F, AQ$5))</f>
        <v/>
      </c>
      <c r="AR102" s="64" t="str">
        <f ca="1">IF(COUNTIFS('SEANCE 1'!$B:$B, $B102, 'SEANCE 1'!$C:$C, AR$2, 'SEANCE 1'!$F:$F, AR$5)=0, "", COUNTIFS('SEANCE 1'!$B:$B, $B102, 'SEANCE 1'!$C:$C, AR$2, 'SEANCE 1'!$F:$F, AR$5))</f>
        <v/>
      </c>
      <c r="AS102" s="64" t="str">
        <f ca="1">IF(COUNTIFS('SEANCE 1'!$B:$B, $B102, 'SEANCE 1'!$C:$C, AS$2, 'SEANCE 1'!$F:$F, AS$5)=0, "", COUNTIFS('SEANCE 1'!$B:$B, $B102, 'SEANCE 1'!$C:$C, AS$2, 'SEANCE 1'!$F:$F, AS$5))</f>
        <v/>
      </c>
      <c r="AT102" s="64" t="str">
        <f ca="1">IF(COUNTIFS('SEANCE 1'!$B:$B, $B102, 'SEANCE 1'!$C:$C, AT$2, 'SEANCE 1'!$F:$F, AT$5)=0, "", COUNTIFS('SEANCE 1'!$B:$B, $B102, 'SEANCE 1'!$C:$C, AT$2, 'SEANCE 1'!$F:$F, AT$5))</f>
        <v/>
      </c>
      <c r="AU102" s="64" t="str">
        <f ca="1">IF(COUNTIFS('SEANCE 1'!$B:$B, $B102, 'SEANCE 1'!$C:$C, AU$2, 'SEANCE 1'!$F:$F, AU$5)=0, "", COUNTIFS('SEANCE 1'!$B:$B, $B102, 'SEANCE 1'!$C:$C, AU$2, 'SEANCE 1'!$F:$F, AU$5))</f>
        <v/>
      </c>
      <c r="AV102" s="64" t="str">
        <f ca="1">IF(COUNTIFS('SEANCE 1'!$B:$B, $B102, 'SEANCE 1'!$C:$C, AV$2, 'SEANCE 1'!$F:$F, AV$5)=0, "", COUNTIFS('SEANCE 1'!$B:$B, $B102, 'SEANCE 1'!$C:$C, AV$2, 'SEANCE 1'!$F:$F, AV$5))</f>
        <v/>
      </c>
      <c r="AW102" s="64" t="str">
        <f ca="1">IF(COUNTIFS('SEANCE 1'!$B:$B, $B102, 'SEANCE 1'!$C:$C, AW$2, 'SEANCE 1'!$F:$F, AW$5)=0, "", COUNTIFS('SEANCE 1'!$B:$B, $B102, 'SEANCE 1'!$C:$C, AW$2, 'SEANCE 1'!$F:$F, AW$5))</f>
        <v/>
      </c>
      <c r="AX102" s="64" t="str">
        <f ca="1">IF(COUNTIFS('SEANCE 1'!$B:$B, $B102, 'SEANCE 1'!$C:$C, AX$2, 'SEANCE 1'!$F:$F, AX$5)=0, "", COUNTIFS('SEANCE 1'!$B:$B, $B102, 'SEANCE 1'!$C:$C, AX$2, 'SEANCE 1'!$F:$F, AX$5))</f>
        <v/>
      </c>
      <c r="AY102" s="64" t="str">
        <f ca="1">IF(COUNTIFS('SEANCE 1'!$B:$B, $B102, 'SEANCE 1'!$C:$C, AY$2, 'SEANCE 1'!$F:$F, AY$5)=0, "", COUNTIFS('SEANCE 1'!$B:$B, $B102, 'SEANCE 1'!$C:$C, AY$2, 'SEANCE 1'!$F:$F, AY$5))</f>
        <v/>
      </c>
      <c r="AZ102" s="32">
        <f t="shared" ca="1" si="1"/>
        <v>0</v>
      </c>
    </row>
    <row r="103" spans="1:52">
      <c r="A103" s="44" t="str">
        <f>IF('SEANCE 1'!$B99&lt;&gt;"",'SEANCE 1'!$A99,"")</f>
        <v/>
      </c>
      <c r="B103" s="44" t="str">
        <f t="array" aca="1" ref="B103" ca="1">IF(ISNA(INDEX(ListeB,MATCH(0,COUNTIF($B$5:B102,ListeB),0))),"",INDEX(ListeB,MATCH(0,COUNTIF($B$5:B102,ListeB),0)))</f>
        <v/>
      </c>
      <c r="C103" s="64" t="str">
        <f ca="1">IF(COUNTIFS('SEANCE 1'!$B:$B, $B103, 'SEANCE 1'!$C:$C, C$2, 'SEANCE 1'!$F:$F, C$5)=0, "", COUNTIFS('SEANCE 1'!$B:$B, $B103, 'SEANCE 1'!$C:$C, C$2, 'SEANCE 1'!$F:$F, C$5))</f>
        <v/>
      </c>
      <c r="D103" s="64" t="str">
        <f ca="1">IF(COUNTIFS('SEANCE 1'!$B:$B, $B103, 'SEANCE 1'!$C:$C, D$2, 'SEANCE 1'!$F:$F, D$5)=0, "", COUNTIFS('SEANCE 1'!$B:$B, $B103, 'SEANCE 1'!$C:$C, D$2, 'SEANCE 1'!$F:$F, D$5))</f>
        <v/>
      </c>
      <c r="E103" s="64" t="str">
        <f ca="1">IF(COUNTIFS('SEANCE 1'!$B:$B, $B103, 'SEANCE 1'!$C:$C, E$2, 'SEANCE 1'!$F:$F, E$5)=0, "", COUNTIFS('SEANCE 1'!$B:$B, $B103, 'SEANCE 1'!$C:$C, E$2, 'SEANCE 1'!$F:$F, E$5))</f>
        <v/>
      </c>
      <c r="F103" s="64" t="str">
        <f ca="1">IF(COUNTIFS('SEANCE 1'!$B:$B, $B103, 'SEANCE 1'!$C:$C, F$2, 'SEANCE 1'!$F:$F, F$5)=0, "", COUNTIFS('SEANCE 1'!$B:$B, $B103, 'SEANCE 1'!$C:$C, F$2, 'SEANCE 1'!$F:$F, F$5))</f>
        <v/>
      </c>
      <c r="G103" s="64" t="str">
        <f ca="1">IF(COUNTIFS('SEANCE 1'!$B:$B, $B103, 'SEANCE 1'!$C:$C, G$2, 'SEANCE 1'!$F:$F, G$5)=0, "", COUNTIFS('SEANCE 1'!$B:$B, $B103, 'SEANCE 1'!$C:$C, G$2, 'SEANCE 1'!$F:$F, G$5))</f>
        <v/>
      </c>
      <c r="H103" s="64" t="str">
        <f ca="1">IF(COUNTIFS('SEANCE 1'!$B:$B, $B103, 'SEANCE 1'!$C:$C, H$2, 'SEANCE 1'!$F:$F, H$5)=0, "", COUNTIFS('SEANCE 1'!$B:$B, $B103, 'SEANCE 1'!$C:$C, H$2, 'SEANCE 1'!$F:$F, H$5))</f>
        <v/>
      </c>
      <c r="I103" s="64" t="str">
        <f ca="1">IF(COUNTIFS('SEANCE 1'!$B:$B, $B103, 'SEANCE 1'!$C:$C, I$2, 'SEANCE 1'!$F:$F, I$5)=0, "", COUNTIFS('SEANCE 1'!$B:$B, $B103, 'SEANCE 1'!$C:$C, I$2, 'SEANCE 1'!$F:$F, I$5))</f>
        <v/>
      </c>
      <c r="J103" s="64" t="str">
        <f ca="1">IF(COUNTIFS('SEANCE 1'!$B:$B, $B103, 'SEANCE 1'!$C:$C, J$2, 'SEANCE 1'!$F:$F, J$5)=0, "", COUNTIFS('SEANCE 1'!$B:$B, $B103, 'SEANCE 1'!$C:$C, J$2, 'SEANCE 1'!$F:$F, J$5))</f>
        <v/>
      </c>
      <c r="K103" s="64" t="str">
        <f ca="1">IF(COUNTIFS('SEANCE 1'!$B:$B, $B103, 'SEANCE 1'!$C:$C, K$2, 'SEANCE 1'!$F:$F, K$5)=0, "", COUNTIFS('SEANCE 1'!$B:$B, $B103, 'SEANCE 1'!$C:$C, K$2, 'SEANCE 1'!$F:$F, K$5))</f>
        <v/>
      </c>
      <c r="L103" s="64" t="str">
        <f ca="1">IF(COUNTIFS('SEANCE 1'!$B:$B, $B103, 'SEANCE 1'!$C:$C, L$2, 'SEANCE 1'!$F:$F, L$5)=0, "", COUNTIFS('SEANCE 1'!$B:$B, $B103, 'SEANCE 1'!$C:$C, L$2, 'SEANCE 1'!$F:$F, L$5))</f>
        <v/>
      </c>
      <c r="M103" s="64" t="str">
        <f ca="1">IF(COUNTIFS('SEANCE 1'!$B:$B, $B103, 'SEANCE 1'!$C:$C, M$2, 'SEANCE 1'!$F:$F, M$5)=0, "", COUNTIFS('SEANCE 1'!$B:$B, $B103, 'SEANCE 1'!$C:$C, M$2, 'SEANCE 1'!$F:$F, M$5))</f>
        <v/>
      </c>
      <c r="N103" s="64" t="str">
        <f ca="1">IF(COUNTIFS('SEANCE 1'!$B:$B, $B103, 'SEANCE 1'!$C:$C, N$2, 'SEANCE 1'!$F:$F, N$5)=0, "", COUNTIFS('SEANCE 1'!$B:$B, $B103, 'SEANCE 1'!$C:$C, N$2, 'SEANCE 1'!$F:$F, N$5))</f>
        <v/>
      </c>
      <c r="O103" s="64" t="str">
        <f ca="1">IF(COUNTIFS('SEANCE 1'!$B:$B, $B103, 'SEANCE 1'!$C:$C, O$2, 'SEANCE 1'!$F:$F, O$5)=0, "", COUNTIFS('SEANCE 1'!$B:$B, $B103, 'SEANCE 1'!$C:$C, O$2, 'SEANCE 1'!$F:$F, O$5))</f>
        <v/>
      </c>
      <c r="P103" s="64" t="str">
        <f ca="1">IF(COUNTIFS('SEANCE 1'!$B:$B, $B103, 'SEANCE 1'!$C:$C, P$2, 'SEANCE 1'!$F:$F, P$5)=0, "", COUNTIFS('SEANCE 1'!$B:$B, $B103, 'SEANCE 1'!$C:$C, P$2, 'SEANCE 1'!$F:$F, P$5))</f>
        <v/>
      </c>
      <c r="Q103" s="64" t="str">
        <f ca="1">IF(COUNTIFS('SEANCE 1'!$B:$B, $B103, 'SEANCE 1'!$C:$C, Q$2, 'SEANCE 1'!$F:$F, Q$5)=0, "", COUNTIFS('SEANCE 1'!$B:$B, $B103, 'SEANCE 1'!$C:$C, Q$2, 'SEANCE 1'!$F:$F, Q$5))</f>
        <v/>
      </c>
      <c r="R103" s="64" t="str">
        <f ca="1">IF(COUNTIFS('SEANCE 1'!$B:$B, $B103, 'SEANCE 1'!$C:$C, R$2, 'SEANCE 1'!$F:$F, R$5)=0, "", COUNTIFS('SEANCE 1'!$B:$B, $B103, 'SEANCE 1'!$C:$C, R$2, 'SEANCE 1'!$F:$F, R$5))</f>
        <v/>
      </c>
      <c r="S103" s="64" t="str">
        <f ca="1">IF(COUNTIFS('SEANCE 1'!$B:$B, $B103, 'SEANCE 1'!$C:$C, S$2, 'SEANCE 1'!$F:$F, S$5)=0, "", COUNTIFS('SEANCE 1'!$B:$B, $B103, 'SEANCE 1'!$C:$C, S$2, 'SEANCE 1'!$F:$F, S$5))</f>
        <v/>
      </c>
      <c r="T103" s="64" t="str">
        <f ca="1">IF(COUNTIFS('SEANCE 1'!$B:$B, $B103, 'SEANCE 1'!$C:$C, T$2, 'SEANCE 1'!$F:$F, T$5)=0, "", COUNTIFS('SEANCE 1'!$B:$B, $B103, 'SEANCE 1'!$C:$C, T$2, 'SEANCE 1'!$F:$F, T$5))</f>
        <v/>
      </c>
      <c r="U103" s="64" t="str">
        <f ca="1">IF(COUNTIFS('SEANCE 1'!$B:$B, $B103, 'SEANCE 1'!$C:$C, U$2, 'SEANCE 1'!$F:$F, U$5)=0, "", COUNTIFS('SEANCE 1'!$B:$B, $B103, 'SEANCE 1'!$C:$C, U$2, 'SEANCE 1'!$F:$F, U$5))</f>
        <v/>
      </c>
      <c r="V103" s="64" t="str">
        <f ca="1">IF(COUNTIFS('SEANCE 1'!$B:$B, $B103, 'SEANCE 1'!$C:$C, V$2, 'SEANCE 1'!$F:$F, V$5)=0, "", COUNTIFS('SEANCE 1'!$B:$B, $B103, 'SEANCE 1'!$C:$C, V$2, 'SEANCE 1'!$F:$F, V$5))</f>
        <v/>
      </c>
      <c r="W103" s="64" t="str">
        <f ca="1">IF(COUNTIFS('SEANCE 1'!$B:$B, $B103, 'SEANCE 1'!$C:$C, W$2, 'SEANCE 1'!$F:$F, W$5)=0, "", COUNTIFS('SEANCE 1'!$B:$B, $B103, 'SEANCE 1'!$C:$C, W$2, 'SEANCE 1'!$F:$F, W$5))</f>
        <v/>
      </c>
      <c r="X103" s="64" t="str">
        <f ca="1">IF(COUNTIFS('SEANCE 1'!$B:$B, $B103, 'SEANCE 1'!$C:$C, X$2, 'SEANCE 1'!$F:$F, X$5)=0, "", COUNTIFS('SEANCE 1'!$B:$B, $B103, 'SEANCE 1'!$C:$C, X$2, 'SEANCE 1'!$F:$F, X$5))</f>
        <v/>
      </c>
      <c r="Y103" s="64" t="str">
        <f ca="1">IF(COUNTIFS('SEANCE 1'!$B:$B, $B103, 'SEANCE 1'!$C:$C, Y$2, 'SEANCE 1'!$F:$F, Y$5)=0, "", COUNTIFS('SEANCE 1'!$B:$B, $B103, 'SEANCE 1'!$C:$C, Y$2, 'SEANCE 1'!$F:$F, Y$5))</f>
        <v/>
      </c>
      <c r="Z103" s="64" t="str">
        <f ca="1">IF(COUNTIFS('SEANCE 1'!$B:$B, $B103, 'SEANCE 1'!$C:$C, Z$2, 'SEANCE 1'!$F:$F, Z$5)=0, "", COUNTIFS('SEANCE 1'!$B:$B, $B103, 'SEANCE 1'!$C:$C, Z$2, 'SEANCE 1'!$F:$F, Z$5))</f>
        <v/>
      </c>
      <c r="AA103" s="64" t="str">
        <f ca="1">IF(COUNTIFS('SEANCE 1'!$B:$B, $B103, 'SEANCE 1'!$C:$C, AA$2, 'SEANCE 1'!$F:$F, AA$5)=0, "", COUNTIFS('SEANCE 1'!$B:$B, $B103, 'SEANCE 1'!$C:$C, AA$2, 'SEANCE 1'!$F:$F, AA$5))</f>
        <v/>
      </c>
      <c r="AB103" s="64" t="str">
        <f ca="1">IF(COUNTIFS('SEANCE 1'!$B:$B, $B103, 'SEANCE 1'!$C:$C, AB$2, 'SEANCE 1'!$F:$F, AB$5)=0, "", COUNTIFS('SEANCE 1'!$B:$B, $B103, 'SEANCE 1'!$C:$C, AB$2, 'SEANCE 1'!$F:$F, AB$5))</f>
        <v/>
      </c>
      <c r="AC103" s="64" t="str">
        <f ca="1">IF(COUNTIFS('SEANCE 1'!$B:$B, $B103, 'SEANCE 1'!$C:$C, AC$2, 'SEANCE 1'!$F:$F, AC$5)=0, "", COUNTIFS('SEANCE 1'!$B:$B, $B103, 'SEANCE 1'!$C:$C, AC$2, 'SEANCE 1'!$F:$F, AC$5))</f>
        <v/>
      </c>
      <c r="AD103" s="64" t="str">
        <f ca="1">IF(COUNTIFS('SEANCE 1'!$B:$B, $B103, 'SEANCE 1'!$C:$C, AD$2, 'SEANCE 1'!$F:$F, AD$5)=0, "", COUNTIFS('SEANCE 1'!$B:$B, $B103, 'SEANCE 1'!$C:$C, AD$2, 'SEANCE 1'!$F:$F, AD$5))</f>
        <v/>
      </c>
      <c r="AE103" s="64" t="str">
        <f ca="1">IF(COUNTIFS('SEANCE 1'!$B:$B, $B103, 'SEANCE 1'!$C:$C, AE$2, 'SEANCE 1'!$F:$F, AE$5)=0, "", COUNTIFS('SEANCE 1'!$B:$B, $B103, 'SEANCE 1'!$C:$C, AE$2, 'SEANCE 1'!$F:$F, AE$5))</f>
        <v/>
      </c>
      <c r="AF103" s="64" t="str">
        <f ca="1">IF(COUNTIFS('SEANCE 1'!$B:$B, $B103, 'SEANCE 1'!$C:$C, AF$2, 'SEANCE 1'!$F:$F, AF$5)=0, "", COUNTIFS('SEANCE 1'!$B:$B, $B103, 'SEANCE 1'!$C:$C, AF$2, 'SEANCE 1'!$F:$F, AF$5))</f>
        <v/>
      </c>
      <c r="AG103" s="64" t="str">
        <f ca="1">IF(COUNTIFS('SEANCE 1'!$B:$B, $B103, 'SEANCE 1'!$C:$C, AG$2, 'SEANCE 1'!$F:$F, AG$5)=0, "", COUNTIFS('SEANCE 1'!$B:$B, $B103, 'SEANCE 1'!$C:$C, AG$2, 'SEANCE 1'!$F:$F, AG$5))</f>
        <v/>
      </c>
      <c r="AH103" s="64" t="str">
        <f ca="1">IF(COUNTIFS('SEANCE 1'!$B:$B, $B103, 'SEANCE 1'!$C:$C, AH$2, 'SEANCE 1'!$F:$F, AH$5)=0, "", COUNTIFS('SEANCE 1'!$B:$B, $B103, 'SEANCE 1'!$C:$C, AH$2, 'SEANCE 1'!$F:$F, AH$5))</f>
        <v/>
      </c>
      <c r="AI103" s="64" t="str">
        <f ca="1">IF(COUNTIFS('SEANCE 1'!$B:$B, $B103, 'SEANCE 1'!$C:$C, AI$2, 'SEANCE 1'!$F:$F, AI$5)=0, "", COUNTIFS('SEANCE 1'!$B:$B, $B103, 'SEANCE 1'!$C:$C, AI$2, 'SEANCE 1'!$F:$F, AI$5))</f>
        <v/>
      </c>
      <c r="AJ103" s="64" t="str">
        <f ca="1">IF(COUNTIFS('SEANCE 1'!$B:$B, $B103, 'SEANCE 1'!$C:$C, AJ$2, 'SEANCE 1'!$F:$F, AJ$5)=0, "", COUNTIFS('SEANCE 1'!$B:$B, $B103, 'SEANCE 1'!$C:$C, AJ$2, 'SEANCE 1'!$F:$F, AJ$5))</f>
        <v/>
      </c>
      <c r="AK103" s="64" t="str">
        <f ca="1">IF(COUNTIFS('SEANCE 1'!$B:$B, $B103, 'SEANCE 1'!$C:$C, AK$2, 'SEANCE 1'!$F:$F, AK$5)=0, "", COUNTIFS('SEANCE 1'!$B:$B, $B103, 'SEANCE 1'!$C:$C, AK$2, 'SEANCE 1'!$F:$F, AK$5))</f>
        <v/>
      </c>
      <c r="AL103" s="64" t="str">
        <f ca="1">IF(COUNTIFS('SEANCE 1'!$B:$B, $B103, 'SEANCE 1'!$C:$C, AL$2, 'SEANCE 1'!$F:$F, AL$5)=0, "", COUNTIFS('SEANCE 1'!$B:$B, $B103, 'SEANCE 1'!$C:$C, AL$2, 'SEANCE 1'!$F:$F, AL$5))</f>
        <v/>
      </c>
      <c r="AM103" s="64" t="str">
        <f ca="1">IF(COUNTIFS('SEANCE 1'!$B:$B, $B103, 'SEANCE 1'!$C:$C, AM$2, 'SEANCE 1'!$F:$F, AM$5)=0, "", COUNTIFS('SEANCE 1'!$B:$B, $B103, 'SEANCE 1'!$C:$C, AM$2, 'SEANCE 1'!$F:$F, AM$5))</f>
        <v/>
      </c>
      <c r="AN103" s="64" t="str">
        <f ca="1">IF(COUNTIFS('SEANCE 1'!$B:$B, $B103, 'SEANCE 1'!$C:$C, AN$2, 'SEANCE 1'!$F:$F, AN$5)=0, "", COUNTIFS('SEANCE 1'!$B:$B, $B103, 'SEANCE 1'!$C:$C, AN$2, 'SEANCE 1'!$F:$F, AN$5))</f>
        <v/>
      </c>
      <c r="AO103" s="64" t="str">
        <f ca="1">IF(COUNTIFS('SEANCE 1'!$B:$B, $B103, 'SEANCE 1'!$C:$C, AO$2, 'SEANCE 1'!$F:$F, AO$5)=0, "", COUNTIFS('SEANCE 1'!$B:$B, $B103, 'SEANCE 1'!$C:$C, AO$2, 'SEANCE 1'!$F:$F, AO$5))</f>
        <v/>
      </c>
      <c r="AP103" s="64" t="str">
        <f ca="1">IF(COUNTIFS('SEANCE 1'!$B:$B, $B103, 'SEANCE 1'!$C:$C, AP$2, 'SEANCE 1'!$F:$F, AP$5)=0, "", COUNTIFS('SEANCE 1'!$B:$B, $B103, 'SEANCE 1'!$C:$C, AP$2, 'SEANCE 1'!$F:$F, AP$5))</f>
        <v/>
      </c>
      <c r="AQ103" s="64" t="str">
        <f ca="1">IF(COUNTIFS('SEANCE 1'!$B:$B, $B103, 'SEANCE 1'!$C:$C, AQ$2, 'SEANCE 1'!$F:$F, AQ$5)=0, "", COUNTIFS('SEANCE 1'!$B:$B, $B103, 'SEANCE 1'!$C:$C, AQ$2, 'SEANCE 1'!$F:$F, AQ$5))</f>
        <v/>
      </c>
      <c r="AR103" s="64" t="str">
        <f ca="1">IF(COUNTIFS('SEANCE 1'!$B:$B, $B103, 'SEANCE 1'!$C:$C, AR$2, 'SEANCE 1'!$F:$F, AR$5)=0, "", COUNTIFS('SEANCE 1'!$B:$B, $B103, 'SEANCE 1'!$C:$C, AR$2, 'SEANCE 1'!$F:$F, AR$5))</f>
        <v/>
      </c>
      <c r="AS103" s="64" t="str">
        <f ca="1">IF(COUNTIFS('SEANCE 1'!$B:$B, $B103, 'SEANCE 1'!$C:$C, AS$2, 'SEANCE 1'!$F:$F, AS$5)=0, "", COUNTIFS('SEANCE 1'!$B:$B, $B103, 'SEANCE 1'!$C:$C, AS$2, 'SEANCE 1'!$F:$F, AS$5))</f>
        <v/>
      </c>
      <c r="AT103" s="64" t="str">
        <f ca="1">IF(COUNTIFS('SEANCE 1'!$B:$B, $B103, 'SEANCE 1'!$C:$C, AT$2, 'SEANCE 1'!$F:$F, AT$5)=0, "", COUNTIFS('SEANCE 1'!$B:$B, $B103, 'SEANCE 1'!$C:$C, AT$2, 'SEANCE 1'!$F:$F, AT$5))</f>
        <v/>
      </c>
      <c r="AU103" s="64" t="str">
        <f ca="1">IF(COUNTIFS('SEANCE 1'!$B:$B, $B103, 'SEANCE 1'!$C:$C, AU$2, 'SEANCE 1'!$F:$F, AU$5)=0, "", COUNTIFS('SEANCE 1'!$B:$B, $B103, 'SEANCE 1'!$C:$C, AU$2, 'SEANCE 1'!$F:$F, AU$5))</f>
        <v/>
      </c>
      <c r="AV103" s="64" t="str">
        <f ca="1">IF(COUNTIFS('SEANCE 1'!$B:$B, $B103, 'SEANCE 1'!$C:$C, AV$2, 'SEANCE 1'!$F:$F, AV$5)=0, "", COUNTIFS('SEANCE 1'!$B:$B, $B103, 'SEANCE 1'!$C:$C, AV$2, 'SEANCE 1'!$F:$F, AV$5))</f>
        <v/>
      </c>
      <c r="AW103" s="64" t="str">
        <f ca="1">IF(COUNTIFS('SEANCE 1'!$B:$B, $B103, 'SEANCE 1'!$C:$C, AW$2, 'SEANCE 1'!$F:$F, AW$5)=0, "", COUNTIFS('SEANCE 1'!$B:$B, $B103, 'SEANCE 1'!$C:$C, AW$2, 'SEANCE 1'!$F:$F, AW$5))</f>
        <v/>
      </c>
      <c r="AX103" s="64" t="str">
        <f ca="1">IF(COUNTIFS('SEANCE 1'!$B:$B, $B103, 'SEANCE 1'!$C:$C, AX$2, 'SEANCE 1'!$F:$F, AX$5)=0, "", COUNTIFS('SEANCE 1'!$B:$B, $B103, 'SEANCE 1'!$C:$C, AX$2, 'SEANCE 1'!$F:$F, AX$5))</f>
        <v/>
      </c>
      <c r="AY103" s="64" t="str">
        <f ca="1">IF(COUNTIFS('SEANCE 1'!$B:$B, $B103, 'SEANCE 1'!$C:$C, AY$2, 'SEANCE 1'!$F:$F, AY$5)=0, "", COUNTIFS('SEANCE 1'!$B:$B, $B103, 'SEANCE 1'!$C:$C, AY$2, 'SEANCE 1'!$F:$F, AY$5))</f>
        <v/>
      </c>
      <c r="AZ103" s="32">
        <f t="shared" ca="1" si="1"/>
        <v>0</v>
      </c>
    </row>
    <row r="104" spans="1:52">
      <c r="A104" s="44" t="str">
        <f>IF('SEANCE 1'!$B100&lt;&gt;"",'SEANCE 1'!$A100,"")</f>
        <v/>
      </c>
      <c r="B104" s="44" t="str">
        <f t="array" aca="1" ref="B104" ca="1">IF(ISNA(INDEX(ListeB,MATCH(0,COUNTIF($B$5:B103,ListeB),0))),"",INDEX(ListeB,MATCH(0,COUNTIF($B$5:B103,ListeB),0)))</f>
        <v/>
      </c>
      <c r="C104" s="64" t="str">
        <f ca="1">IF(COUNTIFS('SEANCE 1'!$B:$B, $B104, 'SEANCE 1'!$C:$C, C$2, 'SEANCE 1'!$F:$F, C$5)=0, "", COUNTIFS('SEANCE 1'!$B:$B, $B104, 'SEANCE 1'!$C:$C, C$2, 'SEANCE 1'!$F:$F, C$5))</f>
        <v/>
      </c>
      <c r="D104" s="64" t="str">
        <f ca="1">IF(COUNTIFS('SEANCE 1'!$B:$B, $B104, 'SEANCE 1'!$C:$C, D$2, 'SEANCE 1'!$F:$F, D$5)=0, "", COUNTIFS('SEANCE 1'!$B:$B, $B104, 'SEANCE 1'!$C:$C, D$2, 'SEANCE 1'!$F:$F, D$5))</f>
        <v/>
      </c>
      <c r="E104" s="64" t="str">
        <f ca="1">IF(COUNTIFS('SEANCE 1'!$B:$B, $B104, 'SEANCE 1'!$C:$C, E$2, 'SEANCE 1'!$F:$F, E$5)=0, "", COUNTIFS('SEANCE 1'!$B:$B, $B104, 'SEANCE 1'!$C:$C, E$2, 'SEANCE 1'!$F:$F, E$5))</f>
        <v/>
      </c>
      <c r="F104" s="64" t="str">
        <f ca="1">IF(COUNTIFS('SEANCE 1'!$B:$B, $B104, 'SEANCE 1'!$C:$C, F$2, 'SEANCE 1'!$F:$F, F$5)=0, "", COUNTIFS('SEANCE 1'!$B:$B, $B104, 'SEANCE 1'!$C:$C, F$2, 'SEANCE 1'!$F:$F, F$5))</f>
        <v/>
      </c>
      <c r="G104" s="64" t="str">
        <f ca="1">IF(COUNTIFS('SEANCE 1'!$B:$B, $B104, 'SEANCE 1'!$C:$C, G$2, 'SEANCE 1'!$F:$F, G$5)=0, "", COUNTIFS('SEANCE 1'!$B:$B, $B104, 'SEANCE 1'!$C:$C, G$2, 'SEANCE 1'!$F:$F, G$5))</f>
        <v/>
      </c>
      <c r="H104" s="64" t="str">
        <f ca="1">IF(COUNTIFS('SEANCE 1'!$B:$B, $B104, 'SEANCE 1'!$C:$C, H$2, 'SEANCE 1'!$F:$F, H$5)=0, "", COUNTIFS('SEANCE 1'!$B:$B, $B104, 'SEANCE 1'!$C:$C, H$2, 'SEANCE 1'!$F:$F, H$5))</f>
        <v/>
      </c>
      <c r="I104" s="64" t="str">
        <f ca="1">IF(COUNTIFS('SEANCE 1'!$B:$B, $B104, 'SEANCE 1'!$C:$C, I$2, 'SEANCE 1'!$F:$F, I$5)=0, "", COUNTIFS('SEANCE 1'!$B:$B, $B104, 'SEANCE 1'!$C:$C, I$2, 'SEANCE 1'!$F:$F, I$5))</f>
        <v/>
      </c>
      <c r="J104" s="64" t="str">
        <f ca="1">IF(COUNTIFS('SEANCE 1'!$B:$B, $B104, 'SEANCE 1'!$C:$C, J$2, 'SEANCE 1'!$F:$F, J$5)=0, "", COUNTIFS('SEANCE 1'!$B:$B, $B104, 'SEANCE 1'!$C:$C, J$2, 'SEANCE 1'!$F:$F, J$5))</f>
        <v/>
      </c>
      <c r="K104" s="64" t="str">
        <f ca="1">IF(COUNTIFS('SEANCE 1'!$B:$B, $B104, 'SEANCE 1'!$C:$C, K$2, 'SEANCE 1'!$F:$F, K$5)=0, "", COUNTIFS('SEANCE 1'!$B:$B, $B104, 'SEANCE 1'!$C:$C, K$2, 'SEANCE 1'!$F:$F, K$5))</f>
        <v/>
      </c>
      <c r="L104" s="64" t="str">
        <f ca="1">IF(COUNTIFS('SEANCE 1'!$B:$B, $B104, 'SEANCE 1'!$C:$C, L$2, 'SEANCE 1'!$F:$F, L$5)=0, "", COUNTIFS('SEANCE 1'!$B:$B, $B104, 'SEANCE 1'!$C:$C, L$2, 'SEANCE 1'!$F:$F, L$5))</f>
        <v/>
      </c>
      <c r="M104" s="64" t="str">
        <f ca="1">IF(COUNTIFS('SEANCE 1'!$B:$B, $B104, 'SEANCE 1'!$C:$C, M$2, 'SEANCE 1'!$F:$F, M$5)=0, "", COUNTIFS('SEANCE 1'!$B:$B, $B104, 'SEANCE 1'!$C:$C, M$2, 'SEANCE 1'!$F:$F, M$5))</f>
        <v/>
      </c>
      <c r="N104" s="64" t="str">
        <f ca="1">IF(COUNTIFS('SEANCE 1'!$B:$B, $B104, 'SEANCE 1'!$C:$C, N$2, 'SEANCE 1'!$F:$F, N$5)=0, "", COUNTIFS('SEANCE 1'!$B:$B, $B104, 'SEANCE 1'!$C:$C, N$2, 'SEANCE 1'!$F:$F, N$5))</f>
        <v/>
      </c>
      <c r="O104" s="64" t="str">
        <f ca="1">IF(COUNTIFS('SEANCE 1'!$B:$B, $B104, 'SEANCE 1'!$C:$C, O$2, 'SEANCE 1'!$F:$F, O$5)=0, "", COUNTIFS('SEANCE 1'!$B:$B, $B104, 'SEANCE 1'!$C:$C, O$2, 'SEANCE 1'!$F:$F, O$5))</f>
        <v/>
      </c>
      <c r="P104" s="64" t="str">
        <f ca="1">IF(COUNTIFS('SEANCE 1'!$B:$B, $B104, 'SEANCE 1'!$C:$C, P$2, 'SEANCE 1'!$F:$F, P$5)=0, "", COUNTIFS('SEANCE 1'!$B:$B, $B104, 'SEANCE 1'!$C:$C, P$2, 'SEANCE 1'!$F:$F, P$5))</f>
        <v/>
      </c>
      <c r="Q104" s="64" t="str">
        <f ca="1">IF(COUNTIFS('SEANCE 1'!$B:$B, $B104, 'SEANCE 1'!$C:$C, Q$2, 'SEANCE 1'!$F:$F, Q$5)=0, "", COUNTIFS('SEANCE 1'!$B:$B, $B104, 'SEANCE 1'!$C:$C, Q$2, 'SEANCE 1'!$F:$F, Q$5))</f>
        <v/>
      </c>
      <c r="R104" s="64" t="str">
        <f ca="1">IF(COUNTIFS('SEANCE 1'!$B:$B, $B104, 'SEANCE 1'!$C:$C, R$2, 'SEANCE 1'!$F:$F, R$5)=0, "", COUNTIFS('SEANCE 1'!$B:$B, $B104, 'SEANCE 1'!$C:$C, R$2, 'SEANCE 1'!$F:$F, R$5))</f>
        <v/>
      </c>
      <c r="S104" s="64" t="str">
        <f ca="1">IF(COUNTIFS('SEANCE 1'!$B:$B, $B104, 'SEANCE 1'!$C:$C, S$2, 'SEANCE 1'!$F:$F, S$5)=0, "", COUNTIFS('SEANCE 1'!$B:$B, $B104, 'SEANCE 1'!$C:$C, S$2, 'SEANCE 1'!$F:$F, S$5))</f>
        <v/>
      </c>
      <c r="T104" s="64" t="str">
        <f ca="1">IF(COUNTIFS('SEANCE 1'!$B:$B, $B104, 'SEANCE 1'!$C:$C, T$2, 'SEANCE 1'!$F:$F, T$5)=0, "", COUNTIFS('SEANCE 1'!$B:$B, $B104, 'SEANCE 1'!$C:$C, T$2, 'SEANCE 1'!$F:$F, T$5))</f>
        <v/>
      </c>
      <c r="U104" s="64" t="str">
        <f ca="1">IF(COUNTIFS('SEANCE 1'!$B:$B, $B104, 'SEANCE 1'!$C:$C, U$2, 'SEANCE 1'!$F:$F, U$5)=0, "", COUNTIFS('SEANCE 1'!$B:$B, $B104, 'SEANCE 1'!$C:$C, U$2, 'SEANCE 1'!$F:$F, U$5))</f>
        <v/>
      </c>
      <c r="V104" s="64" t="str">
        <f ca="1">IF(COUNTIFS('SEANCE 1'!$B:$B, $B104, 'SEANCE 1'!$C:$C, V$2, 'SEANCE 1'!$F:$F, V$5)=0, "", COUNTIFS('SEANCE 1'!$B:$B, $B104, 'SEANCE 1'!$C:$C, V$2, 'SEANCE 1'!$F:$F, V$5))</f>
        <v/>
      </c>
      <c r="W104" s="64" t="str">
        <f ca="1">IF(COUNTIFS('SEANCE 1'!$B:$B, $B104, 'SEANCE 1'!$C:$C, W$2, 'SEANCE 1'!$F:$F, W$5)=0, "", COUNTIFS('SEANCE 1'!$B:$B, $B104, 'SEANCE 1'!$C:$C, W$2, 'SEANCE 1'!$F:$F, W$5))</f>
        <v/>
      </c>
      <c r="X104" s="64" t="str">
        <f ca="1">IF(COUNTIFS('SEANCE 1'!$B:$B, $B104, 'SEANCE 1'!$C:$C, X$2, 'SEANCE 1'!$F:$F, X$5)=0, "", COUNTIFS('SEANCE 1'!$B:$B, $B104, 'SEANCE 1'!$C:$C, X$2, 'SEANCE 1'!$F:$F, X$5))</f>
        <v/>
      </c>
      <c r="Y104" s="64" t="str">
        <f ca="1">IF(COUNTIFS('SEANCE 1'!$B:$B, $B104, 'SEANCE 1'!$C:$C, Y$2, 'SEANCE 1'!$F:$F, Y$5)=0, "", COUNTIFS('SEANCE 1'!$B:$B, $B104, 'SEANCE 1'!$C:$C, Y$2, 'SEANCE 1'!$F:$F, Y$5))</f>
        <v/>
      </c>
      <c r="Z104" s="64" t="str">
        <f ca="1">IF(COUNTIFS('SEANCE 1'!$B:$B, $B104, 'SEANCE 1'!$C:$C, Z$2, 'SEANCE 1'!$F:$F, Z$5)=0, "", COUNTIFS('SEANCE 1'!$B:$B, $B104, 'SEANCE 1'!$C:$C, Z$2, 'SEANCE 1'!$F:$F, Z$5))</f>
        <v/>
      </c>
      <c r="AA104" s="64" t="str">
        <f ca="1">IF(COUNTIFS('SEANCE 1'!$B:$B, $B104, 'SEANCE 1'!$C:$C, AA$2, 'SEANCE 1'!$F:$F, AA$5)=0, "", COUNTIFS('SEANCE 1'!$B:$B, $B104, 'SEANCE 1'!$C:$C, AA$2, 'SEANCE 1'!$F:$F, AA$5))</f>
        <v/>
      </c>
      <c r="AB104" s="64" t="str">
        <f ca="1">IF(COUNTIFS('SEANCE 1'!$B:$B, $B104, 'SEANCE 1'!$C:$C, AB$2, 'SEANCE 1'!$F:$F, AB$5)=0, "", COUNTIFS('SEANCE 1'!$B:$B, $B104, 'SEANCE 1'!$C:$C, AB$2, 'SEANCE 1'!$F:$F, AB$5))</f>
        <v/>
      </c>
      <c r="AC104" s="64" t="str">
        <f ca="1">IF(COUNTIFS('SEANCE 1'!$B:$B, $B104, 'SEANCE 1'!$C:$C, AC$2, 'SEANCE 1'!$F:$F, AC$5)=0, "", COUNTIFS('SEANCE 1'!$B:$B, $B104, 'SEANCE 1'!$C:$C, AC$2, 'SEANCE 1'!$F:$F, AC$5))</f>
        <v/>
      </c>
      <c r="AD104" s="64" t="str">
        <f ca="1">IF(COUNTIFS('SEANCE 1'!$B:$B, $B104, 'SEANCE 1'!$C:$C, AD$2, 'SEANCE 1'!$F:$F, AD$5)=0, "", COUNTIFS('SEANCE 1'!$B:$B, $B104, 'SEANCE 1'!$C:$C, AD$2, 'SEANCE 1'!$F:$F, AD$5))</f>
        <v/>
      </c>
      <c r="AE104" s="64" t="str">
        <f ca="1">IF(COUNTIFS('SEANCE 1'!$B:$B, $B104, 'SEANCE 1'!$C:$C, AE$2, 'SEANCE 1'!$F:$F, AE$5)=0, "", COUNTIFS('SEANCE 1'!$B:$B, $B104, 'SEANCE 1'!$C:$C, AE$2, 'SEANCE 1'!$F:$F, AE$5))</f>
        <v/>
      </c>
      <c r="AF104" s="64" t="str">
        <f ca="1">IF(COUNTIFS('SEANCE 1'!$B:$B, $B104, 'SEANCE 1'!$C:$C, AF$2, 'SEANCE 1'!$F:$F, AF$5)=0, "", COUNTIFS('SEANCE 1'!$B:$B, $B104, 'SEANCE 1'!$C:$C, AF$2, 'SEANCE 1'!$F:$F, AF$5))</f>
        <v/>
      </c>
      <c r="AG104" s="64" t="str">
        <f ca="1">IF(COUNTIFS('SEANCE 1'!$B:$B, $B104, 'SEANCE 1'!$C:$C, AG$2, 'SEANCE 1'!$F:$F, AG$5)=0, "", COUNTIFS('SEANCE 1'!$B:$B, $B104, 'SEANCE 1'!$C:$C, AG$2, 'SEANCE 1'!$F:$F, AG$5))</f>
        <v/>
      </c>
      <c r="AH104" s="64" t="str">
        <f ca="1">IF(COUNTIFS('SEANCE 1'!$B:$B, $B104, 'SEANCE 1'!$C:$C, AH$2, 'SEANCE 1'!$F:$F, AH$5)=0, "", COUNTIFS('SEANCE 1'!$B:$B, $B104, 'SEANCE 1'!$C:$C, AH$2, 'SEANCE 1'!$F:$F, AH$5))</f>
        <v/>
      </c>
      <c r="AI104" s="64" t="str">
        <f ca="1">IF(COUNTIFS('SEANCE 1'!$B:$B, $B104, 'SEANCE 1'!$C:$C, AI$2, 'SEANCE 1'!$F:$F, AI$5)=0, "", COUNTIFS('SEANCE 1'!$B:$B, $B104, 'SEANCE 1'!$C:$C, AI$2, 'SEANCE 1'!$F:$F, AI$5))</f>
        <v/>
      </c>
      <c r="AJ104" s="64" t="str">
        <f ca="1">IF(COUNTIFS('SEANCE 1'!$B:$B, $B104, 'SEANCE 1'!$C:$C, AJ$2, 'SEANCE 1'!$F:$F, AJ$5)=0, "", COUNTIFS('SEANCE 1'!$B:$B, $B104, 'SEANCE 1'!$C:$C, AJ$2, 'SEANCE 1'!$F:$F, AJ$5))</f>
        <v/>
      </c>
      <c r="AK104" s="64" t="str">
        <f ca="1">IF(COUNTIFS('SEANCE 1'!$B:$B, $B104, 'SEANCE 1'!$C:$C, AK$2, 'SEANCE 1'!$F:$F, AK$5)=0, "", COUNTIFS('SEANCE 1'!$B:$B, $B104, 'SEANCE 1'!$C:$C, AK$2, 'SEANCE 1'!$F:$F, AK$5))</f>
        <v/>
      </c>
      <c r="AL104" s="64" t="str">
        <f ca="1">IF(COUNTIFS('SEANCE 1'!$B:$B, $B104, 'SEANCE 1'!$C:$C, AL$2, 'SEANCE 1'!$F:$F, AL$5)=0, "", COUNTIFS('SEANCE 1'!$B:$B, $B104, 'SEANCE 1'!$C:$C, AL$2, 'SEANCE 1'!$F:$F, AL$5))</f>
        <v/>
      </c>
      <c r="AM104" s="64" t="str">
        <f ca="1">IF(COUNTIFS('SEANCE 1'!$B:$B, $B104, 'SEANCE 1'!$C:$C, AM$2, 'SEANCE 1'!$F:$F, AM$5)=0, "", COUNTIFS('SEANCE 1'!$B:$B, $B104, 'SEANCE 1'!$C:$C, AM$2, 'SEANCE 1'!$F:$F, AM$5))</f>
        <v/>
      </c>
      <c r="AN104" s="64" t="str">
        <f ca="1">IF(COUNTIFS('SEANCE 1'!$B:$B, $B104, 'SEANCE 1'!$C:$C, AN$2, 'SEANCE 1'!$F:$F, AN$5)=0, "", COUNTIFS('SEANCE 1'!$B:$B, $B104, 'SEANCE 1'!$C:$C, AN$2, 'SEANCE 1'!$F:$F, AN$5))</f>
        <v/>
      </c>
      <c r="AO104" s="64" t="str">
        <f ca="1">IF(COUNTIFS('SEANCE 1'!$B:$B, $B104, 'SEANCE 1'!$C:$C, AO$2, 'SEANCE 1'!$F:$F, AO$5)=0, "", COUNTIFS('SEANCE 1'!$B:$B, $B104, 'SEANCE 1'!$C:$C, AO$2, 'SEANCE 1'!$F:$F, AO$5))</f>
        <v/>
      </c>
      <c r="AP104" s="64" t="str">
        <f ca="1">IF(COUNTIFS('SEANCE 1'!$B:$B, $B104, 'SEANCE 1'!$C:$C, AP$2, 'SEANCE 1'!$F:$F, AP$5)=0, "", COUNTIFS('SEANCE 1'!$B:$B, $B104, 'SEANCE 1'!$C:$C, AP$2, 'SEANCE 1'!$F:$F, AP$5))</f>
        <v/>
      </c>
      <c r="AQ104" s="64" t="str">
        <f ca="1">IF(COUNTIFS('SEANCE 1'!$B:$B, $B104, 'SEANCE 1'!$C:$C, AQ$2, 'SEANCE 1'!$F:$F, AQ$5)=0, "", COUNTIFS('SEANCE 1'!$B:$B, $B104, 'SEANCE 1'!$C:$C, AQ$2, 'SEANCE 1'!$F:$F, AQ$5))</f>
        <v/>
      </c>
      <c r="AR104" s="64" t="str">
        <f ca="1">IF(COUNTIFS('SEANCE 1'!$B:$B, $B104, 'SEANCE 1'!$C:$C, AR$2, 'SEANCE 1'!$F:$F, AR$5)=0, "", COUNTIFS('SEANCE 1'!$B:$B, $B104, 'SEANCE 1'!$C:$C, AR$2, 'SEANCE 1'!$F:$F, AR$5))</f>
        <v/>
      </c>
      <c r="AS104" s="64" t="str">
        <f ca="1">IF(COUNTIFS('SEANCE 1'!$B:$B, $B104, 'SEANCE 1'!$C:$C, AS$2, 'SEANCE 1'!$F:$F, AS$5)=0, "", COUNTIFS('SEANCE 1'!$B:$B, $B104, 'SEANCE 1'!$C:$C, AS$2, 'SEANCE 1'!$F:$F, AS$5))</f>
        <v/>
      </c>
      <c r="AT104" s="64" t="str">
        <f ca="1">IF(COUNTIFS('SEANCE 1'!$B:$B, $B104, 'SEANCE 1'!$C:$C, AT$2, 'SEANCE 1'!$F:$F, AT$5)=0, "", COUNTIFS('SEANCE 1'!$B:$B, $B104, 'SEANCE 1'!$C:$C, AT$2, 'SEANCE 1'!$F:$F, AT$5))</f>
        <v/>
      </c>
      <c r="AU104" s="64" t="str">
        <f ca="1">IF(COUNTIFS('SEANCE 1'!$B:$B, $B104, 'SEANCE 1'!$C:$C, AU$2, 'SEANCE 1'!$F:$F, AU$5)=0, "", COUNTIFS('SEANCE 1'!$B:$B, $B104, 'SEANCE 1'!$C:$C, AU$2, 'SEANCE 1'!$F:$F, AU$5))</f>
        <v/>
      </c>
      <c r="AV104" s="64" t="str">
        <f ca="1">IF(COUNTIFS('SEANCE 1'!$B:$B, $B104, 'SEANCE 1'!$C:$C, AV$2, 'SEANCE 1'!$F:$F, AV$5)=0, "", COUNTIFS('SEANCE 1'!$B:$B, $B104, 'SEANCE 1'!$C:$C, AV$2, 'SEANCE 1'!$F:$F, AV$5))</f>
        <v/>
      </c>
      <c r="AW104" s="64" t="str">
        <f ca="1">IF(COUNTIFS('SEANCE 1'!$B:$B, $B104, 'SEANCE 1'!$C:$C, AW$2, 'SEANCE 1'!$F:$F, AW$5)=0, "", COUNTIFS('SEANCE 1'!$B:$B, $B104, 'SEANCE 1'!$C:$C, AW$2, 'SEANCE 1'!$F:$F, AW$5))</f>
        <v/>
      </c>
      <c r="AX104" s="64" t="str">
        <f ca="1">IF(COUNTIFS('SEANCE 1'!$B:$B, $B104, 'SEANCE 1'!$C:$C, AX$2, 'SEANCE 1'!$F:$F, AX$5)=0, "", COUNTIFS('SEANCE 1'!$B:$B, $B104, 'SEANCE 1'!$C:$C, AX$2, 'SEANCE 1'!$F:$F, AX$5))</f>
        <v/>
      </c>
      <c r="AY104" s="64" t="str">
        <f ca="1">IF(COUNTIFS('SEANCE 1'!$B:$B, $B104, 'SEANCE 1'!$C:$C, AY$2, 'SEANCE 1'!$F:$F, AY$5)=0, "", COUNTIFS('SEANCE 1'!$B:$B, $B104, 'SEANCE 1'!$C:$C, AY$2, 'SEANCE 1'!$F:$F, AY$5))</f>
        <v/>
      </c>
      <c r="AZ104" s="32">
        <f t="shared" ca="1" si="1"/>
        <v>0</v>
      </c>
    </row>
    <row r="105" spans="1:52">
      <c r="A105" s="44" t="str">
        <f>IF('SEANCE 1'!$B101&lt;&gt;"",'SEANCE 1'!$A101,"")</f>
        <v/>
      </c>
      <c r="B105" s="44" t="str">
        <f t="array" aca="1" ref="B105" ca="1">IF(ISNA(INDEX(ListeB,MATCH(0,COUNTIF($B$5:B104,ListeB),0))),"",INDEX(ListeB,MATCH(0,COUNTIF($B$5:B104,ListeB),0)))</f>
        <v/>
      </c>
      <c r="C105" s="64" t="str">
        <f ca="1">IF(COUNTIFS('SEANCE 1'!$B:$B, $B105, 'SEANCE 1'!$C:$C, C$2, 'SEANCE 1'!$F:$F, C$5)=0, "", COUNTIFS('SEANCE 1'!$B:$B, $B105, 'SEANCE 1'!$C:$C, C$2, 'SEANCE 1'!$F:$F, C$5))</f>
        <v/>
      </c>
      <c r="D105" s="64" t="str">
        <f ca="1">IF(COUNTIFS('SEANCE 1'!$B:$B, $B105, 'SEANCE 1'!$C:$C, D$2, 'SEANCE 1'!$F:$F, D$5)=0, "", COUNTIFS('SEANCE 1'!$B:$B, $B105, 'SEANCE 1'!$C:$C, D$2, 'SEANCE 1'!$F:$F, D$5))</f>
        <v/>
      </c>
      <c r="E105" s="64" t="str">
        <f ca="1">IF(COUNTIFS('SEANCE 1'!$B:$B, $B105, 'SEANCE 1'!$C:$C, E$2, 'SEANCE 1'!$F:$F, E$5)=0, "", COUNTIFS('SEANCE 1'!$B:$B, $B105, 'SEANCE 1'!$C:$C, E$2, 'SEANCE 1'!$F:$F, E$5))</f>
        <v/>
      </c>
      <c r="F105" s="64" t="str">
        <f ca="1">IF(COUNTIFS('SEANCE 1'!$B:$B, $B105, 'SEANCE 1'!$C:$C, F$2, 'SEANCE 1'!$F:$F, F$5)=0, "", COUNTIFS('SEANCE 1'!$B:$B, $B105, 'SEANCE 1'!$C:$C, F$2, 'SEANCE 1'!$F:$F, F$5))</f>
        <v/>
      </c>
      <c r="G105" s="64" t="str">
        <f ca="1">IF(COUNTIFS('SEANCE 1'!$B:$B, $B105, 'SEANCE 1'!$C:$C, G$2, 'SEANCE 1'!$F:$F, G$5)=0, "", COUNTIFS('SEANCE 1'!$B:$B, $B105, 'SEANCE 1'!$C:$C, G$2, 'SEANCE 1'!$F:$F, G$5))</f>
        <v/>
      </c>
      <c r="H105" s="64" t="str">
        <f ca="1">IF(COUNTIFS('SEANCE 1'!$B:$B, $B105, 'SEANCE 1'!$C:$C, H$2, 'SEANCE 1'!$F:$F, H$5)=0, "", COUNTIFS('SEANCE 1'!$B:$B, $B105, 'SEANCE 1'!$C:$C, H$2, 'SEANCE 1'!$F:$F, H$5))</f>
        <v/>
      </c>
      <c r="I105" s="64" t="str">
        <f ca="1">IF(COUNTIFS('SEANCE 1'!$B:$B, $B105, 'SEANCE 1'!$C:$C, I$2, 'SEANCE 1'!$F:$F, I$5)=0, "", COUNTIFS('SEANCE 1'!$B:$B, $B105, 'SEANCE 1'!$C:$C, I$2, 'SEANCE 1'!$F:$F, I$5))</f>
        <v/>
      </c>
      <c r="J105" s="64" t="str">
        <f ca="1">IF(COUNTIFS('SEANCE 1'!$B:$B, $B105, 'SEANCE 1'!$C:$C, J$2, 'SEANCE 1'!$F:$F, J$5)=0, "", COUNTIFS('SEANCE 1'!$B:$B, $B105, 'SEANCE 1'!$C:$C, J$2, 'SEANCE 1'!$F:$F, J$5))</f>
        <v/>
      </c>
      <c r="K105" s="64" t="str">
        <f ca="1">IF(COUNTIFS('SEANCE 1'!$B:$B, $B105, 'SEANCE 1'!$C:$C, K$2, 'SEANCE 1'!$F:$F, K$5)=0, "", COUNTIFS('SEANCE 1'!$B:$B, $B105, 'SEANCE 1'!$C:$C, K$2, 'SEANCE 1'!$F:$F, K$5))</f>
        <v/>
      </c>
      <c r="L105" s="64" t="str">
        <f ca="1">IF(COUNTIFS('SEANCE 1'!$B:$B, $B105, 'SEANCE 1'!$C:$C, L$2, 'SEANCE 1'!$F:$F, L$5)=0, "", COUNTIFS('SEANCE 1'!$B:$B, $B105, 'SEANCE 1'!$C:$C, L$2, 'SEANCE 1'!$F:$F, L$5))</f>
        <v/>
      </c>
      <c r="M105" s="64" t="str">
        <f ca="1">IF(COUNTIFS('SEANCE 1'!$B:$B, $B105, 'SEANCE 1'!$C:$C, M$2, 'SEANCE 1'!$F:$F, M$5)=0, "", COUNTIFS('SEANCE 1'!$B:$B, $B105, 'SEANCE 1'!$C:$C, M$2, 'SEANCE 1'!$F:$F, M$5))</f>
        <v/>
      </c>
      <c r="N105" s="64" t="str">
        <f ca="1">IF(COUNTIFS('SEANCE 1'!$B:$B, $B105, 'SEANCE 1'!$C:$C, N$2, 'SEANCE 1'!$F:$F, N$5)=0, "", COUNTIFS('SEANCE 1'!$B:$B, $B105, 'SEANCE 1'!$C:$C, N$2, 'SEANCE 1'!$F:$F, N$5))</f>
        <v/>
      </c>
      <c r="O105" s="64" t="str">
        <f ca="1">IF(COUNTIFS('SEANCE 1'!$B:$B, $B105, 'SEANCE 1'!$C:$C, O$2, 'SEANCE 1'!$F:$F, O$5)=0, "", COUNTIFS('SEANCE 1'!$B:$B, $B105, 'SEANCE 1'!$C:$C, O$2, 'SEANCE 1'!$F:$F, O$5))</f>
        <v/>
      </c>
      <c r="P105" s="64" t="str">
        <f ca="1">IF(COUNTIFS('SEANCE 1'!$B:$B, $B105, 'SEANCE 1'!$C:$C, P$2, 'SEANCE 1'!$F:$F, P$5)=0, "", COUNTIFS('SEANCE 1'!$B:$B, $B105, 'SEANCE 1'!$C:$C, P$2, 'SEANCE 1'!$F:$F, P$5))</f>
        <v/>
      </c>
      <c r="Q105" s="64" t="str">
        <f ca="1">IF(COUNTIFS('SEANCE 1'!$B:$B, $B105, 'SEANCE 1'!$C:$C, Q$2, 'SEANCE 1'!$F:$F, Q$5)=0, "", COUNTIFS('SEANCE 1'!$B:$B, $B105, 'SEANCE 1'!$C:$C, Q$2, 'SEANCE 1'!$F:$F, Q$5))</f>
        <v/>
      </c>
      <c r="R105" s="64" t="str">
        <f ca="1">IF(COUNTIFS('SEANCE 1'!$B:$B, $B105, 'SEANCE 1'!$C:$C, R$2, 'SEANCE 1'!$F:$F, R$5)=0, "", COUNTIFS('SEANCE 1'!$B:$B, $B105, 'SEANCE 1'!$C:$C, R$2, 'SEANCE 1'!$F:$F, R$5))</f>
        <v/>
      </c>
      <c r="S105" s="64" t="str">
        <f ca="1">IF(COUNTIFS('SEANCE 1'!$B:$B, $B105, 'SEANCE 1'!$C:$C, S$2, 'SEANCE 1'!$F:$F, S$5)=0, "", COUNTIFS('SEANCE 1'!$B:$B, $B105, 'SEANCE 1'!$C:$C, S$2, 'SEANCE 1'!$F:$F, S$5))</f>
        <v/>
      </c>
      <c r="T105" s="64" t="str">
        <f ca="1">IF(COUNTIFS('SEANCE 1'!$B:$B, $B105, 'SEANCE 1'!$C:$C, T$2, 'SEANCE 1'!$F:$F, T$5)=0, "", COUNTIFS('SEANCE 1'!$B:$B, $B105, 'SEANCE 1'!$C:$C, T$2, 'SEANCE 1'!$F:$F, T$5))</f>
        <v/>
      </c>
      <c r="U105" s="64" t="str">
        <f ca="1">IF(COUNTIFS('SEANCE 1'!$B:$B, $B105, 'SEANCE 1'!$C:$C, U$2, 'SEANCE 1'!$F:$F, U$5)=0, "", COUNTIFS('SEANCE 1'!$B:$B, $B105, 'SEANCE 1'!$C:$C, U$2, 'SEANCE 1'!$F:$F, U$5))</f>
        <v/>
      </c>
      <c r="V105" s="64" t="str">
        <f ca="1">IF(COUNTIFS('SEANCE 1'!$B:$B, $B105, 'SEANCE 1'!$C:$C, V$2, 'SEANCE 1'!$F:$F, V$5)=0, "", COUNTIFS('SEANCE 1'!$B:$B, $B105, 'SEANCE 1'!$C:$C, V$2, 'SEANCE 1'!$F:$F, V$5))</f>
        <v/>
      </c>
      <c r="W105" s="64" t="str">
        <f ca="1">IF(COUNTIFS('SEANCE 1'!$B:$B, $B105, 'SEANCE 1'!$C:$C, W$2, 'SEANCE 1'!$F:$F, W$5)=0, "", COUNTIFS('SEANCE 1'!$B:$B, $B105, 'SEANCE 1'!$C:$C, W$2, 'SEANCE 1'!$F:$F, W$5))</f>
        <v/>
      </c>
      <c r="X105" s="64" t="str">
        <f ca="1">IF(COUNTIFS('SEANCE 1'!$B:$B, $B105, 'SEANCE 1'!$C:$C, X$2, 'SEANCE 1'!$F:$F, X$5)=0, "", COUNTIFS('SEANCE 1'!$B:$B, $B105, 'SEANCE 1'!$C:$C, X$2, 'SEANCE 1'!$F:$F, X$5))</f>
        <v/>
      </c>
      <c r="Y105" s="64" t="str">
        <f ca="1">IF(COUNTIFS('SEANCE 1'!$B:$B, $B105, 'SEANCE 1'!$C:$C, Y$2, 'SEANCE 1'!$F:$F, Y$5)=0, "", COUNTIFS('SEANCE 1'!$B:$B, $B105, 'SEANCE 1'!$C:$C, Y$2, 'SEANCE 1'!$F:$F, Y$5))</f>
        <v/>
      </c>
      <c r="Z105" s="64" t="str">
        <f ca="1">IF(COUNTIFS('SEANCE 1'!$B:$B, $B105, 'SEANCE 1'!$C:$C, Z$2, 'SEANCE 1'!$F:$F, Z$5)=0, "", COUNTIFS('SEANCE 1'!$B:$B, $B105, 'SEANCE 1'!$C:$C, Z$2, 'SEANCE 1'!$F:$F, Z$5))</f>
        <v/>
      </c>
      <c r="AA105" s="64" t="str">
        <f ca="1">IF(COUNTIFS('SEANCE 1'!$B:$B, $B105, 'SEANCE 1'!$C:$C, AA$2, 'SEANCE 1'!$F:$F, AA$5)=0, "", COUNTIFS('SEANCE 1'!$B:$B, $B105, 'SEANCE 1'!$C:$C, AA$2, 'SEANCE 1'!$F:$F, AA$5))</f>
        <v/>
      </c>
      <c r="AB105" s="64" t="str">
        <f ca="1">IF(COUNTIFS('SEANCE 1'!$B:$B, $B105, 'SEANCE 1'!$C:$C, AB$2, 'SEANCE 1'!$F:$F, AB$5)=0, "", COUNTIFS('SEANCE 1'!$B:$B, $B105, 'SEANCE 1'!$C:$C, AB$2, 'SEANCE 1'!$F:$F, AB$5))</f>
        <v/>
      </c>
      <c r="AC105" s="64" t="str">
        <f ca="1">IF(COUNTIFS('SEANCE 1'!$B:$B, $B105, 'SEANCE 1'!$C:$C, AC$2, 'SEANCE 1'!$F:$F, AC$5)=0, "", COUNTIFS('SEANCE 1'!$B:$B, $B105, 'SEANCE 1'!$C:$C, AC$2, 'SEANCE 1'!$F:$F, AC$5))</f>
        <v/>
      </c>
      <c r="AD105" s="64" t="str">
        <f ca="1">IF(COUNTIFS('SEANCE 1'!$B:$B, $B105, 'SEANCE 1'!$C:$C, AD$2, 'SEANCE 1'!$F:$F, AD$5)=0, "", COUNTIFS('SEANCE 1'!$B:$B, $B105, 'SEANCE 1'!$C:$C, AD$2, 'SEANCE 1'!$F:$F, AD$5))</f>
        <v/>
      </c>
      <c r="AE105" s="64" t="str">
        <f ca="1">IF(COUNTIFS('SEANCE 1'!$B:$B, $B105, 'SEANCE 1'!$C:$C, AE$2, 'SEANCE 1'!$F:$F, AE$5)=0, "", COUNTIFS('SEANCE 1'!$B:$B, $B105, 'SEANCE 1'!$C:$C, AE$2, 'SEANCE 1'!$F:$F, AE$5))</f>
        <v/>
      </c>
      <c r="AF105" s="64" t="str">
        <f ca="1">IF(COUNTIFS('SEANCE 1'!$B:$B, $B105, 'SEANCE 1'!$C:$C, AF$2, 'SEANCE 1'!$F:$F, AF$5)=0, "", COUNTIFS('SEANCE 1'!$B:$B, $B105, 'SEANCE 1'!$C:$C, AF$2, 'SEANCE 1'!$F:$F, AF$5))</f>
        <v/>
      </c>
      <c r="AG105" s="64" t="str">
        <f ca="1">IF(COUNTIFS('SEANCE 1'!$B:$B, $B105, 'SEANCE 1'!$C:$C, AG$2, 'SEANCE 1'!$F:$F, AG$5)=0, "", COUNTIFS('SEANCE 1'!$B:$B, $B105, 'SEANCE 1'!$C:$C, AG$2, 'SEANCE 1'!$F:$F, AG$5))</f>
        <v/>
      </c>
      <c r="AH105" s="64" t="str">
        <f ca="1">IF(COUNTIFS('SEANCE 1'!$B:$B, $B105, 'SEANCE 1'!$C:$C, AH$2, 'SEANCE 1'!$F:$F, AH$5)=0, "", COUNTIFS('SEANCE 1'!$B:$B, $B105, 'SEANCE 1'!$C:$C, AH$2, 'SEANCE 1'!$F:$F, AH$5))</f>
        <v/>
      </c>
      <c r="AI105" s="64" t="str">
        <f ca="1">IF(COUNTIFS('SEANCE 1'!$B:$B, $B105, 'SEANCE 1'!$C:$C, AI$2, 'SEANCE 1'!$F:$F, AI$5)=0, "", COUNTIFS('SEANCE 1'!$B:$B, $B105, 'SEANCE 1'!$C:$C, AI$2, 'SEANCE 1'!$F:$F, AI$5))</f>
        <v/>
      </c>
      <c r="AJ105" s="64" t="str">
        <f ca="1">IF(COUNTIFS('SEANCE 1'!$B:$B, $B105, 'SEANCE 1'!$C:$C, AJ$2, 'SEANCE 1'!$F:$F, AJ$5)=0, "", COUNTIFS('SEANCE 1'!$B:$B, $B105, 'SEANCE 1'!$C:$C, AJ$2, 'SEANCE 1'!$F:$F, AJ$5))</f>
        <v/>
      </c>
      <c r="AK105" s="64" t="str">
        <f ca="1">IF(COUNTIFS('SEANCE 1'!$B:$B, $B105, 'SEANCE 1'!$C:$C, AK$2, 'SEANCE 1'!$F:$F, AK$5)=0, "", COUNTIFS('SEANCE 1'!$B:$B, $B105, 'SEANCE 1'!$C:$C, AK$2, 'SEANCE 1'!$F:$F, AK$5))</f>
        <v/>
      </c>
      <c r="AL105" s="64" t="str">
        <f ca="1">IF(COUNTIFS('SEANCE 1'!$B:$B, $B105, 'SEANCE 1'!$C:$C, AL$2, 'SEANCE 1'!$F:$F, AL$5)=0, "", COUNTIFS('SEANCE 1'!$B:$B, $B105, 'SEANCE 1'!$C:$C, AL$2, 'SEANCE 1'!$F:$F, AL$5))</f>
        <v/>
      </c>
      <c r="AM105" s="64" t="str">
        <f ca="1">IF(COUNTIFS('SEANCE 1'!$B:$B, $B105, 'SEANCE 1'!$C:$C, AM$2, 'SEANCE 1'!$F:$F, AM$5)=0, "", COUNTIFS('SEANCE 1'!$B:$B, $B105, 'SEANCE 1'!$C:$C, AM$2, 'SEANCE 1'!$F:$F, AM$5))</f>
        <v/>
      </c>
      <c r="AN105" s="64" t="str">
        <f ca="1">IF(COUNTIFS('SEANCE 1'!$B:$B, $B105, 'SEANCE 1'!$C:$C, AN$2, 'SEANCE 1'!$F:$F, AN$5)=0, "", COUNTIFS('SEANCE 1'!$B:$B, $B105, 'SEANCE 1'!$C:$C, AN$2, 'SEANCE 1'!$F:$F, AN$5))</f>
        <v/>
      </c>
      <c r="AO105" s="64" t="str">
        <f ca="1">IF(COUNTIFS('SEANCE 1'!$B:$B, $B105, 'SEANCE 1'!$C:$C, AO$2, 'SEANCE 1'!$F:$F, AO$5)=0, "", COUNTIFS('SEANCE 1'!$B:$B, $B105, 'SEANCE 1'!$C:$C, AO$2, 'SEANCE 1'!$F:$F, AO$5))</f>
        <v/>
      </c>
      <c r="AP105" s="64" t="str">
        <f ca="1">IF(COUNTIFS('SEANCE 1'!$B:$B, $B105, 'SEANCE 1'!$C:$C, AP$2, 'SEANCE 1'!$F:$F, AP$5)=0, "", COUNTIFS('SEANCE 1'!$B:$B, $B105, 'SEANCE 1'!$C:$C, AP$2, 'SEANCE 1'!$F:$F, AP$5))</f>
        <v/>
      </c>
      <c r="AQ105" s="64" t="str">
        <f ca="1">IF(COUNTIFS('SEANCE 1'!$B:$B, $B105, 'SEANCE 1'!$C:$C, AQ$2, 'SEANCE 1'!$F:$F, AQ$5)=0, "", COUNTIFS('SEANCE 1'!$B:$B, $B105, 'SEANCE 1'!$C:$C, AQ$2, 'SEANCE 1'!$F:$F, AQ$5))</f>
        <v/>
      </c>
      <c r="AR105" s="64" t="str">
        <f ca="1">IF(COUNTIFS('SEANCE 1'!$B:$B, $B105, 'SEANCE 1'!$C:$C, AR$2, 'SEANCE 1'!$F:$F, AR$5)=0, "", COUNTIFS('SEANCE 1'!$B:$B, $B105, 'SEANCE 1'!$C:$C, AR$2, 'SEANCE 1'!$F:$F, AR$5))</f>
        <v/>
      </c>
      <c r="AS105" s="64" t="str">
        <f ca="1">IF(COUNTIFS('SEANCE 1'!$B:$B, $B105, 'SEANCE 1'!$C:$C, AS$2, 'SEANCE 1'!$F:$F, AS$5)=0, "", COUNTIFS('SEANCE 1'!$B:$B, $B105, 'SEANCE 1'!$C:$C, AS$2, 'SEANCE 1'!$F:$F, AS$5))</f>
        <v/>
      </c>
      <c r="AT105" s="64" t="str">
        <f ca="1">IF(COUNTIFS('SEANCE 1'!$B:$B, $B105, 'SEANCE 1'!$C:$C, AT$2, 'SEANCE 1'!$F:$F, AT$5)=0, "", COUNTIFS('SEANCE 1'!$B:$B, $B105, 'SEANCE 1'!$C:$C, AT$2, 'SEANCE 1'!$F:$F, AT$5))</f>
        <v/>
      </c>
      <c r="AU105" s="64" t="str">
        <f ca="1">IF(COUNTIFS('SEANCE 1'!$B:$B, $B105, 'SEANCE 1'!$C:$C, AU$2, 'SEANCE 1'!$F:$F, AU$5)=0, "", COUNTIFS('SEANCE 1'!$B:$B, $B105, 'SEANCE 1'!$C:$C, AU$2, 'SEANCE 1'!$F:$F, AU$5))</f>
        <v/>
      </c>
      <c r="AV105" s="64" t="str">
        <f ca="1">IF(COUNTIFS('SEANCE 1'!$B:$B, $B105, 'SEANCE 1'!$C:$C, AV$2, 'SEANCE 1'!$F:$F, AV$5)=0, "", COUNTIFS('SEANCE 1'!$B:$B, $B105, 'SEANCE 1'!$C:$C, AV$2, 'SEANCE 1'!$F:$F, AV$5))</f>
        <v/>
      </c>
      <c r="AW105" s="64" t="str">
        <f ca="1">IF(COUNTIFS('SEANCE 1'!$B:$B, $B105, 'SEANCE 1'!$C:$C, AW$2, 'SEANCE 1'!$F:$F, AW$5)=0, "", COUNTIFS('SEANCE 1'!$B:$B, $B105, 'SEANCE 1'!$C:$C, AW$2, 'SEANCE 1'!$F:$F, AW$5))</f>
        <v/>
      </c>
      <c r="AX105" s="64" t="str">
        <f ca="1">IF(COUNTIFS('SEANCE 1'!$B:$B, $B105, 'SEANCE 1'!$C:$C, AX$2, 'SEANCE 1'!$F:$F, AX$5)=0, "", COUNTIFS('SEANCE 1'!$B:$B, $B105, 'SEANCE 1'!$C:$C, AX$2, 'SEANCE 1'!$F:$F, AX$5))</f>
        <v/>
      </c>
      <c r="AY105" s="64" t="str">
        <f ca="1">IF(COUNTIFS('SEANCE 1'!$B:$B, $B105, 'SEANCE 1'!$C:$C, AY$2, 'SEANCE 1'!$F:$F, AY$5)=0, "", COUNTIFS('SEANCE 1'!$B:$B, $B105, 'SEANCE 1'!$C:$C, AY$2, 'SEANCE 1'!$F:$F, AY$5))</f>
        <v/>
      </c>
      <c r="AZ105" s="32">
        <f t="shared" ca="1" si="1"/>
        <v>0</v>
      </c>
    </row>
    <row r="106" spans="1:52">
      <c r="A106" s="44" t="str">
        <f>IF('SEANCE 1'!$B102&lt;&gt;"",'SEANCE 1'!$A102,"")</f>
        <v/>
      </c>
      <c r="B106" s="44" t="str">
        <f t="array" aca="1" ref="B106" ca="1">IF(ISNA(INDEX(ListeB,MATCH(0,COUNTIF($B$5:B105,ListeB),0))),"",INDEX(ListeB,MATCH(0,COUNTIF($B$5:B105,ListeB),0)))</f>
        <v/>
      </c>
      <c r="C106" s="64" t="str">
        <f ca="1">IF(COUNTIFS('SEANCE 1'!$B:$B, $B106, 'SEANCE 1'!$C:$C, C$2, 'SEANCE 1'!$F:$F, C$5)=0, "", COUNTIFS('SEANCE 1'!$B:$B, $B106, 'SEANCE 1'!$C:$C, C$2, 'SEANCE 1'!$F:$F, C$5))</f>
        <v/>
      </c>
      <c r="D106" s="64" t="str">
        <f ca="1">IF(COUNTIFS('SEANCE 1'!$B:$B, $B106, 'SEANCE 1'!$C:$C, D$2, 'SEANCE 1'!$F:$F, D$5)=0, "", COUNTIFS('SEANCE 1'!$B:$B, $B106, 'SEANCE 1'!$C:$C, D$2, 'SEANCE 1'!$F:$F, D$5))</f>
        <v/>
      </c>
      <c r="E106" s="64" t="str">
        <f ca="1">IF(COUNTIFS('SEANCE 1'!$B:$B, $B106, 'SEANCE 1'!$C:$C, E$2, 'SEANCE 1'!$F:$F, E$5)=0, "", COUNTIFS('SEANCE 1'!$B:$B, $B106, 'SEANCE 1'!$C:$C, E$2, 'SEANCE 1'!$F:$F, E$5))</f>
        <v/>
      </c>
      <c r="F106" s="64" t="str">
        <f ca="1">IF(COUNTIFS('SEANCE 1'!$B:$B, $B106, 'SEANCE 1'!$C:$C, F$2, 'SEANCE 1'!$F:$F, F$5)=0, "", COUNTIFS('SEANCE 1'!$B:$B, $B106, 'SEANCE 1'!$C:$C, F$2, 'SEANCE 1'!$F:$F, F$5))</f>
        <v/>
      </c>
      <c r="G106" s="64" t="str">
        <f ca="1">IF(COUNTIFS('SEANCE 1'!$B:$B, $B106, 'SEANCE 1'!$C:$C, G$2, 'SEANCE 1'!$F:$F, G$5)=0, "", COUNTIFS('SEANCE 1'!$B:$B, $B106, 'SEANCE 1'!$C:$C, G$2, 'SEANCE 1'!$F:$F, G$5))</f>
        <v/>
      </c>
      <c r="H106" s="64" t="str">
        <f ca="1">IF(COUNTIFS('SEANCE 1'!$B:$B, $B106, 'SEANCE 1'!$C:$C, H$2, 'SEANCE 1'!$F:$F, H$5)=0, "", COUNTIFS('SEANCE 1'!$B:$B, $B106, 'SEANCE 1'!$C:$C, H$2, 'SEANCE 1'!$F:$F, H$5))</f>
        <v/>
      </c>
      <c r="I106" s="64" t="str">
        <f ca="1">IF(COUNTIFS('SEANCE 1'!$B:$B, $B106, 'SEANCE 1'!$C:$C, I$2, 'SEANCE 1'!$F:$F, I$5)=0, "", COUNTIFS('SEANCE 1'!$B:$B, $B106, 'SEANCE 1'!$C:$C, I$2, 'SEANCE 1'!$F:$F, I$5))</f>
        <v/>
      </c>
      <c r="J106" s="64" t="str">
        <f ca="1">IF(COUNTIFS('SEANCE 1'!$B:$B, $B106, 'SEANCE 1'!$C:$C, J$2, 'SEANCE 1'!$F:$F, J$5)=0, "", COUNTIFS('SEANCE 1'!$B:$B, $B106, 'SEANCE 1'!$C:$C, J$2, 'SEANCE 1'!$F:$F, J$5))</f>
        <v/>
      </c>
      <c r="K106" s="64" t="str">
        <f ca="1">IF(COUNTIFS('SEANCE 1'!$B:$B, $B106, 'SEANCE 1'!$C:$C, K$2, 'SEANCE 1'!$F:$F, K$5)=0, "", COUNTIFS('SEANCE 1'!$B:$B, $B106, 'SEANCE 1'!$C:$C, K$2, 'SEANCE 1'!$F:$F, K$5))</f>
        <v/>
      </c>
      <c r="L106" s="64" t="str">
        <f ca="1">IF(COUNTIFS('SEANCE 1'!$B:$B, $B106, 'SEANCE 1'!$C:$C, L$2, 'SEANCE 1'!$F:$F, L$5)=0, "", COUNTIFS('SEANCE 1'!$B:$B, $B106, 'SEANCE 1'!$C:$C, L$2, 'SEANCE 1'!$F:$F, L$5))</f>
        <v/>
      </c>
      <c r="M106" s="64" t="str">
        <f ca="1">IF(COUNTIFS('SEANCE 1'!$B:$B, $B106, 'SEANCE 1'!$C:$C, M$2, 'SEANCE 1'!$F:$F, M$5)=0, "", COUNTIFS('SEANCE 1'!$B:$B, $B106, 'SEANCE 1'!$C:$C, M$2, 'SEANCE 1'!$F:$F, M$5))</f>
        <v/>
      </c>
      <c r="N106" s="64" t="str">
        <f ca="1">IF(COUNTIFS('SEANCE 1'!$B:$B, $B106, 'SEANCE 1'!$C:$C, N$2, 'SEANCE 1'!$F:$F, N$5)=0, "", COUNTIFS('SEANCE 1'!$B:$B, $B106, 'SEANCE 1'!$C:$C, N$2, 'SEANCE 1'!$F:$F, N$5))</f>
        <v/>
      </c>
      <c r="O106" s="64" t="str">
        <f ca="1">IF(COUNTIFS('SEANCE 1'!$B:$B, $B106, 'SEANCE 1'!$C:$C, O$2, 'SEANCE 1'!$F:$F, O$5)=0, "", COUNTIFS('SEANCE 1'!$B:$B, $B106, 'SEANCE 1'!$C:$C, O$2, 'SEANCE 1'!$F:$F, O$5))</f>
        <v/>
      </c>
      <c r="P106" s="64" t="str">
        <f ca="1">IF(COUNTIFS('SEANCE 1'!$B:$B, $B106, 'SEANCE 1'!$C:$C, P$2, 'SEANCE 1'!$F:$F, P$5)=0, "", COUNTIFS('SEANCE 1'!$B:$B, $B106, 'SEANCE 1'!$C:$C, P$2, 'SEANCE 1'!$F:$F, P$5))</f>
        <v/>
      </c>
      <c r="Q106" s="64" t="str">
        <f ca="1">IF(COUNTIFS('SEANCE 1'!$B:$B, $B106, 'SEANCE 1'!$C:$C, Q$2, 'SEANCE 1'!$F:$F, Q$5)=0, "", COUNTIFS('SEANCE 1'!$B:$B, $B106, 'SEANCE 1'!$C:$C, Q$2, 'SEANCE 1'!$F:$F, Q$5))</f>
        <v/>
      </c>
      <c r="R106" s="64" t="str">
        <f ca="1">IF(COUNTIFS('SEANCE 1'!$B:$B, $B106, 'SEANCE 1'!$C:$C, R$2, 'SEANCE 1'!$F:$F, R$5)=0, "", COUNTIFS('SEANCE 1'!$B:$B, $B106, 'SEANCE 1'!$C:$C, R$2, 'SEANCE 1'!$F:$F, R$5))</f>
        <v/>
      </c>
      <c r="S106" s="64" t="str">
        <f ca="1">IF(COUNTIFS('SEANCE 1'!$B:$B, $B106, 'SEANCE 1'!$C:$C, S$2, 'SEANCE 1'!$F:$F, S$5)=0, "", COUNTIFS('SEANCE 1'!$B:$B, $B106, 'SEANCE 1'!$C:$C, S$2, 'SEANCE 1'!$F:$F, S$5))</f>
        <v/>
      </c>
      <c r="T106" s="64" t="str">
        <f ca="1">IF(COUNTIFS('SEANCE 1'!$B:$B, $B106, 'SEANCE 1'!$C:$C, T$2, 'SEANCE 1'!$F:$F, T$5)=0, "", COUNTIFS('SEANCE 1'!$B:$B, $B106, 'SEANCE 1'!$C:$C, T$2, 'SEANCE 1'!$F:$F, T$5))</f>
        <v/>
      </c>
      <c r="U106" s="64" t="str">
        <f ca="1">IF(COUNTIFS('SEANCE 1'!$B:$B, $B106, 'SEANCE 1'!$C:$C, U$2, 'SEANCE 1'!$F:$F, U$5)=0, "", COUNTIFS('SEANCE 1'!$B:$B, $B106, 'SEANCE 1'!$C:$C, U$2, 'SEANCE 1'!$F:$F, U$5))</f>
        <v/>
      </c>
      <c r="V106" s="64" t="str">
        <f ca="1">IF(COUNTIFS('SEANCE 1'!$B:$B, $B106, 'SEANCE 1'!$C:$C, V$2, 'SEANCE 1'!$F:$F, V$5)=0, "", COUNTIFS('SEANCE 1'!$B:$B, $B106, 'SEANCE 1'!$C:$C, V$2, 'SEANCE 1'!$F:$F, V$5))</f>
        <v/>
      </c>
      <c r="W106" s="64" t="str">
        <f ca="1">IF(COUNTIFS('SEANCE 1'!$B:$B, $B106, 'SEANCE 1'!$C:$C, W$2, 'SEANCE 1'!$F:$F, W$5)=0, "", COUNTIFS('SEANCE 1'!$B:$B, $B106, 'SEANCE 1'!$C:$C, W$2, 'SEANCE 1'!$F:$F, W$5))</f>
        <v/>
      </c>
      <c r="X106" s="64" t="str">
        <f ca="1">IF(COUNTIFS('SEANCE 1'!$B:$B, $B106, 'SEANCE 1'!$C:$C, X$2, 'SEANCE 1'!$F:$F, X$5)=0, "", COUNTIFS('SEANCE 1'!$B:$B, $B106, 'SEANCE 1'!$C:$C, X$2, 'SEANCE 1'!$F:$F, X$5))</f>
        <v/>
      </c>
      <c r="Y106" s="64" t="str">
        <f ca="1">IF(COUNTIFS('SEANCE 1'!$B:$B, $B106, 'SEANCE 1'!$C:$C, Y$2, 'SEANCE 1'!$F:$F, Y$5)=0, "", COUNTIFS('SEANCE 1'!$B:$B, $B106, 'SEANCE 1'!$C:$C, Y$2, 'SEANCE 1'!$F:$F, Y$5))</f>
        <v/>
      </c>
      <c r="Z106" s="64" t="str">
        <f ca="1">IF(COUNTIFS('SEANCE 1'!$B:$B, $B106, 'SEANCE 1'!$C:$C, Z$2, 'SEANCE 1'!$F:$F, Z$5)=0, "", COUNTIFS('SEANCE 1'!$B:$B, $B106, 'SEANCE 1'!$C:$C, Z$2, 'SEANCE 1'!$F:$F, Z$5))</f>
        <v/>
      </c>
      <c r="AA106" s="64" t="str">
        <f ca="1">IF(COUNTIFS('SEANCE 1'!$B:$B, $B106, 'SEANCE 1'!$C:$C, AA$2, 'SEANCE 1'!$F:$F, AA$5)=0, "", COUNTIFS('SEANCE 1'!$B:$B, $B106, 'SEANCE 1'!$C:$C, AA$2, 'SEANCE 1'!$F:$F, AA$5))</f>
        <v/>
      </c>
      <c r="AB106" s="64" t="str">
        <f ca="1">IF(COUNTIFS('SEANCE 1'!$B:$B, $B106, 'SEANCE 1'!$C:$C, AB$2, 'SEANCE 1'!$F:$F, AB$5)=0, "", COUNTIFS('SEANCE 1'!$B:$B, $B106, 'SEANCE 1'!$C:$C, AB$2, 'SEANCE 1'!$F:$F, AB$5))</f>
        <v/>
      </c>
      <c r="AC106" s="64" t="str">
        <f ca="1">IF(COUNTIFS('SEANCE 1'!$B:$B, $B106, 'SEANCE 1'!$C:$C, AC$2, 'SEANCE 1'!$F:$F, AC$5)=0, "", COUNTIFS('SEANCE 1'!$B:$B, $B106, 'SEANCE 1'!$C:$C, AC$2, 'SEANCE 1'!$F:$F, AC$5))</f>
        <v/>
      </c>
      <c r="AD106" s="64" t="str">
        <f ca="1">IF(COUNTIFS('SEANCE 1'!$B:$B, $B106, 'SEANCE 1'!$C:$C, AD$2, 'SEANCE 1'!$F:$F, AD$5)=0, "", COUNTIFS('SEANCE 1'!$B:$B, $B106, 'SEANCE 1'!$C:$C, AD$2, 'SEANCE 1'!$F:$F, AD$5))</f>
        <v/>
      </c>
      <c r="AE106" s="64" t="str">
        <f ca="1">IF(COUNTIFS('SEANCE 1'!$B:$B, $B106, 'SEANCE 1'!$C:$C, AE$2, 'SEANCE 1'!$F:$F, AE$5)=0, "", COUNTIFS('SEANCE 1'!$B:$B, $B106, 'SEANCE 1'!$C:$C, AE$2, 'SEANCE 1'!$F:$F, AE$5))</f>
        <v/>
      </c>
      <c r="AF106" s="64" t="str">
        <f ca="1">IF(COUNTIFS('SEANCE 1'!$B:$B, $B106, 'SEANCE 1'!$C:$C, AF$2, 'SEANCE 1'!$F:$F, AF$5)=0, "", COUNTIFS('SEANCE 1'!$B:$B, $B106, 'SEANCE 1'!$C:$C, AF$2, 'SEANCE 1'!$F:$F, AF$5))</f>
        <v/>
      </c>
      <c r="AG106" s="64" t="str">
        <f ca="1">IF(COUNTIFS('SEANCE 1'!$B:$B, $B106, 'SEANCE 1'!$C:$C, AG$2, 'SEANCE 1'!$F:$F, AG$5)=0, "", COUNTIFS('SEANCE 1'!$B:$B, $B106, 'SEANCE 1'!$C:$C, AG$2, 'SEANCE 1'!$F:$F, AG$5))</f>
        <v/>
      </c>
      <c r="AH106" s="64" t="str">
        <f ca="1">IF(COUNTIFS('SEANCE 1'!$B:$B, $B106, 'SEANCE 1'!$C:$C, AH$2, 'SEANCE 1'!$F:$F, AH$5)=0, "", COUNTIFS('SEANCE 1'!$B:$B, $B106, 'SEANCE 1'!$C:$C, AH$2, 'SEANCE 1'!$F:$F, AH$5))</f>
        <v/>
      </c>
      <c r="AI106" s="64" t="str">
        <f ca="1">IF(COUNTIFS('SEANCE 1'!$B:$B, $B106, 'SEANCE 1'!$C:$C, AI$2, 'SEANCE 1'!$F:$F, AI$5)=0, "", COUNTIFS('SEANCE 1'!$B:$B, $B106, 'SEANCE 1'!$C:$C, AI$2, 'SEANCE 1'!$F:$F, AI$5))</f>
        <v/>
      </c>
      <c r="AJ106" s="64" t="str">
        <f ca="1">IF(COUNTIFS('SEANCE 1'!$B:$B, $B106, 'SEANCE 1'!$C:$C, AJ$2, 'SEANCE 1'!$F:$F, AJ$5)=0, "", COUNTIFS('SEANCE 1'!$B:$B, $B106, 'SEANCE 1'!$C:$C, AJ$2, 'SEANCE 1'!$F:$F, AJ$5))</f>
        <v/>
      </c>
      <c r="AK106" s="64" t="str">
        <f ca="1">IF(COUNTIFS('SEANCE 1'!$B:$B, $B106, 'SEANCE 1'!$C:$C, AK$2, 'SEANCE 1'!$F:$F, AK$5)=0, "", COUNTIFS('SEANCE 1'!$B:$B, $B106, 'SEANCE 1'!$C:$C, AK$2, 'SEANCE 1'!$F:$F, AK$5))</f>
        <v/>
      </c>
      <c r="AL106" s="64" t="str">
        <f ca="1">IF(COUNTIFS('SEANCE 1'!$B:$B, $B106, 'SEANCE 1'!$C:$C, AL$2, 'SEANCE 1'!$F:$F, AL$5)=0, "", COUNTIFS('SEANCE 1'!$B:$B, $B106, 'SEANCE 1'!$C:$C, AL$2, 'SEANCE 1'!$F:$F, AL$5))</f>
        <v/>
      </c>
      <c r="AM106" s="64" t="str">
        <f ca="1">IF(COUNTIFS('SEANCE 1'!$B:$B, $B106, 'SEANCE 1'!$C:$C, AM$2, 'SEANCE 1'!$F:$F, AM$5)=0, "", COUNTIFS('SEANCE 1'!$B:$B, $B106, 'SEANCE 1'!$C:$C, AM$2, 'SEANCE 1'!$F:$F, AM$5))</f>
        <v/>
      </c>
      <c r="AN106" s="64" t="str">
        <f ca="1">IF(COUNTIFS('SEANCE 1'!$B:$B, $B106, 'SEANCE 1'!$C:$C, AN$2, 'SEANCE 1'!$F:$F, AN$5)=0, "", COUNTIFS('SEANCE 1'!$B:$B, $B106, 'SEANCE 1'!$C:$C, AN$2, 'SEANCE 1'!$F:$F, AN$5))</f>
        <v/>
      </c>
      <c r="AO106" s="64" t="str">
        <f ca="1">IF(COUNTIFS('SEANCE 1'!$B:$B, $B106, 'SEANCE 1'!$C:$C, AO$2, 'SEANCE 1'!$F:$F, AO$5)=0, "", COUNTIFS('SEANCE 1'!$B:$B, $B106, 'SEANCE 1'!$C:$C, AO$2, 'SEANCE 1'!$F:$F, AO$5))</f>
        <v/>
      </c>
      <c r="AP106" s="64" t="str">
        <f ca="1">IF(COUNTIFS('SEANCE 1'!$B:$B, $B106, 'SEANCE 1'!$C:$C, AP$2, 'SEANCE 1'!$F:$F, AP$5)=0, "", COUNTIFS('SEANCE 1'!$B:$B, $B106, 'SEANCE 1'!$C:$C, AP$2, 'SEANCE 1'!$F:$F, AP$5))</f>
        <v/>
      </c>
      <c r="AQ106" s="64" t="str">
        <f ca="1">IF(COUNTIFS('SEANCE 1'!$B:$B, $B106, 'SEANCE 1'!$C:$C, AQ$2, 'SEANCE 1'!$F:$F, AQ$5)=0, "", COUNTIFS('SEANCE 1'!$B:$B, $B106, 'SEANCE 1'!$C:$C, AQ$2, 'SEANCE 1'!$F:$F, AQ$5))</f>
        <v/>
      </c>
      <c r="AR106" s="64" t="str">
        <f ca="1">IF(COUNTIFS('SEANCE 1'!$B:$B, $B106, 'SEANCE 1'!$C:$C, AR$2, 'SEANCE 1'!$F:$F, AR$5)=0, "", COUNTIFS('SEANCE 1'!$B:$B, $B106, 'SEANCE 1'!$C:$C, AR$2, 'SEANCE 1'!$F:$F, AR$5))</f>
        <v/>
      </c>
      <c r="AS106" s="64" t="str">
        <f ca="1">IF(COUNTIFS('SEANCE 1'!$B:$B, $B106, 'SEANCE 1'!$C:$C, AS$2, 'SEANCE 1'!$F:$F, AS$5)=0, "", COUNTIFS('SEANCE 1'!$B:$B, $B106, 'SEANCE 1'!$C:$C, AS$2, 'SEANCE 1'!$F:$F, AS$5))</f>
        <v/>
      </c>
      <c r="AT106" s="64" t="str">
        <f ca="1">IF(COUNTIFS('SEANCE 1'!$B:$B, $B106, 'SEANCE 1'!$C:$C, AT$2, 'SEANCE 1'!$F:$F, AT$5)=0, "", COUNTIFS('SEANCE 1'!$B:$B, $B106, 'SEANCE 1'!$C:$C, AT$2, 'SEANCE 1'!$F:$F, AT$5))</f>
        <v/>
      </c>
      <c r="AU106" s="64" t="str">
        <f ca="1">IF(COUNTIFS('SEANCE 1'!$B:$B, $B106, 'SEANCE 1'!$C:$C, AU$2, 'SEANCE 1'!$F:$F, AU$5)=0, "", COUNTIFS('SEANCE 1'!$B:$B, $B106, 'SEANCE 1'!$C:$C, AU$2, 'SEANCE 1'!$F:$F, AU$5))</f>
        <v/>
      </c>
      <c r="AV106" s="64" t="str">
        <f ca="1">IF(COUNTIFS('SEANCE 1'!$B:$B, $B106, 'SEANCE 1'!$C:$C, AV$2, 'SEANCE 1'!$F:$F, AV$5)=0, "", COUNTIFS('SEANCE 1'!$B:$B, $B106, 'SEANCE 1'!$C:$C, AV$2, 'SEANCE 1'!$F:$F, AV$5))</f>
        <v/>
      </c>
      <c r="AW106" s="64" t="str">
        <f ca="1">IF(COUNTIFS('SEANCE 1'!$B:$B, $B106, 'SEANCE 1'!$C:$C, AW$2, 'SEANCE 1'!$F:$F, AW$5)=0, "", COUNTIFS('SEANCE 1'!$B:$B, $B106, 'SEANCE 1'!$C:$C, AW$2, 'SEANCE 1'!$F:$F, AW$5))</f>
        <v/>
      </c>
      <c r="AX106" s="64" t="str">
        <f ca="1">IF(COUNTIFS('SEANCE 1'!$B:$B, $B106, 'SEANCE 1'!$C:$C, AX$2, 'SEANCE 1'!$F:$F, AX$5)=0, "", COUNTIFS('SEANCE 1'!$B:$B, $B106, 'SEANCE 1'!$C:$C, AX$2, 'SEANCE 1'!$F:$F, AX$5))</f>
        <v/>
      </c>
      <c r="AY106" s="64" t="str">
        <f ca="1">IF(COUNTIFS('SEANCE 1'!$B:$B, $B106, 'SEANCE 1'!$C:$C, AY$2, 'SEANCE 1'!$F:$F, AY$5)=0, "", COUNTIFS('SEANCE 1'!$B:$B, $B106, 'SEANCE 1'!$C:$C, AY$2, 'SEANCE 1'!$F:$F, AY$5))</f>
        <v/>
      </c>
      <c r="AZ106" s="32">
        <f t="shared" ca="1" si="1"/>
        <v>0</v>
      </c>
    </row>
    <row r="107" spans="1:52">
      <c r="A107" s="44" t="str">
        <f>IF('SEANCE 1'!$B103&lt;&gt;"",'SEANCE 1'!$A103,"")</f>
        <v/>
      </c>
      <c r="B107" s="44" t="str">
        <f t="array" aca="1" ref="B107" ca="1">IF(ISNA(INDEX(ListeB,MATCH(0,COUNTIF($B$5:B106,ListeB),0))),"",INDEX(ListeB,MATCH(0,COUNTIF($B$5:B106,ListeB),0)))</f>
        <v/>
      </c>
      <c r="C107" s="64" t="str">
        <f ca="1">IF(COUNTIFS('SEANCE 1'!$B:$B, $B107, 'SEANCE 1'!$C:$C, C$2, 'SEANCE 1'!$F:$F, C$5)=0, "", COUNTIFS('SEANCE 1'!$B:$B, $B107, 'SEANCE 1'!$C:$C, C$2, 'SEANCE 1'!$F:$F, C$5))</f>
        <v/>
      </c>
      <c r="D107" s="64" t="str">
        <f ca="1">IF(COUNTIFS('SEANCE 1'!$B:$B, $B107, 'SEANCE 1'!$C:$C, D$2, 'SEANCE 1'!$F:$F, D$5)=0, "", COUNTIFS('SEANCE 1'!$B:$B, $B107, 'SEANCE 1'!$C:$C, D$2, 'SEANCE 1'!$F:$F, D$5))</f>
        <v/>
      </c>
      <c r="E107" s="64" t="str">
        <f ca="1">IF(COUNTIFS('SEANCE 1'!$B:$B, $B107, 'SEANCE 1'!$C:$C, E$2, 'SEANCE 1'!$F:$F, E$5)=0, "", COUNTIFS('SEANCE 1'!$B:$B, $B107, 'SEANCE 1'!$C:$C, E$2, 'SEANCE 1'!$F:$F, E$5))</f>
        <v/>
      </c>
      <c r="F107" s="64" t="str">
        <f ca="1">IF(COUNTIFS('SEANCE 1'!$B:$B, $B107, 'SEANCE 1'!$C:$C, F$2, 'SEANCE 1'!$F:$F, F$5)=0, "", COUNTIFS('SEANCE 1'!$B:$B, $B107, 'SEANCE 1'!$C:$C, F$2, 'SEANCE 1'!$F:$F, F$5))</f>
        <v/>
      </c>
      <c r="G107" s="64" t="str">
        <f ca="1">IF(COUNTIFS('SEANCE 1'!$B:$B, $B107, 'SEANCE 1'!$C:$C, G$2, 'SEANCE 1'!$F:$F, G$5)=0, "", COUNTIFS('SEANCE 1'!$B:$B, $B107, 'SEANCE 1'!$C:$C, G$2, 'SEANCE 1'!$F:$F, G$5))</f>
        <v/>
      </c>
      <c r="H107" s="64" t="str">
        <f ca="1">IF(COUNTIFS('SEANCE 1'!$B:$B, $B107, 'SEANCE 1'!$C:$C, H$2, 'SEANCE 1'!$F:$F, H$5)=0, "", COUNTIFS('SEANCE 1'!$B:$B, $B107, 'SEANCE 1'!$C:$C, H$2, 'SEANCE 1'!$F:$F, H$5))</f>
        <v/>
      </c>
      <c r="I107" s="64" t="str">
        <f ca="1">IF(COUNTIFS('SEANCE 1'!$B:$B, $B107, 'SEANCE 1'!$C:$C, I$2, 'SEANCE 1'!$F:$F, I$5)=0, "", COUNTIFS('SEANCE 1'!$B:$B, $B107, 'SEANCE 1'!$C:$C, I$2, 'SEANCE 1'!$F:$F, I$5))</f>
        <v/>
      </c>
      <c r="J107" s="64" t="str">
        <f ca="1">IF(COUNTIFS('SEANCE 1'!$B:$B, $B107, 'SEANCE 1'!$C:$C, J$2, 'SEANCE 1'!$F:$F, J$5)=0, "", COUNTIFS('SEANCE 1'!$B:$B, $B107, 'SEANCE 1'!$C:$C, J$2, 'SEANCE 1'!$F:$F, J$5))</f>
        <v/>
      </c>
      <c r="K107" s="64" t="str">
        <f ca="1">IF(COUNTIFS('SEANCE 1'!$B:$B, $B107, 'SEANCE 1'!$C:$C, K$2, 'SEANCE 1'!$F:$F, K$5)=0, "", COUNTIFS('SEANCE 1'!$B:$B, $B107, 'SEANCE 1'!$C:$C, K$2, 'SEANCE 1'!$F:$F, K$5))</f>
        <v/>
      </c>
      <c r="L107" s="64" t="str">
        <f ca="1">IF(COUNTIFS('SEANCE 1'!$B:$B, $B107, 'SEANCE 1'!$C:$C, L$2, 'SEANCE 1'!$F:$F, L$5)=0, "", COUNTIFS('SEANCE 1'!$B:$B, $B107, 'SEANCE 1'!$C:$C, L$2, 'SEANCE 1'!$F:$F, L$5))</f>
        <v/>
      </c>
      <c r="M107" s="64" t="str">
        <f ca="1">IF(COUNTIFS('SEANCE 1'!$B:$B, $B107, 'SEANCE 1'!$C:$C, M$2, 'SEANCE 1'!$F:$F, M$5)=0, "", COUNTIFS('SEANCE 1'!$B:$B, $B107, 'SEANCE 1'!$C:$C, M$2, 'SEANCE 1'!$F:$F, M$5))</f>
        <v/>
      </c>
      <c r="N107" s="64" t="str">
        <f ca="1">IF(COUNTIFS('SEANCE 1'!$B:$B, $B107, 'SEANCE 1'!$C:$C, N$2, 'SEANCE 1'!$F:$F, N$5)=0, "", COUNTIFS('SEANCE 1'!$B:$B, $B107, 'SEANCE 1'!$C:$C, N$2, 'SEANCE 1'!$F:$F, N$5))</f>
        <v/>
      </c>
      <c r="O107" s="64" t="str">
        <f ca="1">IF(COUNTIFS('SEANCE 1'!$B:$B, $B107, 'SEANCE 1'!$C:$C, O$2, 'SEANCE 1'!$F:$F, O$5)=0, "", COUNTIFS('SEANCE 1'!$B:$B, $B107, 'SEANCE 1'!$C:$C, O$2, 'SEANCE 1'!$F:$F, O$5))</f>
        <v/>
      </c>
      <c r="P107" s="64" t="str">
        <f ca="1">IF(COUNTIFS('SEANCE 1'!$B:$B, $B107, 'SEANCE 1'!$C:$C, P$2, 'SEANCE 1'!$F:$F, P$5)=0, "", COUNTIFS('SEANCE 1'!$B:$B, $B107, 'SEANCE 1'!$C:$C, P$2, 'SEANCE 1'!$F:$F, P$5))</f>
        <v/>
      </c>
      <c r="Q107" s="64" t="str">
        <f ca="1">IF(COUNTIFS('SEANCE 1'!$B:$B, $B107, 'SEANCE 1'!$C:$C, Q$2, 'SEANCE 1'!$F:$F, Q$5)=0, "", COUNTIFS('SEANCE 1'!$B:$B, $B107, 'SEANCE 1'!$C:$C, Q$2, 'SEANCE 1'!$F:$F, Q$5))</f>
        <v/>
      </c>
      <c r="R107" s="64" t="str">
        <f ca="1">IF(COUNTIFS('SEANCE 1'!$B:$B, $B107, 'SEANCE 1'!$C:$C, R$2, 'SEANCE 1'!$F:$F, R$5)=0, "", COUNTIFS('SEANCE 1'!$B:$B, $B107, 'SEANCE 1'!$C:$C, R$2, 'SEANCE 1'!$F:$F, R$5))</f>
        <v/>
      </c>
      <c r="S107" s="64" t="str">
        <f ca="1">IF(COUNTIFS('SEANCE 1'!$B:$B, $B107, 'SEANCE 1'!$C:$C, S$2, 'SEANCE 1'!$F:$F, S$5)=0, "", COUNTIFS('SEANCE 1'!$B:$B, $B107, 'SEANCE 1'!$C:$C, S$2, 'SEANCE 1'!$F:$F, S$5))</f>
        <v/>
      </c>
      <c r="T107" s="64" t="str">
        <f ca="1">IF(COUNTIFS('SEANCE 1'!$B:$B, $B107, 'SEANCE 1'!$C:$C, T$2, 'SEANCE 1'!$F:$F, T$5)=0, "", COUNTIFS('SEANCE 1'!$B:$B, $B107, 'SEANCE 1'!$C:$C, T$2, 'SEANCE 1'!$F:$F, T$5))</f>
        <v/>
      </c>
      <c r="U107" s="64" t="str">
        <f ca="1">IF(COUNTIFS('SEANCE 1'!$B:$B, $B107, 'SEANCE 1'!$C:$C, U$2, 'SEANCE 1'!$F:$F, U$5)=0, "", COUNTIFS('SEANCE 1'!$B:$B, $B107, 'SEANCE 1'!$C:$C, U$2, 'SEANCE 1'!$F:$F, U$5))</f>
        <v/>
      </c>
      <c r="V107" s="64" t="str">
        <f ca="1">IF(COUNTIFS('SEANCE 1'!$B:$B, $B107, 'SEANCE 1'!$C:$C, V$2, 'SEANCE 1'!$F:$F, V$5)=0, "", COUNTIFS('SEANCE 1'!$B:$B, $B107, 'SEANCE 1'!$C:$C, V$2, 'SEANCE 1'!$F:$F, V$5))</f>
        <v/>
      </c>
      <c r="W107" s="64" t="str">
        <f ca="1">IF(COUNTIFS('SEANCE 1'!$B:$B, $B107, 'SEANCE 1'!$C:$C, W$2, 'SEANCE 1'!$F:$F, W$5)=0, "", COUNTIFS('SEANCE 1'!$B:$B, $B107, 'SEANCE 1'!$C:$C, W$2, 'SEANCE 1'!$F:$F, W$5))</f>
        <v/>
      </c>
      <c r="X107" s="64" t="str">
        <f ca="1">IF(COUNTIFS('SEANCE 1'!$B:$B, $B107, 'SEANCE 1'!$C:$C, X$2, 'SEANCE 1'!$F:$F, X$5)=0, "", COUNTIFS('SEANCE 1'!$B:$B, $B107, 'SEANCE 1'!$C:$C, X$2, 'SEANCE 1'!$F:$F, X$5))</f>
        <v/>
      </c>
      <c r="Y107" s="64" t="str">
        <f ca="1">IF(COUNTIFS('SEANCE 1'!$B:$B, $B107, 'SEANCE 1'!$C:$C, Y$2, 'SEANCE 1'!$F:$F, Y$5)=0, "", COUNTIFS('SEANCE 1'!$B:$B, $B107, 'SEANCE 1'!$C:$C, Y$2, 'SEANCE 1'!$F:$F, Y$5))</f>
        <v/>
      </c>
      <c r="Z107" s="64" t="str">
        <f ca="1">IF(COUNTIFS('SEANCE 1'!$B:$B, $B107, 'SEANCE 1'!$C:$C, Z$2, 'SEANCE 1'!$F:$F, Z$5)=0, "", COUNTIFS('SEANCE 1'!$B:$B, $B107, 'SEANCE 1'!$C:$C, Z$2, 'SEANCE 1'!$F:$F, Z$5))</f>
        <v/>
      </c>
      <c r="AA107" s="64" t="str">
        <f ca="1">IF(COUNTIFS('SEANCE 1'!$B:$B, $B107, 'SEANCE 1'!$C:$C, AA$2, 'SEANCE 1'!$F:$F, AA$5)=0, "", COUNTIFS('SEANCE 1'!$B:$B, $B107, 'SEANCE 1'!$C:$C, AA$2, 'SEANCE 1'!$F:$F, AA$5))</f>
        <v/>
      </c>
      <c r="AB107" s="64" t="str">
        <f ca="1">IF(COUNTIFS('SEANCE 1'!$B:$B, $B107, 'SEANCE 1'!$C:$C, AB$2, 'SEANCE 1'!$F:$F, AB$5)=0, "", COUNTIFS('SEANCE 1'!$B:$B, $B107, 'SEANCE 1'!$C:$C, AB$2, 'SEANCE 1'!$F:$F, AB$5))</f>
        <v/>
      </c>
      <c r="AC107" s="64" t="str">
        <f ca="1">IF(COUNTIFS('SEANCE 1'!$B:$B, $B107, 'SEANCE 1'!$C:$C, AC$2, 'SEANCE 1'!$F:$F, AC$5)=0, "", COUNTIFS('SEANCE 1'!$B:$B, $B107, 'SEANCE 1'!$C:$C, AC$2, 'SEANCE 1'!$F:$F, AC$5))</f>
        <v/>
      </c>
      <c r="AD107" s="64" t="str">
        <f ca="1">IF(COUNTIFS('SEANCE 1'!$B:$B, $B107, 'SEANCE 1'!$C:$C, AD$2, 'SEANCE 1'!$F:$F, AD$5)=0, "", COUNTIFS('SEANCE 1'!$B:$B, $B107, 'SEANCE 1'!$C:$C, AD$2, 'SEANCE 1'!$F:$F, AD$5))</f>
        <v/>
      </c>
      <c r="AE107" s="64" t="str">
        <f ca="1">IF(COUNTIFS('SEANCE 1'!$B:$B, $B107, 'SEANCE 1'!$C:$C, AE$2, 'SEANCE 1'!$F:$F, AE$5)=0, "", COUNTIFS('SEANCE 1'!$B:$B, $B107, 'SEANCE 1'!$C:$C, AE$2, 'SEANCE 1'!$F:$F, AE$5))</f>
        <v/>
      </c>
      <c r="AF107" s="64" t="str">
        <f ca="1">IF(COUNTIFS('SEANCE 1'!$B:$B, $B107, 'SEANCE 1'!$C:$C, AF$2, 'SEANCE 1'!$F:$F, AF$5)=0, "", COUNTIFS('SEANCE 1'!$B:$B, $B107, 'SEANCE 1'!$C:$C, AF$2, 'SEANCE 1'!$F:$F, AF$5))</f>
        <v/>
      </c>
      <c r="AG107" s="64" t="str">
        <f ca="1">IF(COUNTIFS('SEANCE 1'!$B:$B, $B107, 'SEANCE 1'!$C:$C, AG$2, 'SEANCE 1'!$F:$F, AG$5)=0, "", COUNTIFS('SEANCE 1'!$B:$B, $B107, 'SEANCE 1'!$C:$C, AG$2, 'SEANCE 1'!$F:$F, AG$5))</f>
        <v/>
      </c>
      <c r="AH107" s="64" t="str">
        <f ca="1">IF(COUNTIFS('SEANCE 1'!$B:$B, $B107, 'SEANCE 1'!$C:$C, AH$2, 'SEANCE 1'!$F:$F, AH$5)=0, "", COUNTIFS('SEANCE 1'!$B:$B, $B107, 'SEANCE 1'!$C:$C, AH$2, 'SEANCE 1'!$F:$F, AH$5))</f>
        <v/>
      </c>
      <c r="AI107" s="64" t="str">
        <f ca="1">IF(COUNTIFS('SEANCE 1'!$B:$B, $B107, 'SEANCE 1'!$C:$C, AI$2, 'SEANCE 1'!$F:$F, AI$5)=0, "", COUNTIFS('SEANCE 1'!$B:$B, $B107, 'SEANCE 1'!$C:$C, AI$2, 'SEANCE 1'!$F:$F, AI$5))</f>
        <v/>
      </c>
      <c r="AJ107" s="64" t="str">
        <f ca="1">IF(COUNTIFS('SEANCE 1'!$B:$B, $B107, 'SEANCE 1'!$C:$C, AJ$2, 'SEANCE 1'!$F:$F, AJ$5)=0, "", COUNTIFS('SEANCE 1'!$B:$B, $B107, 'SEANCE 1'!$C:$C, AJ$2, 'SEANCE 1'!$F:$F, AJ$5))</f>
        <v/>
      </c>
      <c r="AK107" s="64" t="str">
        <f ca="1">IF(COUNTIFS('SEANCE 1'!$B:$B, $B107, 'SEANCE 1'!$C:$C, AK$2, 'SEANCE 1'!$F:$F, AK$5)=0, "", COUNTIFS('SEANCE 1'!$B:$B, $B107, 'SEANCE 1'!$C:$C, AK$2, 'SEANCE 1'!$F:$F, AK$5))</f>
        <v/>
      </c>
      <c r="AL107" s="64" t="str">
        <f ca="1">IF(COUNTIFS('SEANCE 1'!$B:$B, $B107, 'SEANCE 1'!$C:$C, AL$2, 'SEANCE 1'!$F:$F, AL$5)=0, "", COUNTIFS('SEANCE 1'!$B:$B, $B107, 'SEANCE 1'!$C:$C, AL$2, 'SEANCE 1'!$F:$F, AL$5))</f>
        <v/>
      </c>
      <c r="AM107" s="64" t="str">
        <f ca="1">IF(COUNTIFS('SEANCE 1'!$B:$B, $B107, 'SEANCE 1'!$C:$C, AM$2, 'SEANCE 1'!$F:$F, AM$5)=0, "", COUNTIFS('SEANCE 1'!$B:$B, $B107, 'SEANCE 1'!$C:$C, AM$2, 'SEANCE 1'!$F:$F, AM$5))</f>
        <v/>
      </c>
      <c r="AN107" s="64" t="str">
        <f ca="1">IF(COUNTIFS('SEANCE 1'!$B:$B, $B107, 'SEANCE 1'!$C:$C, AN$2, 'SEANCE 1'!$F:$F, AN$5)=0, "", COUNTIFS('SEANCE 1'!$B:$B, $B107, 'SEANCE 1'!$C:$C, AN$2, 'SEANCE 1'!$F:$F, AN$5))</f>
        <v/>
      </c>
      <c r="AO107" s="64" t="str">
        <f ca="1">IF(COUNTIFS('SEANCE 1'!$B:$B, $B107, 'SEANCE 1'!$C:$C, AO$2, 'SEANCE 1'!$F:$F, AO$5)=0, "", COUNTIFS('SEANCE 1'!$B:$B, $B107, 'SEANCE 1'!$C:$C, AO$2, 'SEANCE 1'!$F:$F, AO$5))</f>
        <v/>
      </c>
      <c r="AP107" s="64" t="str">
        <f ca="1">IF(COUNTIFS('SEANCE 1'!$B:$B, $B107, 'SEANCE 1'!$C:$C, AP$2, 'SEANCE 1'!$F:$F, AP$5)=0, "", COUNTIFS('SEANCE 1'!$B:$B, $B107, 'SEANCE 1'!$C:$C, AP$2, 'SEANCE 1'!$F:$F, AP$5))</f>
        <v/>
      </c>
      <c r="AQ107" s="64" t="str">
        <f ca="1">IF(COUNTIFS('SEANCE 1'!$B:$B, $B107, 'SEANCE 1'!$C:$C, AQ$2, 'SEANCE 1'!$F:$F, AQ$5)=0, "", COUNTIFS('SEANCE 1'!$B:$B, $B107, 'SEANCE 1'!$C:$C, AQ$2, 'SEANCE 1'!$F:$F, AQ$5))</f>
        <v/>
      </c>
      <c r="AR107" s="64" t="str">
        <f ca="1">IF(COUNTIFS('SEANCE 1'!$B:$B, $B107, 'SEANCE 1'!$C:$C, AR$2, 'SEANCE 1'!$F:$F, AR$5)=0, "", COUNTIFS('SEANCE 1'!$B:$B, $B107, 'SEANCE 1'!$C:$C, AR$2, 'SEANCE 1'!$F:$F, AR$5))</f>
        <v/>
      </c>
      <c r="AS107" s="64" t="str">
        <f ca="1">IF(COUNTIFS('SEANCE 1'!$B:$B, $B107, 'SEANCE 1'!$C:$C, AS$2, 'SEANCE 1'!$F:$F, AS$5)=0, "", COUNTIFS('SEANCE 1'!$B:$B, $B107, 'SEANCE 1'!$C:$C, AS$2, 'SEANCE 1'!$F:$F, AS$5))</f>
        <v/>
      </c>
      <c r="AT107" s="64" t="str">
        <f ca="1">IF(COUNTIFS('SEANCE 1'!$B:$B, $B107, 'SEANCE 1'!$C:$C, AT$2, 'SEANCE 1'!$F:$F, AT$5)=0, "", COUNTIFS('SEANCE 1'!$B:$B, $B107, 'SEANCE 1'!$C:$C, AT$2, 'SEANCE 1'!$F:$F, AT$5))</f>
        <v/>
      </c>
      <c r="AU107" s="64" t="str">
        <f ca="1">IF(COUNTIFS('SEANCE 1'!$B:$B, $B107, 'SEANCE 1'!$C:$C, AU$2, 'SEANCE 1'!$F:$F, AU$5)=0, "", COUNTIFS('SEANCE 1'!$B:$B, $B107, 'SEANCE 1'!$C:$C, AU$2, 'SEANCE 1'!$F:$F, AU$5))</f>
        <v/>
      </c>
      <c r="AV107" s="64" t="str">
        <f ca="1">IF(COUNTIFS('SEANCE 1'!$B:$B, $B107, 'SEANCE 1'!$C:$C, AV$2, 'SEANCE 1'!$F:$F, AV$5)=0, "", COUNTIFS('SEANCE 1'!$B:$B, $B107, 'SEANCE 1'!$C:$C, AV$2, 'SEANCE 1'!$F:$F, AV$5))</f>
        <v/>
      </c>
      <c r="AW107" s="64" t="str">
        <f ca="1">IF(COUNTIFS('SEANCE 1'!$B:$B, $B107, 'SEANCE 1'!$C:$C, AW$2, 'SEANCE 1'!$F:$F, AW$5)=0, "", COUNTIFS('SEANCE 1'!$B:$B, $B107, 'SEANCE 1'!$C:$C, AW$2, 'SEANCE 1'!$F:$F, AW$5))</f>
        <v/>
      </c>
      <c r="AX107" s="64" t="str">
        <f ca="1">IF(COUNTIFS('SEANCE 1'!$B:$B, $B107, 'SEANCE 1'!$C:$C, AX$2, 'SEANCE 1'!$F:$F, AX$5)=0, "", COUNTIFS('SEANCE 1'!$B:$B, $B107, 'SEANCE 1'!$C:$C, AX$2, 'SEANCE 1'!$F:$F, AX$5))</f>
        <v/>
      </c>
      <c r="AY107" s="64" t="str">
        <f ca="1">IF(COUNTIFS('SEANCE 1'!$B:$B, $B107, 'SEANCE 1'!$C:$C, AY$2, 'SEANCE 1'!$F:$F, AY$5)=0, "", COUNTIFS('SEANCE 1'!$B:$B, $B107, 'SEANCE 1'!$C:$C, AY$2, 'SEANCE 1'!$F:$F, AY$5))</f>
        <v/>
      </c>
      <c r="AZ107" s="32">
        <f t="shared" ca="1" si="1"/>
        <v>0</v>
      </c>
    </row>
    <row r="108" spans="1:52">
      <c r="A108" s="44" t="str">
        <f>IF('SEANCE 1'!$B104&lt;&gt;"",'SEANCE 1'!$A104,"")</f>
        <v/>
      </c>
      <c r="B108" s="44" t="str">
        <f t="array" aca="1" ref="B108" ca="1">IF(ISNA(INDEX(ListeB,MATCH(0,COUNTIF($B$5:B107,ListeB),0))),"",INDEX(ListeB,MATCH(0,COUNTIF($B$5:B107,ListeB),0)))</f>
        <v/>
      </c>
      <c r="C108" s="64" t="str">
        <f ca="1">IF(COUNTIFS('SEANCE 1'!$B:$B, $B108, 'SEANCE 1'!$C:$C, C$2, 'SEANCE 1'!$F:$F, C$5)=0, "", COUNTIFS('SEANCE 1'!$B:$B, $B108, 'SEANCE 1'!$C:$C, C$2, 'SEANCE 1'!$F:$F, C$5))</f>
        <v/>
      </c>
      <c r="D108" s="64" t="str">
        <f ca="1">IF(COUNTIFS('SEANCE 1'!$B:$B, $B108, 'SEANCE 1'!$C:$C, D$2, 'SEANCE 1'!$F:$F, D$5)=0, "", COUNTIFS('SEANCE 1'!$B:$B, $B108, 'SEANCE 1'!$C:$C, D$2, 'SEANCE 1'!$F:$F, D$5))</f>
        <v/>
      </c>
      <c r="E108" s="64" t="str">
        <f ca="1">IF(COUNTIFS('SEANCE 1'!$B:$B, $B108, 'SEANCE 1'!$C:$C, E$2, 'SEANCE 1'!$F:$F, E$5)=0, "", COUNTIFS('SEANCE 1'!$B:$B, $B108, 'SEANCE 1'!$C:$C, E$2, 'SEANCE 1'!$F:$F, E$5))</f>
        <v/>
      </c>
      <c r="F108" s="64" t="str">
        <f ca="1">IF(COUNTIFS('SEANCE 1'!$B:$B, $B108, 'SEANCE 1'!$C:$C, F$2, 'SEANCE 1'!$F:$F, F$5)=0, "", COUNTIFS('SEANCE 1'!$B:$B, $B108, 'SEANCE 1'!$C:$C, F$2, 'SEANCE 1'!$F:$F, F$5))</f>
        <v/>
      </c>
      <c r="G108" s="64" t="str">
        <f ca="1">IF(COUNTIFS('SEANCE 1'!$B:$B, $B108, 'SEANCE 1'!$C:$C, G$2, 'SEANCE 1'!$F:$F, G$5)=0, "", COUNTIFS('SEANCE 1'!$B:$B, $B108, 'SEANCE 1'!$C:$C, G$2, 'SEANCE 1'!$F:$F, G$5))</f>
        <v/>
      </c>
      <c r="H108" s="64" t="str">
        <f ca="1">IF(COUNTIFS('SEANCE 1'!$B:$B, $B108, 'SEANCE 1'!$C:$C, H$2, 'SEANCE 1'!$F:$F, H$5)=0, "", COUNTIFS('SEANCE 1'!$B:$B, $B108, 'SEANCE 1'!$C:$C, H$2, 'SEANCE 1'!$F:$F, H$5))</f>
        <v/>
      </c>
      <c r="I108" s="64" t="str">
        <f ca="1">IF(COUNTIFS('SEANCE 1'!$B:$B, $B108, 'SEANCE 1'!$C:$C, I$2, 'SEANCE 1'!$F:$F, I$5)=0, "", COUNTIFS('SEANCE 1'!$B:$B, $B108, 'SEANCE 1'!$C:$C, I$2, 'SEANCE 1'!$F:$F, I$5))</f>
        <v/>
      </c>
      <c r="J108" s="64" t="str">
        <f ca="1">IF(COUNTIFS('SEANCE 1'!$B:$B, $B108, 'SEANCE 1'!$C:$C, J$2, 'SEANCE 1'!$F:$F, J$5)=0, "", COUNTIFS('SEANCE 1'!$B:$B, $B108, 'SEANCE 1'!$C:$C, J$2, 'SEANCE 1'!$F:$F, J$5))</f>
        <v/>
      </c>
      <c r="K108" s="64" t="str">
        <f ca="1">IF(COUNTIFS('SEANCE 1'!$B:$B, $B108, 'SEANCE 1'!$C:$C, K$2, 'SEANCE 1'!$F:$F, K$5)=0, "", COUNTIFS('SEANCE 1'!$B:$B, $B108, 'SEANCE 1'!$C:$C, K$2, 'SEANCE 1'!$F:$F, K$5))</f>
        <v/>
      </c>
      <c r="L108" s="64" t="str">
        <f ca="1">IF(COUNTIFS('SEANCE 1'!$B:$B, $B108, 'SEANCE 1'!$C:$C, L$2, 'SEANCE 1'!$F:$F, L$5)=0, "", COUNTIFS('SEANCE 1'!$B:$B, $B108, 'SEANCE 1'!$C:$C, L$2, 'SEANCE 1'!$F:$F, L$5))</f>
        <v/>
      </c>
      <c r="M108" s="64" t="str">
        <f ca="1">IF(COUNTIFS('SEANCE 1'!$B:$B, $B108, 'SEANCE 1'!$C:$C, M$2, 'SEANCE 1'!$F:$F, M$5)=0, "", COUNTIFS('SEANCE 1'!$B:$B, $B108, 'SEANCE 1'!$C:$C, M$2, 'SEANCE 1'!$F:$F, M$5))</f>
        <v/>
      </c>
      <c r="N108" s="64" t="str">
        <f ca="1">IF(COUNTIFS('SEANCE 1'!$B:$B, $B108, 'SEANCE 1'!$C:$C, N$2, 'SEANCE 1'!$F:$F, N$5)=0, "", COUNTIFS('SEANCE 1'!$B:$B, $B108, 'SEANCE 1'!$C:$C, N$2, 'SEANCE 1'!$F:$F, N$5))</f>
        <v/>
      </c>
      <c r="O108" s="64" t="str">
        <f ca="1">IF(COUNTIFS('SEANCE 1'!$B:$B, $B108, 'SEANCE 1'!$C:$C, O$2, 'SEANCE 1'!$F:$F, O$5)=0, "", COUNTIFS('SEANCE 1'!$B:$B, $B108, 'SEANCE 1'!$C:$C, O$2, 'SEANCE 1'!$F:$F, O$5))</f>
        <v/>
      </c>
      <c r="P108" s="64" t="str">
        <f ca="1">IF(COUNTIFS('SEANCE 1'!$B:$B, $B108, 'SEANCE 1'!$C:$C, P$2, 'SEANCE 1'!$F:$F, P$5)=0, "", COUNTIFS('SEANCE 1'!$B:$B, $B108, 'SEANCE 1'!$C:$C, P$2, 'SEANCE 1'!$F:$F, P$5))</f>
        <v/>
      </c>
      <c r="Q108" s="64" t="str">
        <f ca="1">IF(COUNTIFS('SEANCE 1'!$B:$B, $B108, 'SEANCE 1'!$C:$C, Q$2, 'SEANCE 1'!$F:$F, Q$5)=0, "", COUNTIFS('SEANCE 1'!$B:$B, $B108, 'SEANCE 1'!$C:$C, Q$2, 'SEANCE 1'!$F:$F, Q$5))</f>
        <v/>
      </c>
      <c r="R108" s="64" t="str">
        <f ca="1">IF(COUNTIFS('SEANCE 1'!$B:$B, $B108, 'SEANCE 1'!$C:$C, R$2, 'SEANCE 1'!$F:$F, R$5)=0, "", COUNTIFS('SEANCE 1'!$B:$B, $B108, 'SEANCE 1'!$C:$C, R$2, 'SEANCE 1'!$F:$F, R$5))</f>
        <v/>
      </c>
      <c r="S108" s="64" t="str">
        <f ca="1">IF(COUNTIFS('SEANCE 1'!$B:$B, $B108, 'SEANCE 1'!$C:$C, S$2, 'SEANCE 1'!$F:$F, S$5)=0, "", COUNTIFS('SEANCE 1'!$B:$B, $B108, 'SEANCE 1'!$C:$C, S$2, 'SEANCE 1'!$F:$F, S$5))</f>
        <v/>
      </c>
      <c r="T108" s="64" t="str">
        <f ca="1">IF(COUNTIFS('SEANCE 1'!$B:$B, $B108, 'SEANCE 1'!$C:$C, T$2, 'SEANCE 1'!$F:$F, T$5)=0, "", COUNTIFS('SEANCE 1'!$B:$B, $B108, 'SEANCE 1'!$C:$C, T$2, 'SEANCE 1'!$F:$F, T$5))</f>
        <v/>
      </c>
      <c r="U108" s="64" t="str">
        <f ca="1">IF(COUNTIFS('SEANCE 1'!$B:$B, $B108, 'SEANCE 1'!$C:$C, U$2, 'SEANCE 1'!$F:$F, U$5)=0, "", COUNTIFS('SEANCE 1'!$B:$B, $B108, 'SEANCE 1'!$C:$C, U$2, 'SEANCE 1'!$F:$F, U$5))</f>
        <v/>
      </c>
      <c r="V108" s="64" t="str">
        <f ca="1">IF(COUNTIFS('SEANCE 1'!$B:$B, $B108, 'SEANCE 1'!$C:$C, V$2, 'SEANCE 1'!$F:$F, V$5)=0, "", COUNTIFS('SEANCE 1'!$B:$B, $B108, 'SEANCE 1'!$C:$C, V$2, 'SEANCE 1'!$F:$F, V$5))</f>
        <v/>
      </c>
      <c r="W108" s="64" t="str">
        <f ca="1">IF(COUNTIFS('SEANCE 1'!$B:$B, $B108, 'SEANCE 1'!$C:$C, W$2, 'SEANCE 1'!$F:$F, W$5)=0, "", COUNTIFS('SEANCE 1'!$B:$B, $B108, 'SEANCE 1'!$C:$C, W$2, 'SEANCE 1'!$F:$F, W$5))</f>
        <v/>
      </c>
      <c r="X108" s="64" t="str">
        <f ca="1">IF(COUNTIFS('SEANCE 1'!$B:$B, $B108, 'SEANCE 1'!$C:$C, X$2, 'SEANCE 1'!$F:$F, X$5)=0, "", COUNTIFS('SEANCE 1'!$B:$B, $B108, 'SEANCE 1'!$C:$C, X$2, 'SEANCE 1'!$F:$F, X$5))</f>
        <v/>
      </c>
      <c r="Y108" s="64" t="str">
        <f ca="1">IF(COUNTIFS('SEANCE 1'!$B:$B, $B108, 'SEANCE 1'!$C:$C, Y$2, 'SEANCE 1'!$F:$F, Y$5)=0, "", COUNTIFS('SEANCE 1'!$B:$B, $B108, 'SEANCE 1'!$C:$C, Y$2, 'SEANCE 1'!$F:$F, Y$5))</f>
        <v/>
      </c>
      <c r="Z108" s="64" t="str">
        <f ca="1">IF(COUNTIFS('SEANCE 1'!$B:$B, $B108, 'SEANCE 1'!$C:$C, Z$2, 'SEANCE 1'!$F:$F, Z$5)=0, "", COUNTIFS('SEANCE 1'!$B:$B, $B108, 'SEANCE 1'!$C:$C, Z$2, 'SEANCE 1'!$F:$F, Z$5))</f>
        <v/>
      </c>
      <c r="AA108" s="64" t="str">
        <f ca="1">IF(COUNTIFS('SEANCE 1'!$B:$B, $B108, 'SEANCE 1'!$C:$C, AA$2, 'SEANCE 1'!$F:$F, AA$5)=0, "", COUNTIFS('SEANCE 1'!$B:$B, $B108, 'SEANCE 1'!$C:$C, AA$2, 'SEANCE 1'!$F:$F, AA$5))</f>
        <v/>
      </c>
      <c r="AB108" s="64" t="str">
        <f ca="1">IF(COUNTIFS('SEANCE 1'!$B:$B, $B108, 'SEANCE 1'!$C:$C, AB$2, 'SEANCE 1'!$F:$F, AB$5)=0, "", COUNTIFS('SEANCE 1'!$B:$B, $B108, 'SEANCE 1'!$C:$C, AB$2, 'SEANCE 1'!$F:$F, AB$5))</f>
        <v/>
      </c>
      <c r="AC108" s="64" t="str">
        <f ca="1">IF(COUNTIFS('SEANCE 1'!$B:$B, $B108, 'SEANCE 1'!$C:$C, AC$2, 'SEANCE 1'!$F:$F, AC$5)=0, "", COUNTIFS('SEANCE 1'!$B:$B, $B108, 'SEANCE 1'!$C:$C, AC$2, 'SEANCE 1'!$F:$F, AC$5))</f>
        <v/>
      </c>
      <c r="AD108" s="64" t="str">
        <f ca="1">IF(COUNTIFS('SEANCE 1'!$B:$B, $B108, 'SEANCE 1'!$C:$C, AD$2, 'SEANCE 1'!$F:$F, AD$5)=0, "", COUNTIFS('SEANCE 1'!$B:$B, $B108, 'SEANCE 1'!$C:$C, AD$2, 'SEANCE 1'!$F:$F, AD$5))</f>
        <v/>
      </c>
      <c r="AE108" s="64" t="str">
        <f ca="1">IF(COUNTIFS('SEANCE 1'!$B:$B, $B108, 'SEANCE 1'!$C:$C, AE$2, 'SEANCE 1'!$F:$F, AE$5)=0, "", COUNTIFS('SEANCE 1'!$B:$B, $B108, 'SEANCE 1'!$C:$C, AE$2, 'SEANCE 1'!$F:$F, AE$5))</f>
        <v/>
      </c>
      <c r="AF108" s="64" t="str">
        <f ca="1">IF(COUNTIFS('SEANCE 1'!$B:$B, $B108, 'SEANCE 1'!$C:$C, AF$2, 'SEANCE 1'!$F:$F, AF$5)=0, "", COUNTIFS('SEANCE 1'!$B:$B, $B108, 'SEANCE 1'!$C:$C, AF$2, 'SEANCE 1'!$F:$F, AF$5))</f>
        <v/>
      </c>
      <c r="AG108" s="64" t="str">
        <f ca="1">IF(COUNTIFS('SEANCE 1'!$B:$B, $B108, 'SEANCE 1'!$C:$C, AG$2, 'SEANCE 1'!$F:$F, AG$5)=0, "", COUNTIFS('SEANCE 1'!$B:$B, $B108, 'SEANCE 1'!$C:$C, AG$2, 'SEANCE 1'!$F:$F, AG$5))</f>
        <v/>
      </c>
      <c r="AH108" s="64" t="str">
        <f ca="1">IF(COUNTIFS('SEANCE 1'!$B:$B, $B108, 'SEANCE 1'!$C:$C, AH$2, 'SEANCE 1'!$F:$F, AH$5)=0, "", COUNTIFS('SEANCE 1'!$B:$B, $B108, 'SEANCE 1'!$C:$C, AH$2, 'SEANCE 1'!$F:$F, AH$5))</f>
        <v/>
      </c>
      <c r="AI108" s="64" t="str">
        <f ca="1">IF(COUNTIFS('SEANCE 1'!$B:$B, $B108, 'SEANCE 1'!$C:$C, AI$2, 'SEANCE 1'!$F:$F, AI$5)=0, "", COUNTIFS('SEANCE 1'!$B:$B, $B108, 'SEANCE 1'!$C:$C, AI$2, 'SEANCE 1'!$F:$F, AI$5))</f>
        <v/>
      </c>
      <c r="AJ108" s="64" t="str">
        <f ca="1">IF(COUNTIFS('SEANCE 1'!$B:$B, $B108, 'SEANCE 1'!$C:$C, AJ$2, 'SEANCE 1'!$F:$F, AJ$5)=0, "", COUNTIFS('SEANCE 1'!$B:$B, $B108, 'SEANCE 1'!$C:$C, AJ$2, 'SEANCE 1'!$F:$F, AJ$5))</f>
        <v/>
      </c>
      <c r="AK108" s="64" t="str">
        <f ca="1">IF(COUNTIFS('SEANCE 1'!$B:$B, $B108, 'SEANCE 1'!$C:$C, AK$2, 'SEANCE 1'!$F:$F, AK$5)=0, "", COUNTIFS('SEANCE 1'!$B:$B, $B108, 'SEANCE 1'!$C:$C, AK$2, 'SEANCE 1'!$F:$F, AK$5))</f>
        <v/>
      </c>
      <c r="AL108" s="64" t="str">
        <f ca="1">IF(COUNTIFS('SEANCE 1'!$B:$B, $B108, 'SEANCE 1'!$C:$C, AL$2, 'SEANCE 1'!$F:$F, AL$5)=0, "", COUNTIFS('SEANCE 1'!$B:$B, $B108, 'SEANCE 1'!$C:$C, AL$2, 'SEANCE 1'!$F:$F, AL$5))</f>
        <v/>
      </c>
      <c r="AM108" s="64" t="str">
        <f ca="1">IF(COUNTIFS('SEANCE 1'!$B:$B, $B108, 'SEANCE 1'!$C:$C, AM$2, 'SEANCE 1'!$F:$F, AM$5)=0, "", COUNTIFS('SEANCE 1'!$B:$B, $B108, 'SEANCE 1'!$C:$C, AM$2, 'SEANCE 1'!$F:$F, AM$5))</f>
        <v/>
      </c>
      <c r="AN108" s="64" t="str">
        <f ca="1">IF(COUNTIFS('SEANCE 1'!$B:$B, $B108, 'SEANCE 1'!$C:$C, AN$2, 'SEANCE 1'!$F:$F, AN$5)=0, "", COUNTIFS('SEANCE 1'!$B:$B, $B108, 'SEANCE 1'!$C:$C, AN$2, 'SEANCE 1'!$F:$F, AN$5))</f>
        <v/>
      </c>
      <c r="AO108" s="64" t="str">
        <f ca="1">IF(COUNTIFS('SEANCE 1'!$B:$B, $B108, 'SEANCE 1'!$C:$C, AO$2, 'SEANCE 1'!$F:$F, AO$5)=0, "", COUNTIFS('SEANCE 1'!$B:$B, $B108, 'SEANCE 1'!$C:$C, AO$2, 'SEANCE 1'!$F:$F, AO$5))</f>
        <v/>
      </c>
      <c r="AP108" s="64" t="str">
        <f ca="1">IF(COUNTIFS('SEANCE 1'!$B:$B, $B108, 'SEANCE 1'!$C:$C, AP$2, 'SEANCE 1'!$F:$F, AP$5)=0, "", COUNTIFS('SEANCE 1'!$B:$B, $B108, 'SEANCE 1'!$C:$C, AP$2, 'SEANCE 1'!$F:$F, AP$5))</f>
        <v/>
      </c>
      <c r="AQ108" s="64" t="str">
        <f ca="1">IF(COUNTIFS('SEANCE 1'!$B:$B, $B108, 'SEANCE 1'!$C:$C, AQ$2, 'SEANCE 1'!$F:$F, AQ$5)=0, "", COUNTIFS('SEANCE 1'!$B:$B, $B108, 'SEANCE 1'!$C:$C, AQ$2, 'SEANCE 1'!$F:$F, AQ$5))</f>
        <v/>
      </c>
      <c r="AR108" s="64" t="str">
        <f ca="1">IF(COUNTIFS('SEANCE 1'!$B:$B, $B108, 'SEANCE 1'!$C:$C, AR$2, 'SEANCE 1'!$F:$F, AR$5)=0, "", COUNTIFS('SEANCE 1'!$B:$B, $B108, 'SEANCE 1'!$C:$C, AR$2, 'SEANCE 1'!$F:$F, AR$5))</f>
        <v/>
      </c>
      <c r="AS108" s="64" t="str">
        <f ca="1">IF(COUNTIFS('SEANCE 1'!$B:$B, $B108, 'SEANCE 1'!$C:$C, AS$2, 'SEANCE 1'!$F:$F, AS$5)=0, "", COUNTIFS('SEANCE 1'!$B:$B, $B108, 'SEANCE 1'!$C:$C, AS$2, 'SEANCE 1'!$F:$F, AS$5))</f>
        <v/>
      </c>
      <c r="AT108" s="64" t="str">
        <f ca="1">IF(COUNTIFS('SEANCE 1'!$B:$B, $B108, 'SEANCE 1'!$C:$C, AT$2, 'SEANCE 1'!$F:$F, AT$5)=0, "", COUNTIFS('SEANCE 1'!$B:$B, $B108, 'SEANCE 1'!$C:$C, AT$2, 'SEANCE 1'!$F:$F, AT$5))</f>
        <v/>
      </c>
      <c r="AU108" s="64" t="str">
        <f ca="1">IF(COUNTIFS('SEANCE 1'!$B:$B, $B108, 'SEANCE 1'!$C:$C, AU$2, 'SEANCE 1'!$F:$F, AU$5)=0, "", COUNTIFS('SEANCE 1'!$B:$B, $B108, 'SEANCE 1'!$C:$C, AU$2, 'SEANCE 1'!$F:$F, AU$5))</f>
        <v/>
      </c>
      <c r="AV108" s="64" t="str">
        <f ca="1">IF(COUNTIFS('SEANCE 1'!$B:$B, $B108, 'SEANCE 1'!$C:$C, AV$2, 'SEANCE 1'!$F:$F, AV$5)=0, "", COUNTIFS('SEANCE 1'!$B:$B, $B108, 'SEANCE 1'!$C:$C, AV$2, 'SEANCE 1'!$F:$F, AV$5))</f>
        <v/>
      </c>
      <c r="AW108" s="64" t="str">
        <f ca="1">IF(COUNTIFS('SEANCE 1'!$B:$B, $B108, 'SEANCE 1'!$C:$C, AW$2, 'SEANCE 1'!$F:$F, AW$5)=0, "", COUNTIFS('SEANCE 1'!$B:$B, $B108, 'SEANCE 1'!$C:$C, AW$2, 'SEANCE 1'!$F:$F, AW$5))</f>
        <v/>
      </c>
      <c r="AX108" s="64" t="str">
        <f ca="1">IF(COUNTIFS('SEANCE 1'!$B:$B, $B108, 'SEANCE 1'!$C:$C, AX$2, 'SEANCE 1'!$F:$F, AX$5)=0, "", COUNTIFS('SEANCE 1'!$B:$B, $B108, 'SEANCE 1'!$C:$C, AX$2, 'SEANCE 1'!$F:$F, AX$5))</f>
        <v/>
      </c>
      <c r="AY108" s="64" t="str">
        <f ca="1">IF(COUNTIFS('SEANCE 1'!$B:$B, $B108, 'SEANCE 1'!$C:$C, AY$2, 'SEANCE 1'!$F:$F, AY$5)=0, "", COUNTIFS('SEANCE 1'!$B:$B, $B108, 'SEANCE 1'!$C:$C, AY$2, 'SEANCE 1'!$F:$F, AY$5))</f>
        <v/>
      </c>
      <c r="AZ108" s="32">
        <f t="shared" ca="1" si="1"/>
        <v>0</v>
      </c>
    </row>
    <row r="109" spans="1:52">
      <c r="A109" s="44" t="str">
        <f>IF('SEANCE 1'!$B105&lt;&gt;"",'SEANCE 1'!$A105,"")</f>
        <v/>
      </c>
      <c r="B109" s="44" t="str">
        <f t="array" aca="1" ref="B109" ca="1">IF(ISNA(INDEX(ListeB,MATCH(0,COUNTIF($B$5:B108,ListeB),0))),"",INDEX(ListeB,MATCH(0,COUNTIF($B$5:B108,ListeB),0)))</f>
        <v/>
      </c>
      <c r="C109" s="64" t="str">
        <f ca="1">IF(COUNTIFS('SEANCE 1'!$B:$B, $B109, 'SEANCE 1'!$C:$C, C$2, 'SEANCE 1'!$F:$F, C$5)=0, "", COUNTIFS('SEANCE 1'!$B:$B, $B109, 'SEANCE 1'!$C:$C, C$2, 'SEANCE 1'!$F:$F, C$5))</f>
        <v/>
      </c>
      <c r="D109" s="64" t="str">
        <f ca="1">IF(COUNTIFS('SEANCE 1'!$B:$B, $B109, 'SEANCE 1'!$C:$C, D$2, 'SEANCE 1'!$F:$F, D$5)=0, "", COUNTIFS('SEANCE 1'!$B:$B, $B109, 'SEANCE 1'!$C:$C, D$2, 'SEANCE 1'!$F:$F, D$5))</f>
        <v/>
      </c>
      <c r="E109" s="64" t="str">
        <f ca="1">IF(COUNTIFS('SEANCE 1'!$B:$B, $B109, 'SEANCE 1'!$C:$C, E$2, 'SEANCE 1'!$F:$F, E$5)=0, "", COUNTIFS('SEANCE 1'!$B:$B, $B109, 'SEANCE 1'!$C:$C, E$2, 'SEANCE 1'!$F:$F, E$5))</f>
        <v/>
      </c>
      <c r="F109" s="64" t="str">
        <f ca="1">IF(COUNTIFS('SEANCE 1'!$B:$B, $B109, 'SEANCE 1'!$C:$C, F$2, 'SEANCE 1'!$F:$F, F$5)=0, "", COUNTIFS('SEANCE 1'!$B:$B, $B109, 'SEANCE 1'!$C:$C, F$2, 'SEANCE 1'!$F:$F, F$5))</f>
        <v/>
      </c>
      <c r="G109" s="64" t="str">
        <f ca="1">IF(COUNTIFS('SEANCE 1'!$B:$B, $B109, 'SEANCE 1'!$C:$C, G$2, 'SEANCE 1'!$F:$F, G$5)=0, "", COUNTIFS('SEANCE 1'!$B:$B, $B109, 'SEANCE 1'!$C:$C, G$2, 'SEANCE 1'!$F:$F, G$5))</f>
        <v/>
      </c>
      <c r="H109" s="64" t="str">
        <f ca="1">IF(COUNTIFS('SEANCE 1'!$B:$B, $B109, 'SEANCE 1'!$C:$C, H$2, 'SEANCE 1'!$F:$F, H$5)=0, "", COUNTIFS('SEANCE 1'!$B:$B, $B109, 'SEANCE 1'!$C:$C, H$2, 'SEANCE 1'!$F:$F, H$5))</f>
        <v/>
      </c>
      <c r="I109" s="64" t="str">
        <f ca="1">IF(COUNTIFS('SEANCE 1'!$B:$B, $B109, 'SEANCE 1'!$C:$C, I$2, 'SEANCE 1'!$F:$F, I$5)=0, "", COUNTIFS('SEANCE 1'!$B:$B, $B109, 'SEANCE 1'!$C:$C, I$2, 'SEANCE 1'!$F:$F, I$5))</f>
        <v/>
      </c>
      <c r="J109" s="64" t="str">
        <f ca="1">IF(COUNTIFS('SEANCE 1'!$B:$B, $B109, 'SEANCE 1'!$C:$C, J$2, 'SEANCE 1'!$F:$F, J$5)=0, "", COUNTIFS('SEANCE 1'!$B:$B, $B109, 'SEANCE 1'!$C:$C, J$2, 'SEANCE 1'!$F:$F, J$5))</f>
        <v/>
      </c>
      <c r="K109" s="64" t="str">
        <f ca="1">IF(COUNTIFS('SEANCE 1'!$B:$B, $B109, 'SEANCE 1'!$C:$C, K$2, 'SEANCE 1'!$F:$F, K$5)=0, "", COUNTIFS('SEANCE 1'!$B:$B, $B109, 'SEANCE 1'!$C:$C, K$2, 'SEANCE 1'!$F:$F, K$5))</f>
        <v/>
      </c>
      <c r="L109" s="64" t="str">
        <f ca="1">IF(COUNTIFS('SEANCE 1'!$B:$B, $B109, 'SEANCE 1'!$C:$C, L$2, 'SEANCE 1'!$F:$F, L$5)=0, "", COUNTIFS('SEANCE 1'!$B:$B, $B109, 'SEANCE 1'!$C:$C, L$2, 'SEANCE 1'!$F:$F, L$5))</f>
        <v/>
      </c>
      <c r="M109" s="64" t="str">
        <f ca="1">IF(COUNTIFS('SEANCE 1'!$B:$B, $B109, 'SEANCE 1'!$C:$C, M$2, 'SEANCE 1'!$F:$F, M$5)=0, "", COUNTIFS('SEANCE 1'!$B:$B, $B109, 'SEANCE 1'!$C:$C, M$2, 'SEANCE 1'!$F:$F, M$5))</f>
        <v/>
      </c>
      <c r="N109" s="64" t="str">
        <f ca="1">IF(COUNTIFS('SEANCE 1'!$B:$B, $B109, 'SEANCE 1'!$C:$C, N$2, 'SEANCE 1'!$F:$F, N$5)=0, "", COUNTIFS('SEANCE 1'!$B:$B, $B109, 'SEANCE 1'!$C:$C, N$2, 'SEANCE 1'!$F:$F, N$5))</f>
        <v/>
      </c>
      <c r="O109" s="64" t="str">
        <f ca="1">IF(COUNTIFS('SEANCE 1'!$B:$B, $B109, 'SEANCE 1'!$C:$C, O$2, 'SEANCE 1'!$F:$F, O$5)=0, "", COUNTIFS('SEANCE 1'!$B:$B, $B109, 'SEANCE 1'!$C:$C, O$2, 'SEANCE 1'!$F:$F, O$5))</f>
        <v/>
      </c>
      <c r="P109" s="64" t="str">
        <f ca="1">IF(COUNTIFS('SEANCE 1'!$B:$B, $B109, 'SEANCE 1'!$C:$C, P$2, 'SEANCE 1'!$F:$F, P$5)=0, "", COUNTIFS('SEANCE 1'!$B:$B, $B109, 'SEANCE 1'!$C:$C, P$2, 'SEANCE 1'!$F:$F, P$5))</f>
        <v/>
      </c>
      <c r="Q109" s="64" t="str">
        <f ca="1">IF(COUNTIFS('SEANCE 1'!$B:$B, $B109, 'SEANCE 1'!$C:$C, Q$2, 'SEANCE 1'!$F:$F, Q$5)=0, "", COUNTIFS('SEANCE 1'!$B:$B, $B109, 'SEANCE 1'!$C:$C, Q$2, 'SEANCE 1'!$F:$F, Q$5))</f>
        <v/>
      </c>
      <c r="R109" s="64" t="str">
        <f ca="1">IF(COUNTIFS('SEANCE 1'!$B:$B, $B109, 'SEANCE 1'!$C:$C, R$2, 'SEANCE 1'!$F:$F, R$5)=0, "", COUNTIFS('SEANCE 1'!$B:$B, $B109, 'SEANCE 1'!$C:$C, R$2, 'SEANCE 1'!$F:$F, R$5))</f>
        <v/>
      </c>
      <c r="S109" s="64" t="str">
        <f ca="1">IF(COUNTIFS('SEANCE 1'!$B:$B, $B109, 'SEANCE 1'!$C:$C, S$2, 'SEANCE 1'!$F:$F, S$5)=0, "", COUNTIFS('SEANCE 1'!$B:$B, $B109, 'SEANCE 1'!$C:$C, S$2, 'SEANCE 1'!$F:$F, S$5))</f>
        <v/>
      </c>
      <c r="T109" s="64" t="str">
        <f ca="1">IF(COUNTIFS('SEANCE 1'!$B:$B, $B109, 'SEANCE 1'!$C:$C, T$2, 'SEANCE 1'!$F:$F, T$5)=0, "", COUNTIFS('SEANCE 1'!$B:$B, $B109, 'SEANCE 1'!$C:$C, T$2, 'SEANCE 1'!$F:$F, T$5))</f>
        <v/>
      </c>
      <c r="U109" s="64" t="str">
        <f ca="1">IF(COUNTIFS('SEANCE 1'!$B:$B, $B109, 'SEANCE 1'!$C:$C, U$2, 'SEANCE 1'!$F:$F, U$5)=0, "", COUNTIFS('SEANCE 1'!$B:$B, $B109, 'SEANCE 1'!$C:$C, U$2, 'SEANCE 1'!$F:$F, U$5))</f>
        <v/>
      </c>
      <c r="V109" s="64" t="str">
        <f ca="1">IF(COUNTIFS('SEANCE 1'!$B:$B, $B109, 'SEANCE 1'!$C:$C, V$2, 'SEANCE 1'!$F:$F, V$5)=0, "", COUNTIFS('SEANCE 1'!$B:$B, $B109, 'SEANCE 1'!$C:$C, V$2, 'SEANCE 1'!$F:$F, V$5))</f>
        <v/>
      </c>
      <c r="W109" s="64" t="str">
        <f ca="1">IF(COUNTIFS('SEANCE 1'!$B:$B, $B109, 'SEANCE 1'!$C:$C, W$2, 'SEANCE 1'!$F:$F, W$5)=0, "", COUNTIFS('SEANCE 1'!$B:$B, $B109, 'SEANCE 1'!$C:$C, W$2, 'SEANCE 1'!$F:$F, W$5))</f>
        <v/>
      </c>
      <c r="X109" s="64" t="str">
        <f ca="1">IF(COUNTIFS('SEANCE 1'!$B:$B, $B109, 'SEANCE 1'!$C:$C, X$2, 'SEANCE 1'!$F:$F, X$5)=0, "", COUNTIFS('SEANCE 1'!$B:$B, $B109, 'SEANCE 1'!$C:$C, X$2, 'SEANCE 1'!$F:$F, X$5))</f>
        <v/>
      </c>
      <c r="Y109" s="64" t="str">
        <f ca="1">IF(COUNTIFS('SEANCE 1'!$B:$B, $B109, 'SEANCE 1'!$C:$C, Y$2, 'SEANCE 1'!$F:$F, Y$5)=0, "", COUNTIFS('SEANCE 1'!$B:$B, $B109, 'SEANCE 1'!$C:$C, Y$2, 'SEANCE 1'!$F:$F, Y$5))</f>
        <v/>
      </c>
      <c r="Z109" s="64" t="str">
        <f ca="1">IF(COUNTIFS('SEANCE 1'!$B:$B, $B109, 'SEANCE 1'!$C:$C, Z$2, 'SEANCE 1'!$F:$F, Z$5)=0, "", COUNTIFS('SEANCE 1'!$B:$B, $B109, 'SEANCE 1'!$C:$C, Z$2, 'SEANCE 1'!$F:$F, Z$5))</f>
        <v/>
      </c>
      <c r="AA109" s="64" t="str">
        <f ca="1">IF(COUNTIFS('SEANCE 1'!$B:$B, $B109, 'SEANCE 1'!$C:$C, AA$2, 'SEANCE 1'!$F:$F, AA$5)=0, "", COUNTIFS('SEANCE 1'!$B:$B, $B109, 'SEANCE 1'!$C:$C, AA$2, 'SEANCE 1'!$F:$F, AA$5))</f>
        <v/>
      </c>
      <c r="AB109" s="64" t="str">
        <f ca="1">IF(COUNTIFS('SEANCE 1'!$B:$B, $B109, 'SEANCE 1'!$C:$C, AB$2, 'SEANCE 1'!$F:$F, AB$5)=0, "", COUNTIFS('SEANCE 1'!$B:$B, $B109, 'SEANCE 1'!$C:$C, AB$2, 'SEANCE 1'!$F:$F, AB$5))</f>
        <v/>
      </c>
      <c r="AC109" s="64" t="str">
        <f ca="1">IF(COUNTIFS('SEANCE 1'!$B:$B, $B109, 'SEANCE 1'!$C:$C, AC$2, 'SEANCE 1'!$F:$F, AC$5)=0, "", COUNTIFS('SEANCE 1'!$B:$B, $B109, 'SEANCE 1'!$C:$C, AC$2, 'SEANCE 1'!$F:$F, AC$5))</f>
        <v/>
      </c>
      <c r="AD109" s="64" t="str">
        <f ca="1">IF(COUNTIFS('SEANCE 1'!$B:$B, $B109, 'SEANCE 1'!$C:$C, AD$2, 'SEANCE 1'!$F:$F, AD$5)=0, "", COUNTIFS('SEANCE 1'!$B:$B, $B109, 'SEANCE 1'!$C:$C, AD$2, 'SEANCE 1'!$F:$F, AD$5))</f>
        <v/>
      </c>
      <c r="AE109" s="64" t="str">
        <f ca="1">IF(COUNTIFS('SEANCE 1'!$B:$B, $B109, 'SEANCE 1'!$C:$C, AE$2, 'SEANCE 1'!$F:$F, AE$5)=0, "", COUNTIFS('SEANCE 1'!$B:$B, $B109, 'SEANCE 1'!$C:$C, AE$2, 'SEANCE 1'!$F:$F, AE$5))</f>
        <v/>
      </c>
      <c r="AF109" s="64" t="str">
        <f ca="1">IF(COUNTIFS('SEANCE 1'!$B:$B, $B109, 'SEANCE 1'!$C:$C, AF$2, 'SEANCE 1'!$F:$F, AF$5)=0, "", COUNTIFS('SEANCE 1'!$B:$B, $B109, 'SEANCE 1'!$C:$C, AF$2, 'SEANCE 1'!$F:$F, AF$5))</f>
        <v/>
      </c>
      <c r="AG109" s="64" t="str">
        <f ca="1">IF(COUNTIFS('SEANCE 1'!$B:$B, $B109, 'SEANCE 1'!$C:$C, AG$2, 'SEANCE 1'!$F:$F, AG$5)=0, "", COUNTIFS('SEANCE 1'!$B:$B, $B109, 'SEANCE 1'!$C:$C, AG$2, 'SEANCE 1'!$F:$F, AG$5))</f>
        <v/>
      </c>
      <c r="AH109" s="64" t="str">
        <f ca="1">IF(COUNTIFS('SEANCE 1'!$B:$B, $B109, 'SEANCE 1'!$C:$C, AH$2, 'SEANCE 1'!$F:$F, AH$5)=0, "", COUNTIFS('SEANCE 1'!$B:$B, $B109, 'SEANCE 1'!$C:$C, AH$2, 'SEANCE 1'!$F:$F, AH$5))</f>
        <v/>
      </c>
      <c r="AI109" s="64" t="str">
        <f ca="1">IF(COUNTIFS('SEANCE 1'!$B:$B, $B109, 'SEANCE 1'!$C:$C, AI$2, 'SEANCE 1'!$F:$F, AI$5)=0, "", COUNTIFS('SEANCE 1'!$B:$B, $B109, 'SEANCE 1'!$C:$C, AI$2, 'SEANCE 1'!$F:$F, AI$5))</f>
        <v/>
      </c>
      <c r="AJ109" s="64" t="str">
        <f ca="1">IF(COUNTIFS('SEANCE 1'!$B:$B, $B109, 'SEANCE 1'!$C:$C, AJ$2, 'SEANCE 1'!$F:$F, AJ$5)=0, "", COUNTIFS('SEANCE 1'!$B:$B, $B109, 'SEANCE 1'!$C:$C, AJ$2, 'SEANCE 1'!$F:$F, AJ$5))</f>
        <v/>
      </c>
      <c r="AK109" s="64" t="str">
        <f ca="1">IF(COUNTIFS('SEANCE 1'!$B:$B, $B109, 'SEANCE 1'!$C:$C, AK$2, 'SEANCE 1'!$F:$F, AK$5)=0, "", COUNTIFS('SEANCE 1'!$B:$B, $B109, 'SEANCE 1'!$C:$C, AK$2, 'SEANCE 1'!$F:$F, AK$5))</f>
        <v/>
      </c>
      <c r="AL109" s="64" t="str">
        <f ca="1">IF(COUNTIFS('SEANCE 1'!$B:$B, $B109, 'SEANCE 1'!$C:$C, AL$2, 'SEANCE 1'!$F:$F, AL$5)=0, "", COUNTIFS('SEANCE 1'!$B:$B, $B109, 'SEANCE 1'!$C:$C, AL$2, 'SEANCE 1'!$F:$F, AL$5))</f>
        <v/>
      </c>
      <c r="AM109" s="64" t="str">
        <f ca="1">IF(COUNTIFS('SEANCE 1'!$B:$B, $B109, 'SEANCE 1'!$C:$C, AM$2, 'SEANCE 1'!$F:$F, AM$5)=0, "", COUNTIFS('SEANCE 1'!$B:$B, $B109, 'SEANCE 1'!$C:$C, AM$2, 'SEANCE 1'!$F:$F, AM$5))</f>
        <v/>
      </c>
      <c r="AN109" s="64" t="str">
        <f ca="1">IF(COUNTIFS('SEANCE 1'!$B:$B, $B109, 'SEANCE 1'!$C:$C, AN$2, 'SEANCE 1'!$F:$F, AN$5)=0, "", COUNTIFS('SEANCE 1'!$B:$B, $B109, 'SEANCE 1'!$C:$C, AN$2, 'SEANCE 1'!$F:$F, AN$5))</f>
        <v/>
      </c>
      <c r="AO109" s="64" t="str">
        <f ca="1">IF(COUNTIFS('SEANCE 1'!$B:$B, $B109, 'SEANCE 1'!$C:$C, AO$2, 'SEANCE 1'!$F:$F, AO$5)=0, "", COUNTIFS('SEANCE 1'!$B:$B, $B109, 'SEANCE 1'!$C:$C, AO$2, 'SEANCE 1'!$F:$F, AO$5))</f>
        <v/>
      </c>
      <c r="AP109" s="64" t="str">
        <f ca="1">IF(COUNTIFS('SEANCE 1'!$B:$B, $B109, 'SEANCE 1'!$C:$C, AP$2, 'SEANCE 1'!$F:$F, AP$5)=0, "", COUNTIFS('SEANCE 1'!$B:$B, $B109, 'SEANCE 1'!$C:$C, AP$2, 'SEANCE 1'!$F:$F, AP$5))</f>
        <v/>
      </c>
      <c r="AQ109" s="64" t="str">
        <f ca="1">IF(COUNTIFS('SEANCE 1'!$B:$B, $B109, 'SEANCE 1'!$C:$C, AQ$2, 'SEANCE 1'!$F:$F, AQ$5)=0, "", COUNTIFS('SEANCE 1'!$B:$B, $B109, 'SEANCE 1'!$C:$C, AQ$2, 'SEANCE 1'!$F:$F, AQ$5))</f>
        <v/>
      </c>
      <c r="AR109" s="64" t="str">
        <f ca="1">IF(COUNTIFS('SEANCE 1'!$B:$B, $B109, 'SEANCE 1'!$C:$C, AR$2, 'SEANCE 1'!$F:$F, AR$5)=0, "", COUNTIFS('SEANCE 1'!$B:$B, $B109, 'SEANCE 1'!$C:$C, AR$2, 'SEANCE 1'!$F:$F, AR$5))</f>
        <v/>
      </c>
      <c r="AS109" s="64" t="str">
        <f ca="1">IF(COUNTIFS('SEANCE 1'!$B:$B, $B109, 'SEANCE 1'!$C:$C, AS$2, 'SEANCE 1'!$F:$F, AS$5)=0, "", COUNTIFS('SEANCE 1'!$B:$B, $B109, 'SEANCE 1'!$C:$C, AS$2, 'SEANCE 1'!$F:$F, AS$5))</f>
        <v/>
      </c>
      <c r="AT109" s="64" t="str">
        <f ca="1">IF(COUNTIFS('SEANCE 1'!$B:$B, $B109, 'SEANCE 1'!$C:$C, AT$2, 'SEANCE 1'!$F:$F, AT$5)=0, "", COUNTIFS('SEANCE 1'!$B:$B, $B109, 'SEANCE 1'!$C:$C, AT$2, 'SEANCE 1'!$F:$F, AT$5))</f>
        <v/>
      </c>
      <c r="AU109" s="64" t="str">
        <f ca="1">IF(COUNTIFS('SEANCE 1'!$B:$B, $B109, 'SEANCE 1'!$C:$C, AU$2, 'SEANCE 1'!$F:$F, AU$5)=0, "", COUNTIFS('SEANCE 1'!$B:$B, $B109, 'SEANCE 1'!$C:$C, AU$2, 'SEANCE 1'!$F:$F, AU$5))</f>
        <v/>
      </c>
      <c r="AV109" s="64" t="str">
        <f ca="1">IF(COUNTIFS('SEANCE 1'!$B:$B, $B109, 'SEANCE 1'!$C:$C, AV$2, 'SEANCE 1'!$F:$F, AV$5)=0, "", COUNTIFS('SEANCE 1'!$B:$B, $B109, 'SEANCE 1'!$C:$C, AV$2, 'SEANCE 1'!$F:$F, AV$5))</f>
        <v/>
      </c>
      <c r="AW109" s="64" t="str">
        <f ca="1">IF(COUNTIFS('SEANCE 1'!$B:$B, $B109, 'SEANCE 1'!$C:$C, AW$2, 'SEANCE 1'!$F:$F, AW$5)=0, "", COUNTIFS('SEANCE 1'!$B:$B, $B109, 'SEANCE 1'!$C:$C, AW$2, 'SEANCE 1'!$F:$F, AW$5))</f>
        <v/>
      </c>
      <c r="AX109" s="64" t="str">
        <f ca="1">IF(COUNTIFS('SEANCE 1'!$B:$B, $B109, 'SEANCE 1'!$C:$C, AX$2, 'SEANCE 1'!$F:$F, AX$5)=0, "", COUNTIFS('SEANCE 1'!$B:$B, $B109, 'SEANCE 1'!$C:$C, AX$2, 'SEANCE 1'!$F:$F, AX$5))</f>
        <v/>
      </c>
      <c r="AY109" s="64" t="str">
        <f ca="1">IF(COUNTIFS('SEANCE 1'!$B:$B, $B109, 'SEANCE 1'!$C:$C, AY$2, 'SEANCE 1'!$F:$F, AY$5)=0, "", COUNTIFS('SEANCE 1'!$B:$B, $B109, 'SEANCE 1'!$C:$C, AY$2, 'SEANCE 1'!$F:$F, AY$5))</f>
        <v/>
      </c>
      <c r="AZ109" s="32">
        <f t="shared" ca="1" si="1"/>
        <v>0</v>
      </c>
    </row>
    <row r="110" spans="1:52">
      <c r="A110" s="44" t="str">
        <f>IF('SEANCE 1'!$B106&lt;&gt;"",'SEANCE 1'!$A106,"")</f>
        <v/>
      </c>
      <c r="B110" s="44" t="str">
        <f t="array" aca="1" ref="B110" ca="1">IF(ISNA(INDEX(ListeB,MATCH(0,COUNTIF($B$5:B109,ListeB),0))),"",INDEX(ListeB,MATCH(0,COUNTIF($B$5:B109,ListeB),0)))</f>
        <v/>
      </c>
      <c r="C110" s="64" t="str">
        <f ca="1">IF(COUNTIFS('SEANCE 1'!$B:$B, $B110, 'SEANCE 1'!$C:$C, C$2, 'SEANCE 1'!$F:$F, C$5)=0, "", COUNTIFS('SEANCE 1'!$B:$B, $B110, 'SEANCE 1'!$C:$C, C$2, 'SEANCE 1'!$F:$F, C$5))</f>
        <v/>
      </c>
      <c r="D110" s="64" t="str">
        <f ca="1">IF(COUNTIFS('SEANCE 1'!$B:$B, $B110, 'SEANCE 1'!$C:$C, D$2, 'SEANCE 1'!$F:$F, D$5)=0, "", COUNTIFS('SEANCE 1'!$B:$B, $B110, 'SEANCE 1'!$C:$C, D$2, 'SEANCE 1'!$F:$F, D$5))</f>
        <v/>
      </c>
      <c r="E110" s="64" t="str">
        <f ca="1">IF(COUNTIFS('SEANCE 1'!$B:$B, $B110, 'SEANCE 1'!$C:$C, E$2, 'SEANCE 1'!$F:$F, E$5)=0, "", COUNTIFS('SEANCE 1'!$B:$B, $B110, 'SEANCE 1'!$C:$C, E$2, 'SEANCE 1'!$F:$F, E$5))</f>
        <v/>
      </c>
      <c r="F110" s="64" t="str">
        <f ca="1">IF(COUNTIFS('SEANCE 1'!$B:$B, $B110, 'SEANCE 1'!$C:$C, F$2, 'SEANCE 1'!$F:$F, F$5)=0, "", COUNTIFS('SEANCE 1'!$B:$B, $B110, 'SEANCE 1'!$C:$C, F$2, 'SEANCE 1'!$F:$F, F$5))</f>
        <v/>
      </c>
      <c r="G110" s="64" t="str">
        <f ca="1">IF(COUNTIFS('SEANCE 1'!$B:$B, $B110, 'SEANCE 1'!$C:$C, G$2, 'SEANCE 1'!$F:$F, G$5)=0, "", COUNTIFS('SEANCE 1'!$B:$B, $B110, 'SEANCE 1'!$C:$C, G$2, 'SEANCE 1'!$F:$F, G$5))</f>
        <v/>
      </c>
      <c r="H110" s="64" t="str">
        <f ca="1">IF(COUNTIFS('SEANCE 1'!$B:$B, $B110, 'SEANCE 1'!$C:$C, H$2, 'SEANCE 1'!$F:$F, H$5)=0, "", COUNTIFS('SEANCE 1'!$B:$B, $B110, 'SEANCE 1'!$C:$C, H$2, 'SEANCE 1'!$F:$F, H$5))</f>
        <v/>
      </c>
      <c r="I110" s="64" t="str">
        <f ca="1">IF(COUNTIFS('SEANCE 1'!$B:$B, $B110, 'SEANCE 1'!$C:$C, I$2, 'SEANCE 1'!$F:$F, I$5)=0, "", COUNTIFS('SEANCE 1'!$B:$B, $B110, 'SEANCE 1'!$C:$C, I$2, 'SEANCE 1'!$F:$F, I$5))</f>
        <v/>
      </c>
      <c r="J110" s="64" t="str">
        <f ca="1">IF(COUNTIFS('SEANCE 1'!$B:$B, $B110, 'SEANCE 1'!$C:$C, J$2, 'SEANCE 1'!$F:$F, J$5)=0, "", COUNTIFS('SEANCE 1'!$B:$B, $B110, 'SEANCE 1'!$C:$C, J$2, 'SEANCE 1'!$F:$F, J$5))</f>
        <v/>
      </c>
      <c r="K110" s="64" t="str">
        <f ca="1">IF(COUNTIFS('SEANCE 1'!$B:$B, $B110, 'SEANCE 1'!$C:$C, K$2, 'SEANCE 1'!$F:$F, K$5)=0, "", COUNTIFS('SEANCE 1'!$B:$B, $B110, 'SEANCE 1'!$C:$C, K$2, 'SEANCE 1'!$F:$F, K$5))</f>
        <v/>
      </c>
      <c r="L110" s="64" t="str">
        <f ca="1">IF(COUNTIFS('SEANCE 1'!$B:$B, $B110, 'SEANCE 1'!$C:$C, L$2, 'SEANCE 1'!$F:$F, L$5)=0, "", COUNTIFS('SEANCE 1'!$B:$B, $B110, 'SEANCE 1'!$C:$C, L$2, 'SEANCE 1'!$F:$F, L$5))</f>
        <v/>
      </c>
      <c r="M110" s="64" t="str">
        <f ca="1">IF(COUNTIFS('SEANCE 1'!$B:$B, $B110, 'SEANCE 1'!$C:$C, M$2, 'SEANCE 1'!$F:$F, M$5)=0, "", COUNTIFS('SEANCE 1'!$B:$B, $B110, 'SEANCE 1'!$C:$C, M$2, 'SEANCE 1'!$F:$F, M$5))</f>
        <v/>
      </c>
      <c r="N110" s="64" t="str">
        <f ca="1">IF(COUNTIFS('SEANCE 1'!$B:$B, $B110, 'SEANCE 1'!$C:$C, N$2, 'SEANCE 1'!$F:$F, N$5)=0, "", COUNTIFS('SEANCE 1'!$B:$B, $B110, 'SEANCE 1'!$C:$C, N$2, 'SEANCE 1'!$F:$F, N$5))</f>
        <v/>
      </c>
      <c r="O110" s="64" t="str">
        <f ca="1">IF(COUNTIFS('SEANCE 1'!$B:$B, $B110, 'SEANCE 1'!$C:$C, O$2, 'SEANCE 1'!$F:$F, O$5)=0, "", COUNTIFS('SEANCE 1'!$B:$B, $B110, 'SEANCE 1'!$C:$C, O$2, 'SEANCE 1'!$F:$F, O$5))</f>
        <v/>
      </c>
      <c r="P110" s="64" t="str">
        <f ca="1">IF(COUNTIFS('SEANCE 1'!$B:$B, $B110, 'SEANCE 1'!$C:$C, P$2, 'SEANCE 1'!$F:$F, P$5)=0, "", COUNTIFS('SEANCE 1'!$B:$B, $B110, 'SEANCE 1'!$C:$C, P$2, 'SEANCE 1'!$F:$F, P$5))</f>
        <v/>
      </c>
      <c r="Q110" s="64" t="str">
        <f ca="1">IF(COUNTIFS('SEANCE 1'!$B:$B, $B110, 'SEANCE 1'!$C:$C, Q$2, 'SEANCE 1'!$F:$F, Q$5)=0, "", COUNTIFS('SEANCE 1'!$B:$B, $B110, 'SEANCE 1'!$C:$C, Q$2, 'SEANCE 1'!$F:$F, Q$5))</f>
        <v/>
      </c>
      <c r="R110" s="64" t="str">
        <f ca="1">IF(COUNTIFS('SEANCE 1'!$B:$B, $B110, 'SEANCE 1'!$C:$C, R$2, 'SEANCE 1'!$F:$F, R$5)=0, "", COUNTIFS('SEANCE 1'!$B:$B, $B110, 'SEANCE 1'!$C:$C, R$2, 'SEANCE 1'!$F:$F, R$5))</f>
        <v/>
      </c>
      <c r="S110" s="64" t="str">
        <f ca="1">IF(COUNTIFS('SEANCE 1'!$B:$B, $B110, 'SEANCE 1'!$C:$C, S$2, 'SEANCE 1'!$F:$F, S$5)=0, "", COUNTIFS('SEANCE 1'!$B:$B, $B110, 'SEANCE 1'!$C:$C, S$2, 'SEANCE 1'!$F:$F, S$5))</f>
        <v/>
      </c>
      <c r="T110" s="64" t="str">
        <f ca="1">IF(COUNTIFS('SEANCE 1'!$B:$B, $B110, 'SEANCE 1'!$C:$C, T$2, 'SEANCE 1'!$F:$F, T$5)=0, "", COUNTIFS('SEANCE 1'!$B:$B, $B110, 'SEANCE 1'!$C:$C, T$2, 'SEANCE 1'!$F:$F, T$5))</f>
        <v/>
      </c>
      <c r="U110" s="64" t="str">
        <f ca="1">IF(COUNTIFS('SEANCE 1'!$B:$B, $B110, 'SEANCE 1'!$C:$C, U$2, 'SEANCE 1'!$F:$F, U$5)=0, "", COUNTIFS('SEANCE 1'!$B:$B, $B110, 'SEANCE 1'!$C:$C, U$2, 'SEANCE 1'!$F:$F, U$5))</f>
        <v/>
      </c>
      <c r="V110" s="64" t="str">
        <f ca="1">IF(COUNTIFS('SEANCE 1'!$B:$B, $B110, 'SEANCE 1'!$C:$C, V$2, 'SEANCE 1'!$F:$F, V$5)=0, "", COUNTIFS('SEANCE 1'!$B:$B, $B110, 'SEANCE 1'!$C:$C, V$2, 'SEANCE 1'!$F:$F, V$5))</f>
        <v/>
      </c>
      <c r="W110" s="64" t="str">
        <f ca="1">IF(COUNTIFS('SEANCE 1'!$B:$B, $B110, 'SEANCE 1'!$C:$C, W$2, 'SEANCE 1'!$F:$F, W$5)=0, "", COUNTIFS('SEANCE 1'!$B:$B, $B110, 'SEANCE 1'!$C:$C, W$2, 'SEANCE 1'!$F:$F, W$5))</f>
        <v/>
      </c>
      <c r="X110" s="64" t="str">
        <f ca="1">IF(COUNTIFS('SEANCE 1'!$B:$B, $B110, 'SEANCE 1'!$C:$C, X$2, 'SEANCE 1'!$F:$F, X$5)=0, "", COUNTIFS('SEANCE 1'!$B:$B, $B110, 'SEANCE 1'!$C:$C, X$2, 'SEANCE 1'!$F:$F, X$5))</f>
        <v/>
      </c>
      <c r="Y110" s="64" t="str">
        <f ca="1">IF(COUNTIFS('SEANCE 1'!$B:$B, $B110, 'SEANCE 1'!$C:$C, Y$2, 'SEANCE 1'!$F:$F, Y$5)=0, "", COUNTIFS('SEANCE 1'!$B:$B, $B110, 'SEANCE 1'!$C:$C, Y$2, 'SEANCE 1'!$F:$F, Y$5))</f>
        <v/>
      </c>
      <c r="Z110" s="64" t="str">
        <f ca="1">IF(COUNTIFS('SEANCE 1'!$B:$B, $B110, 'SEANCE 1'!$C:$C, Z$2, 'SEANCE 1'!$F:$F, Z$5)=0, "", COUNTIFS('SEANCE 1'!$B:$B, $B110, 'SEANCE 1'!$C:$C, Z$2, 'SEANCE 1'!$F:$F, Z$5))</f>
        <v/>
      </c>
      <c r="AA110" s="64" t="str">
        <f ca="1">IF(COUNTIFS('SEANCE 1'!$B:$B, $B110, 'SEANCE 1'!$C:$C, AA$2, 'SEANCE 1'!$F:$F, AA$5)=0, "", COUNTIFS('SEANCE 1'!$B:$B, $B110, 'SEANCE 1'!$C:$C, AA$2, 'SEANCE 1'!$F:$F, AA$5))</f>
        <v/>
      </c>
      <c r="AB110" s="64" t="str">
        <f ca="1">IF(COUNTIFS('SEANCE 1'!$B:$B, $B110, 'SEANCE 1'!$C:$C, AB$2, 'SEANCE 1'!$F:$F, AB$5)=0, "", COUNTIFS('SEANCE 1'!$B:$B, $B110, 'SEANCE 1'!$C:$C, AB$2, 'SEANCE 1'!$F:$F, AB$5))</f>
        <v/>
      </c>
      <c r="AC110" s="64" t="str">
        <f ca="1">IF(COUNTIFS('SEANCE 1'!$B:$B, $B110, 'SEANCE 1'!$C:$C, AC$2, 'SEANCE 1'!$F:$F, AC$5)=0, "", COUNTIFS('SEANCE 1'!$B:$B, $B110, 'SEANCE 1'!$C:$C, AC$2, 'SEANCE 1'!$F:$F, AC$5))</f>
        <v/>
      </c>
      <c r="AD110" s="64" t="str">
        <f ca="1">IF(COUNTIFS('SEANCE 1'!$B:$B, $B110, 'SEANCE 1'!$C:$C, AD$2, 'SEANCE 1'!$F:$F, AD$5)=0, "", COUNTIFS('SEANCE 1'!$B:$B, $B110, 'SEANCE 1'!$C:$C, AD$2, 'SEANCE 1'!$F:$F, AD$5))</f>
        <v/>
      </c>
      <c r="AE110" s="64" t="str">
        <f ca="1">IF(COUNTIFS('SEANCE 1'!$B:$B, $B110, 'SEANCE 1'!$C:$C, AE$2, 'SEANCE 1'!$F:$F, AE$5)=0, "", COUNTIFS('SEANCE 1'!$B:$B, $B110, 'SEANCE 1'!$C:$C, AE$2, 'SEANCE 1'!$F:$F, AE$5))</f>
        <v/>
      </c>
      <c r="AF110" s="64" t="str">
        <f ca="1">IF(COUNTIFS('SEANCE 1'!$B:$B, $B110, 'SEANCE 1'!$C:$C, AF$2, 'SEANCE 1'!$F:$F, AF$5)=0, "", COUNTIFS('SEANCE 1'!$B:$B, $B110, 'SEANCE 1'!$C:$C, AF$2, 'SEANCE 1'!$F:$F, AF$5))</f>
        <v/>
      </c>
      <c r="AG110" s="64" t="str">
        <f ca="1">IF(COUNTIFS('SEANCE 1'!$B:$B, $B110, 'SEANCE 1'!$C:$C, AG$2, 'SEANCE 1'!$F:$F, AG$5)=0, "", COUNTIFS('SEANCE 1'!$B:$B, $B110, 'SEANCE 1'!$C:$C, AG$2, 'SEANCE 1'!$F:$F, AG$5))</f>
        <v/>
      </c>
      <c r="AH110" s="64" t="str">
        <f ca="1">IF(COUNTIFS('SEANCE 1'!$B:$B, $B110, 'SEANCE 1'!$C:$C, AH$2, 'SEANCE 1'!$F:$F, AH$5)=0, "", COUNTIFS('SEANCE 1'!$B:$B, $B110, 'SEANCE 1'!$C:$C, AH$2, 'SEANCE 1'!$F:$F, AH$5))</f>
        <v/>
      </c>
      <c r="AI110" s="64" t="str">
        <f ca="1">IF(COUNTIFS('SEANCE 1'!$B:$B, $B110, 'SEANCE 1'!$C:$C, AI$2, 'SEANCE 1'!$F:$F, AI$5)=0, "", COUNTIFS('SEANCE 1'!$B:$B, $B110, 'SEANCE 1'!$C:$C, AI$2, 'SEANCE 1'!$F:$F, AI$5))</f>
        <v/>
      </c>
      <c r="AJ110" s="64" t="str">
        <f ca="1">IF(COUNTIFS('SEANCE 1'!$B:$B, $B110, 'SEANCE 1'!$C:$C, AJ$2, 'SEANCE 1'!$F:$F, AJ$5)=0, "", COUNTIFS('SEANCE 1'!$B:$B, $B110, 'SEANCE 1'!$C:$C, AJ$2, 'SEANCE 1'!$F:$F, AJ$5))</f>
        <v/>
      </c>
      <c r="AK110" s="64" t="str">
        <f ca="1">IF(COUNTIFS('SEANCE 1'!$B:$B, $B110, 'SEANCE 1'!$C:$C, AK$2, 'SEANCE 1'!$F:$F, AK$5)=0, "", COUNTIFS('SEANCE 1'!$B:$B, $B110, 'SEANCE 1'!$C:$C, AK$2, 'SEANCE 1'!$F:$F, AK$5))</f>
        <v/>
      </c>
      <c r="AL110" s="64" t="str">
        <f ca="1">IF(COUNTIFS('SEANCE 1'!$B:$B, $B110, 'SEANCE 1'!$C:$C, AL$2, 'SEANCE 1'!$F:$F, AL$5)=0, "", COUNTIFS('SEANCE 1'!$B:$B, $B110, 'SEANCE 1'!$C:$C, AL$2, 'SEANCE 1'!$F:$F, AL$5))</f>
        <v/>
      </c>
      <c r="AM110" s="64" t="str">
        <f ca="1">IF(COUNTIFS('SEANCE 1'!$B:$B, $B110, 'SEANCE 1'!$C:$C, AM$2, 'SEANCE 1'!$F:$F, AM$5)=0, "", COUNTIFS('SEANCE 1'!$B:$B, $B110, 'SEANCE 1'!$C:$C, AM$2, 'SEANCE 1'!$F:$F, AM$5))</f>
        <v/>
      </c>
      <c r="AN110" s="64" t="str">
        <f ca="1">IF(COUNTIFS('SEANCE 1'!$B:$B, $B110, 'SEANCE 1'!$C:$C, AN$2, 'SEANCE 1'!$F:$F, AN$5)=0, "", COUNTIFS('SEANCE 1'!$B:$B, $B110, 'SEANCE 1'!$C:$C, AN$2, 'SEANCE 1'!$F:$F, AN$5))</f>
        <v/>
      </c>
      <c r="AO110" s="64" t="str">
        <f ca="1">IF(COUNTIFS('SEANCE 1'!$B:$B, $B110, 'SEANCE 1'!$C:$C, AO$2, 'SEANCE 1'!$F:$F, AO$5)=0, "", COUNTIFS('SEANCE 1'!$B:$B, $B110, 'SEANCE 1'!$C:$C, AO$2, 'SEANCE 1'!$F:$F, AO$5))</f>
        <v/>
      </c>
      <c r="AP110" s="64" t="str">
        <f ca="1">IF(COUNTIFS('SEANCE 1'!$B:$B, $B110, 'SEANCE 1'!$C:$C, AP$2, 'SEANCE 1'!$F:$F, AP$5)=0, "", COUNTIFS('SEANCE 1'!$B:$B, $B110, 'SEANCE 1'!$C:$C, AP$2, 'SEANCE 1'!$F:$F, AP$5))</f>
        <v/>
      </c>
      <c r="AQ110" s="64" t="str">
        <f ca="1">IF(COUNTIFS('SEANCE 1'!$B:$B, $B110, 'SEANCE 1'!$C:$C, AQ$2, 'SEANCE 1'!$F:$F, AQ$5)=0, "", COUNTIFS('SEANCE 1'!$B:$B, $B110, 'SEANCE 1'!$C:$C, AQ$2, 'SEANCE 1'!$F:$F, AQ$5))</f>
        <v/>
      </c>
      <c r="AR110" s="64" t="str">
        <f ca="1">IF(COUNTIFS('SEANCE 1'!$B:$B, $B110, 'SEANCE 1'!$C:$C, AR$2, 'SEANCE 1'!$F:$F, AR$5)=0, "", COUNTIFS('SEANCE 1'!$B:$B, $B110, 'SEANCE 1'!$C:$C, AR$2, 'SEANCE 1'!$F:$F, AR$5))</f>
        <v/>
      </c>
      <c r="AS110" s="64" t="str">
        <f ca="1">IF(COUNTIFS('SEANCE 1'!$B:$B, $B110, 'SEANCE 1'!$C:$C, AS$2, 'SEANCE 1'!$F:$F, AS$5)=0, "", COUNTIFS('SEANCE 1'!$B:$B, $B110, 'SEANCE 1'!$C:$C, AS$2, 'SEANCE 1'!$F:$F, AS$5))</f>
        <v/>
      </c>
      <c r="AT110" s="64" t="str">
        <f ca="1">IF(COUNTIFS('SEANCE 1'!$B:$B, $B110, 'SEANCE 1'!$C:$C, AT$2, 'SEANCE 1'!$F:$F, AT$5)=0, "", COUNTIFS('SEANCE 1'!$B:$B, $B110, 'SEANCE 1'!$C:$C, AT$2, 'SEANCE 1'!$F:$F, AT$5))</f>
        <v/>
      </c>
      <c r="AU110" s="64" t="str">
        <f ca="1">IF(COUNTIFS('SEANCE 1'!$B:$B, $B110, 'SEANCE 1'!$C:$C, AU$2, 'SEANCE 1'!$F:$F, AU$5)=0, "", COUNTIFS('SEANCE 1'!$B:$B, $B110, 'SEANCE 1'!$C:$C, AU$2, 'SEANCE 1'!$F:$F, AU$5))</f>
        <v/>
      </c>
      <c r="AV110" s="64" t="str">
        <f ca="1">IF(COUNTIFS('SEANCE 1'!$B:$B, $B110, 'SEANCE 1'!$C:$C, AV$2, 'SEANCE 1'!$F:$F, AV$5)=0, "", COUNTIFS('SEANCE 1'!$B:$B, $B110, 'SEANCE 1'!$C:$C, AV$2, 'SEANCE 1'!$F:$F, AV$5))</f>
        <v/>
      </c>
      <c r="AW110" s="64" t="str">
        <f ca="1">IF(COUNTIFS('SEANCE 1'!$B:$B, $B110, 'SEANCE 1'!$C:$C, AW$2, 'SEANCE 1'!$F:$F, AW$5)=0, "", COUNTIFS('SEANCE 1'!$B:$B, $B110, 'SEANCE 1'!$C:$C, AW$2, 'SEANCE 1'!$F:$F, AW$5))</f>
        <v/>
      </c>
      <c r="AX110" s="64" t="str">
        <f ca="1">IF(COUNTIFS('SEANCE 1'!$B:$B, $B110, 'SEANCE 1'!$C:$C, AX$2, 'SEANCE 1'!$F:$F, AX$5)=0, "", COUNTIFS('SEANCE 1'!$B:$B, $B110, 'SEANCE 1'!$C:$C, AX$2, 'SEANCE 1'!$F:$F, AX$5))</f>
        <v/>
      </c>
      <c r="AY110" s="64" t="str">
        <f ca="1">IF(COUNTIFS('SEANCE 1'!$B:$B, $B110, 'SEANCE 1'!$C:$C, AY$2, 'SEANCE 1'!$F:$F, AY$5)=0, "", COUNTIFS('SEANCE 1'!$B:$B, $B110, 'SEANCE 1'!$C:$C, AY$2, 'SEANCE 1'!$F:$F, AY$5))</f>
        <v/>
      </c>
      <c r="AZ110" s="32">
        <f t="shared" ca="1" si="1"/>
        <v>0</v>
      </c>
    </row>
    <row r="111" spans="1:52">
      <c r="A111" s="44" t="str">
        <f>IF('SEANCE 1'!$B107&lt;&gt;"",'SEANCE 1'!$A107,"")</f>
        <v/>
      </c>
      <c r="B111" s="44" t="str">
        <f t="array" aca="1" ref="B111" ca="1">IF(ISNA(INDEX(ListeB,MATCH(0,COUNTIF($B$5:B110,ListeB),0))),"",INDEX(ListeB,MATCH(0,COUNTIF($B$5:B110,ListeB),0)))</f>
        <v/>
      </c>
      <c r="C111" s="64" t="str">
        <f ca="1">IF(COUNTIFS('SEANCE 1'!$B:$B, $B111, 'SEANCE 1'!$C:$C, C$2, 'SEANCE 1'!$F:$F, C$5)=0, "", COUNTIFS('SEANCE 1'!$B:$B, $B111, 'SEANCE 1'!$C:$C, C$2, 'SEANCE 1'!$F:$F, C$5))</f>
        <v/>
      </c>
      <c r="D111" s="64" t="str">
        <f ca="1">IF(COUNTIFS('SEANCE 1'!$B:$B, $B111, 'SEANCE 1'!$C:$C, D$2, 'SEANCE 1'!$F:$F, D$5)=0, "", COUNTIFS('SEANCE 1'!$B:$B, $B111, 'SEANCE 1'!$C:$C, D$2, 'SEANCE 1'!$F:$F, D$5))</f>
        <v/>
      </c>
      <c r="E111" s="64" t="str">
        <f ca="1">IF(COUNTIFS('SEANCE 1'!$B:$B, $B111, 'SEANCE 1'!$C:$C, E$2, 'SEANCE 1'!$F:$F, E$5)=0, "", COUNTIFS('SEANCE 1'!$B:$B, $B111, 'SEANCE 1'!$C:$C, E$2, 'SEANCE 1'!$F:$F, E$5))</f>
        <v/>
      </c>
      <c r="F111" s="64" t="str">
        <f ca="1">IF(COUNTIFS('SEANCE 1'!$B:$B, $B111, 'SEANCE 1'!$C:$C, F$2, 'SEANCE 1'!$F:$F, F$5)=0, "", COUNTIFS('SEANCE 1'!$B:$B, $B111, 'SEANCE 1'!$C:$C, F$2, 'SEANCE 1'!$F:$F, F$5))</f>
        <v/>
      </c>
      <c r="G111" s="64" t="str">
        <f ca="1">IF(COUNTIFS('SEANCE 1'!$B:$B, $B111, 'SEANCE 1'!$C:$C, G$2, 'SEANCE 1'!$F:$F, G$5)=0, "", COUNTIFS('SEANCE 1'!$B:$B, $B111, 'SEANCE 1'!$C:$C, G$2, 'SEANCE 1'!$F:$F, G$5))</f>
        <v/>
      </c>
      <c r="H111" s="64" t="str">
        <f ca="1">IF(COUNTIFS('SEANCE 1'!$B:$B, $B111, 'SEANCE 1'!$C:$C, H$2, 'SEANCE 1'!$F:$F, H$5)=0, "", COUNTIFS('SEANCE 1'!$B:$B, $B111, 'SEANCE 1'!$C:$C, H$2, 'SEANCE 1'!$F:$F, H$5))</f>
        <v/>
      </c>
      <c r="I111" s="64" t="str">
        <f ca="1">IF(COUNTIFS('SEANCE 1'!$B:$B, $B111, 'SEANCE 1'!$C:$C, I$2, 'SEANCE 1'!$F:$F, I$5)=0, "", COUNTIFS('SEANCE 1'!$B:$B, $B111, 'SEANCE 1'!$C:$C, I$2, 'SEANCE 1'!$F:$F, I$5))</f>
        <v/>
      </c>
      <c r="J111" s="64" t="str">
        <f ca="1">IF(COUNTIFS('SEANCE 1'!$B:$B, $B111, 'SEANCE 1'!$C:$C, J$2, 'SEANCE 1'!$F:$F, J$5)=0, "", COUNTIFS('SEANCE 1'!$B:$B, $B111, 'SEANCE 1'!$C:$C, J$2, 'SEANCE 1'!$F:$F, J$5))</f>
        <v/>
      </c>
      <c r="K111" s="64" t="str">
        <f ca="1">IF(COUNTIFS('SEANCE 1'!$B:$B, $B111, 'SEANCE 1'!$C:$C, K$2, 'SEANCE 1'!$F:$F, K$5)=0, "", COUNTIFS('SEANCE 1'!$B:$B, $B111, 'SEANCE 1'!$C:$C, K$2, 'SEANCE 1'!$F:$F, K$5))</f>
        <v/>
      </c>
      <c r="L111" s="64" t="str">
        <f ca="1">IF(COUNTIFS('SEANCE 1'!$B:$B, $B111, 'SEANCE 1'!$C:$C, L$2, 'SEANCE 1'!$F:$F, L$5)=0, "", COUNTIFS('SEANCE 1'!$B:$B, $B111, 'SEANCE 1'!$C:$C, L$2, 'SEANCE 1'!$F:$F, L$5))</f>
        <v/>
      </c>
      <c r="M111" s="64" t="str">
        <f ca="1">IF(COUNTIFS('SEANCE 1'!$B:$B, $B111, 'SEANCE 1'!$C:$C, M$2, 'SEANCE 1'!$F:$F, M$5)=0, "", COUNTIFS('SEANCE 1'!$B:$B, $B111, 'SEANCE 1'!$C:$C, M$2, 'SEANCE 1'!$F:$F, M$5))</f>
        <v/>
      </c>
      <c r="N111" s="64" t="str">
        <f ca="1">IF(COUNTIFS('SEANCE 1'!$B:$B, $B111, 'SEANCE 1'!$C:$C, N$2, 'SEANCE 1'!$F:$F, N$5)=0, "", COUNTIFS('SEANCE 1'!$B:$B, $B111, 'SEANCE 1'!$C:$C, N$2, 'SEANCE 1'!$F:$F, N$5))</f>
        <v/>
      </c>
      <c r="O111" s="64" t="str">
        <f ca="1">IF(COUNTIFS('SEANCE 1'!$B:$B, $B111, 'SEANCE 1'!$C:$C, O$2, 'SEANCE 1'!$F:$F, O$5)=0, "", COUNTIFS('SEANCE 1'!$B:$B, $B111, 'SEANCE 1'!$C:$C, O$2, 'SEANCE 1'!$F:$F, O$5))</f>
        <v/>
      </c>
      <c r="P111" s="64" t="str">
        <f ca="1">IF(COUNTIFS('SEANCE 1'!$B:$B, $B111, 'SEANCE 1'!$C:$C, P$2, 'SEANCE 1'!$F:$F, P$5)=0, "", COUNTIFS('SEANCE 1'!$B:$B, $B111, 'SEANCE 1'!$C:$C, P$2, 'SEANCE 1'!$F:$F, P$5))</f>
        <v/>
      </c>
      <c r="Q111" s="64" t="str">
        <f ca="1">IF(COUNTIFS('SEANCE 1'!$B:$B, $B111, 'SEANCE 1'!$C:$C, Q$2, 'SEANCE 1'!$F:$F, Q$5)=0, "", COUNTIFS('SEANCE 1'!$B:$B, $B111, 'SEANCE 1'!$C:$C, Q$2, 'SEANCE 1'!$F:$F, Q$5))</f>
        <v/>
      </c>
      <c r="R111" s="64" t="str">
        <f ca="1">IF(COUNTIFS('SEANCE 1'!$B:$B, $B111, 'SEANCE 1'!$C:$C, R$2, 'SEANCE 1'!$F:$F, R$5)=0, "", COUNTIFS('SEANCE 1'!$B:$B, $B111, 'SEANCE 1'!$C:$C, R$2, 'SEANCE 1'!$F:$F, R$5))</f>
        <v/>
      </c>
      <c r="S111" s="64" t="str">
        <f ca="1">IF(COUNTIFS('SEANCE 1'!$B:$B, $B111, 'SEANCE 1'!$C:$C, S$2, 'SEANCE 1'!$F:$F, S$5)=0, "", COUNTIFS('SEANCE 1'!$B:$B, $B111, 'SEANCE 1'!$C:$C, S$2, 'SEANCE 1'!$F:$F, S$5))</f>
        <v/>
      </c>
      <c r="T111" s="64" t="str">
        <f ca="1">IF(COUNTIFS('SEANCE 1'!$B:$B, $B111, 'SEANCE 1'!$C:$C, T$2, 'SEANCE 1'!$F:$F, T$5)=0, "", COUNTIFS('SEANCE 1'!$B:$B, $B111, 'SEANCE 1'!$C:$C, T$2, 'SEANCE 1'!$F:$F, T$5))</f>
        <v/>
      </c>
      <c r="U111" s="64" t="str">
        <f ca="1">IF(COUNTIFS('SEANCE 1'!$B:$B, $B111, 'SEANCE 1'!$C:$C, U$2, 'SEANCE 1'!$F:$F, U$5)=0, "", COUNTIFS('SEANCE 1'!$B:$B, $B111, 'SEANCE 1'!$C:$C, U$2, 'SEANCE 1'!$F:$F, U$5))</f>
        <v/>
      </c>
      <c r="V111" s="64" t="str">
        <f ca="1">IF(COUNTIFS('SEANCE 1'!$B:$B, $B111, 'SEANCE 1'!$C:$C, V$2, 'SEANCE 1'!$F:$F, V$5)=0, "", COUNTIFS('SEANCE 1'!$B:$B, $B111, 'SEANCE 1'!$C:$C, V$2, 'SEANCE 1'!$F:$F, V$5))</f>
        <v/>
      </c>
      <c r="W111" s="64" t="str">
        <f ca="1">IF(COUNTIFS('SEANCE 1'!$B:$B, $B111, 'SEANCE 1'!$C:$C, W$2, 'SEANCE 1'!$F:$F, W$5)=0, "", COUNTIFS('SEANCE 1'!$B:$B, $B111, 'SEANCE 1'!$C:$C, W$2, 'SEANCE 1'!$F:$F, W$5))</f>
        <v/>
      </c>
      <c r="X111" s="64" t="str">
        <f ca="1">IF(COUNTIFS('SEANCE 1'!$B:$B, $B111, 'SEANCE 1'!$C:$C, X$2, 'SEANCE 1'!$F:$F, X$5)=0, "", COUNTIFS('SEANCE 1'!$B:$B, $B111, 'SEANCE 1'!$C:$C, X$2, 'SEANCE 1'!$F:$F, X$5))</f>
        <v/>
      </c>
      <c r="Y111" s="64" t="str">
        <f ca="1">IF(COUNTIFS('SEANCE 1'!$B:$B, $B111, 'SEANCE 1'!$C:$C, Y$2, 'SEANCE 1'!$F:$F, Y$5)=0, "", COUNTIFS('SEANCE 1'!$B:$B, $B111, 'SEANCE 1'!$C:$C, Y$2, 'SEANCE 1'!$F:$F, Y$5))</f>
        <v/>
      </c>
      <c r="Z111" s="64" t="str">
        <f ca="1">IF(COUNTIFS('SEANCE 1'!$B:$B, $B111, 'SEANCE 1'!$C:$C, Z$2, 'SEANCE 1'!$F:$F, Z$5)=0, "", COUNTIFS('SEANCE 1'!$B:$B, $B111, 'SEANCE 1'!$C:$C, Z$2, 'SEANCE 1'!$F:$F, Z$5))</f>
        <v/>
      </c>
      <c r="AA111" s="64" t="str">
        <f ca="1">IF(COUNTIFS('SEANCE 1'!$B:$B, $B111, 'SEANCE 1'!$C:$C, AA$2, 'SEANCE 1'!$F:$F, AA$5)=0, "", COUNTIFS('SEANCE 1'!$B:$B, $B111, 'SEANCE 1'!$C:$C, AA$2, 'SEANCE 1'!$F:$F, AA$5))</f>
        <v/>
      </c>
      <c r="AB111" s="64" t="str">
        <f ca="1">IF(COUNTIFS('SEANCE 1'!$B:$B, $B111, 'SEANCE 1'!$C:$C, AB$2, 'SEANCE 1'!$F:$F, AB$5)=0, "", COUNTIFS('SEANCE 1'!$B:$B, $B111, 'SEANCE 1'!$C:$C, AB$2, 'SEANCE 1'!$F:$F, AB$5))</f>
        <v/>
      </c>
      <c r="AC111" s="64" t="str">
        <f ca="1">IF(COUNTIFS('SEANCE 1'!$B:$B, $B111, 'SEANCE 1'!$C:$C, AC$2, 'SEANCE 1'!$F:$F, AC$5)=0, "", COUNTIFS('SEANCE 1'!$B:$B, $B111, 'SEANCE 1'!$C:$C, AC$2, 'SEANCE 1'!$F:$F, AC$5))</f>
        <v/>
      </c>
      <c r="AD111" s="64" t="str">
        <f ca="1">IF(COUNTIFS('SEANCE 1'!$B:$B, $B111, 'SEANCE 1'!$C:$C, AD$2, 'SEANCE 1'!$F:$F, AD$5)=0, "", COUNTIFS('SEANCE 1'!$B:$B, $B111, 'SEANCE 1'!$C:$C, AD$2, 'SEANCE 1'!$F:$F, AD$5))</f>
        <v/>
      </c>
      <c r="AE111" s="64" t="str">
        <f ca="1">IF(COUNTIFS('SEANCE 1'!$B:$B, $B111, 'SEANCE 1'!$C:$C, AE$2, 'SEANCE 1'!$F:$F, AE$5)=0, "", COUNTIFS('SEANCE 1'!$B:$B, $B111, 'SEANCE 1'!$C:$C, AE$2, 'SEANCE 1'!$F:$F, AE$5))</f>
        <v/>
      </c>
      <c r="AF111" s="64" t="str">
        <f ca="1">IF(COUNTIFS('SEANCE 1'!$B:$B, $B111, 'SEANCE 1'!$C:$C, AF$2, 'SEANCE 1'!$F:$F, AF$5)=0, "", COUNTIFS('SEANCE 1'!$B:$B, $B111, 'SEANCE 1'!$C:$C, AF$2, 'SEANCE 1'!$F:$F, AF$5))</f>
        <v/>
      </c>
      <c r="AG111" s="64" t="str">
        <f ca="1">IF(COUNTIFS('SEANCE 1'!$B:$B, $B111, 'SEANCE 1'!$C:$C, AG$2, 'SEANCE 1'!$F:$F, AG$5)=0, "", COUNTIFS('SEANCE 1'!$B:$B, $B111, 'SEANCE 1'!$C:$C, AG$2, 'SEANCE 1'!$F:$F, AG$5))</f>
        <v/>
      </c>
      <c r="AH111" s="64" t="str">
        <f ca="1">IF(COUNTIFS('SEANCE 1'!$B:$B, $B111, 'SEANCE 1'!$C:$C, AH$2, 'SEANCE 1'!$F:$F, AH$5)=0, "", COUNTIFS('SEANCE 1'!$B:$B, $B111, 'SEANCE 1'!$C:$C, AH$2, 'SEANCE 1'!$F:$F, AH$5))</f>
        <v/>
      </c>
      <c r="AI111" s="64" t="str">
        <f ca="1">IF(COUNTIFS('SEANCE 1'!$B:$B, $B111, 'SEANCE 1'!$C:$C, AI$2, 'SEANCE 1'!$F:$F, AI$5)=0, "", COUNTIFS('SEANCE 1'!$B:$B, $B111, 'SEANCE 1'!$C:$C, AI$2, 'SEANCE 1'!$F:$F, AI$5))</f>
        <v/>
      </c>
      <c r="AJ111" s="64" t="str">
        <f ca="1">IF(COUNTIFS('SEANCE 1'!$B:$B, $B111, 'SEANCE 1'!$C:$C, AJ$2, 'SEANCE 1'!$F:$F, AJ$5)=0, "", COUNTIFS('SEANCE 1'!$B:$B, $B111, 'SEANCE 1'!$C:$C, AJ$2, 'SEANCE 1'!$F:$F, AJ$5))</f>
        <v/>
      </c>
      <c r="AK111" s="64" t="str">
        <f ca="1">IF(COUNTIFS('SEANCE 1'!$B:$B, $B111, 'SEANCE 1'!$C:$C, AK$2, 'SEANCE 1'!$F:$F, AK$5)=0, "", COUNTIFS('SEANCE 1'!$B:$B, $B111, 'SEANCE 1'!$C:$C, AK$2, 'SEANCE 1'!$F:$F, AK$5))</f>
        <v/>
      </c>
      <c r="AL111" s="64" t="str">
        <f ca="1">IF(COUNTIFS('SEANCE 1'!$B:$B, $B111, 'SEANCE 1'!$C:$C, AL$2, 'SEANCE 1'!$F:$F, AL$5)=0, "", COUNTIFS('SEANCE 1'!$B:$B, $B111, 'SEANCE 1'!$C:$C, AL$2, 'SEANCE 1'!$F:$F, AL$5))</f>
        <v/>
      </c>
      <c r="AM111" s="64" t="str">
        <f ca="1">IF(COUNTIFS('SEANCE 1'!$B:$B, $B111, 'SEANCE 1'!$C:$C, AM$2, 'SEANCE 1'!$F:$F, AM$5)=0, "", COUNTIFS('SEANCE 1'!$B:$B, $B111, 'SEANCE 1'!$C:$C, AM$2, 'SEANCE 1'!$F:$F, AM$5))</f>
        <v/>
      </c>
      <c r="AN111" s="64" t="str">
        <f ca="1">IF(COUNTIFS('SEANCE 1'!$B:$B, $B111, 'SEANCE 1'!$C:$C, AN$2, 'SEANCE 1'!$F:$F, AN$5)=0, "", COUNTIFS('SEANCE 1'!$B:$B, $B111, 'SEANCE 1'!$C:$C, AN$2, 'SEANCE 1'!$F:$F, AN$5))</f>
        <v/>
      </c>
      <c r="AO111" s="64" t="str">
        <f ca="1">IF(COUNTIFS('SEANCE 1'!$B:$B, $B111, 'SEANCE 1'!$C:$C, AO$2, 'SEANCE 1'!$F:$F, AO$5)=0, "", COUNTIFS('SEANCE 1'!$B:$B, $B111, 'SEANCE 1'!$C:$C, AO$2, 'SEANCE 1'!$F:$F, AO$5))</f>
        <v/>
      </c>
      <c r="AP111" s="64" t="str">
        <f ca="1">IF(COUNTIFS('SEANCE 1'!$B:$B, $B111, 'SEANCE 1'!$C:$C, AP$2, 'SEANCE 1'!$F:$F, AP$5)=0, "", COUNTIFS('SEANCE 1'!$B:$B, $B111, 'SEANCE 1'!$C:$C, AP$2, 'SEANCE 1'!$F:$F, AP$5))</f>
        <v/>
      </c>
      <c r="AQ111" s="64" t="str">
        <f ca="1">IF(COUNTIFS('SEANCE 1'!$B:$B, $B111, 'SEANCE 1'!$C:$C, AQ$2, 'SEANCE 1'!$F:$F, AQ$5)=0, "", COUNTIFS('SEANCE 1'!$B:$B, $B111, 'SEANCE 1'!$C:$C, AQ$2, 'SEANCE 1'!$F:$F, AQ$5))</f>
        <v/>
      </c>
      <c r="AR111" s="64" t="str">
        <f ca="1">IF(COUNTIFS('SEANCE 1'!$B:$B, $B111, 'SEANCE 1'!$C:$C, AR$2, 'SEANCE 1'!$F:$F, AR$5)=0, "", COUNTIFS('SEANCE 1'!$B:$B, $B111, 'SEANCE 1'!$C:$C, AR$2, 'SEANCE 1'!$F:$F, AR$5))</f>
        <v/>
      </c>
      <c r="AS111" s="64" t="str">
        <f ca="1">IF(COUNTIFS('SEANCE 1'!$B:$B, $B111, 'SEANCE 1'!$C:$C, AS$2, 'SEANCE 1'!$F:$F, AS$5)=0, "", COUNTIFS('SEANCE 1'!$B:$B, $B111, 'SEANCE 1'!$C:$C, AS$2, 'SEANCE 1'!$F:$F, AS$5))</f>
        <v/>
      </c>
      <c r="AT111" s="64" t="str">
        <f ca="1">IF(COUNTIFS('SEANCE 1'!$B:$B, $B111, 'SEANCE 1'!$C:$C, AT$2, 'SEANCE 1'!$F:$F, AT$5)=0, "", COUNTIFS('SEANCE 1'!$B:$B, $B111, 'SEANCE 1'!$C:$C, AT$2, 'SEANCE 1'!$F:$F, AT$5))</f>
        <v/>
      </c>
      <c r="AU111" s="64" t="str">
        <f ca="1">IF(COUNTIFS('SEANCE 1'!$B:$B, $B111, 'SEANCE 1'!$C:$C, AU$2, 'SEANCE 1'!$F:$F, AU$5)=0, "", COUNTIFS('SEANCE 1'!$B:$B, $B111, 'SEANCE 1'!$C:$C, AU$2, 'SEANCE 1'!$F:$F, AU$5))</f>
        <v/>
      </c>
      <c r="AV111" s="64" t="str">
        <f ca="1">IF(COUNTIFS('SEANCE 1'!$B:$B, $B111, 'SEANCE 1'!$C:$C, AV$2, 'SEANCE 1'!$F:$F, AV$5)=0, "", COUNTIFS('SEANCE 1'!$B:$B, $B111, 'SEANCE 1'!$C:$C, AV$2, 'SEANCE 1'!$F:$F, AV$5))</f>
        <v/>
      </c>
      <c r="AW111" s="64" t="str">
        <f ca="1">IF(COUNTIFS('SEANCE 1'!$B:$B, $B111, 'SEANCE 1'!$C:$C, AW$2, 'SEANCE 1'!$F:$F, AW$5)=0, "", COUNTIFS('SEANCE 1'!$B:$B, $B111, 'SEANCE 1'!$C:$C, AW$2, 'SEANCE 1'!$F:$F, AW$5))</f>
        <v/>
      </c>
      <c r="AX111" s="64" t="str">
        <f ca="1">IF(COUNTIFS('SEANCE 1'!$B:$B, $B111, 'SEANCE 1'!$C:$C, AX$2, 'SEANCE 1'!$F:$F, AX$5)=0, "", COUNTIFS('SEANCE 1'!$B:$B, $B111, 'SEANCE 1'!$C:$C, AX$2, 'SEANCE 1'!$F:$F, AX$5))</f>
        <v/>
      </c>
      <c r="AY111" s="64" t="str">
        <f ca="1">IF(COUNTIFS('SEANCE 1'!$B:$B, $B111, 'SEANCE 1'!$C:$C, AY$2, 'SEANCE 1'!$F:$F, AY$5)=0, "", COUNTIFS('SEANCE 1'!$B:$B, $B111, 'SEANCE 1'!$C:$C, AY$2, 'SEANCE 1'!$F:$F, AY$5))</f>
        <v/>
      </c>
      <c r="AZ111" s="32">
        <f t="shared" ca="1" si="1"/>
        <v>0</v>
      </c>
    </row>
    <row r="112" spans="1:52">
      <c r="A112" s="44" t="str">
        <f>IF('SEANCE 1'!$B108&lt;&gt;"",'SEANCE 1'!$A108,"")</f>
        <v/>
      </c>
      <c r="B112" s="44" t="str">
        <f t="array" aca="1" ref="B112" ca="1">IF(ISNA(INDEX(ListeB,MATCH(0,COUNTIF($B$5:B111,ListeB),0))),"",INDEX(ListeB,MATCH(0,COUNTIF($B$5:B111,ListeB),0)))</f>
        <v/>
      </c>
      <c r="C112" s="64" t="str">
        <f ca="1">IF(COUNTIFS('SEANCE 1'!$B:$B, $B112, 'SEANCE 1'!$C:$C, C$2, 'SEANCE 1'!$F:$F, C$5)=0, "", COUNTIFS('SEANCE 1'!$B:$B, $B112, 'SEANCE 1'!$C:$C, C$2, 'SEANCE 1'!$F:$F, C$5))</f>
        <v/>
      </c>
      <c r="D112" s="64" t="str">
        <f ca="1">IF(COUNTIFS('SEANCE 1'!$B:$B, $B112, 'SEANCE 1'!$C:$C, D$2, 'SEANCE 1'!$F:$F, D$5)=0, "", COUNTIFS('SEANCE 1'!$B:$B, $B112, 'SEANCE 1'!$C:$C, D$2, 'SEANCE 1'!$F:$F, D$5))</f>
        <v/>
      </c>
      <c r="E112" s="64" t="str">
        <f ca="1">IF(COUNTIFS('SEANCE 1'!$B:$B, $B112, 'SEANCE 1'!$C:$C, E$2, 'SEANCE 1'!$F:$F, E$5)=0, "", COUNTIFS('SEANCE 1'!$B:$B, $B112, 'SEANCE 1'!$C:$C, E$2, 'SEANCE 1'!$F:$F, E$5))</f>
        <v/>
      </c>
      <c r="F112" s="64" t="str">
        <f ca="1">IF(COUNTIFS('SEANCE 1'!$B:$B, $B112, 'SEANCE 1'!$C:$C, F$2, 'SEANCE 1'!$F:$F, F$5)=0, "", COUNTIFS('SEANCE 1'!$B:$B, $B112, 'SEANCE 1'!$C:$C, F$2, 'SEANCE 1'!$F:$F, F$5))</f>
        <v/>
      </c>
      <c r="G112" s="64" t="str">
        <f ca="1">IF(COUNTIFS('SEANCE 1'!$B:$B, $B112, 'SEANCE 1'!$C:$C, G$2, 'SEANCE 1'!$F:$F, G$5)=0, "", COUNTIFS('SEANCE 1'!$B:$B, $B112, 'SEANCE 1'!$C:$C, G$2, 'SEANCE 1'!$F:$F, G$5))</f>
        <v/>
      </c>
      <c r="H112" s="64" t="str">
        <f ca="1">IF(COUNTIFS('SEANCE 1'!$B:$B, $B112, 'SEANCE 1'!$C:$C, H$2, 'SEANCE 1'!$F:$F, H$5)=0, "", COUNTIFS('SEANCE 1'!$B:$B, $B112, 'SEANCE 1'!$C:$C, H$2, 'SEANCE 1'!$F:$F, H$5))</f>
        <v/>
      </c>
      <c r="I112" s="64" t="str">
        <f ca="1">IF(COUNTIFS('SEANCE 1'!$B:$B, $B112, 'SEANCE 1'!$C:$C, I$2, 'SEANCE 1'!$F:$F, I$5)=0, "", COUNTIFS('SEANCE 1'!$B:$B, $B112, 'SEANCE 1'!$C:$C, I$2, 'SEANCE 1'!$F:$F, I$5))</f>
        <v/>
      </c>
      <c r="J112" s="64" t="str">
        <f ca="1">IF(COUNTIFS('SEANCE 1'!$B:$B, $B112, 'SEANCE 1'!$C:$C, J$2, 'SEANCE 1'!$F:$F, J$5)=0, "", COUNTIFS('SEANCE 1'!$B:$B, $B112, 'SEANCE 1'!$C:$C, J$2, 'SEANCE 1'!$F:$F, J$5))</f>
        <v/>
      </c>
      <c r="K112" s="64" t="str">
        <f ca="1">IF(COUNTIFS('SEANCE 1'!$B:$B, $B112, 'SEANCE 1'!$C:$C, K$2, 'SEANCE 1'!$F:$F, K$5)=0, "", COUNTIFS('SEANCE 1'!$B:$B, $B112, 'SEANCE 1'!$C:$C, K$2, 'SEANCE 1'!$F:$F, K$5))</f>
        <v/>
      </c>
      <c r="L112" s="64" t="str">
        <f ca="1">IF(COUNTIFS('SEANCE 1'!$B:$B, $B112, 'SEANCE 1'!$C:$C, L$2, 'SEANCE 1'!$F:$F, L$5)=0, "", COUNTIFS('SEANCE 1'!$B:$B, $B112, 'SEANCE 1'!$C:$C, L$2, 'SEANCE 1'!$F:$F, L$5))</f>
        <v/>
      </c>
      <c r="M112" s="64" t="str">
        <f ca="1">IF(COUNTIFS('SEANCE 1'!$B:$B, $B112, 'SEANCE 1'!$C:$C, M$2, 'SEANCE 1'!$F:$F, M$5)=0, "", COUNTIFS('SEANCE 1'!$B:$B, $B112, 'SEANCE 1'!$C:$C, M$2, 'SEANCE 1'!$F:$F, M$5))</f>
        <v/>
      </c>
      <c r="N112" s="64" t="str">
        <f ca="1">IF(COUNTIFS('SEANCE 1'!$B:$B, $B112, 'SEANCE 1'!$C:$C, N$2, 'SEANCE 1'!$F:$F, N$5)=0, "", COUNTIFS('SEANCE 1'!$B:$B, $B112, 'SEANCE 1'!$C:$C, N$2, 'SEANCE 1'!$F:$F, N$5))</f>
        <v/>
      </c>
      <c r="O112" s="64" t="str">
        <f ca="1">IF(COUNTIFS('SEANCE 1'!$B:$B, $B112, 'SEANCE 1'!$C:$C, O$2, 'SEANCE 1'!$F:$F, O$5)=0, "", COUNTIFS('SEANCE 1'!$B:$B, $B112, 'SEANCE 1'!$C:$C, O$2, 'SEANCE 1'!$F:$F, O$5))</f>
        <v/>
      </c>
      <c r="P112" s="64" t="str">
        <f ca="1">IF(COUNTIFS('SEANCE 1'!$B:$B, $B112, 'SEANCE 1'!$C:$C, P$2, 'SEANCE 1'!$F:$F, P$5)=0, "", COUNTIFS('SEANCE 1'!$B:$B, $B112, 'SEANCE 1'!$C:$C, P$2, 'SEANCE 1'!$F:$F, P$5))</f>
        <v/>
      </c>
      <c r="Q112" s="64" t="str">
        <f ca="1">IF(COUNTIFS('SEANCE 1'!$B:$B, $B112, 'SEANCE 1'!$C:$C, Q$2, 'SEANCE 1'!$F:$F, Q$5)=0, "", COUNTIFS('SEANCE 1'!$B:$B, $B112, 'SEANCE 1'!$C:$C, Q$2, 'SEANCE 1'!$F:$F, Q$5))</f>
        <v/>
      </c>
      <c r="R112" s="64" t="str">
        <f ca="1">IF(COUNTIFS('SEANCE 1'!$B:$B, $B112, 'SEANCE 1'!$C:$C, R$2, 'SEANCE 1'!$F:$F, R$5)=0, "", COUNTIFS('SEANCE 1'!$B:$B, $B112, 'SEANCE 1'!$C:$C, R$2, 'SEANCE 1'!$F:$F, R$5))</f>
        <v/>
      </c>
      <c r="S112" s="64" t="str">
        <f ca="1">IF(COUNTIFS('SEANCE 1'!$B:$B, $B112, 'SEANCE 1'!$C:$C, S$2, 'SEANCE 1'!$F:$F, S$5)=0, "", COUNTIFS('SEANCE 1'!$B:$B, $B112, 'SEANCE 1'!$C:$C, S$2, 'SEANCE 1'!$F:$F, S$5))</f>
        <v/>
      </c>
      <c r="T112" s="64" t="str">
        <f ca="1">IF(COUNTIFS('SEANCE 1'!$B:$B, $B112, 'SEANCE 1'!$C:$C, T$2, 'SEANCE 1'!$F:$F, T$5)=0, "", COUNTIFS('SEANCE 1'!$B:$B, $B112, 'SEANCE 1'!$C:$C, T$2, 'SEANCE 1'!$F:$F, T$5))</f>
        <v/>
      </c>
      <c r="U112" s="64" t="str">
        <f ca="1">IF(COUNTIFS('SEANCE 1'!$B:$B, $B112, 'SEANCE 1'!$C:$C, U$2, 'SEANCE 1'!$F:$F, U$5)=0, "", COUNTIFS('SEANCE 1'!$B:$B, $B112, 'SEANCE 1'!$C:$C, U$2, 'SEANCE 1'!$F:$F, U$5))</f>
        <v/>
      </c>
      <c r="V112" s="64" t="str">
        <f ca="1">IF(COUNTIFS('SEANCE 1'!$B:$B, $B112, 'SEANCE 1'!$C:$C, V$2, 'SEANCE 1'!$F:$F, V$5)=0, "", COUNTIFS('SEANCE 1'!$B:$B, $B112, 'SEANCE 1'!$C:$C, V$2, 'SEANCE 1'!$F:$F, V$5))</f>
        <v/>
      </c>
      <c r="W112" s="64" t="str">
        <f ca="1">IF(COUNTIFS('SEANCE 1'!$B:$B, $B112, 'SEANCE 1'!$C:$C, W$2, 'SEANCE 1'!$F:$F, W$5)=0, "", COUNTIFS('SEANCE 1'!$B:$B, $B112, 'SEANCE 1'!$C:$C, W$2, 'SEANCE 1'!$F:$F, W$5))</f>
        <v/>
      </c>
      <c r="X112" s="64" t="str">
        <f ca="1">IF(COUNTIFS('SEANCE 1'!$B:$B, $B112, 'SEANCE 1'!$C:$C, X$2, 'SEANCE 1'!$F:$F, X$5)=0, "", COUNTIFS('SEANCE 1'!$B:$B, $B112, 'SEANCE 1'!$C:$C, X$2, 'SEANCE 1'!$F:$F, X$5))</f>
        <v/>
      </c>
      <c r="Y112" s="64" t="str">
        <f ca="1">IF(COUNTIFS('SEANCE 1'!$B:$B, $B112, 'SEANCE 1'!$C:$C, Y$2, 'SEANCE 1'!$F:$F, Y$5)=0, "", COUNTIFS('SEANCE 1'!$B:$B, $B112, 'SEANCE 1'!$C:$C, Y$2, 'SEANCE 1'!$F:$F, Y$5))</f>
        <v/>
      </c>
      <c r="Z112" s="64" t="str">
        <f ca="1">IF(COUNTIFS('SEANCE 1'!$B:$B, $B112, 'SEANCE 1'!$C:$C, Z$2, 'SEANCE 1'!$F:$F, Z$5)=0, "", COUNTIFS('SEANCE 1'!$B:$B, $B112, 'SEANCE 1'!$C:$C, Z$2, 'SEANCE 1'!$F:$F, Z$5))</f>
        <v/>
      </c>
      <c r="AA112" s="64" t="str">
        <f ca="1">IF(COUNTIFS('SEANCE 1'!$B:$B, $B112, 'SEANCE 1'!$C:$C, AA$2, 'SEANCE 1'!$F:$F, AA$5)=0, "", COUNTIFS('SEANCE 1'!$B:$B, $B112, 'SEANCE 1'!$C:$C, AA$2, 'SEANCE 1'!$F:$F, AA$5))</f>
        <v/>
      </c>
      <c r="AB112" s="64" t="str">
        <f ca="1">IF(COUNTIFS('SEANCE 1'!$B:$B, $B112, 'SEANCE 1'!$C:$C, AB$2, 'SEANCE 1'!$F:$F, AB$5)=0, "", COUNTIFS('SEANCE 1'!$B:$B, $B112, 'SEANCE 1'!$C:$C, AB$2, 'SEANCE 1'!$F:$F, AB$5))</f>
        <v/>
      </c>
      <c r="AC112" s="64" t="str">
        <f ca="1">IF(COUNTIFS('SEANCE 1'!$B:$B, $B112, 'SEANCE 1'!$C:$C, AC$2, 'SEANCE 1'!$F:$F, AC$5)=0, "", COUNTIFS('SEANCE 1'!$B:$B, $B112, 'SEANCE 1'!$C:$C, AC$2, 'SEANCE 1'!$F:$F, AC$5))</f>
        <v/>
      </c>
      <c r="AD112" s="64" t="str">
        <f ca="1">IF(COUNTIFS('SEANCE 1'!$B:$B, $B112, 'SEANCE 1'!$C:$C, AD$2, 'SEANCE 1'!$F:$F, AD$5)=0, "", COUNTIFS('SEANCE 1'!$B:$B, $B112, 'SEANCE 1'!$C:$C, AD$2, 'SEANCE 1'!$F:$F, AD$5))</f>
        <v/>
      </c>
      <c r="AE112" s="64" t="str">
        <f ca="1">IF(COUNTIFS('SEANCE 1'!$B:$B, $B112, 'SEANCE 1'!$C:$C, AE$2, 'SEANCE 1'!$F:$F, AE$5)=0, "", COUNTIFS('SEANCE 1'!$B:$B, $B112, 'SEANCE 1'!$C:$C, AE$2, 'SEANCE 1'!$F:$F, AE$5))</f>
        <v/>
      </c>
      <c r="AF112" s="64" t="str">
        <f ca="1">IF(COUNTIFS('SEANCE 1'!$B:$B, $B112, 'SEANCE 1'!$C:$C, AF$2, 'SEANCE 1'!$F:$F, AF$5)=0, "", COUNTIFS('SEANCE 1'!$B:$B, $B112, 'SEANCE 1'!$C:$C, AF$2, 'SEANCE 1'!$F:$F, AF$5))</f>
        <v/>
      </c>
      <c r="AG112" s="64" t="str">
        <f ca="1">IF(COUNTIFS('SEANCE 1'!$B:$B, $B112, 'SEANCE 1'!$C:$C, AG$2, 'SEANCE 1'!$F:$F, AG$5)=0, "", COUNTIFS('SEANCE 1'!$B:$B, $B112, 'SEANCE 1'!$C:$C, AG$2, 'SEANCE 1'!$F:$F, AG$5))</f>
        <v/>
      </c>
      <c r="AH112" s="64" t="str">
        <f ca="1">IF(COUNTIFS('SEANCE 1'!$B:$B, $B112, 'SEANCE 1'!$C:$C, AH$2, 'SEANCE 1'!$F:$F, AH$5)=0, "", COUNTIFS('SEANCE 1'!$B:$B, $B112, 'SEANCE 1'!$C:$C, AH$2, 'SEANCE 1'!$F:$F, AH$5))</f>
        <v/>
      </c>
      <c r="AI112" s="64" t="str">
        <f ca="1">IF(COUNTIFS('SEANCE 1'!$B:$B, $B112, 'SEANCE 1'!$C:$C, AI$2, 'SEANCE 1'!$F:$F, AI$5)=0, "", COUNTIFS('SEANCE 1'!$B:$B, $B112, 'SEANCE 1'!$C:$C, AI$2, 'SEANCE 1'!$F:$F, AI$5))</f>
        <v/>
      </c>
      <c r="AJ112" s="64" t="str">
        <f ca="1">IF(COUNTIFS('SEANCE 1'!$B:$B, $B112, 'SEANCE 1'!$C:$C, AJ$2, 'SEANCE 1'!$F:$F, AJ$5)=0, "", COUNTIFS('SEANCE 1'!$B:$B, $B112, 'SEANCE 1'!$C:$C, AJ$2, 'SEANCE 1'!$F:$F, AJ$5))</f>
        <v/>
      </c>
      <c r="AK112" s="64" t="str">
        <f ca="1">IF(COUNTIFS('SEANCE 1'!$B:$B, $B112, 'SEANCE 1'!$C:$C, AK$2, 'SEANCE 1'!$F:$F, AK$5)=0, "", COUNTIFS('SEANCE 1'!$B:$B, $B112, 'SEANCE 1'!$C:$C, AK$2, 'SEANCE 1'!$F:$F, AK$5))</f>
        <v/>
      </c>
      <c r="AL112" s="64" t="str">
        <f ca="1">IF(COUNTIFS('SEANCE 1'!$B:$B, $B112, 'SEANCE 1'!$C:$C, AL$2, 'SEANCE 1'!$F:$F, AL$5)=0, "", COUNTIFS('SEANCE 1'!$B:$B, $B112, 'SEANCE 1'!$C:$C, AL$2, 'SEANCE 1'!$F:$F, AL$5))</f>
        <v/>
      </c>
      <c r="AM112" s="64" t="str">
        <f ca="1">IF(COUNTIFS('SEANCE 1'!$B:$B, $B112, 'SEANCE 1'!$C:$C, AM$2, 'SEANCE 1'!$F:$F, AM$5)=0, "", COUNTIFS('SEANCE 1'!$B:$B, $B112, 'SEANCE 1'!$C:$C, AM$2, 'SEANCE 1'!$F:$F, AM$5))</f>
        <v/>
      </c>
      <c r="AN112" s="64" t="str">
        <f ca="1">IF(COUNTIFS('SEANCE 1'!$B:$B, $B112, 'SEANCE 1'!$C:$C, AN$2, 'SEANCE 1'!$F:$F, AN$5)=0, "", COUNTIFS('SEANCE 1'!$B:$B, $B112, 'SEANCE 1'!$C:$C, AN$2, 'SEANCE 1'!$F:$F, AN$5))</f>
        <v/>
      </c>
      <c r="AO112" s="64" t="str">
        <f ca="1">IF(COUNTIFS('SEANCE 1'!$B:$B, $B112, 'SEANCE 1'!$C:$C, AO$2, 'SEANCE 1'!$F:$F, AO$5)=0, "", COUNTIFS('SEANCE 1'!$B:$B, $B112, 'SEANCE 1'!$C:$C, AO$2, 'SEANCE 1'!$F:$F, AO$5))</f>
        <v/>
      </c>
      <c r="AP112" s="64" t="str">
        <f ca="1">IF(COUNTIFS('SEANCE 1'!$B:$B, $B112, 'SEANCE 1'!$C:$C, AP$2, 'SEANCE 1'!$F:$F, AP$5)=0, "", COUNTIFS('SEANCE 1'!$B:$B, $B112, 'SEANCE 1'!$C:$C, AP$2, 'SEANCE 1'!$F:$F, AP$5))</f>
        <v/>
      </c>
      <c r="AQ112" s="64" t="str">
        <f ca="1">IF(COUNTIFS('SEANCE 1'!$B:$B, $B112, 'SEANCE 1'!$C:$C, AQ$2, 'SEANCE 1'!$F:$F, AQ$5)=0, "", COUNTIFS('SEANCE 1'!$B:$B, $B112, 'SEANCE 1'!$C:$C, AQ$2, 'SEANCE 1'!$F:$F, AQ$5))</f>
        <v/>
      </c>
      <c r="AR112" s="64" t="str">
        <f ca="1">IF(COUNTIFS('SEANCE 1'!$B:$B, $B112, 'SEANCE 1'!$C:$C, AR$2, 'SEANCE 1'!$F:$F, AR$5)=0, "", COUNTIFS('SEANCE 1'!$B:$B, $B112, 'SEANCE 1'!$C:$C, AR$2, 'SEANCE 1'!$F:$F, AR$5))</f>
        <v/>
      </c>
      <c r="AS112" s="64" t="str">
        <f ca="1">IF(COUNTIFS('SEANCE 1'!$B:$B, $B112, 'SEANCE 1'!$C:$C, AS$2, 'SEANCE 1'!$F:$F, AS$5)=0, "", COUNTIFS('SEANCE 1'!$B:$B, $B112, 'SEANCE 1'!$C:$C, AS$2, 'SEANCE 1'!$F:$F, AS$5))</f>
        <v/>
      </c>
      <c r="AT112" s="64" t="str">
        <f ca="1">IF(COUNTIFS('SEANCE 1'!$B:$B, $B112, 'SEANCE 1'!$C:$C, AT$2, 'SEANCE 1'!$F:$F, AT$5)=0, "", COUNTIFS('SEANCE 1'!$B:$B, $B112, 'SEANCE 1'!$C:$C, AT$2, 'SEANCE 1'!$F:$F, AT$5))</f>
        <v/>
      </c>
      <c r="AU112" s="64" t="str">
        <f ca="1">IF(COUNTIFS('SEANCE 1'!$B:$B, $B112, 'SEANCE 1'!$C:$C, AU$2, 'SEANCE 1'!$F:$F, AU$5)=0, "", COUNTIFS('SEANCE 1'!$B:$B, $B112, 'SEANCE 1'!$C:$C, AU$2, 'SEANCE 1'!$F:$F, AU$5))</f>
        <v/>
      </c>
      <c r="AV112" s="64" t="str">
        <f ca="1">IF(COUNTIFS('SEANCE 1'!$B:$B, $B112, 'SEANCE 1'!$C:$C, AV$2, 'SEANCE 1'!$F:$F, AV$5)=0, "", COUNTIFS('SEANCE 1'!$B:$B, $B112, 'SEANCE 1'!$C:$C, AV$2, 'SEANCE 1'!$F:$F, AV$5))</f>
        <v/>
      </c>
      <c r="AW112" s="64" t="str">
        <f ca="1">IF(COUNTIFS('SEANCE 1'!$B:$B, $B112, 'SEANCE 1'!$C:$C, AW$2, 'SEANCE 1'!$F:$F, AW$5)=0, "", COUNTIFS('SEANCE 1'!$B:$B, $B112, 'SEANCE 1'!$C:$C, AW$2, 'SEANCE 1'!$F:$F, AW$5))</f>
        <v/>
      </c>
      <c r="AX112" s="64" t="str">
        <f ca="1">IF(COUNTIFS('SEANCE 1'!$B:$B, $B112, 'SEANCE 1'!$C:$C, AX$2, 'SEANCE 1'!$F:$F, AX$5)=0, "", COUNTIFS('SEANCE 1'!$B:$B, $B112, 'SEANCE 1'!$C:$C, AX$2, 'SEANCE 1'!$F:$F, AX$5))</f>
        <v/>
      </c>
      <c r="AY112" s="64" t="str">
        <f ca="1">IF(COUNTIFS('SEANCE 1'!$B:$B, $B112, 'SEANCE 1'!$C:$C, AY$2, 'SEANCE 1'!$F:$F, AY$5)=0, "", COUNTIFS('SEANCE 1'!$B:$B, $B112, 'SEANCE 1'!$C:$C, AY$2, 'SEANCE 1'!$F:$F, AY$5))</f>
        <v/>
      </c>
      <c r="AZ112" s="32">
        <f t="shared" ca="1" si="1"/>
        <v>0</v>
      </c>
    </row>
    <row r="113" spans="1:52">
      <c r="A113" s="44" t="str">
        <f>IF('SEANCE 1'!$B109&lt;&gt;"",'SEANCE 1'!$A109,"")</f>
        <v/>
      </c>
      <c r="B113" s="44" t="str">
        <f t="array" aca="1" ref="B113" ca="1">IF(ISNA(INDEX(ListeB,MATCH(0,COUNTIF($B$5:B112,ListeB),0))),"",INDEX(ListeB,MATCH(0,COUNTIF($B$5:B112,ListeB),0)))</f>
        <v/>
      </c>
      <c r="C113" s="64" t="str">
        <f ca="1">IF(COUNTIFS('SEANCE 1'!$B:$B, $B113, 'SEANCE 1'!$C:$C, C$2, 'SEANCE 1'!$F:$F, C$5)=0, "", COUNTIFS('SEANCE 1'!$B:$B, $B113, 'SEANCE 1'!$C:$C, C$2, 'SEANCE 1'!$F:$F, C$5))</f>
        <v/>
      </c>
      <c r="D113" s="64" t="str">
        <f ca="1">IF(COUNTIFS('SEANCE 1'!$B:$B, $B113, 'SEANCE 1'!$C:$C, D$2, 'SEANCE 1'!$F:$F, D$5)=0, "", COUNTIFS('SEANCE 1'!$B:$B, $B113, 'SEANCE 1'!$C:$C, D$2, 'SEANCE 1'!$F:$F, D$5))</f>
        <v/>
      </c>
      <c r="E113" s="64" t="str">
        <f ca="1">IF(COUNTIFS('SEANCE 1'!$B:$B, $B113, 'SEANCE 1'!$C:$C, E$2, 'SEANCE 1'!$F:$F, E$5)=0, "", COUNTIFS('SEANCE 1'!$B:$B, $B113, 'SEANCE 1'!$C:$C, E$2, 'SEANCE 1'!$F:$F, E$5))</f>
        <v/>
      </c>
      <c r="F113" s="64" t="str">
        <f ca="1">IF(COUNTIFS('SEANCE 1'!$B:$B, $B113, 'SEANCE 1'!$C:$C, F$2, 'SEANCE 1'!$F:$F, F$5)=0, "", COUNTIFS('SEANCE 1'!$B:$B, $B113, 'SEANCE 1'!$C:$C, F$2, 'SEANCE 1'!$F:$F, F$5))</f>
        <v/>
      </c>
      <c r="G113" s="64" t="str">
        <f ca="1">IF(COUNTIFS('SEANCE 1'!$B:$B, $B113, 'SEANCE 1'!$C:$C, G$2, 'SEANCE 1'!$F:$F, G$5)=0, "", COUNTIFS('SEANCE 1'!$B:$B, $B113, 'SEANCE 1'!$C:$C, G$2, 'SEANCE 1'!$F:$F, G$5))</f>
        <v/>
      </c>
      <c r="H113" s="64" t="str">
        <f ca="1">IF(COUNTIFS('SEANCE 1'!$B:$B, $B113, 'SEANCE 1'!$C:$C, H$2, 'SEANCE 1'!$F:$F, H$5)=0, "", COUNTIFS('SEANCE 1'!$B:$B, $B113, 'SEANCE 1'!$C:$C, H$2, 'SEANCE 1'!$F:$F, H$5))</f>
        <v/>
      </c>
      <c r="I113" s="64" t="str">
        <f ca="1">IF(COUNTIFS('SEANCE 1'!$B:$B, $B113, 'SEANCE 1'!$C:$C, I$2, 'SEANCE 1'!$F:$F, I$5)=0, "", COUNTIFS('SEANCE 1'!$B:$B, $B113, 'SEANCE 1'!$C:$C, I$2, 'SEANCE 1'!$F:$F, I$5))</f>
        <v/>
      </c>
      <c r="J113" s="64" t="str">
        <f ca="1">IF(COUNTIFS('SEANCE 1'!$B:$B, $B113, 'SEANCE 1'!$C:$C, J$2, 'SEANCE 1'!$F:$F, J$5)=0, "", COUNTIFS('SEANCE 1'!$B:$B, $B113, 'SEANCE 1'!$C:$C, J$2, 'SEANCE 1'!$F:$F, J$5))</f>
        <v/>
      </c>
      <c r="K113" s="64" t="str">
        <f ca="1">IF(COUNTIFS('SEANCE 1'!$B:$B, $B113, 'SEANCE 1'!$C:$C, K$2, 'SEANCE 1'!$F:$F, K$5)=0, "", COUNTIFS('SEANCE 1'!$B:$B, $B113, 'SEANCE 1'!$C:$C, K$2, 'SEANCE 1'!$F:$F, K$5))</f>
        <v/>
      </c>
      <c r="L113" s="64" t="str">
        <f ca="1">IF(COUNTIFS('SEANCE 1'!$B:$B, $B113, 'SEANCE 1'!$C:$C, L$2, 'SEANCE 1'!$F:$F, L$5)=0, "", COUNTIFS('SEANCE 1'!$B:$B, $B113, 'SEANCE 1'!$C:$C, L$2, 'SEANCE 1'!$F:$F, L$5))</f>
        <v/>
      </c>
      <c r="M113" s="64" t="str">
        <f ca="1">IF(COUNTIFS('SEANCE 1'!$B:$B, $B113, 'SEANCE 1'!$C:$C, M$2, 'SEANCE 1'!$F:$F, M$5)=0, "", COUNTIFS('SEANCE 1'!$B:$B, $B113, 'SEANCE 1'!$C:$C, M$2, 'SEANCE 1'!$F:$F, M$5))</f>
        <v/>
      </c>
      <c r="N113" s="64" t="str">
        <f ca="1">IF(COUNTIFS('SEANCE 1'!$B:$B, $B113, 'SEANCE 1'!$C:$C, N$2, 'SEANCE 1'!$F:$F, N$5)=0, "", COUNTIFS('SEANCE 1'!$B:$B, $B113, 'SEANCE 1'!$C:$C, N$2, 'SEANCE 1'!$F:$F, N$5))</f>
        <v/>
      </c>
      <c r="O113" s="64" t="str">
        <f ca="1">IF(COUNTIFS('SEANCE 1'!$B:$B, $B113, 'SEANCE 1'!$C:$C, O$2, 'SEANCE 1'!$F:$F, O$5)=0, "", COUNTIFS('SEANCE 1'!$B:$B, $B113, 'SEANCE 1'!$C:$C, O$2, 'SEANCE 1'!$F:$F, O$5))</f>
        <v/>
      </c>
      <c r="P113" s="64" t="str">
        <f ca="1">IF(COUNTIFS('SEANCE 1'!$B:$B, $B113, 'SEANCE 1'!$C:$C, P$2, 'SEANCE 1'!$F:$F, P$5)=0, "", COUNTIFS('SEANCE 1'!$B:$B, $B113, 'SEANCE 1'!$C:$C, P$2, 'SEANCE 1'!$F:$F, P$5))</f>
        <v/>
      </c>
      <c r="Q113" s="64" t="str">
        <f ca="1">IF(COUNTIFS('SEANCE 1'!$B:$B, $B113, 'SEANCE 1'!$C:$C, Q$2, 'SEANCE 1'!$F:$F, Q$5)=0, "", COUNTIFS('SEANCE 1'!$B:$B, $B113, 'SEANCE 1'!$C:$C, Q$2, 'SEANCE 1'!$F:$F, Q$5))</f>
        <v/>
      </c>
      <c r="R113" s="64" t="str">
        <f ca="1">IF(COUNTIFS('SEANCE 1'!$B:$B, $B113, 'SEANCE 1'!$C:$C, R$2, 'SEANCE 1'!$F:$F, R$5)=0, "", COUNTIFS('SEANCE 1'!$B:$B, $B113, 'SEANCE 1'!$C:$C, R$2, 'SEANCE 1'!$F:$F, R$5))</f>
        <v/>
      </c>
      <c r="S113" s="64" t="str">
        <f ca="1">IF(COUNTIFS('SEANCE 1'!$B:$B, $B113, 'SEANCE 1'!$C:$C, S$2, 'SEANCE 1'!$F:$F, S$5)=0, "", COUNTIFS('SEANCE 1'!$B:$B, $B113, 'SEANCE 1'!$C:$C, S$2, 'SEANCE 1'!$F:$F, S$5))</f>
        <v/>
      </c>
      <c r="T113" s="64" t="str">
        <f ca="1">IF(COUNTIFS('SEANCE 1'!$B:$B, $B113, 'SEANCE 1'!$C:$C, T$2, 'SEANCE 1'!$F:$F, T$5)=0, "", COUNTIFS('SEANCE 1'!$B:$B, $B113, 'SEANCE 1'!$C:$C, T$2, 'SEANCE 1'!$F:$F, T$5))</f>
        <v/>
      </c>
      <c r="U113" s="64" t="str">
        <f ca="1">IF(COUNTIFS('SEANCE 1'!$B:$B, $B113, 'SEANCE 1'!$C:$C, U$2, 'SEANCE 1'!$F:$F, U$5)=0, "", COUNTIFS('SEANCE 1'!$B:$B, $B113, 'SEANCE 1'!$C:$C, U$2, 'SEANCE 1'!$F:$F, U$5))</f>
        <v/>
      </c>
      <c r="V113" s="64" t="str">
        <f ca="1">IF(COUNTIFS('SEANCE 1'!$B:$B, $B113, 'SEANCE 1'!$C:$C, V$2, 'SEANCE 1'!$F:$F, V$5)=0, "", COUNTIFS('SEANCE 1'!$B:$B, $B113, 'SEANCE 1'!$C:$C, V$2, 'SEANCE 1'!$F:$F, V$5))</f>
        <v/>
      </c>
      <c r="W113" s="64" t="str">
        <f ca="1">IF(COUNTIFS('SEANCE 1'!$B:$B, $B113, 'SEANCE 1'!$C:$C, W$2, 'SEANCE 1'!$F:$F, W$5)=0, "", COUNTIFS('SEANCE 1'!$B:$B, $B113, 'SEANCE 1'!$C:$C, W$2, 'SEANCE 1'!$F:$F, W$5))</f>
        <v/>
      </c>
      <c r="X113" s="64" t="str">
        <f ca="1">IF(COUNTIFS('SEANCE 1'!$B:$B, $B113, 'SEANCE 1'!$C:$C, X$2, 'SEANCE 1'!$F:$F, X$5)=0, "", COUNTIFS('SEANCE 1'!$B:$B, $B113, 'SEANCE 1'!$C:$C, X$2, 'SEANCE 1'!$F:$F, X$5))</f>
        <v/>
      </c>
      <c r="Y113" s="64" t="str">
        <f ca="1">IF(COUNTIFS('SEANCE 1'!$B:$B, $B113, 'SEANCE 1'!$C:$C, Y$2, 'SEANCE 1'!$F:$F, Y$5)=0, "", COUNTIFS('SEANCE 1'!$B:$B, $B113, 'SEANCE 1'!$C:$C, Y$2, 'SEANCE 1'!$F:$F, Y$5))</f>
        <v/>
      </c>
      <c r="Z113" s="64" t="str">
        <f ca="1">IF(COUNTIFS('SEANCE 1'!$B:$B, $B113, 'SEANCE 1'!$C:$C, Z$2, 'SEANCE 1'!$F:$F, Z$5)=0, "", COUNTIFS('SEANCE 1'!$B:$B, $B113, 'SEANCE 1'!$C:$C, Z$2, 'SEANCE 1'!$F:$F, Z$5))</f>
        <v/>
      </c>
      <c r="AA113" s="64" t="str">
        <f ca="1">IF(COUNTIFS('SEANCE 1'!$B:$B, $B113, 'SEANCE 1'!$C:$C, AA$2, 'SEANCE 1'!$F:$F, AA$5)=0, "", COUNTIFS('SEANCE 1'!$B:$B, $B113, 'SEANCE 1'!$C:$C, AA$2, 'SEANCE 1'!$F:$F, AA$5))</f>
        <v/>
      </c>
      <c r="AB113" s="64" t="str">
        <f ca="1">IF(COUNTIFS('SEANCE 1'!$B:$B, $B113, 'SEANCE 1'!$C:$C, AB$2, 'SEANCE 1'!$F:$F, AB$5)=0, "", COUNTIFS('SEANCE 1'!$B:$B, $B113, 'SEANCE 1'!$C:$C, AB$2, 'SEANCE 1'!$F:$F, AB$5))</f>
        <v/>
      </c>
      <c r="AC113" s="64" t="str">
        <f ca="1">IF(COUNTIFS('SEANCE 1'!$B:$B, $B113, 'SEANCE 1'!$C:$C, AC$2, 'SEANCE 1'!$F:$F, AC$5)=0, "", COUNTIFS('SEANCE 1'!$B:$B, $B113, 'SEANCE 1'!$C:$C, AC$2, 'SEANCE 1'!$F:$F, AC$5))</f>
        <v/>
      </c>
      <c r="AD113" s="64" t="str">
        <f ca="1">IF(COUNTIFS('SEANCE 1'!$B:$B, $B113, 'SEANCE 1'!$C:$C, AD$2, 'SEANCE 1'!$F:$F, AD$5)=0, "", COUNTIFS('SEANCE 1'!$B:$B, $B113, 'SEANCE 1'!$C:$C, AD$2, 'SEANCE 1'!$F:$F, AD$5))</f>
        <v/>
      </c>
      <c r="AE113" s="64" t="str">
        <f ca="1">IF(COUNTIFS('SEANCE 1'!$B:$B, $B113, 'SEANCE 1'!$C:$C, AE$2, 'SEANCE 1'!$F:$F, AE$5)=0, "", COUNTIFS('SEANCE 1'!$B:$B, $B113, 'SEANCE 1'!$C:$C, AE$2, 'SEANCE 1'!$F:$F, AE$5))</f>
        <v/>
      </c>
      <c r="AF113" s="64" t="str">
        <f ca="1">IF(COUNTIFS('SEANCE 1'!$B:$B, $B113, 'SEANCE 1'!$C:$C, AF$2, 'SEANCE 1'!$F:$F, AF$5)=0, "", COUNTIFS('SEANCE 1'!$B:$B, $B113, 'SEANCE 1'!$C:$C, AF$2, 'SEANCE 1'!$F:$F, AF$5))</f>
        <v/>
      </c>
      <c r="AG113" s="64" t="str">
        <f ca="1">IF(COUNTIFS('SEANCE 1'!$B:$B, $B113, 'SEANCE 1'!$C:$C, AG$2, 'SEANCE 1'!$F:$F, AG$5)=0, "", COUNTIFS('SEANCE 1'!$B:$B, $B113, 'SEANCE 1'!$C:$C, AG$2, 'SEANCE 1'!$F:$F, AG$5))</f>
        <v/>
      </c>
      <c r="AH113" s="64" t="str">
        <f ca="1">IF(COUNTIFS('SEANCE 1'!$B:$B, $B113, 'SEANCE 1'!$C:$C, AH$2, 'SEANCE 1'!$F:$F, AH$5)=0, "", COUNTIFS('SEANCE 1'!$B:$B, $B113, 'SEANCE 1'!$C:$C, AH$2, 'SEANCE 1'!$F:$F, AH$5))</f>
        <v/>
      </c>
      <c r="AI113" s="64" t="str">
        <f ca="1">IF(COUNTIFS('SEANCE 1'!$B:$B, $B113, 'SEANCE 1'!$C:$C, AI$2, 'SEANCE 1'!$F:$F, AI$5)=0, "", COUNTIFS('SEANCE 1'!$B:$B, $B113, 'SEANCE 1'!$C:$C, AI$2, 'SEANCE 1'!$F:$F, AI$5))</f>
        <v/>
      </c>
      <c r="AJ113" s="64" t="str">
        <f ca="1">IF(COUNTIFS('SEANCE 1'!$B:$B, $B113, 'SEANCE 1'!$C:$C, AJ$2, 'SEANCE 1'!$F:$F, AJ$5)=0, "", COUNTIFS('SEANCE 1'!$B:$B, $B113, 'SEANCE 1'!$C:$C, AJ$2, 'SEANCE 1'!$F:$F, AJ$5))</f>
        <v/>
      </c>
      <c r="AK113" s="64" t="str">
        <f ca="1">IF(COUNTIFS('SEANCE 1'!$B:$B, $B113, 'SEANCE 1'!$C:$C, AK$2, 'SEANCE 1'!$F:$F, AK$5)=0, "", COUNTIFS('SEANCE 1'!$B:$B, $B113, 'SEANCE 1'!$C:$C, AK$2, 'SEANCE 1'!$F:$F, AK$5))</f>
        <v/>
      </c>
      <c r="AL113" s="64" t="str">
        <f ca="1">IF(COUNTIFS('SEANCE 1'!$B:$B, $B113, 'SEANCE 1'!$C:$C, AL$2, 'SEANCE 1'!$F:$F, AL$5)=0, "", COUNTIFS('SEANCE 1'!$B:$B, $B113, 'SEANCE 1'!$C:$C, AL$2, 'SEANCE 1'!$F:$F, AL$5))</f>
        <v/>
      </c>
      <c r="AM113" s="64" t="str">
        <f ca="1">IF(COUNTIFS('SEANCE 1'!$B:$B, $B113, 'SEANCE 1'!$C:$C, AM$2, 'SEANCE 1'!$F:$F, AM$5)=0, "", COUNTIFS('SEANCE 1'!$B:$B, $B113, 'SEANCE 1'!$C:$C, AM$2, 'SEANCE 1'!$F:$F, AM$5))</f>
        <v/>
      </c>
      <c r="AN113" s="64" t="str">
        <f ca="1">IF(COUNTIFS('SEANCE 1'!$B:$B, $B113, 'SEANCE 1'!$C:$C, AN$2, 'SEANCE 1'!$F:$F, AN$5)=0, "", COUNTIFS('SEANCE 1'!$B:$B, $B113, 'SEANCE 1'!$C:$C, AN$2, 'SEANCE 1'!$F:$F, AN$5))</f>
        <v/>
      </c>
      <c r="AO113" s="64" t="str">
        <f ca="1">IF(COUNTIFS('SEANCE 1'!$B:$B, $B113, 'SEANCE 1'!$C:$C, AO$2, 'SEANCE 1'!$F:$F, AO$5)=0, "", COUNTIFS('SEANCE 1'!$B:$B, $B113, 'SEANCE 1'!$C:$C, AO$2, 'SEANCE 1'!$F:$F, AO$5))</f>
        <v/>
      </c>
      <c r="AP113" s="64" t="str">
        <f ca="1">IF(COUNTIFS('SEANCE 1'!$B:$B, $B113, 'SEANCE 1'!$C:$C, AP$2, 'SEANCE 1'!$F:$F, AP$5)=0, "", COUNTIFS('SEANCE 1'!$B:$B, $B113, 'SEANCE 1'!$C:$C, AP$2, 'SEANCE 1'!$F:$F, AP$5))</f>
        <v/>
      </c>
      <c r="AQ113" s="64" t="str">
        <f ca="1">IF(COUNTIFS('SEANCE 1'!$B:$B, $B113, 'SEANCE 1'!$C:$C, AQ$2, 'SEANCE 1'!$F:$F, AQ$5)=0, "", COUNTIFS('SEANCE 1'!$B:$B, $B113, 'SEANCE 1'!$C:$C, AQ$2, 'SEANCE 1'!$F:$F, AQ$5))</f>
        <v/>
      </c>
      <c r="AR113" s="64" t="str">
        <f ca="1">IF(COUNTIFS('SEANCE 1'!$B:$B, $B113, 'SEANCE 1'!$C:$C, AR$2, 'SEANCE 1'!$F:$F, AR$5)=0, "", COUNTIFS('SEANCE 1'!$B:$B, $B113, 'SEANCE 1'!$C:$C, AR$2, 'SEANCE 1'!$F:$F, AR$5))</f>
        <v/>
      </c>
      <c r="AS113" s="64" t="str">
        <f ca="1">IF(COUNTIFS('SEANCE 1'!$B:$B, $B113, 'SEANCE 1'!$C:$C, AS$2, 'SEANCE 1'!$F:$F, AS$5)=0, "", COUNTIFS('SEANCE 1'!$B:$B, $B113, 'SEANCE 1'!$C:$C, AS$2, 'SEANCE 1'!$F:$F, AS$5))</f>
        <v/>
      </c>
      <c r="AT113" s="64" t="str">
        <f ca="1">IF(COUNTIFS('SEANCE 1'!$B:$B, $B113, 'SEANCE 1'!$C:$C, AT$2, 'SEANCE 1'!$F:$F, AT$5)=0, "", COUNTIFS('SEANCE 1'!$B:$B, $B113, 'SEANCE 1'!$C:$C, AT$2, 'SEANCE 1'!$F:$F, AT$5))</f>
        <v/>
      </c>
      <c r="AU113" s="64" t="str">
        <f ca="1">IF(COUNTIFS('SEANCE 1'!$B:$B, $B113, 'SEANCE 1'!$C:$C, AU$2, 'SEANCE 1'!$F:$F, AU$5)=0, "", COUNTIFS('SEANCE 1'!$B:$B, $B113, 'SEANCE 1'!$C:$C, AU$2, 'SEANCE 1'!$F:$F, AU$5))</f>
        <v/>
      </c>
      <c r="AV113" s="64" t="str">
        <f ca="1">IF(COUNTIFS('SEANCE 1'!$B:$B, $B113, 'SEANCE 1'!$C:$C, AV$2, 'SEANCE 1'!$F:$F, AV$5)=0, "", COUNTIFS('SEANCE 1'!$B:$B, $B113, 'SEANCE 1'!$C:$C, AV$2, 'SEANCE 1'!$F:$F, AV$5))</f>
        <v/>
      </c>
      <c r="AW113" s="64" t="str">
        <f ca="1">IF(COUNTIFS('SEANCE 1'!$B:$B, $B113, 'SEANCE 1'!$C:$C, AW$2, 'SEANCE 1'!$F:$F, AW$5)=0, "", COUNTIFS('SEANCE 1'!$B:$B, $B113, 'SEANCE 1'!$C:$C, AW$2, 'SEANCE 1'!$F:$F, AW$5))</f>
        <v/>
      </c>
      <c r="AX113" s="64" t="str">
        <f ca="1">IF(COUNTIFS('SEANCE 1'!$B:$B, $B113, 'SEANCE 1'!$C:$C, AX$2, 'SEANCE 1'!$F:$F, AX$5)=0, "", COUNTIFS('SEANCE 1'!$B:$B, $B113, 'SEANCE 1'!$C:$C, AX$2, 'SEANCE 1'!$F:$F, AX$5))</f>
        <v/>
      </c>
      <c r="AY113" s="64" t="str">
        <f ca="1">IF(COUNTIFS('SEANCE 1'!$B:$B, $B113, 'SEANCE 1'!$C:$C, AY$2, 'SEANCE 1'!$F:$F, AY$5)=0, "", COUNTIFS('SEANCE 1'!$B:$B, $B113, 'SEANCE 1'!$C:$C, AY$2, 'SEANCE 1'!$F:$F, AY$5))</f>
        <v/>
      </c>
      <c r="AZ113" s="32">
        <f t="shared" ca="1" si="1"/>
        <v>0</v>
      </c>
    </row>
    <row r="114" spans="1:52">
      <c r="A114" s="44" t="str">
        <f>IF('SEANCE 1'!$B110&lt;&gt;"",'SEANCE 1'!$A110,"")</f>
        <v/>
      </c>
      <c r="B114" s="44" t="str">
        <f t="array" aca="1" ref="B114" ca="1">IF(ISNA(INDEX(ListeB,MATCH(0,COUNTIF($B$5:B113,ListeB),0))),"",INDEX(ListeB,MATCH(0,COUNTIF($B$5:B113,ListeB),0)))</f>
        <v/>
      </c>
      <c r="C114" s="64" t="str">
        <f ca="1">IF(COUNTIFS('SEANCE 1'!$B:$B, $B114, 'SEANCE 1'!$C:$C, C$2, 'SEANCE 1'!$F:$F, C$5)=0, "", COUNTIFS('SEANCE 1'!$B:$B, $B114, 'SEANCE 1'!$C:$C, C$2, 'SEANCE 1'!$F:$F, C$5))</f>
        <v/>
      </c>
      <c r="D114" s="64" t="str">
        <f ca="1">IF(COUNTIFS('SEANCE 1'!$B:$B, $B114, 'SEANCE 1'!$C:$C, D$2, 'SEANCE 1'!$F:$F, D$5)=0, "", COUNTIFS('SEANCE 1'!$B:$B, $B114, 'SEANCE 1'!$C:$C, D$2, 'SEANCE 1'!$F:$F, D$5))</f>
        <v/>
      </c>
      <c r="E114" s="64" t="str">
        <f ca="1">IF(COUNTIFS('SEANCE 1'!$B:$B, $B114, 'SEANCE 1'!$C:$C, E$2, 'SEANCE 1'!$F:$F, E$5)=0, "", COUNTIFS('SEANCE 1'!$B:$B, $B114, 'SEANCE 1'!$C:$C, E$2, 'SEANCE 1'!$F:$F, E$5))</f>
        <v/>
      </c>
      <c r="F114" s="64" t="str">
        <f ca="1">IF(COUNTIFS('SEANCE 1'!$B:$B, $B114, 'SEANCE 1'!$C:$C, F$2, 'SEANCE 1'!$F:$F, F$5)=0, "", COUNTIFS('SEANCE 1'!$B:$B, $B114, 'SEANCE 1'!$C:$C, F$2, 'SEANCE 1'!$F:$F, F$5))</f>
        <v/>
      </c>
      <c r="G114" s="64" t="str">
        <f ca="1">IF(COUNTIFS('SEANCE 1'!$B:$B, $B114, 'SEANCE 1'!$C:$C, G$2, 'SEANCE 1'!$F:$F, G$5)=0, "", COUNTIFS('SEANCE 1'!$B:$B, $B114, 'SEANCE 1'!$C:$C, G$2, 'SEANCE 1'!$F:$F, G$5))</f>
        <v/>
      </c>
      <c r="H114" s="64" t="str">
        <f ca="1">IF(COUNTIFS('SEANCE 1'!$B:$B, $B114, 'SEANCE 1'!$C:$C, H$2, 'SEANCE 1'!$F:$F, H$5)=0, "", COUNTIFS('SEANCE 1'!$B:$B, $B114, 'SEANCE 1'!$C:$C, H$2, 'SEANCE 1'!$F:$F, H$5))</f>
        <v/>
      </c>
      <c r="I114" s="64" t="str">
        <f ca="1">IF(COUNTIFS('SEANCE 1'!$B:$B, $B114, 'SEANCE 1'!$C:$C, I$2, 'SEANCE 1'!$F:$F, I$5)=0, "", COUNTIFS('SEANCE 1'!$B:$B, $B114, 'SEANCE 1'!$C:$C, I$2, 'SEANCE 1'!$F:$F, I$5))</f>
        <v/>
      </c>
      <c r="J114" s="64" t="str">
        <f ca="1">IF(COUNTIFS('SEANCE 1'!$B:$B, $B114, 'SEANCE 1'!$C:$C, J$2, 'SEANCE 1'!$F:$F, J$5)=0, "", COUNTIFS('SEANCE 1'!$B:$B, $B114, 'SEANCE 1'!$C:$C, J$2, 'SEANCE 1'!$F:$F, J$5))</f>
        <v/>
      </c>
      <c r="K114" s="64" t="str">
        <f ca="1">IF(COUNTIFS('SEANCE 1'!$B:$B, $B114, 'SEANCE 1'!$C:$C, K$2, 'SEANCE 1'!$F:$F, K$5)=0, "", COUNTIFS('SEANCE 1'!$B:$B, $B114, 'SEANCE 1'!$C:$C, K$2, 'SEANCE 1'!$F:$F, K$5))</f>
        <v/>
      </c>
      <c r="L114" s="64" t="str">
        <f ca="1">IF(COUNTIFS('SEANCE 1'!$B:$B, $B114, 'SEANCE 1'!$C:$C, L$2, 'SEANCE 1'!$F:$F, L$5)=0, "", COUNTIFS('SEANCE 1'!$B:$B, $B114, 'SEANCE 1'!$C:$C, L$2, 'SEANCE 1'!$F:$F, L$5))</f>
        <v/>
      </c>
      <c r="M114" s="64" t="str">
        <f ca="1">IF(COUNTIFS('SEANCE 1'!$B:$B, $B114, 'SEANCE 1'!$C:$C, M$2, 'SEANCE 1'!$F:$F, M$5)=0, "", COUNTIFS('SEANCE 1'!$B:$B, $B114, 'SEANCE 1'!$C:$C, M$2, 'SEANCE 1'!$F:$F, M$5))</f>
        <v/>
      </c>
      <c r="N114" s="64" t="str">
        <f ca="1">IF(COUNTIFS('SEANCE 1'!$B:$B, $B114, 'SEANCE 1'!$C:$C, N$2, 'SEANCE 1'!$F:$F, N$5)=0, "", COUNTIFS('SEANCE 1'!$B:$B, $B114, 'SEANCE 1'!$C:$C, N$2, 'SEANCE 1'!$F:$F, N$5))</f>
        <v/>
      </c>
      <c r="O114" s="64" t="str">
        <f ca="1">IF(COUNTIFS('SEANCE 1'!$B:$B, $B114, 'SEANCE 1'!$C:$C, O$2, 'SEANCE 1'!$F:$F, O$5)=0, "", COUNTIFS('SEANCE 1'!$B:$B, $B114, 'SEANCE 1'!$C:$C, O$2, 'SEANCE 1'!$F:$F, O$5))</f>
        <v/>
      </c>
      <c r="P114" s="64" t="str">
        <f ca="1">IF(COUNTIFS('SEANCE 1'!$B:$B, $B114, 'SEANCE 1'!$C:$C, P$2, 'SEANCE 1'!$F:$F, P$5)=0, "", COUNTIFS('SEANCE 1'!$B:$B, $B114, 'SEANCE 1'!$C:$C, P$2, 'SEANCE 1'!$F:$F, P$5))</f>
        <v/>
      </c>
      <c r="Q114" s="64" t="str">
        <f ca="1">IF(COUNTIFS('SEANCE 1'!$B:$B, $B114, 'SEANCE 1'!$C:$C, Q$2, 'SEANCE 1'!$F:$F, Q$5)=0, "", COUNTIFS('SEANCE 1'!$B:$B, $B114, 'SEANCE 1'!$C:$C, Q$2, 'SEANCE 1'!$F:$F, Q$5))</f>
        <v/>
      </c>
      <c r="R114" s="64" t="str">
        <f ca="1">IF(COUNTIFS('SEANCE 1'!$B:$B, $B114, 'SEANCE 1'!$C:$C, R$2, 'SEANCE 1'!$F:$F, R$5)=0, "", COUNTIFS('SEANCE 1'!$B:$B, $B114, 'SEANCE 1'!$C:$C, R$2, 'SEANCE 1'!$F:$F, R$5))</f>
        <v/>
      </c>
      <c r="S114" s="64" t="str">
        <f ca="1">IF(COUNTIFS('SEANCE 1'!$B:$B, $B114, 'SEANCE 1'!$C:$C, S$2, 'SEANCE 1'!$F:$F, S$5)=0, "", COUNTIFS('SEANCE 1'!$B:$B, $B114, 'SEANCE 1'!$C:$C, S$2, 'SEANCE 1'!$F:$F, S$5))</f>
        <v/>
      </c>
      <c r="T114" s="64" t="str">
        <f ca="1">IF(COUNTIFS('SEANCE 1'!$B:$B, $B114, 'SEANCE 1'!$C:$C, T$2, 'SEANCE 1'!$F:$F, T$5)=0, "", COUNTIFS('SEANCE 1'!$B:$B, $B114, 'SEANCE 1'!$C:$C, T$2, 'SEANCE 1'!$F:$F, T$5))</f>
        <v/>
      </c>
      <c r="U114" s="64" t="str">
        <f ca="1">IF(COUNTIFS('SEANCE 1'!$B:$B, $B114, 'SEANCE 1'!$C:$C, U$2, 'SEANCE 1'!$F:$F, U$5)=0, "", COUNTIFS('SEANCE 1'!$B:$B, $B114, 'SEANCE 1'!$C:$C, U$2, 'SEANCE 1'!$F:$F, U$5))</f>
        <v/>
      </c>
      <c r="V114" s="64" t="str">
        <f ca="1">IF(COUNTIFS('SEANCE 1'!$B:$B, $B114, 'SEANCE 1'!$C:$C, V$2, 'SEANCE 1'!$F:$F, V$5)=0, "", COUNTIFS('SEANCE 1'!$B:$B, $B114, 'SEANCE 1'!$C:$C, V$2, 'SEANCE 1'!$F:$F, V$5))</f>
        <v/>
      </c>
      <c r="W114" s="64" t="str">
        <f ca="1">IF(COUNTIFS('SEANCE 1'!$B:$B, $B114, 'SEANCE 1'!$C:$C, W$2, 'SEANCE 1'!$F:$F, W$5)=0, "", COUNTIFS('SEANCE 1'!$B:$B, $B114, 'SEANCE 1'!$C:$C, W$2, 'SEANCE 1'!$F:$F, W$5))</f>
        <v/>
      </c>
      <c r="X114" s="64" t="str">
        <f ca="1">IF(COUNTIFS('SEANCE 1'!$B:$B, $B114, 'SEANCE 1'!$C:$C, X$2, 'SEANCE 1'!$F:$F, X$5)=0, "", COUNTIFS('SEANCE 1'!$B:$B, $B114, 'SEANCE 1'!$C:$C, X$2, 'SEANCE 1'!$F:$F, X$5))</f>
        <v/>
      </c>
      <c r="Y114" s="64" t="str">
        <f ca="1">IF(COUNTIFS('SEANCE 1'!$B:$B, $B114, 'SEANCE 1'!$C:$C, Y$2, 'SEANCE 1'!$F:$F, Y$5)=0, "", COUNTIFS('SEANCE 1'!$B:$B, $B114, 'SEANCE 1'!$C:$C, Y$2, 'SEANCE 1'!$F:$F, Y$5))</f>
        <v/>
      </c>
      <c r="Z114" s="64" t="str">
        <f ca="1">IF(COUNTIFS('SEANCE 1'!$B:$B, $B114, 'SEANCE 1'!$C:$C, Z$2, 'SEANCE 1'!$F:$F, Z$5)=0, "", COUNTIFS('SEANCE 1'!$B:$B, $B114, 'SEANCE 1'!$C:$C, Z$2, 'SEANCE 1'!$F:$F, Z$5))</f>
        <v/>
      </c>
      <c r="AA114" s="64" t="str">
        <f ca="1">IF(COUNTIFS('SEANCE 1'!$B:$B, $B114, 'SEANCE 1'!$C:$C, AA$2, 'SEANCE 1'!$F:$F, AA$5)=0, "", COUNTIFS('SEANCE 1'!$B:$B, $B114, 'SEANCE 1'!$C:$C, AA$2, 'SEANCE 1'!$F:$F, AA$5))</f>
        <v/>
      </c>
      <c r="AB114" s="64" t="str">
        <f ca="1">IF(COUNTIFS('SEANCE 1'!$B:$B, $B114, 'SEANCE 1'!$C:$C, AB$2, 'SEANCE 1'!$F:$F, AB$5)=0, "", COUNTIFS('SEANCE 1'!$B:$B, $B114, 'SEANCE 1'!$C:$C, AB$2, 'SEANCE 1'!$F:$F, AB$5))</f>
        <v/>
      </c>
      <c r="AC114" s="64" t="str">
        <f ca="1">IF(COUNTIFS('SEANCE 1'!$B:$B, $B114, 'SEANCE 1'!$C:$C, AC$2, 'SEANCE 1'!$F:$F, AC$5)=0, "", COUNTIFS('SEANCE 1'!$B:$B, $B114, 'SEANCE 1'!$C:$C, AC$2, 'SEANCE 1'!$F:$F, AC$5))</f>
        <v/>
      </c>
      <c r="AD114" s="64" t="str">
        <f ca="1">IF(COUNTIFS('SEANCE 1'!$B:$B, $B114, 'SEANCE 1'!$C:$C, AD$2, 'SEANCE 1'!$F:$F, AD$5)=0, "", COUNTIFS('SEANCE 1'!$B:$B, $B114, 'SEANCE 1'!$C:$C, AD$2, 'SEANCE 1'!$F:$F, AD$5))</f>
        <v/>
      </c>
      <c r="AE114" s="64" t="str">
        <f ca="1">IF(COUNTIFS('SEANCE 1'!$B:$B, $B114, 'SEANCE 1'!$C:$C, AE$2, 'SEANCE 1'!$F:$F, AE$5)=0, "", COUNTIFS('SEANCE 1'!$B:$B, $B114, 'SEANCE 1'!$C:$C, AE$2, 'SEANCE 1'!$F:$F, AE$5))</f>
        <v/>
      </c>
      <c r="AF114" s="64" t="str">
        <f ca="1">IF(COUNTIFS('SEANCE 1'!$B:$B, $B114, 'SEANCE 1'!$C:$C, AF$2, 'SEANCE 1'!$F:$F, AF$5)=0, "", COUNTIFS('SEANCE 1'!$B:$B, $B114, 'SEANCE 1'!$C:$C, AF$2, 'SEANCE 1'!$F:$F, AF$5))</f>
        <v/>
      </c>
      <c r="AG114" s="64" t="str">
        <f ca="1">IF(COUNTIFS('SEANCE 1'!$B:$B, $B114, 'SEANCE 1'!$C:$C, AG$2, 'SEANCE 1'!$F:$F, AG$5)=0, "", COUNTIFS('SEANCE 1'!$B:$B, $B114, 'SEANCE 1'!$C:$C, AG$2, 'SEANCE 1'!$F:$F, AG$5))</f>
        <v/>
      </c>
      <c r="AH114" s="64" t="str">
        <f ca="1">IF(COUNTIFS('SEANCE 1'!$B:$B, $B114, 'SEANCE 1'!$C:$C, AH$2, 'SEANCE 1'!$F:$F, AH$5)=0, "", COUNTIFS('SEANCE 1'!$B:$B, $B114, 'SEANCE 1'!$C:$C, AH$2, 'SEANCE 1'!$F:$F, AH$5))</f>
        <v/>
      </c>
      <c r="AI114" s="64" t="str">
        <f ca="1">IF(COUNTIFS('SEANCE 1'!$B:$B, $B114, 'SEANCE 1'!$C:$C, AI$2, 'SEANCE 1'!$F:$F, AI$5)=0, "", COUNTIFS('SEANCE 1'!$B:$B, $B114, 'SEANCE 1'!$C:$C, AI$2, 'SEANCE 1'!$F:$F, AI$5))</f>
        <v/>
      </c>
      <c r="AJ114" s="64" t="str">
        <f ca="1">IF(COUNTIFS('SEANCE 1'!$B:$B, $B114, 'SEANCE 1'!$C:$C, AJ$2, 'SEANCE 1'!$F:$F, AJ$5)=0, "", COUNTIFS('SEANCE 1'!$B:$B, $B114, 'SEANCE 1'!$C:$C, AJ$2, 'SEANCE 1'!$F:$F, AJ$5))</f>
        <v/>
      </c>
      <c r="AK114" s="64" t="str">
        <f ca="1">IF(COUNTIFS('SEANCE 1'!$B:$B, $B114, 'SEANCE 1'!$C:$C, AK$2, 'SEANCE 1'!$F:$F, AK$5)=0, "", COUNTIFS('SEANCE 1'!$B:$B, $B114, 'SEANCE 1'!$C:$C, AK$2, 'SEANCE 1'!$F:$F, AK$5))</f>
        <v/>
      </c>
      <c r="AL114" s="64" t="str">
        <f ca="1">IF(COUNTIFS('SEANCE 1'!$B:$B, $B114, 'SEANCE 1'!$C:$C, AL$2, 'SEANCE 1'!$F:$F, AL$5)=0, "", COUNTIFS('SEANCE 1'!$B:$B, $B114, 'SEANCE 1'!$C:$C, AL$2, 'SEANCE 1'!$F:$F, AL$5))</f>
        <v/>
      </c>
      <c r="AM114" s="64" t="str">
        <f ca="1">IF(COUNTIFS('SEANCE 1'!$B:$B, $B114, 'SEANCE 1'!$C:$C, AM$2, 'SEANCE 1'!$F:$F, AM$5)=0, "", COUNTIFS('SEANCE 1'!$B:$B, $B114, 'SEANCE 1'!$C:$C, AM$2, 'SEANCE 1'!$F:$F, AM$5))</f>
        <v/>
      </c>
      <c r="AN114" s="64" t="str">
        <f ca="1">IF(COUNTIFS('SEANCE 1'!$B:$B, $B114, 'SEANCE 1'!$C:$C, AN$2, 'SEANCE 1'!$F:$F, AN$5)=0, "", COUNTIFS('SEANCE 1'!$B:$B, $B114, 'SEANCE 1'!$C:$C, AN$2, 'SEANCE 1'!$F:$F, AN$5))</f>
        <v/>
      </c>
      <c r="AO114" s="64" t="str">
        <f ca="1">IF(COUNTIFS('SEANCE 1'!$B:$B, $B114, 'SEANCE 1'!$C:$C, AO$2, 'SEANCE 1'!$F:$F, AO$5)=0, "", COUNTIFS('SEANCE 1'!$B:$B, $B114, 'SEANCE 1'!$C:$C, AO$2, 'SEANCE 1'!$F:$F, AO$5))</f>
        <v/>
      </c>
      <c r="AP114" s="64" t="str">
        <f ca="1">IF(COUNTIFS('SEANCE 1'!$B:$B, $B114, 'SEANCE 1'!$C:$C, AP$2, 'SEANCE 1'!$F:$F, AP$5)=0, "", COUNTIFS('SEANCE 1'!$B:$B, $B114, 'SEANCE 1'!$C:$C, AP$2, 'SEANCE 1'!$F:$F, AP$5))</f>
        <v/>
      </c>
      <c r="AQ114" s="64" t="str">
        <f ca="1">IF(COUNTIFS('SEANCE 1'!$B:$B, $B114, 'SEANCE 1'!$C:$C, AQ$2, 'SEANCE 1'!$F:$F, AQ$5)=0, "", COUNTIFS('SEANCE 1'!$B:$B, $B114, 'SEANCE 1'!$C:$C, AQ$2, 'SEANCE 1'!$F:$F, AQ$5))</f>
        <v/>
      </c>
      <c r="AR114" s="64" t="str">
        <f ca="1">IF(COUNTIFS('SEANCE 1'!$B:$B, $B114, 'SEANCE 1'!$C:$C, AR$2, 'SEANCE 1'!$F:$F, AR$5)=0, "", COUNTIFS('SEANCE 1'!$B:$B, $B114, 'SEANCE 1'!$C:$C, AR$2, 'SEANCE 1'!$F:$F, AR$5))</f>
        <v/>
      </c>
      <c r="AS114" s="64" t="str">
        <f ca="1">IF(COUNTIFS('SEANCE 1'!$B:$B, $B114, 'SEANCE 1'!$C:$C, AS$2, 'SEANCE 1'!$F:$F, AS$5)=0, "", COUNTIFS('SEANCE 1'!$B:$B, $B114, 'SEANCE 1'!$C:$C, AS$2, 'SEANCE 1'!$F:$F, AS$5))</f>
        <v/>
      </c>
      <c r="AT114" s="64" t="str">
        <f ca="1">IF(COUNTIFS('SEANCE 1'!$B:$B, $B114, 'SEANCE 1'!$C:$C, AT$2, 'SEANCE 1'!$F:$F, AT$5)=0, "", COUNTIFS('SEANCE 1'!$B:$B, $B114, 'SEANCE 1'!$C:$C, AT$2, 'SEANCE 1'!$F:$F, AT$5))</f>
        <v/>
      </c>
      <c r="AU114" s="64" t="str">
        <f ca="1">IF(COUNTIFS('SEANCE 1'!$B:$B, $B114, 'SEANCE 1'!$C:$C, AU$2, 'SEANCE 1'!$F:$F, AU$5)=0, "", COUNTIFS('SEANCE 1'!$B:$B, $B114, 'SEANCE 1'!$C:$C, AU$2, 'SEANCE 1'!$F:$F, AU$5))</f>
        <v/>
      </c>
      <c r="AV114" s="64" t="str">
        <f ca="1">IF(COUNTIFS('SEANCE 1'!$B:$B, $B114, 'SEANCE 1'!$C:$C, AV$2, 'SEANCE 1'!$F:$F, AV$5)=0, "", COUNTIFS('SEANCE 1'!$B:$B, $B114, 'SEANCE 1'!$C:$C, AV$2, 'SEANCE 1'!$F:$F, AV$5))</f>
        <v/>
      </c>
      <c r="AW114" s="64" t="str">
        <f ca="1">IF(COUNTIFS('SEANCE 1'!$B:$B, $B114, 'SEANCE 1'!$C:$C, AW$2, 'SEANCE 1'!$F:$F, AW$5)=0, "", COUNTIFS('SEANCE 1'!$B:$B, $B114, 'SEANCE 1'!$C:$C, AW$2, 'SEANCE 1'!$F:$F, AW$5))</f>
        <v/>
      </c>
      <c r="AX114" s="64" t="str">
        <f ca="1">IF(COUNTIFS('SEANCE 1'!$B:$B, $B114, 'SEANCE 1'!$C:$C, AX$2, 'SEANCE 1'!$F:$F, AX$5)=0, "", COUNTIFS('SEANCE 1'!$B:$B, $B114, 'SEANCE 1'!$C:$C, AX$2, 'SEANCE 1'!$F:$F, AX$5))</f>
        <v/>
      </c>
      <c r="AY114" s="64" t="str">
        <f ca="1">IF(COUNTIFS('SEANCE 1'!$B:$B, $B114, 'SEANCE 1'!$C:$C, AY$2, 'SEANCE 1'!$F:$F, AY$5)=0, "", COUNTIFS('SEANCE 1'!$B:$B, $B114, 'SEANCE 1'!$C:$C, AY$2, 'SEANCE 1'!$F:$F, AY$5))</f>
        <v/>
      </c>
      <c r="AZ114" s="32">
        <f t="shared" ca="1" si="1"/>
        <v>0</v>
      </c>
    </row>
    <row r="115" spans="1:52">
      <c r="A115" s="44" t="str">
        <f>IF('SEANCE 1'!$B111&lt;&gt;"",'SEANCE 1'!$A111,"")</f>
        <v/>
      </c>
      <c r="B115" s="44" t="str">
        <f t="array" aca="1" ref="B115" ca="1">IF(ISNA(INDEX(ListeB,MATCH(0,COUNTIF($B$5:B114,ListeB),0))),"",INDEX(ListeB,MATCH(0,COUNTIF($B$5:B114,ListeB),0)))</f>
        <v/>
      </c>
      <c r="C115" s="64" t="str">
        <f ca="1">IF(COUNTIFS('SEANCE 1'!$B:$B, $B115, 'SEANCE 1'!$C:$C, C$2, 'SEANCE 1'!$F:$F, C$5)=0, "", COUNTIFS('SEANCE 1'!$B:$B, $B115, 'SEANCE 1'!$C:$C, C$2, 'SEANCE 1'!$F:$F, C$5))</f>
        <v/>
      </c>
      <c r="D115" s="64" t="str">
        <f ca="1">IF(COUNTIFS('SEANCE 1'!$B:$B, $B115, 'SEANCE 1'!$C:$C, D$2, 'SEANCE 1'!$F:$F, D$5)=0, "", COUNTIFS('SEANCE 1'!$B:$B, $B115, 'SEANCE 1'!$C:$C, D$2, 'SEANCE 1'!$F:$F, D$5))</f>
        <v/>
      </c>
      <c r="E115" s="64" t="str">
        <f ca="1">IF(COUNTIFS('SEANCE 1'!$B:$B, $B115, 'SEANCE 1'!$C:$C, E$2, 'SEANCE 1'!$F:$F, E$5)=0, "", COUNTIFS('SEANCE 1'!$B:$B, $B115, 'SEANCE 1'!$C:$C, E$2, 'SEANCE 1'!$F:$F, E$5))</f>
        <v/>
      </c>
      <c r="F115" s="64" t="str">
        <f ca="1">IF(COUNTIFS('SEANCE 1'!$B:$B, $B115, 'SEANCE 1'!$C:$C, F$2, 'SEANCE 1'!$F:$F, F$5)=0, "", COUNTIFS('SEANCE 1'!$B:$B, $B115, 'SEANCE 1'!$C:$C, F$2, 'SEANCE 1'!$F:$F, F$5))</f>
        <v/>
      </c>
      <c r="G115" s="64" t="str">
        <f ca="1">IF(COUNTIFS('SEANCE 1'!$B:$B, $B115, 'SEANCE 1'!$C:$C, G$2, 'SEANCE 1'!$F:$F, G$5)=0, "", COUNTIFS('SEANCE 1'!$B:$B, $B115, 'SEANCE 1'!$C:$C, G$2, 'SEANCE 1'!$F:$F, G$5))</f>
        <v/>
      </c>
      <c r="H115" s="64" t="str">
        <f ca="1">IF(COUNTIFS('SEANCE 1'!$B:$B, $B115, 'SEANCE 1'!$C:$C, H$2, 'SEANCE 1'!$F:$F, H$5)=0, "", COUNTIFS('SEANCE 1'!$B:$B, $B115, 'SEANCE 1'!$C:$C, H$2, 'SEANCE 1'!$F:$F, H$5))</f>
        <v/>
      </c>
      <c r="I115" s="64" t="str">
        <f ca="1">IF(COUNTIFS('SEANCE 1'!$B:$B, $B115, 'SEANCE 1'!$C:$C, I$2, 'SEANCE 1'!$F:$F, I$5)=0, "", COUNTIFS('SEANCE 1'!$B:$B, $B115, 'SEANCE 1'!$C:$C, I$2, 'SEANCE 1'!$F:$F, I$5))</f>
        <v/>
      </c>
      <c r="J115" s="64" t="str">
        <f ca="1">IF(COUNTIFS('SEANCE 1'!$B:$B, $B115, 'SEANCE 1'!$C:$C, J$2, 'SEANCE 1'!$F:$F, J$5)=0, "", COUNTIFS('SEANCE 1'!$B:$B, $B115, 'SEANCE 1'!$C:$C, J$2, 'SEANCE 1'!$F:$F, J$5))</f>
        <v/>
      </c>
      <c r="K115" s="64" t="str">
        <f ca="1">IF(COUNTIFS('SEANCE 1'!$B:$B, $B115, 'SEANCE 1'!$C:$C, K$2, 'SEANCE 1'!$F:$F, K$5)=0, "", COUNTIFS('SEANCE 1'!$B:$B, $B115, 'SEANCE 1'!$C:$C, K$2, 'SEANCE 1'!$F:$F, K$5))</f>
        <v/>
      </c>
      <c r="L115" s="64" t="str">
        <f ca="1">IF(COUNTIFS('SEANCE 1'!$B:$B, $B115, 'SEANCE 1'!$C:$C, L$2, 'SEANCE 1'!$F:$F, L$5)=0, "", COUNTIFS('SEANCE 1'!$B:$B, $B115, 'SEANCE 1'!$C:$C, L$2, 'SEANCE 1'!$F:$F, L$5))</f>
        <v/>
      </c>
      <c r="M115" s="64" t="str">
        <f ca="1">IF(COUNTIFS('SEANCE 1'!$B:$B, $B115, 'SEANCE 1'!$C:$C, M$2, 'SEANCE 1'!$F:$F, M$5)=0, "", COUNTIFS('SEANCE 1'!$B:$B, $B115, 'SEANCE 1'!$C:$C, M$2, 'SEANCE 1'!$F:$F, M$5))</f>
        <v/>
      </c>
      <c r="N115" s="64" t="str">
        <f ca="1">IF(COUNTIFS('SEANCE 1'!$B:$B, $B115, 'SEANCE 1'!$C:$C, N$2, 'SEANCE 1'!$F:$F, N$5)=0, "", COUNTIFS('SEANCE 1'!$B:$B, $B115, 'SEANCE 1'!$C:$C, N$2, 'SEANCE 1'!$F:$F, N$5))</f>
        <v/>
      </c>
      <c r="O115" s="64" t="str">
        <f ca="1">IF(COUNTIFS('SEANCE 1'!$B:$B, $B115, 'SEANCE 1'!$C:$C, O$2, 'SEANCE 1'!$F:$F, O$5)=0, "", COUNTIFS('SEANCE 1'!$B:$B, $B115, 'SEANCE 1'!$C:$C, O$2, 'SEANCE 1'!$F:$F, O$5))</f>
        <v/>
      </c>
      <c r="P115" s="64" t="str">
        <f ca="1">IF(COUNTIFS('SEANCE 1'!$B:$B, $B115, 'SEANCE 1'!$C:$C, P$2, 'SEANCE 1'!$F:$F, P$5)=0, "", COUNTIFS('SEANCE 1'!$B:$B, $B115, 'SEANCE 1'!$C:$C, P$2, 'SEANCE 1'!$F:$F, P$5))</f>
        <v/>
      </c>
      <c r="Q115" s="64" t="str">
        <f ca="1">IF(COUNTIFS('SEANCE 1'!$B:$B, $B115, 'SEANCE 1'!$C:$C, Q$2, 'SEANCE 1'!$F:$F, Q$5)=0, "", COUNTIFS('SEANCE 1'!$B:$B, $B115, 'SEANCE 1'!$C:$C, Q$2, 'SEANCE 1'!$F:$F, Q$5))</f>
        <v/>
      </c>
      <c r="R115" s="64" t="str">
        <f ca="1">IF(COUNTIFS('SEANCE 1'!$B:$B, $B115, 'SEANCE 1'!$C:$C, R$2, 'SEANCE 1'!$F:$F, R$5)=0, "", COUNTIFS('SEANCE 1'!$B:$B, $B115, 'SEANCE 1'!$C:$C, R$2, 'SEANCE 1'!$F:$F, R$5))</f>
        <v/>
      </c>
      <c r="S115" s="64" t="str">
        <f ca="1">IF(COUNTIFS('SEANCE 1'!$B:$B, $B115, 'SEANCE 1'!$C:$C, S$2, 'SEANCE 1'!$F:$F, S$5)=0, "", COUNTIFS('SEANCE 1'!$B:$B, $B115, 'SEANCE 1'!$C:$C, S$2, 'SEANCE 1'!$F:$F, S$5))</f>
        <v/>
      </c>
      <c r="T115" s="64" t="str">
        <f ca="1">IF(COUNTIFS('SEANCE 1'!$B:$B, $B115, 'SEANCE 1'!$C:$C, T$2, 'SEANCE 1'!$F:$F, T$5)=0, "", COUNTIFS('SEANCE 1'!$B:$B, $B115, 'SEANCE 1'!$C:$C, T$2, 'SEANCE 1'!$F:$F, T$5))</f>
        <v/>
      </c>
      <c r="U115" s="64" t="str">
        <f ca="1">IF(COUNTIFS('SEANCE 1'!$B:$B, $B115, 'SEANCE 1'!$C:$C, U$2, 'SEANCE 1'!$F:$F, U$5)=0, "", COUNTIFS('SEANCE 1'!$B:$B, $B115, 'SEANCE 1'!$C:$C, U$2, 'SEANCE 1'!$F:$F, U$5))</f>
        <v/>
      </c>
      <c r="V115" s="64" t="str">
        <f ca="1">IF(COUNTIFS('SEANCE 1'!$B:$B, $B115, 'SEANCE 1'!$C:$C, V$2, 'SEANCE 1'!$F:$F, V$5)=0, "", COUNTIFS('SEANCE 1'!$B:$B, $B115, 'SEANCE 1'!$C:$C, V$2, 'SEANCE 1'!$F:$F, V$5))</f>
        <v/>
      </c>
      <c r="W115" s="64" t="str">
        <f ca="1">IF(COUNTIFS('SEANCE 1'!$B:$B, $B115, 'SEANCE 1'!$C:$C, W$2, 'SEANCE 1'!$F:$F, W$5)=0, "", COUNTIFS('SEANCE 1'!$B:$B, $B115, 'SEANCE 1'!$C:$C, W$2, 'SEANCE 1'!$F:$F, W$5))</f>
        <v/>
      </c>
      <c r="X115" s="64" t="str">
        <f ca="1">IF(COUNTIFS('SEANCE 1'!$B:$B, $B115, 'SEANCE 1'!$C:$C, X$2, 'SEANCE 1'!$F:$F, X$5)=0, "", COUNTIFS('SEANCE 1'!$B:$B, $B115, 'SEANCE 1'!$C:$C, X$2, 'SEANCE 1'!$F:$F, X$5))</f>
        <v/>
      </c>
      <c r="Y115" s="64" t="str">
        <f ca="1">IF(COUNTIFS('SEANCE 1'!$B:$B, $B115, 'SEANCE 1'!$C:$C, Y$2, 'SEANCE 1'!$F:$F, Y$5)=0, "", COUNTIFS('SEANCE 1'!$B:$B, $B115, 'SEANCE 1'!$C:$C, Y$2, 'SEANCE 1'!$F:$F, Y$5))</f>
        <v/>
      </c>
      <c r="Z115" s="64" t="str">
        <f ca="1">IF(COUNTIFS('SEANCE 1'!$B:$B, $B115, 'SEANCE 1'!$C:$C, Z$2, 'SEANCE 1'!$F:$F, Z$5)=0, "", COUNTIFS('SEANCE 1'!$B:$B, $B115, 'SEANCE 1'!$C:$C, Z$2, 'SEANCE 1'!$F:$F, Z$5))</f>
        <v/>
      </c>
      <c r="AA115" s="64" t="str">
        <f ca="1">IF(COUNTIFS('SEANCE 1'!$B:$B, $B115, 'SEANCE 1'!$C:$C, AA$2, 'SEANCE 1'!$F:$F, AA$5)=0, "", COUNTIFS('SEANCE 1'!$B:$B, $B115, 'SEANCE 1'!$C:$C, AA$2, 'SEANCE 1'!$F:$F, AA$5))</f>
        <v/>
      </c>
      <c r="AB115" s="64" t="str">
        <f ca="1">IF(COUNTIFS('SEANCE 1'!$B:$B, $B115, 'SEANCE 1'!$C:$C, AB$2, 'SEANCE 1'!$F:$F, AB$5)=0, "", COUNTIFS('SEANCE 1'!$B:$B, $B115, 'SEANCE 1'!$C:$C, AB$2, 'SEANCE 1'!$F:$F, AB$5))</f>
        <v/>
      </c>
      <c r="AC115" s="64" t="str">
        <f ca="1">IF(COUNTIFS('SEANCE 1'!$B:$B, $B115, 'SEANCE 1'!$C:$C, AC$2, 'SEANCE 1'!$F:$F, AC$5)=0, "", COUNTIFS('SEANCE 1'!$B:$B, $B115, 'SEANCE 1'!$C:$C, AC$2, 'SEANCE 1'!$F:$F, AC$5))</f>
        <v/>
      </c>
      <c r="AD115" s="64" t="str">
        <f ca="1">IF(COUNTIFS('SEANCE 1'!$B:$B, $B115, 'SEANCE 1'!$C:$C, AD$2, 'SEANCE 1'!$F:$F, AD$5)=0, "", COUNTIFS('SEANCE 1'!$B:$B, $B115, 'SEANCE 1'!$C:$C, AD$2, 'SEANCE 1'!$F:$F, AD$5))</f>
        <v/>
      </c>
      <c r="AE115" s="64" t="str">
        <f ca="1">IF(COUNTIFS('SEANCE 1'!$B:$B, $B115, 'SEANCE 1'!$C:$C, AE$2, 'SEANCE 1'!$F:$F, AE$5)=0, "", COUNTIFS('SEANCE 1'!$B:$B, $B115, 'SEANCE 1'!$C:$C, AE$2, 'SEANCE 1'!$F:$F, AE$5))</f>
        <v/>
      </c>
      <c r="AF115" s="64" t="str">
        <f ca="1">IF(COUNTIFS('SEANCE 1'!$B:$B, $B115, 'SEANCE 1'!$C:$C, AF$2, 'SEANCE 1'!$F:$F, AF$5)=0, "", COUNTIFS('SEANCE 1'!$B:$B, $B115, 'SEANCE 1'!$C:$C, AF$2, 'SEANCE 1'!$F:$F, AF$5))</f>
        <v/>
      </c>
      <c r="AG115" s="64" t="str">
        <f ca="1">IF(COUNTIFS('SEANCE 1'!$B:$B, $B115, 'SEANCE 1'!$C:$C, AG$2, 'SEANCE 1'!$F:$F, AG$5)=0, "", COUNTIFS('SEANCE 1'!$B:$B, $B115, 'SEANCE 1'!$C:$C, AG$2, 'SEANCE 1'!$F:$F, AG$5))</f>
        <v/>
      </c>
      <c r="AH115" s="64" t="str">
        <f ca="1">IF(COUNTIFS('SEANCE 1'!$B:$B, $B115, 'SEANCE 1'!$C:$C, AH$2, 'SEANCE 1'!$F:$F, AH$5)=0, "", COUNTIFS('SEANCE 1'!$B:$B, $B115, 'SEANCE 1'!$C:$C, AH$2, 'SEANCE 1'!$F:$F, AH$5))</f>
        <v/>
      </c>
      <c r="AI115" s="64" t="str">
        <f ca="1">IF(COUNTIFS('SEANCE 1'!$B:$B, $B115, 'SEANCE 1'!$C:$C, AI$2, 'SEANCE 1'!$F:$F, AI$5)=0, "", COUNTIFS('SEANCE 1'!$B:$B, $B115, 'SEANCE 1'!$C:$C, AI$2, 'SEANCE 1'!$F:$F, AI$5))</f>
        <v/>
      </c>
      <c r="AJ115" s="64" t="str">
        <f ca="1">IF(COUNTIFS('SEANCE 1'!$B:$B, $B115, 'SEANCE 1'!$C:$C, AJ$2, 'SEANCE 1'!$F:$F, AJ$5)=0, "", COUNTIFS('SEANCE 1'!$B:$B, $B115, 'SEANCE 1'!$C:$C, AJ$2, 'SEANCE 1'!$F:$F, AJ$5))</f>
        <v/>
      </c>
      <c r="AK115" s="64" t="str">
        <f ca="1">IF(COUNTIFS('SEANCE 1'!$B:$B, $B115, 'SEANCE 1'!$C:$C, AK$2, 'SEANCE 1'!$F:$F, AK$5)=0, "", COUNTIFS('SEANCE 1'!$B:$B, $B115, 'SEANCE 1'!$C:$C, AK$2, 'SEANCE 1'!$F:$F, AK$5))</f>
        <v/>
      </c>
      <c r="AL115" s="64" t="str">
        <f ca="1">IF(COUNTIFS('SEANCE 1'!$B:$B, $B115, 'SEANCE 1'!$C:$C, AL$2, 'SEANCE 1'!$F:$F, AL$5)=0, "", COUNTIFS('SEANCE 1'!$B:$B, $B115, 'SEANCE 1'!$C:$C, AL$2, 'SEANCE 1'!$F:$F, AL$5))</f>
        <v/>
      </c>
      <c r="AM115" s="64" t="str">
        <f ca="1">IF(COUNTIFS('SEANCE 1'!$B:$B, $B115, 'SEANCE 1'!$C:$C, AM$2, 'SEANCE 1'!$F:$F, AM$5)=0, "", COUNTIFS('SEANCE 1'!$B:$B, $B115, 'SEANCE 1'!$C:$C, AM$2, 'SEANCE 1'!$F:$F, AM$5))</f>
        <v/>
      </c>
      <c r="AN115" s="64" t="str">
        <f ca="1">IF(COUNTIFS('SEANCE 1'!$B:$B, $B115, 'SEANCE 1'!$C:$C, AN$2, 'SEANCE 1'!$F:$F, AN$5)=0, "", COUNTIFS('SEANCE 1'!$B:$B, $B115, 'SEANCE 1'!$C:$C, AN$2, 'SEANCE 1'!$F:$F, AN$5))</f>
        <v/>
      </c>
      <c r="AO115" s="64" t="str">
        <f ca="1">IF(COUNTIFS('SEANCE 1'!$B:$B, $B115, 'SEANCE 1'!$C:$C, AO$2, 'SEANCE 1'!$F:$F, AO$5)=0, "", COUNTIFS('SEANCE 1'!$B:$B, $B115, 'SEANCE 1'!$C:$C, AO$2, 'SEANCE 1'!$F:$F, AO$5))</f>
        <v/>
      </c>
      <c r="AP115" s="64" t="str">
        <f ca="1">IF(COUNTIFS('SEANCE 1'!$B:$B, $B115, 'SEANCE 1'!$C:$C, AP$2, 'SEANCE 1'!$F:$F, AP$5)=0, "", COUNTIFS('SEANCE 1'!$B:$B, $B115, 'SEANCE 1'!$C:$C, AP$2, 'SEANCE 1'!$F:$F, AP$5))</f>
        <v/>
      </c>
      <c r="AQ115" s="64" t="str">
        <f ca="1">IF(COUNTIFS('SEANCE 1'!$B:$B, $B115, 'SEANCE 1'!$C:$C, AQ$2, 'SEANCE 1'!$F:$F, AQ$5)=0, "", COUNTIFS('SEANCE 1'!$B:$B, $B115, 'SEANCE 1'!$C:$C, AQ$2, 'SEANCE 1'!$F:$F, AQ$5))</f>
        <v/>
      </c>
      <c r="AR115" s="64" t="str">
        <f ca="1">IF(COUNTIFS('SEANCE 1'!$B:$B, $B115, 'SEANCE 1'!$C:$C, AR$2, 'SEANCE 1'!$F:$F, AR$5)=0, "", COUNTIFS('SEANCE 1'!$B:$B, $B115, 'SEANCE 1'!$C:$C, AR$2, 'SEANCE 1'!$F:$F, AR$5))</f>
        <v/>
      </c>
      <c r="AS115" s="64" t="str">
        <f ca="1">IF(COUNTIFS('SEANCE 1'!$B:$B, $B115, 'SEANCE 1'!$C:$C, AS$2, 'SEANCE 1'!$F:$F, AS$5)=0, "", COUNTIFS('SEANCE 1'!$B:$B, $B115, 'SEANCE 1'!$C:$C, AS$2, 'SEANCE 1'!$F:$F, AS$5))</f>
        <v/>
      </c>
      <c r="AT115" s="64" t="str">
        <f ca="1">IF(COUNTIFS('SEANCE 1'!$B:$B, $B115, 'SEANCE 1'!$C:$C, AT$2, 'SEANCE 1'!$F:$F, AT$5)=0, "", COUNTIFS('SEANCE 1'!$B:$B, $B115, 'SEANCE 1'!$C:$C, AT$2, 'SEANCE 1'!$F:$F, AT$5))</f>
        <v/>
      </c>
      <c r="AU115" s="64" t="str">
        <f ca="1">IF(COUNTIFS('SEANCE 1'!$B:$B, $B115, 'SEANCE 1'!$C:$C, AU$2, 'SEANCE 1'!$F:$F, AU$5)=0, "", COUNTIFS('SEANCE 1'!$B:$B, $B115, 'SEANCE 1'!$C:$C, AU$2, 'SEANCE 1'!$F:$F, AU$5))</f>
        <v/>
      </c>
      <c r="AV115" s="64" t="str">
        <f ca="1">IF(COUNTIFS('SEANCE 1'!$B:$B, $B115, 'SEANCE 1'!$C:$C, AV$2, 'SEANCE 1'!$F:$F, AV$5)=0, "", COUNTIFS('SEANCE 1'!$B:$B, $B115, 'SEANCE 1'!$C:$C, AV$2, 'SEANCE 1'!$F:$F, AV$5))</f>
        <v/>
      </c>
      <c r="AW115" s="64" t="str">
        <f ca="1">IF(COUNTIFS('SEANCE 1'!$B:$B, $B115, 'SEANCE 1'!$C:$C, AW$2, 'SEANCE 1'!$F:$F, AW$5)=0, "", COUNTIFS('SEANCE 1'!$B:$B, $B115, 'SEANCE 1'!$C:$C, AW$2, 'SEANCE 1'!$F:$F, AW$5))</f>
        <v/>
      </c>
      <c r="AX115" s="64" t="str">
        <f ca="1">IF(COUNTIFS('SEANCE 1'!$B:$B, $B115, 'SEANCE 1'!$C:$C, AX$2, 'SEANCE 1'!$F:$F, AX$5)=0, "", COUNTIFS('SEANCE 1'!$B:$B, $B115, 'SEANCE 1'!$C:$C, AX$2, 'SEANCE 1'!$F:$F, AX$5))</f>
        <v/>
      </c>
      <c r="AY115" s="64" t="str">
        <f ca="1">IF(COUNTIFS('SEANCE 1'!$B:$B, $B115, 'SEANCE 1'!$C:$C, AY$2, 'SEANCE 1'!$F:$F, AY$5)=0, "", COUNTIFS('SEANCE 1'!$B:$B, $B115, 'SEANCE 1'!$C:$C, AY$2, 'SEANCE 1'!$F:$F, AY$5))</f>
        <v/>
      </c>
      <c r="AZ115" s="32">
        <f t="shared" ca="1" si="1"/>
        <v>0</v>
      </c>
    </row>
    <row r="116" spans="1:52">
      <c r="A116" s="44" t="str">
        <f>IF('SEANCE 1'!$B112&lt;&gt;"",'SEANCE 1'!$A112,"")</f>
        <v/>
      </c>
      <c r="B116" s="44" t="str">
        <f t="array" aca="1" ref="B116" ca="1">IF(ISNA(INDEX(ListeB,MATCH(0,COUNTIF($B$5:B115,ListeB),0))),"",INDEX(ListeB,MATCH(0,COUNTIF($B$5:B115,ListeB),0)))</f>
        <v/>
      </c>
      <c r="C116" s="64" t="str">
        <f ca="1">IF(COUNTIFS('SEANCE 1'!$B:$B, $B116, 'SEANCE 1'!$C:$C, C$2, 'SEANCE 1'!$F:$F, C$5)=0, "", COUNTIFS('SEANCE 1'!$B:$B, $B116, 'SEANCE 1'!$C:$C, C$2, 'SEANCE 1'!$F:$F, C$5))</f>
        <v/>
      </c>
      <c r="D116" s="64" t="str">
        <f ca="1">IF(COUNTIFS('SEANCE 1'!$B:$B, $B116, 'SEANCE 1'!$C:$C, D$2, 'SEANCE 1'!$F:$F, D$5)=0, "", COUNTIFS('SEANCE 1'!$B:$B, $B116, 'SEANCE 1'!$C:$C, D$2, 'SEANCE 1'!$F:$F, D$5))</f>
        <v/>
      </c>
      <c r="E116" s="64" t="str">
        <f ca="1">IF(COUNTIFS('SEANCE 1'!$B:$B, $B116, 'SEANCE 1'!$C:$C, E$2, 'SEANCE 1'!$F:$F, E$5)=0, "", COUNTIFS('SEANCE 1'!$B:$B, $B116, 'SEANCE 1'!$C:$C, E$2, 'SEANCE 1'!$F:$F, E$5))</f>
        <v/>
      </c>
      <c r="F116" s="64" t="str">
        <f ca="1">IF(COUNTIFS('SEANCE 1'!$B:$B, $B116, 'SEANCE 1'!$C:$C, F$2, 'SEANCE 1'!$F:$F, F$5)=0, "", COUNTIFS('SEANCE 1'!$B:$B, $B116, 'SEANCE 1'!$C:$C, F$2, 'SEANCE 1'!$F:$F, F$5))</f>
        <v/>
      </c>
      <c r="G116" s="64" t="str">
        <f ca="1">IF(COUNTIFS('SEANCE 1'!$B:$B, $B116, 'SEANCE 1'!$C:$C, G$2, 'SEANCE 1'!$F:$F, G$5)=0, "", COUNTIFS('SEANCE 1'!$B:$B, $B116, 'SEANCE 1'!$C:$C, G$2, 'SEANCE 1'!$F:$F, G$5))</f>
        <v/>
      </c>
      <c r="H116" s="64" t="str">
        <f ca="1">IF(COUNTIFS('SEANCE 1'!$B:$B, $B116, 'SEANCE 1'!$C:$C, H$2, 'SEANCE 1'!$F:$F, H$5)=0, "", COUNTIFS('SEANCE 1'!$B:$B, $B116, 'SEANCE 1'!$C:$C, H$2, 'SEANCE 1'!$F:$F, H$5))</f>
        <v/>
      </c>
      <c r="I116" s="64" t="str">
        <f ca="1">IF(COUNTIFS('SEANCE 1'!$B:$B, $B116, 'SEANCE 1'!$C:$C, I$2, 'SEANCE 1'!$F:$F, I$5)=0, "", COUNTIFS('SEANCE 1'!$B:$B, $B116, 'SEANCE 1'!$C:$C, I$2, 'SEANCE 1'!$F:$F, I$5))</f>
        <v/>
      </c>
      <c r="J116" s="64" t="str">
        <f ca="1">IF(COUNTIFS('SEANCE 1'!$B:$B, $B116, 'SEANCE 1'!$C:$C, J$2, 'SEANCE 1'!$F:$F, J$5)=0, "", COUNTIFS('SEANCE 1'!$B:$B, $B116, 'SEANCE 1'!$C:$C, J$2, 'SEANCE 1'!$F:$F, J$5))</f>
        <v/>
      </c>
      <c r="K116" s="64" t="str">
        <f ca="1">IF(COUNTIFS('SEANCE 1'!$B:$B, $B116, 'SEANCE 1'!$C:$C, K$2, 'SEANCE 1'!$F:$F, K$5)=0, "", COUNTIFS('SEANCE 1'!$B:$B, $B116, 'SEANCE 1'!$C:$C, K$2, 'SEANCE 1'!$F:$F, K$5))</f>
        <v/>
      </c>
      <c r="L116" s="64" t="str">
        <f ca="1">IF(COUNTIFS('SEANCE 1'!$B:$B, $B116, 'SEANCE 1'!$C:$C, L$2, 'SEANCE 1'!$F:$F, L$5)=0, "", COUNTIFS('SEANCE 1'!$B:$B, $B116, 'SEANCE 1'!$C:$C, L$2, 'SEANCE 1'!$F:$F, L$5))</f>
        <v/>
      </c>
      <c r="M116" s="64" t="str">
        <f ca="1">IF(COUNTIFS('SEANCE 1'!$B:$B, $B116, 'SEANCE 1'!$C:$C, M$2, 'SEANCE 1'!$F:$F, M$5)=0, "", COUNTIFS('SEANCE 1'!$B:$B, $B116, 'SEANCE 1'!$C:$C, M$2, 'SEANCE 1'!$F:$F, M$5))</f>
        <v/>
      </c>
      <c r="N116" s="64" t="str">
        <f ca="1">IF(COUNTIFS('SEANCE 1'!$B:$B, $B116, 'SEANCE 1'!$C:$C, N$2, 'SEANCE 1'!$F:$F, N$5)=0, "", COUNTIFS('SEANCE 1'!$B:$B, $B116, 'SEANCE 1'!$C:$C, N$2, 'SEANCE 1'!$F:$F, N$5))</f>
        <v/>
      </c>
      <c r="O116" s="64" t="str">
        <f ca="1">IF(COUNTIFS('SEANCE 1'!$B:$B, $B116, 'SEANCE 1'!$C:$C, O$2, 'SEANCE 1'!$F:$F, O$5)=0, "", COUNTIFS('SEANCE 1'!$B:$B, $B116, 'SEANCE 1'!$C:$C, O$2, 'SEANCE 1'!$F:$F, O$5))</f>
        <v/>
      </c>
      <c r="P116" s="64" t="str">
        <f ca="1">IF(COUNTIFS('SEANCE 1'!$B:$B, $B116, 'SEANCE 1'!$C:$C, P$2, 'SEANCE 1'!$F:$F, P$5)=0, "", COUNTIFS('SEANCE 1'!$B:$B, $B116, 'SEANCE 1'!$C:$C, P$2, 'SEANCE 1'!$F:$F, P$5))</f>
        <v/>
      </c>
      <c r="Q116" s="64" t="str">
        <f ca="1">IF(COUNTIFS('SEANCE 1'!$B:$B, $B116, 'SEANCE 1'!$C:$C, Q$2, 'SEANCE 1'!$F:$F, Q$5)=0, "", COUNTIFS('SEANCE 1'!$B:$B, $B116, 'SEANCE 1'!$C:$C, Q$2, 'SEANCE 1'!$F:$F, Q$5))</f>
        <v/>
      </c>
      <c r="R116" s="64" t="str">
        <f ca="1">IF(COUNTIFS('SEANCE 1'!$B:$B, $B116, 'SEANCE 1'!$C:$C, R$2, 'SEANCE 1'!$F:$F, R$5)=0, "", COUNTIFS('SEANCE 1'!$B:$B, $B116, 'SEANCE 1'!$C:$C, R$2, 'SEANCE 1'!$F:$F, R$5))</f>
        <v/>
      </c>
      <c r="S116" s="64" t="str">
        <f ca="1">IF(COUNTIFS('SEANCE 1'!$B:$B, $B116, 'SEANCE 1'!$C:$C, S$2, 'SEANCE 1'!$F:$F, S$5)=0, "", COUNTIFS('SEANCE 1'!$B:$B, $B116, 'SEANCE 1'!$C:$C, S$2, 'SEANCE 1'!$F:$F, S$5))</f>
        <v/>
      </c>
      <c r="T116" s="64" t="str">
        <f ca="1">IF(COUNTIFS('SEANCE 1'!$B:$B, $B116, 'SEANCE 1'!$C:$C, T$2, 'SEANCE 1'!$F:$F, T$5)=0, "", COUNTIFS('SEANCE 1'!$B:$B, $B116, 'SEANCE 1'!$C:$C, T$2, 'SEANCE 1'!$F:$F, T$5))</f>
        <v/>
      </c>
      <c r="U116" s="64" t="str">
        <f ca="1">IF(COUNTIFS('SEANCE 1'!$B:$B, $B116, 'SEANCE 1'!$C:$C, U$2, 'SEANCE 1'!$F:$F, U$5)=0, "", COUNTIFS('SEANCE 1'!$B:$B, $B116, 'SEANCE 1'!$C:$C, U$2, 'SEANCE 1'!$F:$F, U$5))</f>
        <v/>
      </c>
      <c r="V116" s="64" t="str">
        <f ca="1">IF(COUNTIFS('SEANCE 1'!$B:$B, $B116, 'SEANCE 1'!$C:$C, V$2, 'SEANCE 1'!$F:$F, V$5)=0, "", COUNTIFS('SEANCE 1'!$B:$B, $B116, 'SEANCE 1'!$C:$C, V$2, 'SEANCE 1'!$F:$F, V$5))</f>
        <v/>
      </c>
      <c r="W116" s="64" t="str">
        <f ca="1">IF(COUNTIFS('SEANCE 1'!$B:$B, $B116, 'SEANCE 1'!$C:$C, W$2, 'SEANCE 1'!$F:$F, W$5)=0, "", COUNTIFS('SEANCE 1'!$B:$B, $B116, 'SEANCE 1'!$C:$C, W$2, 'SEANCE 1'!$F:$F, W$5))</f>
        <v/>
      </c>
      <c r="X116" s="64" t="str">
        <f ca="1">IF(COUNTIFS('SEANCE 1'!$B:$B, $B116, 'SEANCE 1'!$C:$C, X$2, 'SEANCE 1'!$F:$F, X$5)=0, "", COUNTIFS('SEANCE 1'!$B:$B, $B116, 'SEANCE 1'!$C:$C, X$2, 'SEANCE 1'!$F:$F, X$5))</f>
        <v/>
      </c>
      <c r="Y116" s="64" t="str">
        <f ca="1">IF(COUNTIFS('SEANCE 1'!$B:$B, $B116, 'SEANCE 1'!$C:$C, Y$2, 'SEANCE 1'!$F:$F, Y$5)=0, "", COUNTIFS('SEANCE 1'!$B:$B, $B116, 'SEANCE 1'!$C:$C, Y$2, 'SEANCE 1'!$F:$F, Y$5))</f>
        <v/>
      </c>
      <c r="Z116" s="64" t="str">
        <f ca="1">IF(COUNTIFS('SEANCE 1'!$B:$B, $B116, 'SEANCE 1'!$C:$C, Z$2, 'SEANCE 1'!$F:$F, Z$5)=0, "", COUNTIFS('SEANCE 1'!$B:$B, $B116, 'SEANCE 1'!$C:$C, Z$2, 'SEANCE 1'!$F:$F, Z$5))</f>
        <v/>
      </c>
      <c r="AA116" s="64" t="str">
        <f ca="1">IF(COUNTIFS('SEANCE 1'!$B:$B, $B116, 'SEANCE 1'!$C:$C, AA$2, 'SEANCE 1'!$F:$F, AA$5)=0, "", COUNTIFS('SEANCE 1'!$B:$B, $B116, 'SEANCE 1'!$C:$C, AA$2, 'SEANCE 1'!$F:$F, AA$5))</f>
        <v/>
      </c>
      <c r="AB116" s="64" t="str">
        <f ca="1">IF(COUNTIFS('SEANCE 1'!$B:$B, $B116, 'SEANCE 1'!$C:$C, AB$2, 'SEANCE 1'!$F:$F, AB$5)=0, "", COUNTIFS('SEANCE 1'!$B:$B, $B116, 'SEANCE 1'!$C:$C, AB$2, 'SEANCE 1'!$F:$F, AB$5))</f>
        <v/>
      </c>
      <c r="AC116" s="64" t="str">
        <f ca="1">IF(COUNTIFS('SEANCE 1'!$B:$B, $B116, 'SEANCE 1'!$C:$C, AC$2, 'SEANCE 1'!$F:$F, AC$5)=0, "", COUNTIFS('SEANCE 1'!$B:$B, $B116, 'SEANCE 1'!$C:$C, AC$2, 'SEANCE 1'!$F:$F, AC$5))</f>
        <v/>
      </c>
      <c r="AD116" s="64" t="str">
        <f ca="1">IF(COUNTIFS('SEANCE 1'!$B:$B, $B116, 'SEANCE 1'!$C:$C, AD$2, 'SEANCE 1'!$F:$F, AD$5)=0, "", COUNTIFS('SEANCE 1'!$B:$B, $B116, 'SEANCE 1'!$C:$C, AD$2, 'SEANCE 1'!$F:$F, AD$5))</f>
        <v/>
      </c>
      <c r="AE116" s="64" t="str">
        <f ca="1">IF(COUNTIFS('SEANCE 1'!$B:$B, $B116, 'SEANCE 1'!$C:$C, AE$2, 'SEANCE 1'!$F:$F, AE$5)=0, "", COUNTIFS('SEANCE 1'!$B:$B, $B116, 'SEANCE 1'!$C:$C, AE$2, 'SEANCE 1'!$F:$F, AE$5))</f>
        <v/>
      </c>
      <c r="AF116" s="64" t="str">
        <f ca="1">IF(COUNTIFS('SEANCE 1'!$B:$B, $B116, 'SEANCE 1'!$C:$C, AF$2, 'SEANCE 1'!$F:$F, AF$5)=0, "", COUNTIFS('SEANCE 1'!$B:$B, $B116, 'SEANCE 1'!$C:$C, AF$2, 'SEANCE 1'!$F:$F, AF$5))</f>
        <v/>
      </c>
      <c r="AG116" s="64" t="str">
        <f ca="1">IF(COUNTIFS('SEANCE 1'!$B:$B, $B116, 'SEANCE 1'!$C:$C, AG$2, 'SEANCE 1'!$F:$F, AG$5)=0, "", COUNTIFS('SEANCE 1'!$B:$B, $B116, 'SEANCE 1'!$C:$C, AG$2, 'SEANCE 1'!$F:$F, AG$5))</f>
        <v/>
      </c>
      <c r="AH116" s="64" t="str">
        <f ca="1">IF(COUNTIFS('SEANCE 1'!$B:$B, $B116, 'SEANCE 1'!$C:$C, AH$2, 'SEANCE 1'!$F:$F, AH$5)=0, "", COUNTIFS('SEANCE 1'!$B:$B, $B116, 'SEANCE 1'!$C:$C, AH$2, 'SEANCE 1'!$F:$F, AH$5))</f>
        <v/>
      </c>
      <c r="AI116" s="64" t="str">
        <f ca="1">IF(COUNTIFS('SEANCE 1'!$B:$B, $B116, 'SEANCE 1'!$C:$C, AI$2, 'SEANCE 1'!$F:$F, AI$5)=0, "", COUNTIFS('SEANCE 1'!$B:$B, $B116, 'SEANCE 1'!$C:$C, AI$2, 'SEANCE 1'!$F:$F, AI$5))</f>
        <v/>
      </c>
      <c r="AJ116" s="64" t="str">
        <f ca="1">IF(COUNTIFS('SEANCE 1'!$B:$B, $B116, 'SEANCE 1'!$C:$C, AJ$2, 'SEANCE 1'!$F:$F, AJ$5)=0, "", COUNTIFS('SEANCE 1'!$B:$B, $B116, 'SEANCE 1'!$C:$C, AJ$2, 'SEANCE 1'!$F:$F, AJ$5))</f>
        <v/>
      </c>
      <c r="AK116" s="64" t="str">
        <f ca="1">IF(COUNTIFS('SEANCE 1'!$B:$B, $B116, 'SEANCE 1'!$C:$C, AK$2, 'SEANCE 1'!$F:$F, AK$5)=0, "", COUNTIFS('SEANCE 1'!$B:$B, $B116, 'SEANCE 1'!$C:$C, AK$2, 'SEANCE 1'!$F:$F, AK$5))</f>
        <v/>
      </c>
      <c r="AL116" s="64" t="str">
        <f ca="1">IF(COUNTIFS('SEANCE 1'!$B:$B, $B116, 'SEANCE 1'!$C:$C, AL$2, 'SEANCE 1'!$F:$F, AL$5)=0, "", COUNTIFS('SEANCE 1'!$B:$B, $B116, 'SEANCE 1'!$C:$C, AL$2, 'SEANCE 1'!$F:$F, AL$5))</f>
        <v/>
      </c>
      <c r="AM116" s="64" t="str">
        <f ca="1">IF(COUNTIFS('SEANCE 1'!$B:$B, $B116, 'SEANCE 1'!$C:$C, AM$2, 'SEANCE 1'!$F:$F, AM$5)=0, "", COUNTIFS('SEANCE 1'!$B:$B, $B116, 'SEANCE 1'!$C:$C, AM$2, 'SEANCE 1'!$F:$F, AM$5))</f>
        <v/>
      </c>
      <c r="AN116" s="64" t="str">
        <f ca="1">IF(COUNTIFS('SEANCE 1'!$B:$B, $B116, 'SEANCE 1'!$C:$C, AN$2, 'SEANCE 1'!$F:$F, AN$5)=0, "", COUNTIFS('SEANCE 1'!$B:$B, $B116, 'SEANCE 1'!$C:$C, AN$2, 'SEANCE 1'!$F:$F, AN$5))</f>
        <v/>
      </c>
      <c r="AO116" s="64" t="str">
        <f ca="1">IF(COUNTIFS('SEANCE 1'!$B:$B, $B116, 'SEANCE 1'!$C:$C, AO$2, 'SEANCE 1'!$F:$F, AO$5)=0, "", COUNTIFS('SEANCE 1'!$B:$B, $B116, 'SEANCE 1'!$C:$C, AO$2, 'SEANCE 1'!$F:$F, AO$5))</f>
        <v/>
      </c>
      <c r="AP116" s="64" t="str">
        <f ca="1">IF(COUNTIFS('SEANCE 1'!$B:$B, $B116, 'SEANCE 1'!$C:$C, AP$2, 'SEANCE 1'!$F:$F, AP$5)=0, "", COUNTIFS('SEANCE 1'!$B:$B, $B116, 'SEANCE 1'!$C:$C, AP$2, 'SEANCE 1'!$F:$F, AP$5))</f>
        <v/>
      </c>
      <c r="AQ116" s="64" t="str">
        <f ca="1">IF(COUNTIFS('SEANCE 1'!$B:$B, $B116, 'SEANCE 1'!$C:$C, AQ$2, 'SEANCE 1'!$F:$F, AQ$5)=0, "", COUNTIFS('SEANCE 1'!$B:$B, $B116, 'SEANCE 1'!$C:$C, AQ$2, 'SEANCE 1'!$F:$F, AQ$5))</f>
        <v/>
      </c>
      <c r="AR116" s="64" t="str">
        <f ca="1">IF(COUNTIFS('SEANCE 1'!$B:$B, $B116, 'SEANCE 1'!$C:$C, AR$2, 'SEANCE 1'!$F:$F, AR$5)=0, "", COUNTIFS('SEANCE 1'!$B:$B, $B116, 'SEANCE 1'!$C:$C, AR$2, 'SEANCE 1'!$F:$F, AR$5))</f>
        <v/>
      </c>
      <c r="AS116" s="64" t="str">
        <f ca="1">IF(COUNTIFS('SEANCE 1'!$B:$B, $B116, 'SEANCE 1'!$C:$C, AS$2, 'SEANCE 1'!$F:$F, AS$5)=0, "", COUNTIFS('SEANCE 1'!$B:$B, $B116, 'SEANCE 1'!$C:$C, AS$2, 'SEANCE 1'!$F:$F, AS$5))</f>
        <v/>
      </c>
      <c r="AT116" s="64" t="str">
        <f ca="1">IF(COUNTIFS('SEANCE 1'!$B:$B, $B116, 'SEANCE 1'!$C:$C, AT$2, 'SEANCE 1'!$F:$F, AT$5)=0, "", COUNTIFS('SEANCE 1'!$B:$B, $B116, 'SEANCE 1'!$C:$C, AT$2, 'SEANCE 1'!$F:$F, AT$5))</f>
        <v/>
      </c>
      <c r="AU116" s="64" t="str">
        <f ca="1">IF(COUNTIFS('SEANCE 1'!$B:$B, $B116, 'SEANCE 1'!$C:$C, AU$2, 'SEANCE 1'!$F:$F, AU$5)=0, "", COUNTIFS('SEANCE 1'!$B:$B, $B116, 'SEANCE 1'!$C:$C, AU$2, 'SEANCE 1'!$F:$F, AU$5))</f>
        <v/>
      </c>
      <c r="AV116" s="64" t="str">
        <f ca="1">IF(COUNTIFS('SEANCE 1'!$B:$B, $B116, 'SEANCE 1'!$C:$C, AV$2, 'SEANCE 1'!$F:$F, AV$5)=0, "", COUNTIFS('SEANCE 1'!$B:$B, $B116, 'SEANCE 1'!$C:$C, AV$2, 'SEANCE 1'!$F:$F, AV$5))</f>
        <v/>
      </c>
      <c r="AW116" s="64" t="str">
        <f ca="1">IF(COUNTIFS('SEANCE 1'!$B:$B, $B116, 'SEANCE 1'!$C:$C, AW$2, 'SEANCE 1'!$F:$F, AW$5)=0, "", COUNTIFS('SEANCE 1'!$B:$B, $B116, 'SEANCE 1'!$C:$C, AW$2, 'SEANCE 1'!$F:$F, AW$5))</f>
        <v/>
      </c>
      <c r="AX116" s="64" t="str">
        <f ca="1">IF(COUNTIFS('SEANCE 1'!$B:$B, $B116, 'SEANCE 1'!$C:$C, AX$2, 'SEANCE 1'!$F:$F, AX$5)=0, "", COUNTIFS('SEANCE 1'!$B:$B, $B116, 'SEANCE 1'!$C:$C, AX$2, 'SEANCE 1'!$F:$F, AX$5))</f>
        <v/>
      </c>
      <c r="AY116" s="64" t="str">
        <f ca="1">IF(COUNTIFS('SEANCE 1'!$B:$B, $B116, 'SEANCE 1'!$C:$C, AY$2, 'SEANCE 1'!$F:$F, AY$5)=0, "", COUNTIFS('SEANCE 1'!$B:$B, $B116, 'SEANCE 1'!$C:$C, AY$2, 'SEANCE 1'!$F:$F, AY$5))</f>
        <v/>
      </c>
      <c r="AZ116" s="32">
        <f t="shared" ca="1" si="1"/>
        <v>0</v>
      </c>
    </row>
    <row r="117" spans="1:52">
      <c r="A117" s="44" t="str">
        <f>IF('SEANCE 1'!$B113&lt;&gt;"",'SEANCE 1'!$A113,"")</f>
        <v/>
      </c>
      <c r="B117" s="44" t="str">
        <f t="array" aca="1" ref="B117" ca="1">IF(ISNA(INDEX(ListeB,MATCH(0,COUNTIF($B$5:B116,ListeB),0))),"",INDEX(ListeB,MATCH(0,COUNTIF($B$5:B116,ListeB),0)))</f>
        <v/>
      </c>
      <c r="C117" s="64" t="str">
        <f ca="1">IF(COUNTIFS('SEANCE 1'!$B:$B, $B117, 'SEANCE 1'!$C:$C, C$2, 'SEANCE 1'!$F:$F, C$5)=0, "", COUNTIFS('SEANCE 1'!$B:$B, $B117, 'SEANCE 1'!$C:$C, C$2, 'SEANCE 1'!$F:$F, C$5))</f>
        <v/>
      </c>
      <c r="D117" s="64" t="str">
        <f ca="1">IF(COUNTIFS('SEANCE 1'!$B:$B, $B117, 'SEANCE 1'!$C:$C, D$2, 'SEANCE 1'!$F:$F, D$5)=0, "", COUNTIFS('SEANCE 1'!$B:$B, $B117, 'SEANCE 1'!$C:$C, D$2, 'SEANCE 1'!$F:$F, D$5))</f>
        <v/>
      </c>
      <c r="E117" s="64" t="str">
        <f ca="1">IF(COUNTIFS('SEANCE 1'!$B:$B, $B117, 'SEANCE 1'!$C:$C, E$2, 'SEANCE 1'!$F:$F, E$5)=0, "", COUNTIFS('SEANCE 1'!$B:$B, $B117, 'SEANCE 1'!$C:$C, E$2, 'SEANCE 1'!$F:$F, E$5))</f>
        <v/>
      </c>
      <c r="F117" s="64" t="str">
        <f ca="1">IF(COUNTIFS('SEANCE 1'!$B:$B, $B117, 'SEANCE 1'!$C:$C, F$2, 'SEANCE 1'!$F:$F, F$5)=0, "", COUNTIFS('SEANCE 1'!$B:$B, $B117, 'SEANCE 1'!$C:$C, F$2, 'SEANCE 1'!$F:$F, F$5))</f>
        <v/>
      </c>
      <c r="G117" s="64" t="str">
        <f ca="1">IF(COUNTIFS('SEANCE 1'!$B:$B, $B117, 'SEANCE 1'!$C:$C, G$2, 'SEANCE 1'!$F:$F, G$5)=0, "", COUNTIFS('SEANCE 1'!$B:$B, $B117, 'SEANCE 1'!$C:$C, G$2, 'SEANCE 1'!$F:$F, G$5))</f>
        <v/>
      </c>
      <c r="H117" s="64" t="str">
        <f ca="1">IF(COUNTIFS('SEANCE 1'!$B:$B, $B117, 'SEANCE 1'!$C:$C, H$2, 'SEANCE 1'!$F:$F, H$5)=0, "", COUNTIFS('SEANCE 1'!$B:$B, $B117, 'SEANCE 1'!$C:$C, H$2, 'SEANCE 1'!$F:$F, H$5))</f>
        <v/>
      </c>
      <c r="I117" s="64" t="str">
        <f ca="1">IF(COUNTIFS('SEANCE 1'!$B:$B, $B117, 'SEANCE 1'!$C:$C, I$2, 'SEANCE 1'!$F:$F, I$5)=0, "", COUNTIFS('SEANCE 1'!$B:$B, $B117, 'SEANCE 1'!$C:$C, I$2, 'SEANCE 1'!$F:$F, I$5))</f>
        <v/>
      </c>
      <c r="J117" s="64" t="str">
        <f ca="1">IF(COUNTIFS('SEANCE 1'!$B:$B, $B117, 'SEANCE 1'!$C:$C, J$2, 'SEANCE 1'!$F:$F, J$5)=0, "", COUNTIFS('SEANCE 1'!$B:$B, $B117, 'SEANCE 1'!$C:$C, J$2, 'SEANCE 1'!$F:$F, J$5))</f>
        <v/>
      </c>
      <c r="K117" s="64" t="str">
        <f ca="1">IF(COUNTIFS('SEANCE 1'!$B:$B, $B117, 'SEANCE 1'!$C:$C, K$2, 'SEANCE 1'!$F:$F, K$5)=0, "", COUNTIFS('SEANCE 1'!$B:$B, $B117, 'SEANCE 1'!$C:$C, K$2, 'SEANCE 1'!$F:$F, K$5))</f>
        <v/>
      </c>
      <c r="L117" s="64" t="str">
        <f ca="1">IF(COUNTIFS('SEANCE 1'!$B:$B, $B117, 'SEANCE 1'!$C:$C, L$2, 'SEANCE 1'!$F:$F, L$5)=0, "", COUNTIFS('SEANCE 1'!$B:$B, $B117, 'SEANCE 1'!$C:$C, L$2, 'SEANCE 1'!$F:$F, L$5))</f>
        <v/>
      </c>
      <c r="M117" s="64" t="str">
        <f ca="1">IF(COUNTIFS('SEANCE 1'!$B:$B, $B117, 'SEANCE 1'!$C:$C, M$2, 'SEANCE 1'!$F:$F, M$5)=0, "", COUNTIFS('SEANCE 1'!$B:$B, $B117, 'SEANCE 1'!$C:$C, M$2, 'SEANCE 1'!$F:$F, M$5))</f>
        <v/>
      </c>
      <c r="N117" s="64" t="str">
        <f ca="1">IF(COUNTIFS('SEANCE 1'!$B:$B, $B117, 'SEANCE 1'!$C:$C, N$2, 'SEANCE 1'!$F:$F, N$5)=0, "", COUNTIFS('SEANCE 1'!$B:$B, $B117, 'SEANCE 1'!$C:$C, N$2, 'SEANCE 1'!$F:$F, N$5))</f>
        <v/>
      </c>
      <c r="O117" s="64" t="str">
        <f ca="1">IF(COUNTIFS('SEANCE 1'!$B:$B, $B117, 'SEANCE 1'!$C:$C, O$2, 'SEANCE 1'!$F:$F, O$5)=0, "", COUNTIFS('SEANCE 1'!$B:$B, $B117, 'SEANCE 1'!$C:$C, O$2, 'SEANCE 1'!$F:$F, O$5))</f>
        <v/>
      </c>
      <c r="P117" s="64" t="str">
        <f ca="1">IF(COUNTIFS('SEANCE 1'!$B:$B, $B117, 'SEANCE 1'!$C:$C, P$2, 'SEANCE 1'!$F:$F, P$5)=0, "", COUNTIFS('SEANCE 1'!$B:$B, $B117, 'SEANCE 1'!$C:$C, P$2, 'SEANCE 1'!$F:$F, P$5))</f>
        <v/>
      </c>
      <c r="Q117" s="64" t="str">
        <f ca="1">IF(COUNTIFS('SEANCE 1'!$B:$B, $B117, 'SEANCE 1'!$C:$C, Q$2, 'SEANCE 1'!$F:$F, Q$5)=0, "", COUNTIFS('SEANCE 1'!$B:$B, $B117, 'SEANCE 1'!$C:$C, Q$2, 'SEANCE 1'!$F:$F, Q$5))</f>
        <v/>
      </c>
      <c r="R117" s="64" t="str">
        <f ca="1">IF(COUNTIFS('SEANCE 1'!$B:$B, $B117, 'SEANCE 1'!$C:$C, R$2, 'SEANCE 1'!$F:$F, R$5)=0, "", COUNTIFS('SEANCE 1'!$B:$B, $B117, 'SEANCE 1'!$C:$C, R$2, 'SEANCE 1'!$F:$F, R$5))</f>
        <v/>
      </c>
      <c r="S117" s="64" t="str">
        <f ca="1">IF(COUNTIFS('SEANCE 1'!$B:$B, $B117, 'SEANCE 1'!$C:$C, S$2, 'SEANCE 1'!$F:$F, S$5)=0, "", COUNTIFS('SEANCE 1'!$B:$B, $B117, 'SEANCE 1'!$C:$C, S$2, 'SEANCE 1'!$F:$F, S$5))</f>
        <v/>
      </c>
      <c r="T117" s="64" t="str">
        <f ca="1">IF(COUNTIFS('SEANCE 1'!$B:$B, $B117, 'SEANCE 1'!$C:$C, T$2, 'SEANCE 1'!$F:$F, T$5)=0, "", COUNTIFS('SEANCE 1'!$B:$B, $B117, 'SEANCE 1'!$C:$C, T$2, 'SEANCE 1'!$F:$F, T$5))</f>
        <v/>
      </c>
      <c r="U117" s="64" t="str">
        <f ca="1">IF(COUNTIFS('SEANCE 1'!$B:$B, $B117, 'SEANCE 1'!$C:$C, U$2, 'SEANCE 1'!$F:$F, U$5)=0, "", COUNTIFS('SEANCE 1'!$B:$B, $B117, 'SEANCE 1'!$C:$C, U$2, 'SEANCE 1'!$F:$F, U$5))</f>
        <v/>
      </c>
      <c r="V117" s="64" t="str">
        <f ca="1">IF(COUNTIFS('SEANCE 1'!$B:$B, $B117, 'SEANCE 1'!$C:$C, V$2, 'SEANCE 1'!$F:$F, V$5)=0, "", COUNTIFS('SEANCE 1'!$B:$B, $B117, 'SEANCE 1'!$C:$C, V$2, 'SEANCE 1'!$F:$F, V$5))</f>
        <v/>
      </c>
      <c r="W117" s="64" t="str">
        <f ca="1">IF(COUNTIFS('SEANCE 1'!$B:$B, $B117, 'SEANCE 1'!$C:$C, W$2, 'SEANCE 1'!$F:$F, W$5)=0, "", COUNTIFS('SEANCE 1'!$B:$B, $B117, 'SEANCE 1'!$C:$C, W$2, 'SEANCE 1'!$F:$F, W$5))</f>
        <v/>
      </c>
      <c r="X117" s="64" t="str">
        <f ca="1">IF(COUNTIFS('SEANCE 1'!$B:$B, $B117, 'SEANCE 1'!$C:$C, X$2, 'SEANCE 1'!$F:$F, X$5)=0, "", COUNTIFS('SEANCE 1'!$B:$B, $B117, 'SEANCE 1'!$C:$C, X$2, 'SEANCE 1'!$F:$F, X$5))</f>
        <v/>
      </c>
      <c r="Y117" s="64" t="str">
        <f ca="1">IF(COUNTIFS('SEANCE 1'!$B:$B, $B117, 'SEANCE 1'!$C:$C, Y$2, 'SEANCE 1'!$F:$F, Y$5)=0, "", COUNTIFS('SEANCE 1'!$B:$B, $B117, 'SEANCE 1'!$C:$C, Y$2, 'SEANCE 1'!$F:$F, Y$5))</f>
        <v/>
      </c>
      <c r="Z117" s="64" t="str">
        <f ca="1">IF(COUNTIFS('SEANCE 1'!$B:$B, $B117, 'SEANCE 1'!$C:$C, Z$2, 'SEANCE 1'!$F:$F, Z$5)=0, "", COUNTIFS('SEANCE 1'!$B:$B, $B117, 'SEANCE 1'!$C:$C, Z$2, 'SEANCE 1'!$F:$F, Z$5))</f>
        <v/>
      </c>
      <c r="AA117" s="64" t="str">
        <f ca="1">IF(COUNTIFS('SEANCE 1'!$B:$B, $B117, 'SEANCE 1'!$C:$C, AA$2, 'SEANCE 1'!$F:$F, AA$5)=0, "", COUNTIFS('SEANCE 1'!$B:$B, $B117, 'SEANCE 1'!$C:$C, AA$2, 'SEANCE 1'!$F:$F, AA$5))</f>
        <v/>
      </c>
      <c r="AB117" s="64" t="str">
        <f ca="1">IF(COUNTIFS('SEANCE 1'!$B:$B, $B117, 'SEANCE 1'!$C:$C, AB$2, 'SEANCE 1'!$F:$F, AB$5)=0, "", COUNTIFS('SEANCE 1'!$B:$B, $B117, 'SEANCE 1'!$C:$C, AB$2, 'SEANCE 1'!$F:$F, AB$5))</f>
        <v/>
      </c>
      <c r="AC117" s="64" t="str">
        <f ca="1">IF(COUNTIFS('SEANCE 1'!$B:$B, $B117, 'SEANCE 1'!$C:$C, AC$2, 'SEANCE 1'!$F:$F, AC$5)=0, "", COUNTIFS('SEANCE 1'!$B:$B, $B117, 'SEANCE 1'!$C:$C, AC$2, 'SEANCE 1'!$F:$F, AC$5))</f>
        <v/>
      </c>
      <c r="AD117" s="64" t="str">
        <f ca="1">IF(COUNTIFS('SEANCE 1'!$B:$B, $B117, 'SEANCE 1'!$C:$C, AD$2, 'SEANCE 1'!$F:$F, AD$5)=0, "", COUNTIFS('SEANCE 1'!$B:$B, $B117, 'SEANCE 1'!$C:$C, AD$2, 'SEANCE 1'!$F:$F, AD$5))</f>
        <v/>
      </c>
      <c r="AE117" s="64" t="str">
        <f ca="1">IF(COUNTIFS('SEANCE 1'!$B:$B, $B117, 'SEANCE 1'!$C:$C, AE$2, 'SEANCE 1'!$F:$F, AE$5)=0, "", COUNTIFS('SEANCE 1'!$B:$B, $B117, 'SEANCE 1'!$C:$C, AE$2, 'SEANCE 1'!$F:$F, AE$5))</f>
        <v/>
      </c>
      <c r="AF117" s="64" t="str">
        <f ca="1">IF(COUNTIFS('SEANCE 1'!$B:$B, $B117, 'SEANCE 1'!$C:$C, AF$2, 'SEANCE 1'!$F:$F, AF$5)=0, "", COUNTIFS('SEANCE 1'!$B:$B, $B117, 'SEANCE 1'!$C:$C, AF$2, 'SEANCE 1'!$F:$F, AF$5))</f>
        <v/>
      </c>
      <c r="AG117" s="64" t="str">
        <f ca="1">IF(COUNTIFS('SEANCE 1'!$B:$B, $B117, 'SEANCE 1'!$C:$C, AG$2, 'SEANCE 1'!$F:$F, AG$5)=0, "", COUNTIFS('SEANCE 1'!$B:$B, $B117, 'SEANCE 1'!$C:$C, AG$2, 'SEANCE 1'!$F:$F, AG$5))</f>
        <v/>
      </c>
      <c r="AH117" s="64" t="str">
        <f ca="1">IF(COUNTIFS('SEANCE 1'!$B:$B, $B117, 'SEANCE 1'!$C:$C, AH$2, 'SEANCE 1'!$F:$F, AH$5)=0, "", COUNTIFS('SEANCE 1'!$B:$B, $B117, 'SEANCE 1'!$C:$C, AH$2, 'SEANCE 1'!$F:$F, AH$5))</f>
        <v/>
      </c>
      <c r="AI117" s="64" t="str">
        <f ca="1">IF(COUNTIFS('SEANCE 1'!$B:$B, $B117, 'SEANCE 1'!$C:$C, AI$2, 'SEANCE 1'!$F:$F, AI$5)=0, "", COUNTIFS('SEANCE 1'!$B:$B, $B117, 'SEANCE 1'!$C:$C, AI$2, 'SEANCE 1'!$F:$F, AI$5))</f>
        <v/>
      </c>
      <c r="AJ117" s="64" t="str">
        <f ca="1">IF(COUNTIFS('SEANCE 1'!$B:$B, $B117, 'SEANCE 1'!$C:$C, AJ$2, 'SEANCE 1'!$F:$F, AJ$5)=0, "", COUNTIFS('SEANCE 1'!$B:$B, $B117, 'SEANCE 1'!$C:$C, AJ$2, 'SEANCE 1'!$F:$F, AJ$5))</f>
        <v/>
      </c>
      <c r="AK117" s="64" t="str">
        <f ca="1">IF(COUNTIFS('SEANCE 1'!$B:$B, $B117, 'SEANCE 1'!$C:$C, AK$2, 'SEANCE 1'!$F:$F, AK$5)=0, "", COUNTIFS('SEANCE 1'!$B:$B, $B117, 'SEANCE 1'!$C:$C, AK$2, 'SEANCE 1'!$F:$F, AK$5))</f>
        <v/>
      </c>
      <c r="AL117" s="64" t="str">
        <f ca="1">IF(COUNTIFS('SEANCE 1'!$B:$B, $B117, 'SEANCE 1'!$C:$C, AL$2, 'SEANCE 1'!$F:$F, AL$5)=0, "", COUNTIFS('SEANCE 1'!$B:$B, $B117, 'SEANCE 1'!$C:$C, AL$2, 'SEANCE 1'!$F:$F, AL$5))</f>
        <v/>
      </c>
      <c r="AM117" s="64" t="str">
        <f ca="1">IF(COUNTIFS('SEANCE 1'!$B:$B, $B117, 'SEANCE 1'!$C:$C, AM$2, 'SEANCE 1'!$F:$F, AM$5)=0, "", COUNTIFS('SEANCE 1'!$B:$B, $B117, 'SEANCE 1'!$C:$C, AM$2, 'SEANCE 1'!$F:$F, AM$5))</f>
        <v/>
      </c>
      <c r="AN117" s="64" t="str">
        <f ca="1">IF(COUNTIFS('SEANCE 1'!$B:$B, $B117, 'SEANCE 1'!$C:$C, AN$2, 'SEANCE 1'!$F:$F, AN$5)=0, "", COUNTIFS('SEANCE 1'!$B:$B, $B117, 'SEANCE 1'!$C:$C, AN$2, 'SEANCE 1'!$F:$F, AN$5))</f>
        <v/>
      </c>
      <c r="AO117" s="64" t="str">
        <f ca="1">IF(COUNTIFS('SEANCE 1'!$B:$B, $B117, 'SEANCE 1'!$C:$C, AO$2, 'SEANCE 1'!$F:$F, AO$5)=0, "", COUNTIFS('SEANCE 1'!$B:$B, $B117, 'SEANCE 1'!$C:$C, AO$2, 'SEANCE 1'!$F:$F, AO$5))</f>
        <v/>
      </c>
      <c r="AP117" s="64" t="str">
        <f ca="1">IF(COUNTIFS('SEANCE 1'!$B:$B, $B117, 'SEANCE 1'!$C:$C, AP$2, 'SEANCE 1'!$F:$F, AP$5)=0, "", COUNTIFS('SEANCE 1'!$B:$B, $B117, 'SEANCE 1'!$C:$C, AP$2, 'SEANCE 1'!$F:$F, AP$5))</f>
        <v/>
      </c>
      <c r="AQ117" s="64" t="str">
        <f ca="1">IF(COUNTIFS('SEANCE 1'!$B:$B, $B117, 'SEANCE 1'!$C:$C, AQ$2, 'SEANCE 1'!$F:$F, AQ$5)=0, "", COUNTIFS('SEANCE 1'!$B:$B, $B117, 'SEANCE 1'!$C:$C, AQ$2, 'SEANCE 1'!$F:$F, AQ$5))</f>
        <v/>
      </c>
      <c r="AR117" s="64" t="str">
        <f ca="1">IF(COUNTIFS('SEANCE 1'!$B:$B, $B117, 'SEANCE 1'!$C:$C, AR$2, 'SEANCE 1'!$F:$F, AR$5)=0, "", COUNTIFS('SEANCE 1'!$B:$B, $B117, 'SEANCE 1'!$C:$C, AR$2, 'SEANCE 1'!$F:$F, AR$5))</f>
        <v/>
      </c>
      <c r="AS117" s="64" t="str">
        <f ca="1">IF(COUNTIFS('SEANCE 1'!$B:$B, $B117, 'SEANCE 1'!$C:$C, AS$2, 'SEANCE 1'!$F:$F, AS$5)=0, "", COUNTIFS('SEANCE 1'!$B:$B, $B117, 'SEANCE 1'!$C:$C, AS$2, 'SEANCE 1'!$F:$F, AS$5))</f>
        <v/>
      </c>
      <c r="AT117" s="64" t="str">
        <f ca="1">IF(COUNTIFS('SEANCE 1'!$B:$B, $B117, 'SEANCE 1'!$C:$C, AT$2, 'SEANCE 1'!$F:$F, AT$5)=0, "", COUNTIFS('SEANCE 1'!$B:$B, $B117, 'SEANCE 1'!$C:$C, AT$2, 'SEANCE 1'!$F:$F, AT$5))</f>
        <v/>
      </c>
      <c r="AU117" s="64" t="str">
        <f ca="1">IF(COUNTIFS('SEANCE 1'!$B:$B, $B117, 'SEANCE 1'!$C:$C, AU$2, 'SEANCE 1'!$F:$F, AU$5)=0, "", COUNTIFS('SEANCE 1'!$B:$B, $B117, 'SEANCE 1'!$C:$C, AU$2, 'SEANCE 1'!$F:$F, AU$5))</f>
        <v/>
      </c>
      <c r="AV117" s="64" t="str">
        <f ca="1">IF(COUNTIFS('SEANCE 1'!$B:$B, $B117, 'SEANCE 1'!$C:$C, AV$2, 'SEANCE 1'!$F:$F, AV$5)=0, "", COUNTIFS('SEANCE 1'!$B:$B, $B117, 'SEANCE 1'!$C:$C, AV$2, 'SEANCE 1'!$F:$F, AV$5))</f>
        <v/>
      </c>
      <c r="AW117" s="64" t="str">
        <f ca="1">IF(COUNTIFS('SEANCE 1'!$B:$B, $B117, 'SEANCE 1'!$C:$C, AW$2, 'SEANCE 1'!$F:$F, AW$5)=0, "", COUNTIFS('SEANCE 1'!$B:$B, $B117, 'SEANCE 1'!$C:$C, AW$2, 'SEANCE 1'!$F:$F, AW$5))</f>
        <v/>
      </c>
      <c r="AX117" s="64" t="str">
        <f ca="1">IF(COUNTIFS('SEANCE 1'!$B:$B, $B117, 'SEANCE 1'!$C:$C, AX$2, 'SEANCE 1'!$F:$F, AX$5)=0, "", COUNTIFS('SEANCE 1'!$B:$B, $B117, 'SEANCE 1'!$C:$C, AX$2, 'SEANCE 1'!$F:$F, AX$5))</f>
        <v/>
      </c>
      <c r="AY117" s="64" t="str">
        <f ca="1">IF(COUNTIFS('SEANCE 1'!$B:$B, $B117, 'SEANCE 1'!$C:$C, AY$2, 'SEANCE 1'!$F:$F, AY$5)=0, "", COUNTIFS('SEANCE 1'!$B:$B, $B117, 'SEANCE 1'!$C:$C, AY$2, 'SEANCE 1'!$F:$F, AY$5))</f>
        <v/>
      </c>
      <c r="AZ117" s="32">
        <f t="shared" ca="1" si="1"/>
        <v>0</v>
      </c>
    </row>
    <row r="118" spans="1:52">
      <c r="A118" s="44" t="str">
        <f>IF('SEANCE 1'!$B114&lt;&gt;"",'SEANCE 1'!$A114,"")</f>
        <v/>
      </c>
      <c r="B118" s="44" t="str">
        <f t="array" aca="1" ref="B118" ca="1">IF(ISNA(INDEX(ListeB,MATCH(0,COUNTIF($B$5:B117,ListeB),0))),"",INDEX(ListeB,MATCH(0,COUNTIF($B$5:B117,ListeB),0)))</f>
        <v/>
      </c>
      <c r="C118" s="64" t="str">
        <f ca="1">IF(COUNTIFS('SEANCE 1'!$B:$B, $B118, 'SEANCE 1'!$C:$C, C$2, 'SEANCE 1'!$F:$F, C$5)=0, "", COUNTIFS('SEANCE 1'!$B:$B, $B118, 'SEANCE 1'!$C:$C, C$2, 'SEANCE 1'!$F:$F, C$5))</f>
        <v/>
      </c>
      <c r="D118" s="64" t="str">
        <f ca="1">IF(COUNTIFS('SEANCE 1'!$B:$B, $B118, 'SEANCE 1'!$C:$C, D$2, 'SEANCE 1'!$F:$F, D$5)=0, "", COUNTIFS('SEANCE 1'!$B:$B, $B118, 'SEANCE 1'!$C:$C, D$2, 'SEANCE 1'!$F:$F, D$5))</f>
        <v/>
      </c>
      <c r="E118" s="64" t="str">
        <f ca="1">IF(COUNTIFS('SEANCE 1'!$B:$B, $B118, 'SEANCE 1'!$C:$C, E$2, 'SEANCE 1'!$F:$F, E$5)=0, "", COUNTIFS('SEANCE 1'!$B:$B, $B118, 'SEANCE 1'!$C:$C, E$2, 'SEANCE 1'!$F:$F, E$5))</f>
        <v/>
      </c>
      <c r="F118" s="64" t="str">
        <f ca="1">IF(COUNTIFS('SEANCE 1'!$B:$B, $B118, 'SEANCE 1'!$C:$C, F$2, 'SEANCE 1'!$F:$F, F$5)=0, "", COUNTIFS('SEANCE 1'!$B:$B, $B118, 'SEANCE 1'!$C:$C, F$2, 'SEANCE 1'!$F:$F, F$5))</f>
        <v/>
      </c>
      <c r="G118" s="64" t="str">
        <f ca="1">IF(COUNTIFS('SEANCE 1'!$B:$B, $B118, 'SEANCE 1'!$C:$C, G$2, 'SEANCE 1'!$F:$F, G$5)=0, "", COUNTIFS('SEANCE 1'!$B:$B, $B118, 'SEANCE 1'!$C:$C, G$2, 'SEANCE 1'!$F:$F, G$5))</f>
        <v/>
      </c>
      <c r="H118" s="64" t="str">
        <f ca="1">IF(COUNTIFS('SEANCE 1'!$B:$B, $B118, 'SEANCE 1'!$C:$C, H$2, 'SEANCE 1'!$F:$F, H$5)=0, "", COUNTIFS('SEANCE 1'!$B:$B, $B118, 'SEANCE 1'!$C:$C, H$2, 'SEANCE 1'!$F:$F, H$5))</f>
        <v/>
      </c>
      <c r="I118" s="64" t="str">
        <f ca="1">IF(COUNTIFS('SEANCE 1'!$B:$B, $B118, 'SEANCE 1'!$C:$C, I$2, 'SEANCE 1'!$F:$F, I$5)=0, "", COUNTIFS('SEANCE 1'!$B:$B, $B118, 'SEANCE 1'!$C:$C, I$2, 'SEANCE 1'!$F:$F, I$5))</f>
        <v/>
      </c>
      <c r="J118" s="64" t="str">
        <f ca="1">IF(COUNTIFS('SEANCE 1'!$B:$B, $B118, 'SEANCE 1'!$C:$C, J$2, 'SEANCE 1'!$F:$F, J$5)=0, "", COUNTIFS('SEANCE 1'!$B:$B, $B118, 'SEANCE 1'!$C:$C, J$2, 'SEANCE 1'!$F:$F, J$5))</f>
        <v/>
      </c>
      <c r="K118" s="64" t="str">
        <f ca="1">IF(COUNTIFS('SEANCE 1'!$B:$B, $B118, 'SEANCE 1'!$C:$C, K$2, 'SEANCE 1'!$F:$F, K$5)=0, "", COUNTIFS('SEANCE 1'!$B:$B, $B118, 'SEANCE 1'!$C:$C, K$2, 'SEANCE 1'!$F:$F, K$5))</f>
        <v/>
      </c>
      <c r="L118" s="64" t="str">
        <f ca="1">IF(COUNTIFS('SEANCE 1'!$B:$B, $B118, 'SEANCE 1'!$C:$C, L$2, 'SEANCE 1'!$F:$F, L$5)=0, "", COUNTIFS('SEANCE 1'!$B:$B, $B118, 'SEANCE 1'!$C:$C, L$2, 'SEANCE 1'!$F:$F, L$5))</f>
        <v/>
      </c>
      <c r="M118" s="64" t="str">
        <f ca="1">IF(COUNTIFS('SEANCE 1'!$B:$B, $B118, 'SEANCE 1'!$C:$C, M$2, 'SEANCE 1'!$F:$F, M$5)=0, "", COUNTIFS('SEANCE 1'!$B:$B, $B118, 'SEANCE 1'!$C:$C, M$2, 'SEANCE 1'!$F:$F, M$5))</f>
        <v/>
      </c>
      <c r="N118" s="64" t="str">
        <f ca="1">IF(COUNTIFS('SEANCE 1'!$B:$B, $B118, 'SEANCE 1'!$C:$C, N$2, 'SEANCE 1'!$F:$F, N$5)=0, "", COUNTIFS('SEANCE 1'!$B:$B, $B118, 'SEANCE 1'!$C:$C, N$2, 'SEANCE 1'!$F:$F, N$5))</f>
        <v/>
      </c>
      <c r="O118" s="64" t="str">
        <f ca="1">IF(COUNTIFS('SEANCE 1'!$B:$B, $B118, 'SEANCE 1'!$C:$C, O$2, 'SEANCE 1'!$F:$F, O$5)=0, "", COUNTIFS('SEANCE 1'!$B:$B, $B118, 'SEANCE 1'!$C:$C, O$2, 'SEANCE 1'!$F:$F, O$5))</f>
        <v/>
      </c>
      <c r="P118" s="64" t="str">
        <f ca="1">IF(COUNTIFS('SEANCE 1'!$B:$B, $B118, 'SEANCE 1'!$C:$C, P$2, 'SEANCE 1'!$F:$F, P$5)=0, "", COUNTIFS('SEANCE 1'!$B:$B, $B118, 'SEANCE 1'!$C:$C, P$2, 'SEANCE 1'!$F:$F, P$5))</f>
        <v/>
      </c>
      <c r="Q118" s="64" t="str">
        <f ca="1">IF(COUNTIFS('SEANCE 1'!$B:$B, $B118, 'SEANCE 1'!$C:$C, Q$2, 'SEANCE 1'!$F:$F, Q$5)=0, "", COUNTIFS('SEANCE 1'!$B:$B, $B118, 'SEANCE 1'!$C:$C, Q$2, 'SEANCE 1'!$F:$F, Q$5))</f>
        <v/>
      </c>
      <c r="R118" s="64" t="str">
        <f ca="1">IF(COUNTIFS('SEANCE 1'!$B:$B, $B118, 'SEANCE 1'!$C:$C, R$2, 'SEANCE 1'!$F:$F, R$5)=0, "", COUNTIFS('SEANCE 1'!$B:$B, $B118, 'SEANCE 1'!$C:$C, R$2, 'SEANCE 1'!$F:$F, R$5))</f>
        <v/>
      </c>
      <c r="S118" s="64" t="str">
        <f ca="1">IF(COUNTIFS('SEANCE 1'!$B:$B, $B118, 'SEANCE 1'!$C:$C, S$2, 'SEANCE 1'!$F:$F, S$5)=0, "", COUNTIFS('SEANCE 1'!$B:$B, $B118, 'SEANCE 1'!$C:$C, S$2, 'SEANCE 1'!$F:$F, S$5))</f>
        <v/>
      </c>
      <c r="T118" s="64" t="str">
        <f ca="1">IF(COUNTIFS('SEANCE 1'!$B:$B, $B118, 'SEANCE 1'!$C:$C, T$2, 'SEANCE 1'!$F:$F, T$5)=0, "", COUNTIFS('SEANCE 1'!$B:$B, $B118, 'SEANCE 1'!$C:$C, T$2, 'SEANCE 1'!$F:$F, T$5))</f>
        <v/>
      </c>
      <c r="U118" s="64" t="str">
        <f ca="1">IF(COUNTIFS('SEANCE 1'!$B:$B, $B118, 'SEANCE 1'!$C:$C, U$2, 'SEANCE 1'!$F:$F, U$5)=0, "", COUNTIFS('SEANCE 1'!$B:$B, $B118, 'SEANCE 1'!$C:$C, U$2, 'SEANCE 1'!$F:$F, U$5))</f>
        <v/>
      </c>
      <c r="V118" s="64" t="str">
        <f ca="1">IF(COUNTIFS('SEANCE 1'!$B:$B, $B118, 'SEANCE 1'!$C:$C, V$2, 'SEANCE 1'!$F:$F, V$5)=0, "", COUNTIFS('SEANCE 1'!$B:$B, $B118, 'SEANCE 1'!$C:$C, V$2, 'SEANCE 1'!$F:$F, V$5))</f>
        <v/>
      </c>
      <c r="W118" s="64" t="str">
        <f ca="1">IF(COUNTIFS('SEANCE 1'!$B:$B, $B118, 'SEANCE 1'!$C:$C, W$2, 'SEANCE 1'!$F:$F, W$5)=0, "", COUNTIFS('SEANCE 1'!$B:$B, $B118, 'SEANCE 1'!$C:$C, W$2, 'SEANCE 1'!$F:$F, W$5))</f>
        <v/>
      </c>
      <c r="X118" s="64" t="str">
        <f ca="1">IF(COUNTIFS('SEANCE 1'!$B:$B, $B118, 'SEANCE 1'!$C:$C, X$2, 'SEANCE 1'!$F:$F, X$5)=0, "", COUNTIFS('SEANCE 1'!$B:$B, $B118, 'SEANCE 1'!$C:$C, X$2, 'SEANCE 1'!$F:$F, X$5))</f>
        <v/>
      </c>
      <c r="Y118" s="64" t="str">
        <f ca="1">IF(COUNTIFS('SEANCE 1'!$B:$B, $B118, 'SEANCE 1'!$C:$C, Y$2, 'SEANCE 1'!$F:$F, Y$5)=0, "", COUNTIFS('SEANCE 1'!$B:$B, $B118, 'SEANCE 1'!$C:$C, Y$2, 'SEANCE 1'!$F:$F, Y$5))</f>
        <v/>
      </c>
      <c r="Z118" s="64" t="str">
        <f ca="1">IF(COUNTIFS('SEANCE 1'!$B:$B, $B118, 'SEANCE 1'!$C:$C, Z$2, 'SEANCE 1'!$F:$F, Z$5)=0, "", COUNTIFS('SEANCE 1'!$B:$B, $B118, 'SEANCE 1'!$C:$C, Z$2, 'SEANCE 1'!$F:$F, Z$5))</f>
        <v/>
      </c>
      <c r="AA118" s="64" t="str">
        <f ca="1">IF(COUNTIFS('SEANCE 1'!$B:$B, $B118, 'SEANCE 1'!$C:$C, AA$2, 'SEANCE 1'!$F:$F, AA$5)=0, "", COUNTIFS('SEANCE 1'!$B:$B, $B118, 'SEANCE 1'!$C:$C, AA$2, 'SEANCE 1'!$F:$F, AA$5))</f>
        <v/>
      </c>
      <c r="AB118" s="64" t="str">
        <f ca="1">IF(COUNTIFS('SEANCE 1'!$B:$B, $B118, 'SEANCE 1'!$C:$C, AB$2, 'SEANCE 1'!$F:$F, AB$5)=0, "", COUNTIFS('SEANCE 1'!$B:$B, $B118, 'SEANCE 1'!$C:$C, AB$2, 'SEANCE 1'!$F:$F, AB$5))</f>
        <v/>
      </c>
      <c r="AC118" s="64" t="str">
        <f ca="1">IF(COUNTIFS('SEANCE 1'!$B:$B, $B118, 'SEANCE 1'!$C:$C, AC$2, 'SEANCE 1'!$F:$F, AC$5)=0, "", COUNTIFS('SEANCE 1'!$B:$B, $B118, 'SEANCE 1'!$C:$C, AC$2, 'SEANCE 1'!$F:$F, AC$5))</f>
        <v/>
      </c>
      <c r="AD118" s="64" t="str">
        <f ca="1">IF(COUNTIFS('SEANCE 1'!$B:$B, $B118, 'SEANCE 1'!$C:$C, AD$2, 'SEANCE 1'!$F:$F, AD$5)=0, "", COUNTIFS('SEANCE 1'!$B:$B, $B118, 'SEANCE 1'!$C:$C, AD$2, 'SEANCE 1'!$F:$F, AD$5))</f>
        <v/>
      </c>
      <c r="AE118" s="64" t="str">
        <f ca="1">IF(COUNTIFS('SEANCE 1'!$B:$B, $B118, 'SEANCE 1'!$C:$C, AE$2, 'SEANCE 1'!$F:$F, AE$5)=0, "", COUNTIFS('SEANCE 1'!$B:$B, $B118, 'SEANCE 1'!$C:$C, AE$2, 'SEANCE 1'!$F:$F, AE$5))</f>
        <v/>
      </c>
      <c r="AF118" s="64" t="str">
        <f ca="1">IF(COUNTIFS('SEANCE 1'!$B:$B, $B118, 'SEANCE 1'!$C:$C, AF$2, 'SEANCE 1'!$F:$F, AF$5)=0, "", COUNTIFS('SEANCE 1'!$B:$B, $B118, 'SEANCE 1'!$C:$C, AF$2, 'SEANCE 1'!$F:$F, AF$5))</f>
        <v/>
      </c>
      <c r="AG118" s="64" t="str">
        <f ca="1">IF(COUNTIFS('SEANCE 1'!$B:$B, $B118, 'SEANCE 1'!$C:$C, AG$2, 'SEANCE 1'!$F:$F, AG$5)=0, "", COUNTIFS('SEANCE 1'!$B:$B, $B118, 'SEANCE 1'!$C:$C, AG$2, 'SEANCE 1'!$F:$F, AG$5))</f>
        <v/>
      </c>
      <c r="AH118" s="64" t="str">
        <f ca="1">IF(COUNTIFS('SEANCE 1'!$B:$B, $B118, 'SEANCE 1'!$C:$C, AH$2, 'SEANCE 1'!$F:$F, AH$5)=0, "", COUNTIFS('SEANCE 1'!$B:$B, $B118, 'SEANCE 1'!$C:$C, AH$2, 'SEANCE 1'!$F:$F, AH$5))</f>
        <v/>
      </c>
      <c r="AI118" s="64" t="str">
        <f ca="1">IF(COUNTIFS('SEANCE 1'!$B:$B, $B118, 'SEANCE 1'!$C:$C, AI$2, 'SEANCE 1'!$F:$F, AI$5)=0, "", COUNTIFS('SEANCE 1'!$B:$B, $B118, 'SEANCE 1'!$C:$C, AI$2, 'SEANCE 1'!$F:$F, AI$5))</f>
        <v/>
      </c>
      <c r="AJ118" s="64" t="str">
        <f ca="1">IF(COUNTIFS('SEANCE 1'!$B:$B, $B118, 'SEANCE 1'!$C:$C, AJ$2, 'SEANCE 1'!$F:$F, AJ$5)=0, "", COUNTIFS('SEANCE 1'!$B:$B, $B118, 'SEANCE 1'!$C:$C, AJ$2, 'SEANCE 1'!$F:$F, AJ$5))</f>
        <v/>
      </c>
      <c r="AK118" s="64" t="str">
        <f ca="1">IF(COUNTIFS('SEANCE 1'!$B:$B, $B118, 'SEANCE 1'!$C:$C, AK$2, 'SEANCE 1'!$F:$F, AK$5)=0, "", COUNTIFS('SEANCE 1'!$B:$B, $B118, 'SEANCE 1'!$C:$C, AK$2, 'SEANCE 1'!$F:$F, AK$5))</f>
        <v/>
      </c>
      <c r="AL118" s="64" t="str">
        <f ca="1">IF(COUNTIFS('SEANCE 1'!$B:$B, $B118, 'SEANCE 1'!$C:$C, AL$2, 'SEANCE 1'!$F:$F, AL$5)=0, "", COUNTIFS('SEANCE 1'!$B:$B, $B118, 'SEANCE 1'!$C:$C, AL$2, 'SEANCE 1'!$F:$F, AL$5))</f>
        <v/>
      </c>
      <c r="AM118" s="64" t="str">
        <f ca="1">IF(COUNTIFS('SEANCE 1'!$B:$B, $B118, 'SEANCE 1'!$C:$C, AM$2, 'SEANCE 1'!$F:$F, AM$5)=0, "", COUNTIFS('SEANCE 1'!$B:$B, $B118, 'SEANCE 1'!$C:$C, AM$2, 'SEANCE 1'!$F:$F, AM$5))</f>
        <v/>
      </c>
      <c r="AN118" s="64" t="str">
        <f ca="1">IF(COUNTIFS('SEANCE 1'!$B:$B, $B118, 'SEANCE 1'!$C:$C, AN$2, 'SEANCE 1'!$F:$F, AN$5)=0, "", COUNTIFS('SEANCE 1'!$B:$B, $B118, 'SEANCE 1'!$C:$C, AN$2, 'SEANCE 1'!$F:$F, AN$5))</f>
        <v/>
      </c>
      <c r="AO118" s="64" t="str">
        <f ca="1">IF(COUNTIFS('SEANCE 1'!$B:$B, $B118, 'SEANCE 1'!$C:$C, AO$2, 'SEANCE 1'!$F:$F, AO$5)=0, "", COUNTIFS('SEANCE 1'!$B:$B, $B118, 'SEANCE 1'!$C:$C, AO$2, 'SEANCE 1'!$F:$F, AO$5))</f>
        <v/>
      </c>
      <c r="AP118" s="64" t="str">
        <f ca="1">IF(COUNTIFS('SEANCE 1'!$B:$B, $B118, 'SEANCE 1'!$C:$C, AP$2, 'SEANCE 1'!$F:$F, AP$5)=0, "", COUNTIFS('SEANCE 1'!$B:$B, $B118, 'SEANCE 1'!$C:$C, AP$2, 'SEANCE 1'!$F:$F, AP$5))</f>
        <v/>
      </c>
      <c r="AQ118" s="64" t="str">
        <f ca="1">IF(COUNTIFS('SEANCE 1'!$B:$B, $B118, 'SEANCE 1'!$C:$C, AQ$2, 'SEANCE 1'!$F:$F, AQ$5)=0, "", COUNTIFS('SEANCE 1'!$B:$B, $B118, 'SEANCE 1'!$C:$C, AQ$2, 'SEANCE 1'!$F:$F, AQ$5))</f>
        <v/>
      </c>
      <c r="AR118" s="64" t="str">
        <f ca="1">IF(COUNTIFS('SEANCE 1'!$B:$B, $B118, 'SEANCE 1'!$C:$C, AR$2, 'SEANCE 1'!$F:$F, AR$5)=0, "", COUNTIFS('SEANCE 1'!$B:$B, $B118, 'SEANCE 1'!$C:$C, AR$2, 'SEANCE 1'!$F:$F, AR$5))</f>
        <v/>
      </c>
      <c r="AS118" s="64" t="str">
        <f ca="1">IF(COUNTIFS('SEANCE 1'!$B:$B, $B118, 'SEANCE 1'!$C:$C, AS$2, 'SEANCE 1'!$F:$F, AS$5)=0, "", COUNTIFS('SEANCE 1'!$B:$B, $B118, 'SEANCE 1'!$C:$C, AS$2, 'SEANCE 1'!$F:$F, AS$5))</f>
        <v/>
      </c>
      <c r="AT118" s="64" t="str">
        <f ca="1">IF(COUNTIFS('SEANCE 1'!$B:$B, $B118, 'SEANCE 1'!$C:$C, AT$2, 'SEANCE 1'!$F:$F, AT$5)=0, "", COUNTIFS('SEANCE 1'!$B:$B, $B118, 'SEANCE 1'!$C:$C, AT$2, 'SEANCE 1'!$F:$F, AT$5))</f>
        <v/>
      </c>
      <c r="AU118" s="64" t="str">
        <f ca="1">IF(COUNTIFS('SEANCE 1'!$B:$B, $B118, 'SEANCE 1'!$C:$C, AU$2, 'SEANCE 1'!$F:$F, AU$5)=0, "", COUNTIFS('SEANCE 1'!$B:$B, $B118, 'SEANCE 1'!$C:$C, AU$2, 'SEANCE 1'!$F:$F, AU$5))</f>
        <v/>
      </c>
      <c r="AV118" s="64" t="str">
        <f ca="1">IF(COUNTIFS('SEANCE 1'!$B:$B, $B118, 'SEANCE 1'!$C:$C, AV$2, 'SEANCE 1'!$F:$F, AV$5)=0, "", COUNTIFS('SEANCE 1'!$B:$B, $B118, 'SEANCE 1'!$C:$C, AV$2, 'SEANCE 1'!$F:$F, AV$5))</f>
        <v/>
      </c>
      <c r="AW118" s="64" t="str">
        <f ca="1">IF(COUNTIFS('SEANCE 1'!$B:$B, $B118, 'SEANCE 1'!$C:$C, AW$2, 'SEANCE 1'!$F:$F, AW$5)=0, "", COUNTIFS('SEANCE 1'!$B:$B, $B118, 'SEANCE 1'!$C:$C, AW$2, 'SEANCE 1'!$F:$F, AW$5))</f>
        <v/>
      </c>
      <c r="AX118" s="64" t="str">
        <f ca="1">IF(COUNTIFS('SEANCE 1'!$B:$B, $B118, 'SEANCE 1'!$C:$C, AX$2, 'SEANCE 1'!$F:$F, AX$5)=0, "", COUNTIFS('SEANCE 1'!$B:$B, $B118, 'SEANCE 1'!$C:$C, AX$2, 'SEANCE 1'!$F:$F, AX$5))</f>
        <v/>
      </c>
      <c r="AY118" s="64" t="str">
        <f ca="1">IF(COUNTIFS('SEANCE 1'!$B:$B, $B118, 'SEANCE 1'!$C:$C, AY$2, 'SEANCE 1'!$F:$F, AY$5)=0, "", COUNTIFS('SEANCE 1'!$B:$B, $B118, 'SEANCE 1'!$C:$C, AY$2, 'SEANCE 1'!$F:$F, AY$5))</f>
        <v/>
      </c>
      <c r="AZ118" s="32">
        <f t="shared" ca="1" si="1"/>
        <v>0</v>
      </c>
    </row>
    <row r="119" spans="1:52">
      <c r="A119" s="44" t="str">
        <f>IF('SEANCE 1'!$B115&lt;&gt;"",'SEANCE 1'!$A115,"")</f>
        <v/>
      </c>
      <c r="B119" s="44" t="str">
        <f t="array" aca="1" ref="B119" ca="1">IF(ISNA(INDEX(ListeB,MATCH(0,COUNTIF($B$5:B118,ListeB),0))),"",INDEX(ListeB,MATCH(0,COUNTIF($B$5:B118,ListeB),0)))</f>
        <v/>
      </c>
      <c r="C119" s="64" t="str">
        <f ca="1">IF(COUNTIFS('SEANCE 1'!$B:$B, $B119, 'SEANCE 1'!$C:$C, C$2, 'SEANCE 1'!$F:$F, C$5)=0, "", COUNTIFS('SEANCE 1'!$B:$B, $B119, 'SEANCE 1'!$C:$C, C$2, 'SEANCE 1'!$F:$F, C$5))</f>
        <v/>
      </c>
      <c r="D119" s="64" t="str">
        <f ca="1">IF(COUNTIFS('SEANCE 1'!$B:$B, $B119, 'SEANCE 1'!$C:$C, D$2, 'SEANCE 1'!$F:$F, D$5)=0, "", COUNTIFS('SEANCE 1'!$B:$B, $B119, 'SEANCE 1'!$C:$C, D$2, 'SEANCE 1'!$F:$F, D$5))</f>
        <v/>
      </c>
      <c r="E119" s="64" t="str">
        <f ca="1">IF(COUNTIFS('SEANCE 1'!$B:$B, $B119, 'SEANCE 1'!$C:$C, E$2, 'SEANCE 1'!$F:$F, E$5)=0, "", COUNTIFS('SEANCE 1'!$B:$B, $B119, 'SEANCE 1'!$C:$C, E$2, 'SEANCE 1'!$F:$F, E$5))</f>
        <v/>
      </c>
      <c r="F119" s="64" t="str">
        <f ca="1">IF(COUNTIFS('SEANCE 1'!$B:$B, $B119, 'SEANCE 1'!$C:$C, F$2, 'SEANCE 1'!$F:$F, F$5)=0, "", COUNTIFS('SEANCE 1'!$B:$B, $B119, 'SEANCE 1'!$C:$C, F$2, 'SEANCE 1'!$F:$F, F$5))</f>
        <v/>
      </c>
      <c r="G119" s="64" t="str">
        <f ca="1">IF(COUNTIFS('SEANCE 1'!$B:$B, $B119, 'SEANCE 1'!$C:$C, G$2, 'SEANCE 1'!$F:$F, G$5)=0, "", COUNTIFS('SEANCE 1'!$B:$B, $B119, 'SEANCE 1'!$C:$C, G$2, 'SEANCE 1'!$F:$F, G$5))</f>
        <v/>
      </c>
      <c r="H119" s="64" t="str">
        <f ca="1">IF(COUNTIFS('SEANCE 1'!$B:$B, $B119, 'SEANCE 1'!$C:$C, H$2, 'SEANCE 1'!$F:$F, H$5)=0, "", COUNTIFS('SEANCE 1'!$B:$B, $B119, 'SEANCE 1'!$C:$C, H$2, 'SEANCE 1'!$F:$F, H$5))</f>
        <v/>
      </c>
      <c r="I119" s="64" t="str">
        <f ca="1">IF(COUNTIFS('SEANCE 1'!$B:$B, $B119, 'SEANCE 1'!$C:$C, I$2, 'SEANCE 1'!$F:$F, I$5)=0, "", COUNTIFS('SEANCE 1'!$B:$B, $B119, 'SEANCE 1'!$C:$C, I$2, 'SEANCE 1'!$F:$F, I$5))</f>
        <v/>
      </c>
      <c r="J119" s="64" t="str">
        <f ca="1">IF(COUNTIFS('SEANCE 1'!$B:$B, $B119, 'SEANCE 1'!$C:$C, J$2, 'SEANCE 1'!$F:$F, J$5)=0, "", COUNTIFS('SEANCE 1'!$B:$B, $B119, 'SEANCE 1'!$C:$C, J$2, 'SEANCE 1'!$F:$F, J$5))</f>
        <v/>
      </c>
      <c r="K119" s="64" t="str">
        <f ca="1">IF(COUNTIFS('SEANCE 1'!$B:$B, $B119, 'SEANCE 1'!$C:$C, K$2, 'SEANCE 1'!$F:$F, K$5)=0, "", COUNTIFS('SEANCE 1'!$B:$B, $B119, 'SEANCE 1'!$C:$C, K$2, 'SEANCE 1'!$F:$F, K$5))</f>
        <v/>
      </c>
      <c r="L119" s="64" t="str">
        <f ca="1">IF(COUNTIFS('SEANCE 1'!$B:$B, $B119, 'SEANCE 1'!$C:$C, L$2, 'SEANCE 1'!$F:$F, L$5)=0, "", COUNTIFS('SEANCE 1'!$B:$B, $B119, 'SEANCE 1'!$C:$C, L$2, 'SEANCE 1'!$F:$F, L$5))</f>
        <v/>
      </c>
      <c r="M119" s="64" t="str">
        <f ca="1">IF(COUNTIFS('SEANCE 1'!$B:$B, $B119, 'SEANCE 1'!$C:$C, M$2, 'SEANCE 1'!$F:$F, M$5)=0, "", COUNTIFS('SEANCE 1'!$B:$B, $B119, 'SEANCE 1'!$C:$C, M$2, 'SEANCE 1'!$F:$F, M$5))</f>
        <v/>
      </c>
      <c r="N119" s="64" t="str">
        <f ca="1">IF(COUNTIFS('SEANCE 1'!$B:$B, $B119, 'SEANCE 1'!$C:$C, N$2, 'SEANCE 1'!$F:$F, N$5)=0, "", COUNTIFS('SEANCE 1'!$B:$B, $B119, 'SEANCE 1'!$C:$C, N$2, 'SEANCE 1'!$F:$F, N$5))</f>
        <v/>
      </c>
      <c r="O119" s="64" t="str">
        <f ca="1">IF(COUNTIFS('SEANCE 1'!$B:$B, $B119, 'SEANCE 1'!$C:$C, O$2, 'SEANCE 1'!$F:$F, O$5)=0, "", COUNTIFS('SEANCE 1'!$B:$B, $B119, 'SEANCE 1'!$C:$C, O$2, 'SEANCE 1'!$F:$F, O$5))</f>
        <v/>
      </c>
      <c r="P119" s="64" t="str">
        <f ca="1">IF(COUNTIFS('SEANCE 1'!$B:$B, $B119, 'SEANCE 1'!$C:$C, P$2, 'SEANCE 1'!$F:$F, P$5)=0, "", COUNTIFS('SEANCE 1'!$B:$B, $B119, 'SEANCE 1'!$C:$C, P$2, 'SEANCE 1'!$F:$F, P$5))</f>
        <v/>
      </c>
      <c r="Q119" s="64" t="str">
        <f ca="1">IF(COUNTIFS('SEANCE 1'!$B:$B, $B119, 'SEANCE 1'!$C:$C, Q$2, 'SEANCE 1'!$F:$F, Q$5)=0, "", COUNTIFS('SEANCE 1'!$B:$B, $B119, 'SEANCE 1'!$C:$C, Q$2, 'SEANCE 1'!$F:$F, Q$5))</f>
        <v/>
      </c>
      <c r="R119" s="64" t="str">
        <f ca="1">IF(COUNTIFS('SEANCE 1'!$B:$B, $B119, 'SEANCE 1'!$C:$C, R$2, 'SEANCE 1'!$F:$F, R$5)=0, "", COUNTIFS('SEANCE 1'!$B:$B, $B119, 'SEANCE 1'!$C:$C, R$2, 'SEANCE 1'!$F:$F, R$5))</f>
        <v/>
      </c>
      <c r="S119" s="64" t="str">
        <f ca="1">IF(COUNTIFS('SEANCE 1'!$B:$B, $B119, 'SEANCE 1'!$C:$C, S$2, 'SEANCE 1'!$F:$F, S$5)=0, "", COUNTIFS('SEANCE 1'!$B:$B, $B119, 'SEANCE 1'!$C:$C, S$2, 'SEANCE 1'!$F:$F, S$5))</f>
        <v/>
      </c>
      <c r="T119" s="64" t="str">
        <f ca="1">IF(COUNTIFS('SEANCE 1'!$B:$B, $B119, 'SEANCE 1'!$C:$C, T$2, 'SEANCE 1'!$F:$F, T$5)=0, "", COUNTIFS('SEANCE 1'!$B:$B, $B119, 'SEANCE 1'!$C:$C, T$2, 'SEANCE 1'!$F:$F, T$5))</f>
        <v/>
      </c>
      <c r="U119" s="64" t="str">
        <f ca="1">IF(COUNTIFS('SEANCE 1'!$B:$B, $B119, 'SEANCE 1'!$C:$C, U$2, 'SEANCE 1'!$F:$F, U$5)=0, "", COUNTIFS('SEANCE 1'!$B:$B, $B119, 'SEANCE 1'!$C:$C, U$2, 'SEANCE 1'!$F:$F, U$5))</f>
        <v/>
      </c>
      <c r="V119" s="64" t="str">
        <f ca="1">IF(COUNTIFS('SEANCE 1'!$B:$B, $B119, 'SEANCE 1'!$C:$C, V$2, 'SEANCE 1'!$F:$F, V$5)=0, "", COUNTIFS('SEANCE 1'!$B:$B, $B119, 'SEANCE 1'!$C:$C, V$2, 'SEANCE 1'!$F:$F, V$5))</f>
        <v/>
      </c>
      <c r="W119" s="64" t="str">
        <f ca="1">IF(COUNTIFS('SEANCE 1'!$B:$B, $B119, 'SEANCE 1'!$C:$C, W$2, 'SEANCE 1'!$F:$F, W$5)=0, "", COUNTIFS('SEANCE 1'!$B:$B, $B119, 'SEANCE 1'!$C:$C, W$2, 'SEANCE 1'!$F:$F, W$5))</f>
        <v/>
      </c>
      <c r="X119" s="64" t="str">
        <f ca="1">IF(COUNTIFS('SEANCE 1'!$B:$B, $B119, 'SEANCE 1'!$C:$C, X$2, 'SEANCE 1'!$F:$F, X$5)=0, "", COUNTIFS('SEANCE 1'!$B:$B, $B119, 'SEANCE 1'!$C:$C, X$2, 'SEANCE 1'!$F:$F, X$5))</f>
        <v/>
      </c>
      <c r="Y119" s="64" t="str">
        <f ca="1">IF(COUNTIFS('SEANCE 1'!$B:$B, $B119, 'SEANCE 1'!$C:$C, Y$2, 'SEANCE 1'!$F:$F, Y$5)=0, "", COUNTIFS('SEANCE 1'!$B:$B, $B119, 'SEANCE 1'!$C:$C, Y$2, 'SEANCE 1'!$F:$F, Y$5))</f>
        <v/>
      </c>
      <c r="Z119" s="64" t="str">
        <f ca="1">IF(COUNTIFS('SEANCE 1'!$B:$B, $B119, 'SEANCE 1'!$C:$C, Z$2, 'SEANCE 1'!$F:$F, Z$5)=0, "", COUNTIFS('SEANCE 1'!$B:$B, $B119, 'SEANCE 1'!$C:$C, Z$2, 'SEANCE 1'!$F:$F, Z$5))</f>
        <v/>
      </c>
      <c r="AA119" s="64" t="str">
        <f ca="1">IF(COUNTIFS('SEANCE 1'!$B:$B, $B119, 'SEANCE 1'!$C:$C, AA$2, 'SEANCE 1'!$F:$F, AA$5)=0, "", COUNTIFS('SEANCE 1'!$B:$B, $B119, 'SEANCE 1'!$C:$C, AA$2, 'SEANCE 1'!$F:$F, AA$5))</f>
        <v/>
      </c>
      <c r="AB119" s="64" t="str">
        <f ca="1">IF(COUNTIFS('SEANCE 1'!$B:$B, $B119, 'SEANCE 1'!$C:$C, AB$2, 'SEANCE 1'!$F:$F, AB$5)=0, "", COUNTIFS('SEANCE 1'!$B:$B, $B119, 'SEANCE 1'!$C:$C, AB$2, 'SEANCE 1'!$F:$F, AB$5))</f>
        <v/>
      </c>
      <c r="AC119" s="64" t="str">
        <f ca="1">IF(COUNTIFS('SEANCE 1'!$B:$B, $B119, 'SEANCE 1'!$C:$C, AC$2, 'SEANCE 1'!$F:$F, AC$5)=0, "", COUNTIFS('SEANCE 1'!$B:$B, $B119, 'SEANCE 1'!$C:$C, AC$2, 'SEANCE 1'!$F:$F, AC$5))</f>
        <v/>
      </c>
      <c r="AD119" s="64" t="str">
        <f ca="1">IF(COUNTIFS('SEANCE 1'!$B:$B, $B119, 'SEANCE 1'!$C:$C, AD$2, 'SEANCE 1'!$F:$F, AD$5)=0, "", COUNTIFS('SEANCE 1'!$B:$B, $B119, 'SEANCE 1'!$C:$C, AD$2, 'SEANCE 1'!$F:$F, AD$5))</f>
        <v/>
      </c>
      <c r="AE119" s="64" t="str">
        <f ca="1">IF(COUNTIFS('SEANCE 1'!$B:$B, $B119, 'SEANCE 1'!$C:$C, AE$2, 'SEANCE 1'!$F:$F, AE$5)=0, "", COUNTIFS('SEANCE 1'!$B:$B, $B119, 'SEANCE 1'!$C:$C, AE$2, 'SEANCE 1'!$F:$F, AE$5))</f>
        <v/>
      </c>
      <c r="AF119" s="64" t="str">
        <f ca="1">IF(COUNTIFS('SEANCE 1'!$B:$B, $B119, 'SEANCE 1'!$C:$C, AF$2, 'SEANCE 1'!$F:$F, AF$5)=0, "", COUNTIFS('SEANCE 1'!$B:$B, $B119, 'SEANCE 1'!$C:$C, AF$2, 'SEANCE 1'!$F:$F, AF$5))</f>
        <v/>
      </c>
      <c r="AG119" s="64" t="str">
        <f ca="1">IF(COUNTIFS('SEANCE 1'!$B:$B, $B119, 'SEANCE 1'!$C:$C, AG$2, 'SEANCE 1'!$F:$F, AG$5)=0, "", COUNTIFS('SEANCE 1'!$B:$B, $B119, 'SEANCE 1'!$C:$C, AG$2, 'SEANCE 1'!$F:$F, AG$5))</f>
        <v/>
      </c>
      <c r="AH119" s="64" t="str">
        <f ca="1">IF(COUNTIFS('SEANCE 1'!$B:$B, $B119, 'SEANCE 1'!$C:$C, AH$2, 'SEANCE 1'!$F:$F, AH$5)=0, "", COUNTIFS('SEANCE 1'!$B:$B, $B119, 'SEANCE 1'!$C:$C, AH$2, 'SEANCE 1'!$F:$F, AH$5))</f>
        <v/>
      </c>
      <c r="AI119" s="64" t="str">
        <f ca="1">IF(COUNTIFS('SEANCE 1'!$B:$B, $B119, 'SEANCE 1'!$C:$C, AI$2, 'SEANCE 1'!$F:$F, AI$5)=0, "", COUNTIFS('SEANCE 1'!$B:$B, $B119, 'SEANCE 1'!$C:$C, AI$2, 'SEANCE 1'!$F:$F, AI$5))</f>
        <v/>
      </c>
      <c r="AJ119" s="64" t="str">
        <f ca="1">IF(COUNTIFS('SEANCE 1'!$B:$B, $B119, 'SEANCE 1'!$C:$C, AJ$2, 'SEANCE 1'!$F:$F, AJ$5)=0, "", COUNTIFS('SEANCE 1'!$B:$B, $B119, 'SEANCE 1'!$C:$C, AJ$2, 'SEANCE 1'!$F:$F, AJ$5))</f>
        <v/>
      </c>
      <c r="AK119" s="64" t="str">
        <f ca="1">IF(COUNTIFS('SEANCE 1'!$B:$B, $B119, 'SEANCE 1'!$C:$C, AK$2, 'SEANCE 1'!$F:$F, AK$5)=0, "", COUNTIFS('SEANCE 1'!$B:$B, $B119, 'SEANCE 1'!$C:$C, AK$2, 'SEANCE 1'!$F:$F, AK$5))</f>
        <v/>
      </c>
      <c r="AL119" s="64" t="str">
        <f ca="1">IF(COUNTIFS('SEANCE 1'!$B:$B, $B119, 'SEANCE 1'!$C:$C, AL$2, 'SEANCE 1'!$F:$F, AL$5)=0, "", COUNTIFS('SEANCE 1'!$B:$B, $B119, 'SEANCE 1'!$C:$C, AL$2, 'SEANCE 1'!$F:$F, AL$5))</f>
        <v/>
      </c>
      <c r="AM119" s="64" t="str">
        <f ca="1">IF(COUNTIFS('SEANCE 1'!$B:$B, $B119, 'SEANCE 1'!$C:$C, AM$2, 'SEANCE 1'!$F:$F, AM$5)=0, "", COUNTIFS('SEANCE 1'!$B:$B, $B119, 'SEANCE 1'!$C:$C, AM$2, 'SEANCE 1'!$F:$F, AM$5))</f>
        <v/>
      </c>
      <c r="AN119" s="64" t="str">
        <f ca="1">IF(COUNTIFS('SEANCE 1'!$B:$B, $B119, 'SEANCE 1'!$C:$C, AN$2, 'SEANCE 1'!$F:$F, AN$5)=0, "", COUNTIFS('SEANCE 1'!$B:$B, $B119, 'SEANCE 1'!$C:$C, AN$2, 'SEANCE 1'!$F:$F, AN$5))</f>
        <v/>
      </c>
      <c r="AO119" s="64" t="str">
        <f ca="1">IF(COUNTIFS('SEANCE 1'!$B:$B, $B119, 'SEANCE 1'!$C:$C, AO$2, 'SEANCE 1'!$F:$F, AO$5)=0, "", COUNTIFS('SEANCE 1'!$B:$B, $B119, 'SEANCE 1'!$C:$C, AO$2, 'SEANCE 1'!$F:$F, AO$5))</f>
        <v/>
      </c>
      <c r="AP119" s="64" t="str">
        <f ca="1">IF(COUNTIFS('SEANCE 1'!$B:$B, $B119, 'SEANCE 1'!$C:$C, AP$2, 'SEANCE 1'!$F:$F, AP$5)=0, "", COUNTIFS('SEANCE 1'!$B:$B, $B119, 'SEANCE 1'!$C:$C, AP$2, 'SEANCE 1'!$F:$F, AP$5))</f>
        <v/>
      </c>
      <c r="AQ119" s="64" t="str">
        <f ca="1">IF(COUNTIFS('SEANCE 1'!$B:$B, $B119, 'SEANCE 1'!$C:$C, AQ$2, 'SEANCE 1'!$F:$F, AQ$5)=0, "", COUNTIFS('SEANCE 1'!$B:$B, $B119, 'SEANCE 1'!$C:$C, AQ$2, 'SEANCE 1'!$F:$F, AQ$5))</f>
        <v/>
      </c>
      <c r="AR119" s="64" t="str">
        <f ca="1">IF(COUNTIFS('SEANCE 1'!$B:$B, $B119, 'SEANCE 1'!$C:$C, AR$2, 'SEANCE 1'!$F:$F, AR$5)=0, "", COUNTIFS('SEANCE 1'!$B:$B, $B119, 'SEANCE 1'!$C:$C, AR$2, 'SEANCE 1'!$F:$F, AR$5))</f>
        <v/>
      </c>
      <c r="AS119" s="64" t="str">
        <f ca="1">IF(COUNTIFS('SEANCE 1'!$B:$B, $B119, 'SEANCE 1'!$C:$C, AS$2, 'SEANCE 1'!$F:$F, AS$5)=0, "", COUNTIFS('SEANCE 1'!$B:$B, $B119, 'SEANCE 1'!$C:$C, AS$2, 'SEANCE 1'!$F:$F, AS$5))</f>
        <v/>
      </c>
      <c r="AT119" s="64" t="str">
        <f ca="1">IF(COUNTIFS('SEANCE 1'!$B:$B, $B119, 'SEANCE 1'!$C:$C, AT$2, 'SEANCE 1'!$F:$F, AT$5)=0, "", COUNTIFS('SEANCE 1'!$B:$B, $B119, 'SEANCE 1'!$C:$C, AT$2, 'SEANCE 1'!$F:$F, AT$5))</f>
        <v/>
      </c>
      <c r="AU119" s="64" t="str">
        <f ca="1">IF(COUNTIFS('SEANCE 1'!$B:$B, $B119, 'SEANCE 1'!$C:$C, AU$2, 'SEANCE 1'!$F:$F, AU$5)=0, "", COUNTIFS('SEANCE 1'!$B:$B, $B119, 'SEANCE 1'!$C:$C, AU$2, 'SEANCE 1'!$F:$F, AU$5))</f>
        <v/>
      </c>
      <c r="AV119" s="64" t="str">
        <f ca="1">IF(COUNTIFS('SEANCE 1'!$B:$B, $B119, 'SEANCE 1'!$C:$C, AV$2, 'SEANCE 1'!$F:$F, AV$5)=0, "", COUNTIFS('SEANCE 1'!$B:$B, $B119, 'SEANCE 1'!$C:$C, AV$2, 'SEANCE 1'!$F:$F, AV$5))</f>
        <v/>
      </c>
      <c r="AW119" s="64" t="str">
        <f ca="1">IF(COUNTIFS('SEANCE 1'!$B:$B, $B119, 'SEANCE 1'!$C:$C, AW$2, 'SEANCE 1'!$F:$F, AW$5)=0, "", COUNTIFS('SEANCE 1'!$B:$B, $B119, 'SEANCE 1'!$C:$C, AW$2, 'SEANCE 1'!$F:$F, AW$5))</f>
        <v/>
      </c>
      <c r="AX119" s="64" t="str">
        <f ca="1">IF(COUNTIFS('SEANCE 1'!$B:$B, $B119, 'SEANCE 1'!$C:$C, AX$2, 'SEANCE 1'!$F:$F, AX$5)=0, "", COUNTIFS('SEANCE 1'!$B:$B, $B119, 'SEANCE 1'!$C:$C, AX$2, 'SEANCE 1'!$F:$F, AX$5))</f>
        <v/>
      </c>
      <c r="AY119" s="64" t="str">
        <f ca="1">IF(COUNTIFS('SEANCE 1'!$B:$B, $B119, 'SEANCE 1'!$C:$C, AY$2, 'SEANCE 1'!$F:$F, AY$5)=0, "", COUNTIFS('SEANCE 1'!$B:$B, $B119, 'SEANCE 1'!$C:$C, AY$2, 'SEANCE 1'!$F:$F, AY$5))</f>
        <v/>
      </c>
      <c r="AZ119" s="32">
        <f t="shared" ca="1" si="1"/>
        <v>0</v>
      </c>
    </row>
    <row r="120" spans="1:52">
      <c r="A120" s="44" t="str">
        <f>IF('SEANCE 1'!$B116&lt;&gt;"",'SEANCE 1'!$A116,"")</f>
        <v/>
      </c>
      <c r="B120" s="44" t="str">
        <f t="array" aca="1" ref="B120" ca="1">IF(ISNA(INDEX(ListeB,MATCH(0,COUNTIF($B$5:B119,ListeB),0))),"",INDEX(ListeB,MATCH(0,COUNTIF($B$5:B119,ListeB),0)))</f>
        <v/>
      </c>
      <c r="C120" s="64" t="str">
        <f ca="1">IF(COUNTIFS('SEANCE 1'!$B:$B, $B120, 'SEANCE 1'!$C:$C, C$2, 'SEANCE 1'!$F:$F, C$5)=0, "", COUNTIFS('SEANCE 1'!$B:$B, $B120, 'SEANCE 1'!$C:$C, C$2, 'SEANCE 1'!$F:$F, C$5))</f>
        <v/>
      </c>
      <c r="D120" s="64" t="str">
        <f ca="1">IF(COUNTIFS('SEANCE 1'!$B:$B, $B120, 'SEANCE 1'!$C:$C, D$2, 'SEANCE 1'!$F:$F, D$5)=0, "", COUNTIFS('SEANCE 1'!$B:$B, $B120, 'SEANCE 1'!$C:$C, D$2, 'SEANCE 1'!$F:$F, D$5))</f>
        <v/>
      </c>
      <c r="E120" s="64" t="str">
        <f ca="1">IF(COUNTIFS('SEANCE 1'!$B:$B, $B120, 'SEANCE 1'!$C:$C, E$2, 'SEANCE 1'!$F:$F, E$5)=0, "", COUNTIFS('SEANCE 1'!$B:$B, $B120, 'SEANCE 1'!$C:$C, E$2, 'SEANCE 1'!$F:$F, E$5))</f>
        <v/>
      </c>
      <c r="F120" s="64" t="str">
        <f ca="1">IF(COUNTIFS('SEANCE 1'!$B:$B, $B120, 'SEANCE 1'!$C:$C, F$2, 'SEANCE 1'!$F:$F, F$5)=0, "", COUNTIFS('SEANCE 1'!$B:$B, $B120, 'SEANCE 1'!$C:$C, F$2, 'SEANCE 1'!$F:$F, F$5))</f>
        <v/>
      </c>
      <c r="G120" s="64" t="str">
        <f ca="1">IF(COUNTIFS('SEANCE 1'!$B:$B, $B120, 'SEANCE 1'!$C:$C, G$2, 'SEANCE 1'!$F:$F, G$5)=0, "", COUNTIFS('SEANCE 1'!$B:$B, $B120, 'SEANCE 1'!$C:$C, G$2, 'SEANCE 1'!$F:$F, G$5))</f>
        <v/>
      </c>
      <c r="H120" s="64" t="str">
        <f ca="1">IF(COUNTIFS('SEANCE 1'!$B:$B, $B120, 'SEANCE 1'!$C:$C, H$2, 'SEANCE 1'!$F:$F, H$5)=0, "", COUNTIFS('SEANCE 1'!$B:$B, $B120, 'SEANCE 1'!$C:$C, H$2, 'SEANCE 1'!$F:$F, H$5))</f>
        <v/>
      </c>
      <c r="I120" s="64" t="str">
        <f ca="1">IF(COUNTIFS('SEANCE 1'!$B:$B, $B120, 'SEANCE 1'!$C:$C, I$2, 'SEANCE 1'!$F:$F, I$5)=0, "", COUNTIFS('SEANCE 1'!$B:$B, $B120, 'SEANCE 1'!$C:$C, I$2, 'SEANCE 1'!$F:$F, I$5))</f>
        <v/>
      </c>
      <c r="J120" s="64" t="str">
        <f ca="1">IF(COUNTIFS('SEANCE 1'!$B:$B, $B120, 'SEANCE 1'!$C:$C, J$2, 'SEANCE 1'!$F:$F, J$5)=0, "", COUNTIFS('SEANCE 1'!$B:$B, $B120, 'SEANCE 1'!$C:$C, J$2, 'SEANCE 1'!$F:$F, J$5))</f>
        <v/>
      </c>
      <c r="K120" s="64" t="str">
        <f ca="1">IF(COUNTIFS('SEANCE 1'!$B:$B, $B120, 'SEANCE 1'!$C:$C, K$2, 'SEANCE 1'!$F:$F, K$5)=0, "", COUNTIFS('SEANCE 1'!$B:$B, $B120, 'SEANCE 1'!$C:$C, K$2, 'SEANCE 1'!$F:$F, K$5))</f>
        <v/>
      </c>
      <c r="L120" s="64" t="str">
        <f ca="1">IF(COUNTIFS('SEANCE 1'!$B:$B, $B120, 'SEANCE 1'!$C:$C, L$2, 'SEANCE 1'!$F:$F, L$5)=0, "", COUNTIFS('SEANCE 1'!$B:$B, $B120, 'SEANCE 1'!$C:$C, L$2, 'SEANCE 1'!$F:$F, L$5))</f>
        <v/>
      </c>
      <c r="M120" s="64" t="str">
        <f ca="1">IF(COUNTIFS('SEANCE 1'!$B:$B, $B120, 'SEANCE 1'!$C:$C, M$2, 'SEANCE 1'!$F:$F, M$5)=0, "", COUNTIFS('SEANCE 1'!$B:$B, $B120, 'SEANCE 1'!$C:$C, M$2, 'SEANCE 1'!$F:$F, M$5))</f>
        <v/>
      </c>
      <c r="N120" s="64" t="str">
        <f ca="1">IF(COUNTIFS('SEANCE 1'!$B:$B, $B120, 'SEANCE 1'!$C:$C, N$2, 'SEANCE 1'!$F:$F, N$5)=0, "", COUNTIFS('SEANCE 1'!$B:$B, $B120, 'SEANCE 1'!$C:$C, N$2, 'SEANCE 1'!$F:$F, N$5))</f>
        <v/>
      </c>
      <c r="O120" s="64" t="str">
        <f ca="1">IF(COUNTIFS('SEANCE 1'!$B:$B, $B120, 'SEANCE 1'!$C:$C, O$2, 'SEANCE 1'!$F:$F, O$5)=0, "", COUNTIFS('SEANCE 1'!$B:$B, $B120, 'SEANCE 1'!$C:$C, O$2, 'SEANCE 1'!$F:$F, O$5))</f>
        <v/>
      </c>
      <c r="P120" s="64" t="str">
        <f ca="1">IF(COUNTIFS('SEANCE 1'!$B:$B, $B120, 'SEANCE 1'!$C:$C, P$2, 'SEANCE 1'!$F:$F, P$5)=0, "", COUNTIFS('SEANCE 1'!$B:$B, $B120, 'SEANCE 1'!$C:$C, P$2, 'SEANCE 1'!$F:$F, P$5))</f>
        <v/>
      </c>
      <c r="Q120" s="64" t="str">
        <f ca="1">IF(COUNTIFS('SEANCE 1'!$B:$B, $B120, 'SEANCE 1'!$C:$C, Q$2, 'SEANCE 1'!$F:$F, Q$5)=0, "", COUNTIFS('SEANCE 1'!$B:$B, $B120, 'SEANCE 1'!$C:$C, Q$2, 'SEANCE 1'!$F:$F, Q$5))</f>
        <v/>
      </c>
      <c r="R120" s="64" t="str">
        <f ca="1">IF(COUNTIFS('SEANCE 1'!$B:$B, $B120, 'SEANCE 1'!$C:$C, R$2, 'SEANCE 1'!$F:$F, R$5)=0, "", COUNTIFS('SEANCE 1'!$B:$B, $B120, 'SEANCE 1'!$C:$C, R$2, 'SEANCE 1'!$F:$F, R$5))</f>
        <v/>
      </c>
      <c r="S120" s="64" t="str">
        <f ca="1">IF(COUNTIFS('SEANCE 1'!$B:$B, $B120, 'SEANCE 1'!$C:$C, S$2, 'SEANCE 1'!$F:$F, S$5)=0, "", COUNTIFS('SEANCE 1'!$B:$B, $B120, 'SEANCE 1'!$C:$C, S$2, 'SEANCE 1'!$F:$F, S$5))</f>
        <v/>
      </c>
      <c r="T120" s="64" t="str">
        <f ca="1">IF(COUNTIFS('SEANCE 1'!$B:$B, $B120, 'SEANCE 1'!$C:$C, T$2, 'SEANCE 1'!$F:$F, T$5)=0, "", COUNTIFS('SEANCE 1'!$B:$B, $B120, 'SEANCE 1'!$C:$C, T$2, 'SEANCE 1'!$F:$F, T$5))</f>
        <v/>
      </c>
      <c r="U120" s="64" t="str">
        <f ca="1">IF(COUNTIFS('SEANCE 1'!$B:$B, $B120, 'SEANCE 1'!$C:$C, U$2, 'SEANCE 1'!$F:$F, U$5)=0, "", COUNTIFS('SEANCE 1'!$B:$B, $B120, 'SEANCE 1'!$C:$C, U$2, 'SEANCE 1'!$F:$F, U$5))</f>
        <v/>
      </c>
      <c r="V120" s="64" t="str">
        <f ca="1">IF(COUNTIFS('SEANCE 1'!$B:$B, $B120, 'SEANCE 1'!$C:$C, V$2, 'SEANCE 1'!$F:$F, V$5)=0, "", COUNTIFS('SEANCE 1'!$B:$B, $B120, 'SEANCE 1'!$C:$C, V$2, 'SEANCE 1'!$F:$F, V$5))</f>
        <v/>
      </c>
      <c r="W120" s="64" t="str">
        <f ca="1">IF(COUNTIFS('SEANCE 1'!$B:$B, $B120, 'SEANCE 1'!$C:$C, W$2, 'SEANCE 1'!$F:$F, W$5)=0, "", COUNTIFS('SEANCE 1'!$B:$B, $B120, 'SEANCE 1'!$C:$C, W$2, 'SEANCE 1'!$F:$F, W$5))</f>
        <v/>
      </c>
      <c r="X120" s="64" t="str">
        <f ca="1">IF(COUNTIFS('SEANCE 1'!$B:$B, $B120, 'SEANCE 1'!$C:$C, X$2, 'SEANCE 1'!$F:$F, X$5)=0, "", COUNTIFS('SEANCE 1'!$B:$B, $B120, 'SEANCE 1'!$C:$C, X$2, 'SEANCE 1'!$F:$F, X$5))</f>
        <v/>
      </c>
      <c r="Y120" s="64" t="str">
        <f ca="1">IF(COUNTIFS('SEANCE 1'!$B:$B, $B120, 'SEANCE 1'!$C:$C, Y$2, 'SEANCE 1'!$F:$F, Y$5)=0, "", COUNTIFS('SEANCE 1'!$B:$B, $B120, 'SEANCE 1'!$C:$C, Y$2, 'SEANCE 1'!$F:$F, Y$5))</f>
        <v/>
      </c>
      <c r="Z120" s="64" t="str">
        <f ca="1">IF(COUNTIFS('SEANCE 1'!$B:$B, $B120, 'SEANCE 1'!$C:$C, Z$2, 'SEANCE 1'!$F:$F, Z$5)=0, "", COUNTIFS('SEANCE 1'!$B:$B, $B120, 'SEANCE 1'!$C:$C, Z$2, 'SEANCE 1'!$F:$F, Z$5))</f>
        <v/>
      </c>
      <c r="AA120" s="64" t="str">
        <f ca="1">IF(COUNTIFS('SEANCE 1'!$B:$B, $B120, 'SEANCE 1'!$C:$C, AA$2, 'SEANCE 1'!$F:$F, AA$5)=0, "", COUNTIFS('SEANCE 1'!$B:$B, $B120, 'SEANCE 1'!$C:$C, AA$2, 'SEANCE 1'!$F:$F, AA$5))</f>
        <v/>
      </c>
      <c r="AB120" s="64" t="str">
        <f ca="1">IF(COUNTIFS('SEANCE 1'!$B:$B, $B120, 'SEANCE 1'!$C:$C, AB$2, 'SEANCE 1'!$F:$F, AB$5)=0, "", COUNTIFS('SEANCE 1'!$B:$B, $B120, 'SEANCE 1'!$C:$C, AB$2, 'SEANCE 1'!$F:$F, AB$5))</f>
        <v/>
      </c>
      <c r="AC120" s="64" t="str">
        <f ca="1">IF(COUNTIFS('SEANCE 1'!$B:$B, $B120, 'SEANCE 1'!$C:$C, AC$2, 'SEANCE 1'!$F:$F, AC$5)=0, "", COUNTIFS('SEANCE 1'!$B:$B, $B120, 'SEANCE 1'!$C:$C, AC$2, 'SEANCE 1'!$F:$F, AC$5))</f>
        <v/>
      </c>
      <c r="AD120" s="64" t="str">
        <f ca="1">IF(COUNTIFS('SEANCE 1'!$B:$B, $B120, 'SEANCE 1'!$C:$C, AD$2, 'SEANCE 1'!$F:$F, AD$5)=0, "", COUNTIFS('SEANCE 1'!$B:$B, $B120, 'SEANCE 1'!$C:$C, AD$2, 'SEANCE 1'!$F:$F, AD$5))</f>
        <v/>
      </c>
      <c r="AE120" s="64" t="str">
        <f ca="1">IF(COUNTIFS('SEANCE 1'!$B:$B, $B120, 'SEANCE 1'!$C:$C, AE$2, 'SEANCE 1'!$F:$F, AE$5)=0, "", COUNTIFS('SEANCE 1'!$B:$B, $B120, 'SEANCE 1'!$C:$C, AE$2, 'SEANCE 1'!$F:$F, AE$5))</f>
        <v/>
      </c>
      <c r="AF120" s="64" t="str">
        <f ca="1">IF(COUNTIFS('SEANCE 1'!$B:$B, $B120, 'SEANCE 1'!$C:$C, AF$2, 'SEANCE 1'!$F:$F, AF$5)=0, "", COUNTIFS('SEANCE 1'!$B:$B, $B120, 'SEANCE 1'!$C:$C, AF$2, 'SEANCE 1'!$F:$F, AF$5))</f>
        <v/>
      </c>
      <c r="AG120" s="64" t="str">
        <f ca="1">IF(COUNTIFS('SEANCE 1'!$B:$B, $B120, 'SEANCE 1'!$C:$C, AG$2, 'SEANCE 1'!$F:$F, AG$5)=0, "", COUNTIFS('SEANCE 1'!$B:$B, $B120, 'SEANCE 1'!$C:$C, AG$2, 'SEANCE 1'!$F:$F, AG$5))</f>
        <v/>
      </c>
      <c r="AH120" s="64" t="str">
        <f ca="1">IF(COUNTIFS('SEANCE 1'!$B:$B, $B120, 'SEANCE 1'!$C:$C, AH$2, 'SEANCE 1'!$F:$F, AH$5)=0, "", COUNTIFS('SEANCE 1'!$B:$B, $B120, 'SEANCE 1'!$C:$C, AH$2, 'SEANCE 1'!$F:$F, AH$5))</f>
        <v/>
      </c>
      <c r="AI120" s="64" t="str">
        <f ca="1">IF(COUNTIFS('SEANCE 1'!$B:$B, $B120, 'SEANCE 1'!$C:$C, AI$2, 'SEANCE 1'!$F:$F, AI$5)=0, "", COUNTIFS('SEANCE 1'!$B:$B, $B120, 'SEANCE 1'!$C:$C, AI$2, 'SEANCE 1'!$F:$F, AI$5))</f>
        <v/>
      </c>
      <c r="AJ120" s="64" t="str">
        <f ca="1">IF(COUNTIFS('SEANCE 1'!$B:$B, $B120, 'SEANCE 1'!$C:$C, AJ$2, 'SEANCE 1'!$F:$F, AJ$5)=0, "", COUNTIFS('SEANCE 1'!$B:$B, $B120, 'SEANCE 1'!$C:$C, AJ$2, 'SEANCE 1'!$F:$F, AJ$5))</f>
        <v/>
      </c>
      <c r="AK120" s="64" t="str">
        <f ca="1">IF(COUNTIFS('SEANCE 1'!$B:$B, $B120, 'SEANCE 1'!$C:$C, AK$2, 'SEANCE 1'!$F:$F, AK$5)=0, "", COUNTIFS('SEANCE 1'!$B:$B, $B120, 'SEANCE 1'!$C:$C, AK$2, 'SEANCE 1'!$F:$F, AK$5))</f>
        <v/>
      </c>
      <c r="AL120" s="64" t="str">
        <f ca="1">IF(COUNTIFS('SEANCE 1'!$B:$B, $B120, 'SEANCE 1'!$C:$C, AL$2, 'SEANCE 1'!$F:$F, AL$5)=0, "", COUNTIFS('SEANCE 1'!$B:$B, $B120, 'SEANCE 1'!$C:$C, AL$2, 'SEANCE 1'!$F:$F, AL$5))</f>
        <v/>
      </c>
      <c r="AM120" s="64" t="str">
        <f ca="1">IF(COUNTIFS('SEANCE 1'!$B:$B, $B120, 'SEANCE 1'!$C:$C, AM$2, 'SEANCE 1'!$F:$F, AM$5)=0, "", COUNTIFS('SEANCE 1'!$B:$B, $B120, 'SEANCE 1'!$C:$C, AM$2, 'SEANCE 1'!$F:$F, AM$5))</f>
        <v/>
      </c>
      <c r="AN120" s="64" t="str">
        <f ca="1">IF(COUNTIFS('SEANCE 1'!$B:$B, $B120, 'SEANCE 1'!$C:$C, AN$2, 'SEANCE 1'!$F:$F, AN$5)=0, "", COUNTIFS('SEANCE 1'!$B:$B, $B120, 'SEANCE 1'!$C:$C, AN$2, 'SEANCE 1'!$F:$F, AN$5))</f>
        <v/>
      </c>
      <c r="AO120" s="64" t="str">
        <f ca="1">IF(COUNTIFS('SEANCE 1'!$B:$B, $B120, 'SEANCE 1'!$C:$C, AO$2, 'SEANCE 1'!$F:$F, AO$5)=0, "", COUNTIFS('SEANCE 1'!$B:$B, $B120, 'SEANCE 1'!$C:$C, AO$2, 'SEANCE 1'!$F:$F, AO$5))</f>
        <v/>
      </c>
      <c r="AP120" s="64" t="str">
        <f ca="1">IF(COUNTIFS('SEANCE 1'!$B:$B, $B120, 'SEANCE 1'!$C:$C, AP$2, 'SEANCE 1'!$F:$F, AP$5)=0, "", COUNTIFS('SEANCE 1'!$B:$B, $B120, 'SEANCE 1'!$C:$C, AP$2, 'SEANCE 1'!$F:$F, AP$5))</f>
        <v/>
      </c>
      <c r="AQ120" s="64" t="str">
        <f ca="1">IF(COUNTIFS('SEANCE 1'!$B:$B, $B120, 'SEANCE 1'!$C:$C, AQ$2, 'SEANCE 1'!$F:$F, AQ$5)=0, "", COUNTIFS('SEANCE 1'!$B:$B, $B120, 'SEANCE 1'!$C:$C, AQ$2, 'SEANCE 1'!$F:$F, AQ$5))</f>
        <v/>
      </c>
      <c r="AR120" s="64" t="str">
        <f ca="1">IF(COUNTIFS('SEANCE 1'!$B:$B, $B120, 'SEANCE 1'!$C:$C, AR$2, 'SEANCE 1'!$F:$F, AR$5)=0, "", COUNTIFS('SEANCE 1'!$B:$B, $B120, 'SEANCE 1'!$C:$C, AR$2, 'SEANCE 1'!$F:$F, AR$5))</f>
        <v/>
      </c>
      <c r="AS120" s="64" t="str">
        <f ca="1">IF(COUNTIFS('SEANCE 1'!$B:$B, $B120, 'SEANCE 1'!$C:$C, AS$2, 'SEANCE 1'!$F:$F, AS$5)=0, "", COUNTIFS('SEANCE 1'!$B:$B, $B120, 'SEANCE 1'!$C:$C, AS$2, 'SEANCE 1'!$F:$F, AS$5))</f>
        <v/>
      </c>
      <c r="AT120" s="64" t="str">
        <f ca="1">IF(COUNTIFS('SEANCE 1'!$B:$B, $B120, 'SEANCE 1'!$C:$C, AT$2, 'SEANCE 1'!$F:$F, AT$5)=0, "", COUNTIFS('SEANCE 1'!$B:$B, $B120, 'SEANCE 1'!$C:$C, AT$2, 'SEANCE 1'!$F:$F, AT$5))</f>
        <v/>
      </c>
      <c r="AU120" s="64" t="str">
        <f ca="1">IF(COUNTIFS('SEANCE 1'!$B:$B, $B120, 'SEANCE 1'!$C:$C, AU$2, 'SEANCE 1'!$F:$F, AU$5)=0, "", COUNTIFS('SEANCE 1'!$B:$B, $B120, 'SEANCE 1'!$C:$C, AU$2, 'SEANCE 1'!$F:$F, AU$5))</f>
        <v/>
      </c>
      <c r="AV120" s="64" t="str">
        <f ca="1">IF(COUNTIFS('SEANCE 1'!$B:$B, $B120, 'SEANCE 1'!$C:$C, AV$2, 'SEANCE 1'!$F:$F, AV$5)=0, "", COUNTIFS('SEANCE 1'!$B:$B, $B120, 'SEANCE 1'!$C:$C, AV$2, 'SEANCE 1'!$F:$F, AV$5))</f>
        <v/>
      </c>
      <c r="AW120" s="64" t="str">
        <f ca="1">IF(COUNTIFS('SEANCE 1'!$B:$B, $B120, 'SEANCE 1'!$C:$C, AW$2, 'SEANCE 1'!$F:$F, AW$5)=0, "", COUNTIFS('SEANCE 1'!$B:$B, $B120, 'SEANCE 1'!$C:$C, AW$2, 'SEANCE 1'!$F:$F, AW$5))</f>
        <v/>
      </c>
      <c r="AX120" s="64" t="str">
        <f ca="1">IF(COUNTIFS('SEANCE 1'!$B:$B, $B120, 'SEANCE 1'!$C:$C, AX$2, 'SEANCE 1'!$F:$F, AX$5)=0, "", COUNTIFS('SEANCE 1'!$B:$B, $B120, 'SEANCE 1'!$C:$C, AX$2, 'SEANCE 1'!$F:$F, AX$5))</f>
        <v/>
      </c>
      <c r="AY120" s="64" t="str">
        <f ca="1">IF(COUNTIFS('SEANCE 1'!$B:$B, $B120, 'SEANCE 1'!$C:$C, AY$2, 'SEANCE 1'!$F:$F, AY$5)=0, "", COUNTIFS('SEANCE 1'!$B:$B, $B120, 'SEANCE 1'!$C:$C, AY$2, 'SEANCE 1'!$F:$F, AY$5))</f>
        <v/>
      </c>
      <c r="AZ120" s="32">
        <f t="shared" ca="1" si="1"/>
        <v>0</v>
      </c>
    </row>
    <row r="121" spans="1:52">
      <c r="A121" s="44" t="str">
        <f>IF('SEANCE 1'!$B117&lt;&gt;"",'SEANCE 1'!$A117,"")</f>
        <v/>
      </c>
      <c r="B121" s="44" t="str">
        <f t="array" aca="1" ref="B121" ca="1">IF(ISNA(INDEX(ListeB,MATCH(0,COUNTIF($B$5:B120,ListeB),0))),"",INDEX(ListeB,MATCH(0,COUNTIF($B$5:B120,ListeB),0)))</f>
        <v/>
      </c>
      <c r="C121" s="64" t="str">
        <f ca="1">IF(COUNTIFS('SEANCE 1'!$B:$B, $B121, 'SEANCE 1'!$C:$C, C$2, 'SEANCE 1'!$F:$F, C$5)=0, "", COUNTIFS('SEANCE 1'!$B:$B, $B121, 'SEANCE 1'!$C:$C, C$2, 'SEANCE 1'!$F:$F, C$5))</f>
        <v/>
      </c>
      <c r="D121" s="64" t="str">
        <f ca="1">IF(COUNTIFS('SEANCE 1'!$B:$B, $B121, 'SEANCE 1'!$C:$C, D$2, 'SEANCE 1'!$F:$F, D$5)=0, "", COUNTIFS('SEANCE 1'!$B:$B, $B121, 'SEANCE 1'!$C:$C, D$2, 'SEANCE 1'!$F:$F, D$5))</f>
        <v/>
      </c>
      <c r="E121" s="64" t="str">
        <f ca="1">IF(COUNTIFS('SEANCE 1'!$B:$B, $B121, 'SEANCE 1'!$C:$C, E$2, 'SEANCE 1'!$F:$F, E$5)=0, "", COUNTIFS('SEANCE 1'!$B:$B, $B121, 'SEANCE 1'!$C:$C, E$2, 'SEANCE 1'!$F:$F, E$5))</f>
        <v/>
      </c>
      <c r="F121" s="64" t="str">
        <f ca="1">IF(COUNTIFS('SEANCE 1'!$B:$B, $B121, 'SEANCE 1'!$C:$C, F$2, 'SEANCE 1'!$F:$F, F$5)=0, "", COUNTIFS('SEANCE 1'!$B:$B, $B121, 'SEANCE 1'!$C:$C, F$2, 'SEANCE 1'!$F:$F, F$5))</f>
        <v/>
      </c>
      <c r="G121" s="64" t="str">
        <f ca="1">IF(COUNTIFS('SEANCE 1'!$B:$B, $B121, 'SEANCE 1'!$C:$C, G$2, 'SEANCE 1'!$F:$F, G$5)=0, "", COUNTIFS('SEANCE 1'!$B:$B, $B121, 'SEANCE 1'!$C:$C, G$2, 'SEANCE 1'!$F:$F, G$5))</f>
        <v/>
      </c>
      <c r="H121" s="64" t="str">
        <f ca="1">IF(COUNTIFS('SEANCE 1'!$B:$B, $B121, 'SEANCE 1'!$C:$C, H$2, 'SEANCE 1'!$F:$F, H$5)=0, "", COUNTIFS('SEANCE 1'!$B:$B, $B121, 'SEANCE 1'!$C:$C, H$2, 'SEANCE 1'!$F:$F, H$5))</f>
        <v/>
      </c>
      <c r="I121" s="64" t="str">
        <f ca="1">IF(COUNTIFS('SEANCE 1'!$B:$B, $B121, 'SEANCE 1'!$C:$C, I$2, 'SEANCE 1'!$F:$F, I$5)=0, "", COUNTIFS('SEANCE 1'!$B:$B, $B121, 'SEANCE 1'!$C:$C, I$2, 'SEANCE 1'!$F:$F, I$5))</f>
        <v/>
      </c>
      <c r="J121" s="64" t="str">
        <f ca="1">IF(COUNTIFS('SEANCE 1'!$B:$B, $B121, 'SEANCE 1'!$C:$C, J$2, 'SEANCE 1'!$F:$F, J$5)=0, "", COUNTIFS('SEANCE 1'!$B:$B, $B121, 'SEANCE 1'!$C:$C, J$2, 'SEANCE 1'!$F:$F, J$5))</f>
        <v/>
      </c>
      <c r="K121" s="64" t="str">
        <f ca="1">IF(COUNTIFS('SEANCE 1'!$B:$B, $B121, 'SEANCE 1'!$C:$C, K$2, 'SEANCE 1'!$F:$F, K$5)=0, "", COUNTIFS('SEANCE 1'!$B:$B, $B121, 'SEANCE 1'!$C:$C, K$2, 'SEANCE 1'!$F:$F, K$5))</f>
        <v/>
      </c>
      <c r="L121" s="64" t="str">
        <f ca="1">IF(COUNTIFS('SEANCE 1'!$B:$B, $B121, 'SEANCE 1'!$C:$C, L$2, 'SEANCE 1'!$F:$F, L$5)=0, "", COUNTIFS('SEANCE 1'!$B:$B, $B121, 'SEANCE 1'!$C:$C, L$2, 'SEANCE 1'!$F:$F, L$5))</f>
        <v/>
      </c>
      <c r="M121" s="64" t="str">
        <f ca="1">IF(COUNTIFS('SEANCE 1'!$B:$B, $B121, 'SEANCE 1'!$C:$C, M$2, 'SEANCE 1'!$F:$F, M$5)=0, "", COUNTIFS('SEANCE 1'!$B:$B, $B121, 'SEANCE 1'!$C:$C, M$2, 'SEANCE 1'!$F:$F, M$5))</f>
        <v/>
      </c>
      <c r="N121" s="64" t="str">
        <f ca="1">IF(COUNTIFS('SEANCE 1'!$B:$B, $B121, 'SEANCE 1'!$C:$C, N$2, 'SEANCE 1'!$F:$F, N$5)=0, "", COUNTIFS('SEANCE 1'!$B:$B, $B121, 'SEANCE 1'!$C:$C, N$2, 'SEANCE 1'!$F:$F, N$5))</f>
        <v/>
      </c>
      <c r="O121" s="64" t="str">
        <f ca="1">IF(COUNTIFS('SEANCE 1'!$B:$B, $B121, 'SEANCE 1'!$C:$C, O$2, 'SEANCE 1'!$F:$F, O$5)=0, "", COUNTIFS('SEANCE 1'!$B:$B, $B121, 'SEANCE 1'!$C:$C, O$2, 'SEANCE 1'!$F:$F, O$5))</f>
        <v/>
      </c>
      <c r="P121" s="64" t="str">
        <f ca="1">IF(COUNTIFS('SEANCE 1'!$B:$B, $B121, 'SEANCE 1'!$C:$C, P$2, 'SEANCE 1'!$F:$F, P$5)=0, "", COUNTIFS('SEANCE 1'!$B:$B, $B121, 'SEANCE 1'!$C:$C, P$2, 'SEANCE 1'!$F:$F, P$5))</f>
        <v/>
      </c>
      <c r="Q121" s="64" t="str">
        <f ca="1">IF(COUNTIFS('SEANCE 1'!$B:$B, $B121, 'SEANCE 1'!$C:$C, Q$2, 'SEANCE 1'!$F:$F, Q$5)=0, "", COUNTIFS('SEANCE 1'!$B:$B, $B121, 'SEANCE 1'!$C:$C, Q$2, 'SEANCE 1'!$F:$F, Q$5))</f>
        <v/>
      </c>
      <c r="R121" s="64" t="str">
        <f ca="1">IF(COUNTIFS('SEANCE 1'!$B:$B, $B121, 'SEANCE 1'!$C:$C, R$2, 'SEANCE 1'!$F:$F, R$5)=0, "", COUNTIFS('SEANCE 1'!$B:$B, $B121, 'SEANCE 1'!$C:$C, R$2, 'SEANCE 1'!$F:$F, R$5))</f>
        <v/>
      </c>
      <c r="S121" s="64" t="str">
        <f ca="1">IF(COUNTIFS('SEANCE 1'!$B:$B, $B121, 'SEANCE 1'!$C:$C, S$2, 'SEANCE 1'!$F:$F, S$5)=0, "", COUNTIFS('SEANCE 1'!$B:$B, $B121, 'SEANCE 1'!$C:$C, S$2, 'SEANCE 1'!$F:$F, S$5))</f>
        <v/>
      </c>
      <c r="T121" s="64" t="str">
        <f ca="1">IF(COUNTIFS('SEANCE 1'!$B:$B, $B121, 'SEANCE 1'!$C:$C, T$2, 'SEANCE 1'!$F:$F, T$5)=0, "", COUNTIFS('SEANCE 1'!$B:$B, $B121, 'SEANCE 1'!$C:$C, T$2, 'SEANCE 1'!$F:$F, T$5))</f>
        <v/>
      </c>
      <c r="U121" s="64" t="str">
        <f ca="1">IF(COUNTIFS('SEANCE 1'!$B:$B, $B121, 'SEANCE 1'!$C:$C, U$2, 'SEANCE 1'!$F:$F, U$5)=0, "", COUNTIFS('SEANCE 1'!$B:$B, $B121, 'SEANCE 1'!$C:$C, U$2, 'SEANCE 1'!$F:$F, U$5))</f>
        <v/>
      </c>
      <c r="V121" s="64" t="str">
        <f ca="1">IF(COUNTIFS('SEANCE 1'!$B:$B, $B121, 'SEANCE 1'!$C:$C, V$2, 'SEANCE 1'!$F:$F, V$5)=0, "", COUNTIFS('SEANCE 1'!$B:$B, $B121, 'SEANCE 1'!$C:$C, V$2, 'SEANCE 1'!$F:$F, V$5))</f>
        <v/>
      </c>
      <c r="W121" s="64" t="str">
        <f ca="1">IF(COUNTIFS('SEANCE 1'!$B:$B, $B121, 'SEANCE 1'!$C:$C, W$2, 'SEANCE 1'!$F:$F, W$5)=0, "", COUNTIFS('SEANCE 1'!$B:$B, $B121, 'SEANCE 1'!$C:$C, W$2, 'SEANCE 1'!$F:$F, W$5))</f>
        <v/>
      </c>
      <c r="X121" s="64" t="str">
        <f ca="1">IF(COUNTIFS('SEANCE 1'!$B:$B, $B121, 'SEANCE 1'!$C:$C, X$2, 'SEANCE 1'!$F:$F, X$5)=0, "", COUNTIFS('SEANCE 1'!$B:$B, $B121, 'SEANCE 1'!$C:$C, X$2, 'SEANCE 1'!$F:$F, X$5))</f>
        <v/>
      </c>
      <c r="Y121" s="64" t="str">
        <f ca="1">IF(COUNTIFS('SEANCE 1'!$B:$B, $B121, 'SEANCE 1'!$C:$C, Y$2, 'SEANCE 1'!$F:$F, Y$5)=0, "", COUNTIFS('SEANCE 1'!$B:$B, $B121, 'SEANCE 1'!$C:$C, Y$2, 'SEANCE 1'!$F:$F, Y$5))</f>
        <v/>
      </c>
      <c r="Z121" s="64" t="str">
        <f ca="1">IF(COUNTIFS('SEANCE 1'!$B:$B, $B121, 'SEANCE 1'!$C:$C, Z$2, 'SEANCE 1'!$F:$F, Z$5)=0, "", COUNTIFS('SEANCE 1'!$B:$B, $B121, 'SEANCE 1'!$C:$C, Z$2, 'SEANCE 1'!$F:$F, Z$5))</f>
        <v/>
      </c>
      <c r="AA121" s="64" t="str">
        <f ca="1">IF(COUNTIFS('SEANCE 1'!$B:$B, $B121, 'SEANCE 1'!$C:$C, AA$2, 'SEANCE 1'!$F:$F, AA$5)=0, "", COUNTIFS('SEANCE 1'!$B:$B, $B121, 'SEANCE 1'!$C:$C, AA$2, 'SEANCE 1'!$F:$F, AA$5))</f>
        <v/>
      </c>
      <c r="AB121" s="64" t="str">
        <f ca="1">IF(COUNTIFS('SEANCE 1'!$B:$B, $B121, 'SEANCE 1'!$C:$C, AB$2, 'SEANCE 1'!$F:$F, AB$5)=0, "", COUNTIFS('SEANCE 1'!$B:$B, $B121, 'SEANCE 1'!$C:$C, AB$2, 'SEANCE 1'!$F:$F, AB$5))</f>
        <v/>
      </c>
      <c r="AC121" s="64" t="str">
        <f ca="1">IF(COUNTIFS('SEANCE 1'!$B:$B, $B121, 'SEANCE 1'!$C:$C, AC$2, 'SEANCE 1'!$F:$F, AC$5)=0, "", COUNTIFS('SEANCE 1'!$B:$B, $B121, 'SEANCE 1'!$C:$C, AC$2, 'SEANCE 1'!$F:$F, AC$5))</f>
        <v/>
      </c>
      <c r="AD121" s="64" t="str">
        <f ca="1">IF(COUNTIFS('SEANCE 1'!$B:$B, $B121, 'SEANCE 1'!$C:$C, AD$2, 'SEANCE 1'!$F:$F, AD$5)=0, "", COUNTIFS('SEANCE 1'!$B:$B, $B121, 'SEANCE 1'!$C:$C, AD$2, 'SEANCE 1'!$F:$F, AD$5))</f>
        <v/>
      </c>
      <c r="AE121" s="64" t="str">
        <f ca="1">IF(COUNTIFS('SEANCE 1'!$B:$B, $B121, 'SEANCE 1'!$C:$C, AE$2, 'SEANCE 1'!$F:$F, AE$5)=0, "", COUNTIFS('SEANCE 1'!$B:$B, $B121, 'SEANCE 1'!$C:$C, AE$2, 'SEANCE 1'!$F:$F, AE$5))</f>
        <v/>
      </c>
      <c r="AF121" s="64" t="str">
        <f ca="1">IF(COUNTIFS('SEANCE 1'!$B:$B, $B121, 'SEANCE 1'!$C:$C, AF$2, 'SEANCE 1'!$F:$F, AF$5)=0, "", COUNTIFS('SEANCE 1'!$B:$B, $B121, 'SEANCE 1'!$C:$C, AF$2, 'SEANCE 1'!$F:$F, AF$5))</f>
        <v/>
      </c>
      <c r="AG121" s="64" t="str">
        <f ca="1">IF(COUNTIFS('SEANCE 1'!$B:$B, $B121, 'SEANCE 1'!$C:$C, AG$2, 'SEANCE 1'!$F:$F, AG$5)=0, "", COUNTIFS('SEANCE 1'!$B:$B, $B121, 'SEANCE 1'!$C:$C, AG$2, 'SEANCE 1'!$F:$F, AG$5))</f>
        <v/>
      </c>
      <c r="AH121" s="64" t="str">
        <f ca="1">IF(COUNTIFS('SEANCE 1'!$B:$B, $B121, 'SEANCE 1'!$C:$C, AH$2, 'SEANCE 1'!$F:$F, AH$5)=0, "", COUNTIFS('SEANCE 1'!$B:$B, $B121, 'SEANCE 1'!$C:$C, AH$2, 'SEANCE 1'!$F:$F, AH$5))</f>
        <v/>
      </c>
      <c r="AI121" s="64" t="str">
        <f ca="1">IF(COUNTIFS('SEANCE 1'!$B:$B, $B121, 'SEANCE 1'!$C:$C, AI$2, 'SEANCE 1'!$F:$F, AI$5)=0, "", COUNTIFS('SEANCE 1'!$B:$B, $B121, 'SEANCE 1'!$C:$C, AI$2, 'SEANCE 1'!$F:$F, AI$5))</f>
        <v/>
      </c>
      <c r="AJ121" s="64" t="str">
        <f ca="1">IF(COUNTIFS('SEANCE 1'!$B:$B, $B121, 'SEANCE 1'!$C:$C, AJ$2, 'SEANCE 1'!$F:$F, AJ$5)=0, "", COUNTIFS('SEANCE 1'!$B:$B, $B121, 'SEANCE 1'!$C:$C, AJ$2, 'SEANCE 1'!$F:$F, AJ$5))</f>
        <v/>
      </c>
      <c r="AK121" s="64" t="str">
        <f ca="1">IF(COUNTIFS('SEANCE 1'!$B:$B, $B121, 'SEANCE 1'!$C:$C, AK$2, 'SEANCE 1'!$F:$F, AK$5)=0, "", COUNTIFS('SEANCE 1'!$B:$B, $B121, 'SEANCE 1'!$C:$C, AK$2, 'SEANCE 1'!$F:$F, AK$5))</f>
        <v/>
      </c>
      <c r="AL121" s="64" t="str">
        <f ca="1">IF(COUNTIFS('SEANCE 1'!$B:$B, $B121, 'SEANCE 1'!$C:$C, AL$2, 'SEANCE 1'!$F:$F, AL$5)=0, "", COUNTIFS('SEANCE 1'!$B:$B, $B121, 'SEANCE 1'!$C:$C, AL$2, 'SEANCE 1'!$F:$F, AL$5))</f>
        <v/>
      </c>
      <c r="AM121" s="64" t="str">
        <f ca="1">IF(COUNTIFS('SEANCE 1'!$B:$B, $B121, 'SEANCE 1'!$C:$C, AM$2, 'SEANCE 1'!$F:$F, AM$5)=0, "", COUNTIFS('SEANCE 1'!$B:$B, $B121, 'SEANCE 1'!$C:$C, AM$2, 'SEANCE 1'!$F:$F, AM$5))</f>
        <v/>
      </c>
      <c r="AN121" s="64" t="str">
        <f ca="1">IF(COUNTIFS('SEANCE 1'!$B:$B, $B121, 'SEANCE 1'!$C:$C, AN$2, 'SEANCE 1'!$F:$F, AN$5)=0, "", COUNTIFS('SEANCE 1'!$B:$B, $B121, 'SEANCE 1'!$C:$C, AN$2, 'SEANCE 1'!$F:$F, AN$5))</f>
        <v/>
      </c>
      <c r="AO121" s="64" t="str">
        <f ca="1">IF(COUNTIFS('SEANCE 1'!$B:$B, $B121, 'SEANCE 1'!$C:$C, AO$2, 'SEANCE 1'!$F:$F, AO$5)=0, "", COUNTIFS('SEANCE 1'!$B:$B, $B121, 'SEANCE 1'!$C:$C, AO$2, 'SEANCE 1'!$F:$F, AO$5))</f>
        <v/>
      </c>
      <c r="AP121" s="64" t="str">
        <f ca="1">IF(COUNTIFS('SEANCE 1'!$B:$B, $B121, 'SEANCE 1'!$C:$C, AP$2, 'SEANCE 1'!$F:$F, AP$5)=0, "", COUNTIFS('SEANCE 1'!$B:$B, $B121, 'SEANCE 1'!$C:$C, AP$2, 'SEANCE 1'!$F:$F, AP$5))</f>
        <v/>
      </c>
      <c r="AQ121" s="64" t="str">
        <f ca="1">IF(COUNTIFS('SEANCE 1'!$B:$B, $B121, 'SEANCE 1'!$C:$C, AQ$2, 'SEANCE 1'!$F:$F, AQ$5)=0, "", COUNTIFS('SEANCE 1'!$B:$B, $B121, 'SEANCE 1'!$C:$C, AQ$2, 'SEANCE 1'!$F:$F, AQ$5))</f>
        <v/>
      </c>
      <c r="AR121" s="64" t="str">
        <f ca="1">IF(COUNTIFS('SEANCE 1'!$B:$B, $B121, 'SEANCE 1'!$C:$C, AR$2, 'SEANCE 1'!$F:$F, AR$5)=0, "", COUNTIFS('SEANCE 1'!$B:$B, $B121, 'SEANCE 1'!$C:$C, AR$2, 'SEANCE 1'!$F:$F, AR$5))</f>
        <v/>
      </c>
      <c r="AS121" s="64" t="str">
        <f ca="1">IF(COUNTIFS('SEANCE 1'!$B:$B, $B121, 'SEANCE 1'!$C:$C, AS$2, 'SEANCE 1'!$F:$F, AS$5)=0, "", COUNTIFS('SEANCE 1'!$B:$B, $B121, 'SEANCE 1'!$C:$C, AS$2, 'SEANCE 1'!$F:$F, AS$5))</f>
        <v/>
      </c>
      <c r="AT121" s="64" t="str">
        <f ca="1">IF(COUNTIFS('SEANCE 1'!$B:$B, $B121, 'SEANCE 1'!$C:$C, AT$2, 'SEANCE 1'!$F:$F, AT$5)=0, "", COUNTIFS('SEANCE 1'!$B:$B, $B121, 'SEANCE 1'!$C:$C, AT$2, 'SEANCE 1'!$F:$F, AT$5))</f>
        <v/>
      </c>
      <c r="AU121" s="64" t="str">
        <f ca="1">IF(COUNTIFS('SEANCE 1'!$B:$B, $B121, 'SEANCE 1'!$C:$C, AU$2, 'SEANCE 1'!$F:$F, AU$5)=0, "", COUNTIFS('SEANCE 1'!$B:$B, $B121, 'SEANCE 1'!$C:$C, AU$2, 'SEANCE 1'!$F:$F, AU$5))</f>
        <v/>
      </c>
      <c r="AV121" s="64" t="str">
        <f ca="1">IF(COUNTIFS('SEANCE 1'!$B:$B, $B121, 'SEANCE 1'!$C:$C, AV$2, 'SEANCE 1'!$F:$F, AV$5)=0, "", COUNTIFS('SEANCE 1'!$B:$B, $B121, 'SEANCE 1'!$C:$C, AV$2, 'SEANCE 1'!$F:$F, AV$5))</f>
        <v/>
      </c>
      <c r="AW121" s="64" t="str">
        <f ca="1">IF(COUNTIFS('SEANCE 1'!$B:$B, $B121, 'SEANCE 1'!$C:$C, AW$2, 'SEANCE 1'!$F:$F, AW$5)=0, "", COUNTIFS('SEANCE 1'!$B:$B, $B121, 'SEANCE 1'!$C:$C, AW$2, 'SEANCE 1'!$F:$F, AW$5))</f>
        <v/>
      </c>
      <c r="AX121" s="64" t="str">
        <f ca="1">IF(COUNTIFS('SEANCE 1'!$B:$B, $B121, 'SEANCE 1'!$C:$C, AX$2, 'SEANCE 1'!$F:$F, AX$5)=0, "", COUNTIFS('SEANCE 1'!$B:$B, $B121, 'SEANCE 1'!$C:$C, AX$2, 'SEANCE 1'!$F:$F, AX$5))</f>
        <v/>
      </c>
      <c r="AY121" s="64" t="str">
        <f ca="1">IF(COUNTIFS('SEANCE 1'!$B:$B, $B121, 'SEANCE 1'!$C:$C, AY$2, 'SEANCE 1'!$F:$F, AY$5)=0, "", COUNTIFS('SEANCE 1'!$B:$B, $B121, 'SEANCE 1'!$C:$C, AY$2, 'SEANCE 1'!$F:$F, AY$5))</f>
        <v/>
      </c>
      <c r="AZ121" s="32">
        <f t="shared" ca="1" si="1"/>
        <v>0</v>
      </c>
    </row>
    <row r="122" spans="1:52">
      <c r="A122" s="44" t="str">
        <f>IF('SEANCE 1'!$B118&lt;&gt;"",'SEANCE 1'!$A118,"")</f>
        <v/>
      </c>
      <c r="B122" s="44" t="str">
        <f t="array" aca="1" ref="B122" ca="1">IF(ISNA(INDEX(ListeB,MATCH(0,COUNTIF($B$5:B121,ListeB),0))),"",INDEX(ListeB,MATCH(0,COUNTIF($B$5:B121,ListeB),0)))</f>
        <v/>
      </c>
      <c r="C122" s="64" t="str">
        <f ca="1">IF(COUNTIFS('SEANCE 1'!$B:$B, $B122, 'SEANCE 1'!$C:$C, C$2, 'SEANCE 1'!$F:$F, C$5)=0, "", COUNTIFS('SEANCE 1'!$B:$B, $B122, 'SEANCE 1'!$C:$C, C$2, 'SEANCE 1'!$F:$F, C$5))</f>
        <v/>
      </c>
      <c r="D122" s="64" t="str">
        <f ca="1">IF(COUNTIFS('SEANCE 1'!$B:$B, $B122, 'SEANCE 1'!$C:$C, D$2, 'SEANCE 1'!$F:$F, D$5)=0, "", COUNTIFS('SEANCE 1'!$B:$B, $B122, 'SEANCE 1'!$C:$C, D$2, 'SEANCE 1'!$F:$F, D$5))</f>
        <v/>
      </c>
      <c r="E122" s="64" t="str">
        <f ca="1">IF(COUNTIFS('SEANCE 1'!$B:$B, $B122, 'SEANCE 1'!$C:$C, E$2, 'SEANCE 1'!$F:$F, E$5)=0, "", COUNTIFS('SEANCE 1'!$B:$B, $B122, 'SEANCE 1'!$C:$C, E$2, 'SEANCE 1'!$F:$F, E$5))</f>
        <v/>
      </c>
      <c r="F122" s="64" t="str">
        <f ca="1">IF(COUNTIFS('SEANCE 1'!$B:$B, $B122, 'SEANCE 1'!$C:$C, F$2, 'SEANCE 1'!$F:$F, F$5)=0, "", COUNTIFS('SEANCE 1'!$B:$B, $B122, 'SEANCE 1'!$C:$C, F$2, 'SEANCE 1'!$F:$F, F$5))</f>
        <v/>
      </c>
      <c r="G122" s="64" t="str">
        <f ca="1">IF(COUNTIFS('SEANCE 1'!$B:$B, $B122, 'SEANCE 1'!$C:$C, G$2, 'SEANCE 1'!$F:$F, G$5)=0, "", COUNTIFS('SEANCE 1'!$B:$B, $B122, 'SEANCE 1'!$C:$C, G$2, 'SEANCE 1'!$F:$F, G$5))</f>
        <v/>
      </c>
      <c r="H122" s="64" t="str">
        <f ca="1">IF(COUNTIFS('SEANCE 1'!$B:$B, $B122, 'SEANCE 1'!$C:$C, H$2, 'SEANCE 1'!$F:$F, H$5)=0, "", COUNTIFS('SEANCE 1'!$B:$B, $B122, 'SEANCE 1'!$C:$C, H$2, 'SEANCE 1'!$F:$F, H$5))</f>
        <v/>
      </c>
      <c r="I122" s="64" t="str">
        <f ca="1">IF(COUNTIFS('SEANCE 1'!$B:$B, $B122, 'SEANCE 1'!$C:$C, I$2, 'SEANCE 1'!$F:$F, I$5)=0, "", COUNTIFS('SEANCE 1'!$B:$B, $B122, 'SEANCE 1'!$C:$C, I$2, 'SEANCE 1'!$F:$F, I$5))</f>
        <v/>
      </c>
      <c r="J122" s="64" t="str">
        <f ca="1">IF(COUNTIFS('SEANCE 1'!$B:$B, $B122, 'SEANCE 1'!$C:$C, J$2, 'SEANCE 1'!$F:$F, J$5)=0, "", COUNTIFS('SEANCE 1'!$B:$B, $B122, 'SEANCE 1'!$C:$C, J$2, 'SEANCE 1'!$F:$F, J$5))</f>
        <v/>
      </c>
      <c r="K122" s="64" t="str">
        <f ca="1">IF(COUNTIFS('SEANCE 1'!$B:$B, $B122, 'SEANCE 1'!$C:$C, K$2, 'SEANCE 1'!$F:$F, K$5)=0, "", COUNTIFS('SEANCE 1'!$B:$B, $B122, 'SEANCE 1'!$C:$C, K$2, 'SEANCE 1'!$F:$F, K$5))</f>
        <v/>
      </c>
      <c r="L122" s="64" t="str">
        <f ca="1">IF(COUNTIFS('SEANCE 1'!$B:$B, $B122, 'SEANCE 1'!$C:$C, L$2, 'SEANCE 1'!$F:$F, L$5)=0, "", COUNTIFS('SEANCE 1'!$B:$B, $B122, 'SEANCE 1'!$C:$C, L$2, 'SEANCE 1'!$F:$F, L$5))</f>
        <v/>
      </c>
      <c r="M122" s="64" t="str">
        <f ca="1">IF(COUNTIFS('SEANCE 1'!$B:$B, $B122, 'SEANCE 1'!$C:$C, M$2, 'SEANCE 1'!$F:$F, M$5)=0, "", COUNTIFS('SEANCE 1'!$B:$B, $B122, 'SEANCE 1'!$C:$C, M$2, 'SEANCE 1'!$F:$F, M$5))</f>
        <v/>
      </c>
      <c r="N122" s="64" t="str">
        <f ca="1">IF(COUNTIFS('SEANCE 1'!$B:$B, $B122, 'SEANCE 1'!$C:$C, N$2, 'SEANCE 1'!$F:$F, N$5)=0, "", COUNTIFS('SEANCE 1'!$B:$B, $B122, 'SEANCE 1'!$C:$C, N$2, 'SEANCE 1'!$F:$F, N$5))</f>
        <v/>
      </c>
      <c r="O122" s="64" t="str">
        <f ca="1">IF(COUNTIFS('SEANCE 1'!$B:$B, $B122, 'SEANCE 1'!$C:$C, O$2, 'SEANCE 1'!$F:$F, O$5)=0, "", COUNTIFS('SEANCE 1'!$B:$B, $B122, 'SEANCE 1'!$C:$C, O$2, 'SEANCE 1'!$F:$F, O$5))</f>
        <v/>
      </c>
      <c r="P122" s="64" t="str">
        <f ca="1">IF(COUNTIFS('SEANCE 1'!$B:$B, $B122, 'SEANCE 1'!$C:$C, P$2, 'SEANCE 1'!$F:$F, P$5)=0, "", COUNTIFS('SEANCE 1'!$B:$B, $B122, 'SEANCE 1'!$C:$C, P$2, 'SEANCE 1'!$F:$F, P$5))</f>
        <v/>
      </c>
      <c r="Q122" s="64" t="str">
        <f ca="1">IF(COUNTIFS('SEANCE 1'!$B:$B, $B122, 'SEANCE 1'!$C:$C, Q$2, 'SEANCE 1'!$F:$F, Q$5)=0, "", COUNTIFS('SEANCE 1'!$B:$B, $B122, 'SEANCE 1'!$C:$C, Q$2, 'SEANCE 1'!$F:$F, Q$5))</f>
        <v/>
      </c>
      <c r="R122" s="64" t="str">
        <f ca="1">IF(COUNTIFS('SEANCE 1'!$B:$B, $B122, 'SEANCE 1'!$C:$C, R$2, 'SEANCE 1'!$F:$F, R$5)=0, "", COUNTIFS('SEANCE 1'!$B:$B, $B122, 'SEANCE 1'!$C:$C, R$2, 'SEANCE 1'!$F:$F, R$5))</f>
        <v/>
      </c>
      <c r="S122" s="64" t="str">
        <f ca="1">IF(COUNTIFS('SEANCE 1'!$B:$B, $B122, 'SEANCE 1'!$C:$C, S$2, 'SEANCE 1'!$F:$F, S$5)=0, "", COUNTIFS('SEANCE 1'!$B:$B, $B122, 'SEANCE 1'!$C:$C, S$2, 'SEANCE 1'!$F:$F, S$5))</f>
        <v/>
      </c>
      <c r="T122" s="64" t="str">
        <f ca="1">IF(COUNTIFS('SEANCE 1'!$B:$B, $B122, 'SEANCE 1'!$C:$C, T$2, 'SEANCE 1'!$F:$F, T$5)=0, "", COUNTIFS('SEANCE 1'!$B:$B, $B122, 'SEANCE 1'!$C:$C, T$2, 'SEANCE 1'!$F:$F, T$5))</f>
        <v/>
      </c>
      <c r="U122" s="64" t="str">
        <f ca="1">IF(COUNTIFS('SEANCE 1'!$B:$B, $B122, 'SEANCE 1'!$C:$C, U$2, 'SEANCE 1'!$F:$F, U$5)=0, "", COUNTIFS('SEANCE 1'!$B:$B, $B122, 'SEANCE 1'!$C:$C, U$2, 'SEANCE 1'!$F:$F, U$5))</f>
        <v/>
      </c>
      <c r="V122" s="64" t="str">
        <f ca="1">IF(COUNTIFS('SEANCE 1'!$B:$B, $B122, 'SEANCE 1'!$C:$C, V$2, 'SEANCE 1'!$F:$F, V$5)=0, "", COUNTIFS('SEANCE 1'!$B:$B, $B122, 'SEANCE 1'!$C:$C, V$2, 'SEANCE 1'!$F:$F, V$5))</f>
        <v/>
      </c>
      <c r="W122" s="64" t="str">
        <f ca="1">IF(COUNTIFS('SEANCE 1'!$B:$B, $B122, 'SEANCE 1'!$C:$C, W$2, 'SEANCE 1'!$F:$F, W$5)=0, "", COUNTIFS('SEANCE 1'!$B:$B, $B122, 'SEANCE 1'!$C:$C, W$2, 'SEANCE 1'!$F:$F, W$5))</f>
        <v/>
      </c>
      <c r="X122" s="64" t="str">
        <f ca="1">IF(COUNTIFS('SEANCE 1'!$B:$B, $B122, 'SEANCE 1'!$C:$C, X$2, 'SEANCE 1'!$F:$F, X$5)=0, "", COUNTIFS('SEANCE 1'!$B:$B, $B122, 'SEANCE 1'!$C:$C, X$2, 'SEANCE 1'!$F:$F, X$5))</f>
        <v/>
      </c>
      <c r="Y122" s="64" t="str">
        <f ca="1">IF(COUNTIFS('SEANCE 1'!$B:$B, $B122, 'SEANCE 1'!$C:$C, Y$2, 'SEANCE 1'!$F:$F, Y$5)=0, "", COUNTIFS('SEANCE 1'!$B:$B, $B122, 'SEANCE 1'!$C:$C, Y$2, 'SEANCE 1'!$F:$F, Y$5))</f>
        <v/>
      </c>
      <c r="Z122" s="64" t="str">
        <f ca="1">IF(COUNTIFS('SEANCE 1'!$B:$B, $B122, 'SEANCE 1'!$C:$C, Z$2, 'SEANCE 1'!$F:$F, Z$5)=0, "", COUNTIFS('SEANCE 1'!$B:$B, $B122, 'SEANCE 1'!$C:$C, Z$2, 'SEANCE 1'!$F:$F, Z$5))</f>
        <v/>
      </c>
      <c r="AA122" s="64" t="str">
        <f ca="1">IF(COUNTIFS('SEANCE 1'!$B:$B, $B122, 'SEANCE 1'!$C:$C, AA$2, 'SEANCE 1'!$F:$F, AA$5)=0, "", COUNTIFS('SEANCE 1'!$B:$B, $B122, 'SEANCE 1'!$C:$C, AA$2, 'SEANCE 1'!$F:$F, AA$5))</f>
        <v/>
      </c>
      <c r="AB122" s="64" t="str">
        <f ca="1">IF(COUNTIFS('SEANCE 1'!$B:$B, $B122, 'SEANCE 1'!$C:$C, AB$2, 'SEANCE 1'!$F:$F, AB$5)=0, "", COUNTIFS('SEANCE 1'!$B:$B, $B122, 'SEANCE 1'!$C:$C, AB$2, 'SEANCE 1'!$F:$F, AB$5))</f>
        <v/>
      </c>
      <c r="AC122" s="64" t="str">
        <f ca="1">IF(COUNTIFS('SEANCE 1'!$B:$B, $B122, 'SEANCE 1'!$C:$C, AC$2, 'SEANCE 1'!$F:$F, AC$5)=0, "", COUNTIFS('SEANCE 1'!$B:$B, $B122, 'SEANCE 1'!$C:$C, AC$2, 'SEANCE 1'!$F:$F, AC$5))</f>
        <v/>
      </c>
      <c r="AD122" s="64" t="str">
        <f ca="1">IF(COUNTIFS('SEANCE 1'!$B:$B, $B122, 'SEANCE 1'!$C:$C, AD$2, 'SEANCE 1'!$F:$F, AD$5)=0, "", COUNTIFS('SEANCE 1'!$B:$B, $B122, 'SEANCE 1'!$C:$C, AD$2, 'SEANCE 1'!$F:$F, AD$5))</f>
        <v/>
      </c>
      <c r="AE122" s="64" t="str">
        <f ca="1">IF(COUNTIFS('SEANCE 1'!$B:$B, $B122, 'SEANCE 1'!$C:$C, AE$2, 'SEANCE 1'!$F:$F, AE$5)=0, "", COUNTIFS('SEANCE 1'!$B:$B, $B122, 'SEANCE 1'!$C:$C, AE$2, 'SEANCE 1'!$F:$F, AE$5))</f>
        <v/>
      </c>
      <c r="AF122" s="64" t="str">
        <f ca="1">IF(COUNTIFS('SEANCE 1'!$B:$B, $B122, 'SEANCE 1'!$C:$C, AF$2, 'SEANCE 1'!$F:$F, AF$5)=0, "", COUNTIFS('SEANCE 1'!$B:$B, $B122, 'SEANCE 1'!$C:$C, AF$2, 'SEANCE 1'!$F:$F, AF$5))</f>
        <v/>
      </c>
      <c r="AG122" s="64" t="str">
        <f ca="1">IF(COUNTIFS('SEANCE 1'!$B:$B, $B122, 'SEANCE 1'!$C:$C, AG$2, 'SEANCE 1'!$F:$F, AG$5)=0, "", COUNTIFS('SEANCE 1'!$B:$B, $B122, 'SEANCE 1'!$C:$C, AG$2, 'SEANCE 1'!$F:$F, AG$5))</f>
        <v/>
      </c>
      <c r="AH122" s="64" t="str">
        <f ca="1">IF(COUNTIFS('SEANCE 1'!$B:$B, $B122, 'SEANCE 1'!$C:$C, AH$2, 'SEANCE 1'!$F:$F, AH$5)=0, "", COUNTIFS('SEANCE 1'!$B:$B, $B122, 'SEANCE 1'!$C:$C, AH$2, 'SEANCE 1'!$F:$F, AH$5))</f>
        <v/>
      </c>
      <c r="AI122" s="64" t="str">
        <f ca="1">IF(COUNTIFS('SEANCE 1'!$B:$B, $B122, 'SEANCE 1'!$C:$C, AI$2, 'SEANCE 1'!$F:$F, AI$5)=0, "", COUNTIFS('SEANCE 1'!$B:$B, $B122, 'SEANCE 1'!$C:$C, AI$2, 'SEANCE 1'!$F:$F, AI$5))</f>
        <v/>
      </c>
      <c r="AJ122" s="64" t="str">
        <f ca="1">IF(COUNTIFS('SEANCE 1'!$B:$B, $B122, 'SEANCE 1'!$C:$C, AJ$2, 'SEANCE 1'!$F:$F, AJ$5)=0, "", COUNTIFS('SEANCE 1'!$B:$B, $B122, 'SEANCE 1'!$C:$C, AJ$2, 'SEANCE 1'!$F:$F, AJ$5))</f>
        <v/>
      </c>
      <c r="AK122" s="64" t="str">
        <f ca="1">IF(COUNTIFS('SEANCE 1'!$B:$B, $B122, 'SEANCE 1'!$C:$C, AK$2, 'SEANCE 1'!$F:$F, AK$5)=0, "", COUNTIFS('SEANCE 1'!$B:$B, $B122, 'SEANCE 1'!$C:$C, AK$2, 'SEANCE 1'!$F:$F, AK$5))</f>
        <v/>
      </c>
      <c r="AL122" s="64" t="str">
        <f ca="1">IF(COUNTIFS('SEANCE 1'!$B:$B, $B122, 'SEANCE 1'!$C:$C, AL$2, 'SEANCE 1'!$F:$F, AL$5)=0, "", COUNTIFS('SEANCE 1'!$B:$B, $B122, 'SEANCE 1'!$C:$C, AL$2, 'SEANCE 1'!$F:$F, AL$5))</f>
        <v/>
      </c>
      <c r="AM122" s="64" t="str">
        <f ca="1">IF(COUNTIFS('SEANCE 1'!$B:$B, $B122, 'SEANCE 1'!$C:$C, AM$2, 'SEANCE 1'!$F:$F, AM$5)=0, "", COUNTIFS('SEANCE 1'!$B:$B, $B122, 'SEANCE 1'!$C:$C, AM$2, 'SEANCE 1'!$F:$F, AM$5))</f>
        <v/>
      </c>
      <c r="AN122" s="64" t="str">
        <f ca="1">IF(COUNTIFS('SEANCE 1'!$B:$B, $B122, 'SEANCE 1'!$C:$C, AN$2, 'SEANCE 1'!$F:$F, AN$5)=0, "", COUNTIFS('SEANCE 1'!$B:$B, $B122, 'SEANCE 1'!$C:$C, AN$2, 'SEANCE 1'!$F:$F, AN$5))</f>
        <v/>
      </c>
      <c r="AO122" s="64" t="str">
        <f ca="1">IF(COUNTIFS('SEANCE 1'!$B:$B, $B122, 'SEANCE 1'!$C:$C, AO$2, 'SEANCE 1'!$F:$F, AO$5)=0, "", COUNTIFS('SEANCE 1'!$B:$B, $B122, 'SEANCE 1'!$C:$C, AO$2, 'SEANCE 1'!$F:$F, AO$5))</f>
        <v/>
      </c>
      <c r="AP122" s="64" t="str">
        <f ca="1">IF(COUNTIFS('SEANCE 1'!$B:$B, $B122, 'SEANCE 1'!$C:$C, AP$2, 'SEANCE 1'!$F:$F, AP$5)=0, "", COUNTIFS('SEANCE 1'!$B:$B, $B122, 'SEANCE 1'!$C:$C, AP$2, 'SEANCE 1'!$F:$F, AP$5))</f>
        <v/>
      </c>
      <c r="AQ122" s="64" t="str">
        <f ca="1">IF(COUNTIFS('SEANCE 1'!$B:$B, $B122, 'SEANCE 1'!$C:$C, AQ$2, 'SEANCE 1'!$F:$F, AQ$5)=0, "", COUNTIFS('SEANCE 1'!$B:$B, $B122, 'SEANCE 1'!$C:$C, AQ$2, 'SEANCE 1'!$F:$F, AQ$5))</f>
        <v/>
      </c>
      <c r="AR122" s="64" t="str">
        <f ca="1">IF(COUNTIFS('SEANCE 1'!$B:$B, $B122, 'SEANCE 1'!$C:$C, AR$2, 'SEANCE 1'!$F:$F, AR$5)=0, "", COUNTIFS('SEANCE 1'!$B:$B, $B122, 'SEANCE 1'!$C:$C, AR$2, 'SEANCE 1'!$F:$F, AR$5))</f>
        <v/>
      </c>
      <c r="AS122" s="64" t="str">
        <f ca="1">IF(COUNTIFS('SEANCE 1'!$B:$B, $B122, 'SEANCE 1'!$C:$C, AS$2, 'SEANCE 1'!$F:$F, AS$5)=0, "", COUNTIFS('SEANCE 1'!$B:$B, $B122, 'SEANCE 1'!$C:$C, AS$2, 'SEANCE 1'!$F:$F, AS$5))</f>
        <v/>
      </c>
      <c r="AT122" s="64" t="str">
        <f ca="1">IF(COUNTIFS('SEANCE 1'!$B:$B, $B122, 'SEANCE 1'!$C:$C, AT$2, 'SEANCE 1'!$F:$F, AT$5)=0, "", COUNTIFS('SEANCE 1'!$B:$B, $B122, 'SEANCE 1'!$C:$C, AT$2, 'SEANCE 1'!$F:$F, AT$5))</f>
        <v/>
      </c>
      <c r="AU122" s="64" t="str">
        <f ca="1">IF(COUNTIFS('SEANCE 1'!$B:$B, $B122, 'SEANCE 1'!$C:$C, AU$2, 'SEANCE 1'!$F:$F, AU$5)=0, "", COUNTIFS('SEANCE 1'!$B:$B, $B122, 'SEANCE 1'!$C:$C, AU$2, 'SEANCE 1'!$F:$F, AU$5))</f>
        <v/>
      </c>
      <c r="AV122" s="64" t="str">
        <f ca="1">IF(COUNTIFS('SEANCE 1'!$B:$B, $B122, 'SEANCE 1'!$C:$C, AV$2, 'SEANCE 1'!$F:$F, AV$5)=0, "", COUNTIFS('SEANCE 1'!$B:$B, $B122, 'SEANCE 1'!$C:$C, AV$2, 'SEANCE 1'!$F:$F, AV$5))</f>
        <v/>
      </c>
      <c r="AW122" s="64" t="str">
        <f ca="1">IF(COUNTIFS('SEANCE 1'!$B:$B, $B122, 'SEANCE 1'!$C:$C, AW$2, 'SEANCE 1'!$F:$F, AW$5)=0, "", COUNTIFS('SEANCE 1'!$B:$B, $B122, 'SEANCE 1'!$C:$C, AW$2, 'SEANCE 1'!$F:$F, AW$5))</f>
        <v/>
      </c>
      <c r="AX122" s="64" t="str">
        <f ca="1">IF(COUNTIFS('SEANCE 1'!$B:$B, $B122, 'SEANCE 1'!$C:$C, AX$2, 'SEANCE 1'!$F:$F, AX$5)=0, "", COUNTIFS('SEANCE 1'!$B:$B, $B122, 'SEANCE 1'!$C:$C, AX$2, 'SEANCE 1'!$F:$F, AX$5))</f>
        <v/>
      </c>
      <c r="AY122" s="64" t="str">
        <f ca="1">IF(COUNTIFS('SEANCE 1'!$B:$B, $B122, 'SEANCE 1'!$C:$C, AY$2, 'SEANCE 1'!$F:$F, AY$5)=0, "", COUNTIFS('SEANCE 1'!$B:$B, $B122, 'SEANCE 1'!$C:$C, AY$2, 'SEANCE 1'!$F:$F, AY$5))</f>
        <v/>
      </c>
      <c r="AZ122" s="32">
        <f t="shared" ca="1" si="1"/>
        <v>0</v>
      </c>
    </row>
    <row r="123" spans="1:52">
      <c r="A123" s="44" t="str">
        <f>IF('SEANCE 1'!$B119&lt;&gt;"",'SEANCE 1'!$A119,"")</f>
        <v/>
      </c>
      <c r="B123" s="44" t="str">
        <f t="array" aca="1" ref="B123" ca="1">IF(ISNA(INDEX(ListeB,MATCH(0,COUNTIF($B$5:B122,ListeB),0))),"",INDEX(ListeB,MATCH(0,COUNTIF($B$5:B122,ListeB),0)))</f>
        <v/>
      </c>
      <c r="C123" s="64" t="str">
        <f ca="1">IF(COUNTIFS('SEANCE 1'!$B:$B, $B123, 'SEANCE 1'!$C:$C, C$2, 'SEANCE 1'!$F:$F, C$5)=0, "", COUNTIFS('SEANCE 1'!$B:$B, $B123, 'SEANCE 1'!$C:$C, C$2, 'SEANCE 1'!$F:$F, C$5))</f>
        <v/>
      </c>
      <c r="D123" s="64" t="str">
        <f ca="1">IF(COUNTIFS('SEANCE 1'!$B:$B, $B123, 'SEANCE 1'!$C:$C, D$2, 'SEANCE 1'!$F:$F, D$5)=0, "", COUNTIFS('SEANCE 1'!$B:$B, $B123, 'SEANCE 1'!$C:$C, D$2, 'SEANCE 1'!$F:$F, D$5))</f>
        <v/>
      </c>
      <c r="E123" s="64" t="str">
        <f ca="1">IF(COUNTIFS('SEANCE 1'!$B:$B, $B123, 'SEANCE 1'!$C:$C, E$2, 'SEANCE 1'!$F:$F, E$5)=0, "", COUNTIFS('SEANCE 1'!$B:$B, $B123, 'SEANCE 1'!$C:$C, E$2, 'SEANCE 1'!$F:$F, E$5))</f>
        <v/>
      </c>
      <c r="F123" s="64" t="str">
        <f ca="1">IF(COUNTIFS('SEANCE 1'!$B:$B, $B123, 'SEANCE 1'!$C:$C, F$2, 'SEANCE 1'!$F:$F, F$5)=0, "", COUNTIFS('SEANCE 1'!$B:$B, $B123, 'SEANCE 1'!$C:$C, F$2, 'SEANCE 1'!$F:$F, F$5))</f>
        <v/>
      </c>
      <c r="G123" s="64" t="str">
        <f ca="1">IF(COUNTIFS('SEANCE 1'!$B:$B, $B123, 'SEANCE 1'!$C:$C, G$2, 'SEANCE 1'!$F:$F, G$5)=0, "", COUNTIFS('SEANCE 1'!$B:$B, $B123, 'SEANCE 1'!$C:$C, G$2, 'SEANCE 1'!$F:$F, G$5))</f>
        <v/>
      </c>
      <c r="H123" s="64" t="str">
        <f ca="1">IF(COUNTIFS('SEANCE 1'!$B:$B, $B123, 'SEANCE 1'!$C:$C, H$2, 'SEANCE 1'!$F:$F, H$5)=0, "", COUNTIFS('SEANCE 1'!$B:$B, $B123, 'SEANCE 1'!$C:$C, H$2, 'SEANCE 1'!$F:$F, H$5))</f>
        <v/>
      </c>
      <c r="I123" s="64" t="str">
        <f ca="1">IF(COUNTIFS('SEANCE 1'!$B:$B, $B123, 'SEANCE 1'!$C:$C, I$2, 'SEANCE 1'!$F:$F, I$5)=0, "", COUNTIFS('SEANCE 1'!$B:$B, $B123, 'SEANCE 1'!$C:$C, I$2, 'SEANCE 1'!$F:$F, I$5))</f>
        <v/>
      </c>
      <c r="J123" s="64" t="str">
        <f ca="1">IF(COUNTIFS('SEANCE 1'!$B:$B, $B123, 'SEANCE 1'!$C:$C, J$2, 'SEANCE 1'!$F:$F, J$5)=0, "", COUNTIFS('SEANCE 1'!$B:$B, $B123, 'SEANCE 1'!$C:$C, J$2, 'SEANCE 1'!$F:$F, J$5))</f>
        <v/>
      </c>
      <c r="K123" s="64" t="str">
        <f ca="1">IF(COUNTIFS('SEANCE 1'!$B:$B, $B123, 'SEANCE 1'!$C:$C, K$2, 'SEANCE 1'!$F:$F, K$5)=0, "", COUNTIFS('SEANCE 1'!$B:$B, $B123, 'SEANCE 1'!$C:$C, K$2, 'SEANCE 1'!$F:$F, K$5))</f>
        <v/>
      </c>
      <c r="L123" s="64" t="str">
        <f ca="1">IF(COUNTIFS('SEANCE 1'!$B:$B, $B123, 'SEANCE 1'!$C:$C, L$2, 'SEANCE 1'!$F:$F, L$5)=0, "", COUNTIFS('SEANCE 1'!$B:$B, $B123, 'SEANCE 1'!$C:$C, L$2, 'SEANCE 1'!$F:$F, L$5))</f>
        <v/>
      </c>
      <c r="M123" s="64" t="str">
        <f ca="1">IF(COUNTIFS('SEANCE 1'!$B:$B, $B123, 'SEANCE 1'!$C:$C, M$2, 'SEANCE 1'!$F:$F, M$5)=0, "", COUNTIFS('SEANCE 1'!$B:$B, $B123, 'SEANCE 1'!$C:$C, M$2, 'SEANCE 1'!$F:$F, M$5))</f>
        <v/>
      </c>
      <c r="N123" s="64" t="str">
        <f ca="1">IF(COUNTIFS('SEANCE 1'!$B:$B, $B123, 'SEANCE 1'!$C:$C, N$2, 'SEANCE 1'!$F:$F, N$5)=0, "", COUNTIFS('SEANCE 1'!$B:$B, $B123, 'SEANCE 1'!$C:$C, N$2, 'SEANCE 1'!$F:$F, N$5))</f>
        <v/>
      </c>
      <c r="O123" s="64" t="str">
        <f ca="1">IF(COUNTIFS('SEANCE 1'!$B:$B, $B123, 'SEANCE 1'!$C:$C, O$2, 'SEANCE 1'!$F:$F, O$5)=0, "", COUNTIFS('SEANCE 1'!$B:$B, $B123, 'SEANCE 1'!$C:$C, O$2, 'SEANCE 1'!$F:$F, O$5))</f>
        <v/>
      </c>
      <c r="P123" s="64" t="str">
        <f ca="1">IF(COUNTIFS('SEANCE 1'!$B:$B, $B123, 'SEANCE 1'!$C:$C, P$2, 'SEANCE 1'!$F:$F, P$5)=0, "", COUNTIFS('SEANCE 1'!$B:$B, $B123, 'SEANCE 1'!$C:$C, P$2, 'SEANCE 1'!$F:$F, P$5))</f>
        <v/>
      </c>
      <c r="Q123" s="64" t="str">
        <f ca="1">IF(COUNTIFS('SEANCE 1'!$B:$B, $B123, 'SEANCE 1'!$C:$C, Q$2, 'SEANCE 1'!$F:$F, Q$5)=0, "", COUNTIFS('SEANCE 1'!$B:$B, $B123, 'SEANCE 1'!$C:$C, Q$2, 'SEANCE 1'!$F:$F, Q$5))</f>
        <v/>
      </c>
      <c r="R123" s="64" t="str">
        <f ca="1">IF(COUNTIFS('SEANCE 1'!$B:$B, $B123, 'SEANCE 1'!$C:$C, R$2, 'SEANCE 1'!$F:$F, R$5)=0, "", COUNTIFS('SEANCE 1'!$B:$B, $B123, 'SEANCE 1'!$C:$C, R$2, 'SEANCE 1'!$F:$F, R$5))</f>
        <v/>
      </c>
      <c r="S123" s="64" t="str">
        <f ca="1">IF(COUNTIFS('SEANCE 1'!$B:$B, $B123, 'SEANCE 1'!$C:$C, S$2, 'SEANCE 1'!$F:$F, S$5)=0, "", COUNTIFS('SEANCE 1'!$B:$B, $B123, 'SEANCE 1'!$C:$C, S$2, 'SEANCE 1'!$F:$F, S$5))</f>
        <v/>
      </c>
      <c r="T123" s="64" t="str">
        <f ca="1">IF(COUNTIFS('SEANCE 1'!$B:$B, $B123, 'SEANCE 1'!$C:$C, T$2, 'SEANCE 1'!$F:$F, T$5)=0, "", COUNTIFS('SEANCE 1'!$B:$B, $B123, 'SEANCE 1'!$C:$C, T$2, 'SEANCE 1'!$F:$F, T$5))</f>
        <v/>
      </c>
      <c r="U123" s="64" t="str">
        <f ca="1">IF(COUNTIFS('SEANCE 1'!$B:$B, $B123, 'SEANCE 1'!$C:$C, U$2, 'SEANCE 1'!$F:$F, U$5)=0, "", COUNTIFS('SEANCE 1'!$B:$B, $B123, 'SEANCE 1'!$C:$C, U$2, 'SEANCE 1'!$F:$F, U$5))</f>
        <v/>
      </c>
      <c r="V123" s="64" t="str">
        <f ca="1">IF(COUNTIFS('SEANCE 1'!$B:$B, $B123, 'SEANCE 1'!$C:$C, V$2, 'SEANCE 1'!$F:$F, V$5)=0, "", COUNTIFS('SEANCE 1'!$B:$B, $B123, 'SEANCE 1'!$C:$C, V$2, 'SEANCE 1'!$F:$F, V$5))</f>
        <v/>
      </c>
      <c r="W123" s="64" t="str">
        <f ca="1">IF(COUNTIFS('SEANCE 1'!$B:$B, $B123, 'SEANCE 1'!$C:$C, W$2, 'SEANCE 1'!$F:$F, W$5)=0, "", COUNTIFS('SEANCE 1'!$B:$B, $B123, 'SEANCE 1'!$C:$C, W$2, 'SEANCE 1'!$F:$F, W$5))</f>
        <v/>
      </c>
      <c r="X123" s="64" t="str">
        <f ca="1">IF(COUNTIFS('SEANCE 1'!$B:$B, $B123, 'SEANCE 1'!$C:$C, X$2, 'SEANCE 1'!$F:$F, X$5)=0, "", COUNTIFS('SEANCE 1'!$B:$B, $B123, 'SEANCE 1'!$C:$C, X$2, 'SEANCE 1'!$F:$F, X$5))</f>
        <v/>
      </c>
      <c r="Y123" s="64" t="str">
        <f ca="1">IF(COUNTIFS('SEANCE 1'!$B:$B, $B123, 'SEANCE 1'!$C:$C, Y$2, 'SEANCE 1'!$F:$F, Y$5)=0, "", COUNTIFS('SEANCE 1'!$B:$B, $B123, 'SEANCE 1'!$C:$C, Y$2, 'SEANCE 1'!$F:$F, Y$5))</f>
        <v/>
      </c>
      <c r="Z123" s="64" t="str">
        <f ca="1">IF(COUNTIFS('SEANCE 1'!$B:$B, $B123, 'SEANCE 1'!$C:$C, Z$2, 'SEANCE 1'!$F:$F, Z$5)=0, "", COUNTIFS('SEANCE 1'!$B:$B, $B123, 'SEANCE 1'!$C:$C, Z$2, 'SEANCE 1'!$F:$F, Z$5))</f>
        <v/>
      </c>
      <c r="AA123" s="64" t="str">
        <f ca="1">IF(COUNTIFS('SEANCE 1'!$B:$B, $B123, 'SEANCE 1'!$C:$C, AA$2, 'SEANCE 1'!$F:$F, AA$5)=0, "", COUNTIFS('SEANCE 1'!$B:$B, $B123, 'SEANCE 1'!$C:$C, AA$2, 'SEANCE 1'!$F:$F, AA$5))</f>
        <v/>
      </c>
      <c r="AB123" s="64" t="str">
        <f ca="1">IF(COUNTIFS('SEANCE 1'!$B:$B, $B123, 'SEANCE 1'!$C:$C, AB$2, 'SEANCE 1'!$F:$F, AB$5)=0, "", COUNTIFS('SEANCE 1'!$B:$B, $B123, 'SEANCE 1'!$C:$C, AB$2, 'SEANCE 1'!$F:$F, AB$5))</f>
        <v/>
      </c>
      <c r="AC123" s="64" t="str">
        <f ca="1">IF(COUNTIFS('SEANCE 1'!$B:$B, $B123, 'SEANCE 1'!$C:$C, AC$2, 'SEANCE 1'!$F:$F, AC$5)=0, "", COUNTIFS('SEANCE 1'!$B:$B, $B123, 'SEANCE 1'!$C:$C, AC$2, 'SEANCE 1'!$F:$F, AC$5))</f>
        <v/>
      </c>
      <c r="AD123" s="64" t="str">
        <f ca="1">IF(COUNTIFS('SEANCE 1'!$B:$B, $B123, 'SEANCE 1'!$C:$C, AD$2, 'SEANCE 1'!$F:$F, AD$5)=0, "", COUNTIFS('SEANCE 1'!$B:$B, $B123, 'SEANCE 1'!$C:$C, AD$2, 'SEANCE 1'!$F:$F, AD$5))</f>
        <v/>
      </c>
      <c r="AE123" s="64" t="str">
        <f ca="1">IF(COUNTIFS('SEANCE 1'!$B:$B, $B123, 'SEANCE 1'!$C:$C, AE$2, 'SEANCE 1'!$F:$F, AE$5)=0, "", COUNTIFS('SEANCE 1'!$B:$B, $B123, 'SEANCE 1'!$C:$C, AE$2, 'SEANCE 1'!$F:$F, AE$5))</f>
        <v/>
      </c>
      <c r="AF123" s="64" t="str">
        <f ca="1">IF(COUNTIFS('SEANCE 1'!$B:$B, $B123, 'SEANCE 1'!$C:$C, AF$2, 'SEANCE 1'!$F:$F, AF$5)=0, "", COUNTIFS('SEANCE 1'!$B:$B, $B123, 'SEANCE 1'!$C:$C, AF$2, 'SEANCE 1'!$F:$F, AF$5))</f>
        <v/>
      </c>
      <c r="AG123" s="64" t="str">
        <f ca="1">IF(COUNTIFS('SEANCE 1'!$B:$B, $B123, 'SEANCE 1'!$C:$C, AG$2, 'SEANCE 1'!$F:$F, AG$5)=0, "", COUNTIFS('SEANCE 1'!$B:$B, $B123, 'SEANCE 1'!$C:$C, AG$2, 'SEANCE 1'!$F:$F, AG$5))</f>
        <v/>
      </c>
      <c r="AH123" s="64" t="str">
        <f ca="1">IF(COUNTIFS('SEANCE 1'!$B:$B, $B123, 'SEANCE 1'!$C:$C, AH$2, 'SEANCE 1'!$F:$F, AH$5)=0, "", COUNTIFS('SEANCE 1'!$B:$B, $B123, 'SEANCE 1'!$C:$C, AH$2, 'SEANCE 1'!$F:$F, AH$5))</f>
        <v/>
      </c>
      <c r="AI123" s="64" t="str">
        <f ca="1">IF(COUNTIFS('SEANCE 1'!$B:$B, $B123, 'SEANCE 1'!$C:$C, AI$2, 'SEANCE 1'!$F:$F, AI$5)=0, "", COUNTIFS('SEANCE 1'!$B:$B, $B123, 'SEANCE 1'!$C:$C, AI$2, 'SEANCE 1'!$F:$F, AI$5))</f>
        <v/>
      </c>
      <c r="AJ123" s="64" t="str">
        <f ca="1">IF(COUNTIFS('SEANCE 1'!$B:$B, $B123, 'SEANCE 1'!$C:$C, AJ$2, 'SEANCE 1'!$F:$F, AJ$5)=0, "", COUNTIFS('SEANCE 1'!$B:$B, $B123, 'SEANCE 1'!$C:$C, AJ$2, 'SEANCE 1'!$F:$F, AJ$5))</f>
        <v/>
      </c>
      <c r="AK123" s="64" t="str">
        <f ca="1">IF(COUNTIFS('SEANCE 1'!$B:$B, $B123, 'SEANCE 1'!$C:$C, AK$2, 'SEANCE 1'!$F:$F, AK$5)=0, "", COUNTIFS('SEANCE 1'!$B:$B, $B123, 'SEANCE 1'!$C:$C, AK$2, 'SEANCE 1'!$F:$F, AK$5))</f>
        <v/>
      </c>
      <c r="AL123" s="64" t="str">
        <f ca="1">IF(COUNTIFS('SEANCE 1'!$B:$B, $B123, 'SEANCE 1'!$C:$C, AL$2, 'SEANCE 1'!$F:$F, AL$5)=0, "", COUNTIFS('SEANCE 1'!$B:$B, $B123, 'SEANCE 1'!$C:$C, AL$2, 'SEANCE 1'!$F:$F, AL$5))</f>
        <v/>
      </c>
      <c r="AM123" s="64" t="str">
        <f ca="1">IF(COUNTIFS('SEANCE 1'!$B:$B, $B123, 'SEANCE 1'!$C:$C, AM$2, 'SEANCE 1'!$F:$F, AM$5)=0, "", COUNTIFS('SEANCE 1'!$B:$B, $B123, 'SEANCE 1'!$C:$C, AM$2, 'SEANCE 1'!$F:$F, AM$5))</f>
        <v/>
      </c>
      <c r="AN123" s="64" t="str">
        <f ca="1">IF(COUNTIFS('SEANCE 1'!$B:$B, $B123, 'SEANCE 1'!$C:$C, AN$2, 'SEANCE 1'!$F:$F, AN$5)=0, "", COUNTIFS('SEANCE 1'!$B:$B, $B123, 'SEANCE 1'!$C:$C, AN$2, 'SEANCE 1'!$F:$F, AN$5))</f>
        <v/>
      </c>
      <c r="AO123" s="64" t="str">
        <f ca="1">IF(COUNTIFS('SEANCE 1'!$B:$B, $B123, 'SEANCE 1'!$C:$C, AO$2, 'SEANCE 1'!$F:$F, AO$5)=0, "", COUNTIFS('SEANCE 1'!$B:$B, $B123, 'SEANCE 1'!$C:$C, AO$2, 'SEANCE 1'!$F:$F, AO$5))</f>
        <v/>
      </c>
      <c r="AP123" s="64" t="str">
        <f ca="1">IF(COUNTIFS('SEANCE 1'!$B:$B, $B123, 'SEANCE 1'!$C:$C, AP$2, 'SEANCE 1'!$F:$F, AP$5)=0, "", COUNTIFS('SEANCE 1'!$B:$B, $B123, 'SEANCE 1'!$C:$C, AP$2, 'SEANCE 1'!$F:$F, AP$5))</f>
        <v/>
      </c>
      <c r="AQ123" s="64" t="str">
        <f ca="1">IF(COUNTIFS('SEANCE 1'!$B:$B, $B123, 'SEANCE 1'!$C:$C, AQ$2, 'SEANCE 1'!$F:$F, AQ$5)=0, "", COUNTIFS('SEANCE 1'!$B:$B, $B123, 'SEANCE 1'!$C:$C, AQ$2, 'SEANCE 1'!$F:$F, AQ$5))</f>
        <v/>
      </c>
      <c r="AR123" s="64" t="str">
        <f ca="1">IF(COUNTIFS('SEANCE 1'!$B:$B, $B123, 'SEANCE 1'!$C:$C, AR$2, 'SEANCE 1'!$F:$F, AR$5)=0, "", COUNTIFS('SEANCE 1'!$B:$B, $B123, 'SEANCE 1'!$C:$C, AR$2, 'SEANCE 1'!$F:$F, AR$5))</f>
        <v/>
      </c>
      <c r="AS123" s="64" t="str">
        <f ca="1">IF(COUNTIFS('SEANCE 1'!$B:$B, $B123, 'SEANCE 1'!$C:$C, AS$2, 'SEANCE 1'!$F:$F, AS$5)=0, "", COUNTIFS('SEANCE 1'!$B:$B, $B123, 'SEANCE 1'!$C:$C, AS$2, 'SEANCE 1'!$F:$F, AS$5))</f>
        <v/>
      </c>
      <c r="AT123" s="64" t="str">
        <f ca="1">IF(COUNTIFS('SEANCE 1'!$B:$B, $B123, 'SEANCE 1'!$C:$C, AT$2, 'SEANCE 1'!$F:$F, AT$5)=0, "", COUNTIFS('SEANCE 1'!$B:$B, $B123, 'SEANCE 1'!$C:$C, AT$2, 'SEANCE 1'!$F:$F, AT$5))</f>
        <v/>
      </c>
      <c r="AU123" s="64" t="str">
        <f ca="1">IF(COUNTIFS('SEANCE 1'!$B:$B, $B123, 'SEANCE 1'!$C:$C, AU$2, 'SEANCE 1'!$F:$F, AU$5)=0, "", COUNTIFS('SEANCE 1'!$B:$B, $B123, 'SEANCE 1'!$C:$C, AU$2, 'SEANCE 1'!$F:$F, AU$5))</f>
        <v/>
      </c>
      <c r="AV123" s="64" t="str">
        <f ca="1">IF(COUNTIFS('SEANCE 1'!$B:$B, $B123, 'SEANCE 1'!$C:$C, AV$2, 'SEANCE 1'!$F:$F, AV$5)=0, "", COUNTIFS('SEANCE 1'!$B:$B, $B123, 'SEANCE 1'!$C:$C, AV$2, 'SEANCE 1'!$F:$F, AV$5))</f>
        <v/>
      </c>
      <c r="AW123" s="64" t="str">
        <f ca="1">IF(COUNTIFS('SEANCE 1'!$B:$B, $B123, 'SEANCE 1'!$C:$C, AW$2, 'SEANCE 1'!$F:$F, AW$5)=0, "", COUNTIFS('SEANCE 1'!$B:$B, $B123, 'SEANCE 1'!$C:$C, AW$2, 'SEANCE 1'!$F:$F, AW$5))</f>
        <v/>
      </c>
      <c r="AX123" s="64" t="str">
        <f ca="1">IF(COUNTIFS('SEANCE 1'!$B:$B, $B123, 'SEANCE 1'!$C:$C, AX$2, 'SEANCE 1'!$F:$F, AX$5)=0, "", COUNTIFS('SEANCE 1'!$B:$B, $B123, 'SEANCE 1'!$C:$C, AX$2, 'SEANCE 1'!$F:$F, AX$5))</f>
        <v/>
      </c>
      <c r="AY123" s="64" t="str">
        <f ca="1">IF(COUNTIFS('SEANCE 1'!$B:$B, $B123, 'SEANCE 1'!$C:$C, AY$2, 'SEANCE 1'!$F:$F, AY$5)=0, "", COUNTIFS('SEANCE 1'!$B:$B, $B123, 'SEANCE 1'!$C:$C, AY$2, 'SEANCE 1'!$F:$F, AY$5))</f>
        <v/>
      </c>
      <c r="AZ123" s="32">
        <f t="shared" ca="1" si="1"/>
        <v>0</v>
      </c>
    </row>
    <row r="124" spans="1:52">
      <c r="A124" s="44" t="str">
        <f>IF('SEANCE 1'!$B120&lt;&gt;"",'SEANCE 1'!$A120,"")</f>
        <v/>
      </c>
      <c r="B124" s="44" t="str">
        <f t="array" aca="1" ref="B124" ca="1">IF(ISNA(INDEX(ListeB,MATCH(0,COUNTIF($B$5:B123,ListeB),0))),"",INDEX(ListeB,MATCH(0,COUNTIF($B$5:B123,ListeB),0)))</f>
        <v/>
      </c>
      <c r="C124" s="64" t="str">
        <f ca="1">IF(COUNTIFS('SEANCE 1'!$B:$B, $B124, 'SEANCE 1'!$C:$C, C$2, 'SEANCE 1'!$F:$F, C$5)=0, "", COUNTIFS('SEANCE 1'!$B:$B, $B124, 'SEANCE 1'!$C:$C, C$2, 'SEANCE 1'!$F:$F, C$5))</f>
        <v/>
      </c>
      <c r="D124" s="64" t="str">
        <f ca="1">IF(COUNTIFS('SEANCE 1'!$B:$B, $B124, 'SEANCE 1'!$C:$C, D$2, 'SEANCE 1'!$F:$F, D$5)=0, "", COUNTIFS('SEANCE 1'!$B:$B, $B124, 'SEANCE 1'!$C:$C, D$2, 'SEANCE 1'!$F:$F, D$5))</f>
        <v/>
      </c>
      <c r="E124" s="64" t="str">
        <f ca="1">IF(COUNTIFS('SEANCE 1'!$B:$B, $B124, 'SEANCE 1'!$C:$C, E$2, 'SEANCE 1'!$F:$F, E$5)=0, "", COUNTIFS('SEANCE 1'!$B:$B, $B124, 'SEANCE 1'!$C:$C, E$2, 'SEANCE 1'!$F:$F, E$5))</f>
        <v/>
      </c>
      <c r="F124" s="64" t="str">
        <f ca="1">IF(COUNTIFS('SEANCE 1'!$B:$B, $B124, 'SEANCE 1'!$C:$C, F$2, 'SEANCE 1'!$F:$F, F$5)=0, "", COUNTIFS('SEANCE 1'!$B:$B, $B124, 'SEANCE 1'!$C:$C, F$2, 'SEANCE 1'!$F:$F, F$5))</f>
        <v/>
      </c>
      <c r="G124" s="64" t="str">
        <f ca="1">IF(COUNTIFS('SEANCE 1'!$B:$B, $B124, 'SEANCE 1'!$C:$C, G$2, 'SEANCE 1'!$F:$F, G$5)=0, "", COUNTIFS('SEANCE 1'!$B:$B, $B124, 'SEANCE 1'!$C:$C, G$2, 'SEANCE 1'!$F:$F, G$5))</f>
        <v/>
      </c>
      <c r="H124" s="64" t="str">
        <f ca="1">IF(COUNTIFS('SEANCE 1'!$B:$B, $B124, 'SEANCE 1'!$C:$C, H$2, 'SEANCE 1'!$F:$F, H$5)=0, "", COUNTIFS('SEANCE 1'!$B:$B, $B124, 'SEANCE 1'!$C:$C, H$2, 'SEANCE 1'!$F:$F, H$5))</f>
        <v/>
      </c>
      <c r="I124" s="64" t="str">
        <f ca="1">IF(COUNTIFS('SEANCE 1'!$B:$B, $B124, 'SEANCE 1'!$C:$C, I$2, 'SEANCE 1'!$F:$F, I$5)=0, "", COUNTIFS('SEANCE 1'!$B:$B, $B124, 'SEANCE 1'!$C:$C, I$2, 'SEANCE 1'!$F:$F, I$5))</f>
        <v/>
      </c>
      <c r="J124" s="64" t="str">
        <f ca="1">IF(COUNTIFS('SEANCE 1'!$B:$B, $B124, 'SEANCE 1'!$C:$C, J$2, 'SEANCE 1'!$F:$F, J$5)=0, "", COUNTIFS('SEANCE 1'!$B:$B, $B124, 'SEANCE 1'!$C:$C, J$2, 'SEANCE 1'!$F:$F, J$5))</f>
        <v/>
      </c>
      <c r="K124" s="64" t="str">
        <f ca="1">IF(COUNTIFS('SEANCE 1'!$B:$B, $B124, 'SEANCE 1'!$C:$C, K$2, 'SEANCE 1'!$F:$F, K$5)=0, "", COUNTIFS('SEANCE 1'!$B:$B, $B124, 'SEANCE 1'!$C:$C, K$2, 'SEANCE 1'!$F:$F, K$5))</f>
        <v/>
      </c>
      <c r="L124" s="64" t="str">
        <f ca="1">IF(COUNTIFS('SEANCE 1'!$B:$B, $B124, 'SEANCE 1'!$C:$C, L$2, 'SEANCE 1'!$F:$F, L$5)=0, "", COUNTIFS('SEANCE 1'!$B:$B, $B124, 'SEANCE 1'!$C:$C, L$2, 'SEANCE 1'!$F:$F, L$5))</f>
        <v/>
      </c>
      <c r="M124" s="64" t="str">
        <f ca="1">IF(COUNTIFS('SEANCE 1'!$B:$B, $B124, 'SEANCE 1'!$C:$C, M$2, 'SEANCE 1'!$F:$F, M$5)=0, "", COUNTIFS('SEANCE 1'!$B:$B, $B124, 'SEANCE 1'!$C:$C, M$2, 'SEANCE 1'!$F:$F, M$5))</f>
        <v/>
      </c>
      <c r="N124" s="64" t="str">
        <f ca="1">IF(COUNTIFS('SEANCE 1'!$B:$B, $B124, 'SEANCE 1'!$C:$C, N$2, 'SEANCE 1'!$F:$F, N$5)=0, "", COUNTIFS('SEANCE 1'!$B:$B, $B124, 'SEANCE 1'!$C:$C, N$2, 'SEANCE 1'!$F:$F, N$5))</f>
        <v/>
      </c>
      <c r="O124" s="64" t="str">
        <f ca="1">IF(COUNTIFS('SEANCE 1'!$B:$B, $B124, 'SEANCE 1'!$C:$C, O$2, 'SEANCE 1'!$F:$F, O$5)=0, "", COUNTIFS('SEANCE 1'!$B:$B, $B124, 'SEANCE 1'!$C:$C, O$2, 'SEANCE 1'!$F:$F, O$5))</f>
        <v/>
      </c>
      <c r="P124" s="64" t="str">
        <f ca="1">IF(COUNTIFS('SEANCE 1'!$B:$B, $B124, 'SEANCE 1'!$C:$C, P$2, 'SEANCE 1'!$F:$F, P$5)=0, "", COUNTIFS('SEANCE 1'!$B:$B, $B124, 'SEANCE 1'!$C:$C, P$2, 'SEANCE 1'!$F:$F, P$5))</f>
        <v/>
      </c>
      <c r="Q124" s="64" t="str">
        <f ca="1">IF(COUNTIFS('SEANCE 1'!$B:$B, $B124, 'SEANCE 1'!$C:$C, Q$2, 'SEANCE 1'!$F:$F, Q$5)=0, "", COUNTIFS('SEANCE 1'!$B:$B, $B124, 'SEANCE 1'!$C:$C, Q$2, 'SEANCE 1'!$F:$F, Q$5))</f>
        <v/>
      </c>
      <c r="R124" s="64" t="str">
        <f ca="1">IF(COUNTIFS('SEANCE 1'!$B:$B, $B124, 'SEANCE 1'!$C:$C, R$2, 'SEANCE 1'!$F:$F, R$5)=0, "", COUNTIFS('SEANCE 1'!$B:$B, $B124, 'SEANCE 1'!$C:$C, R$2, 'SEANCE 1'!$F:$F, R$5))</f>
        <v/>
      </c>
      <c r="S124" s="64" t="str">
        <f ca="1">IF(COUNTIFS('SEANCE 1'!$B:$B, $B124, 'SEANCE 1'!$C:$C, S$2, 'SEANCE 1'!$F:$F, S$5)=0, "", COUNTIFS('SEANCE 1'!$B:$B, $B124, 'SEANCE 1'!$C:$C, S$2, 'SEANCE 1'!$F:$F, S$5))</f>
        <v/>
      </c>
      <c r="T124" s="64" t="str">
        <f ca="1">IF(COUNTIFS('SEANCE 1'!$B:$B, $B124, 'SEANCE 1'!$C:$C, T$2, 'SEANCE 1'!$F:$F, T$5)=0, "", COUNTIFS('SEANCE 1'!$B:$B, $B124, 'SEANCE 1'!$C:$C, T$2, 'SEANCE 1'!$F:$F, T$5))</f>
        <v/>
      </c>
      <c r="U124" s="64" t="str">
        <f ca="1">IF(COUNTIFS('SEANCE 1'!$B:$B, $B124, 'SEANCE 1'!$C:$C, U$2, 'SEANCE 1'!$F:$F, U$5)=0, "", COUNTIFS('SEANCE 1'!$B:$B, $B124, 'SEANCE 1'!$C:$C, U$2, 'SEANCE 1'!$F:$F, U$5))</f>
        <v/>
      </c>
      <c r="V124" s="64" t="str">
        <f ca="1">IF(COUNTIFS('SEANCE 1'!$B:$B, $B124, 'SEANCE 1'!$C:$C, V$2, 'SEANCE 1'!$F:$F, V$5)=0, "", COUNTIFS('SEANCE 1'!$B:$B, $B124, 'SEANCE 1'!$C:$C, V$2, 'SEANCE 1'!$F:$F, V$5))</f>
        <v/>
      </c>
      <c r="W124" s="64" t="str">
        <f ca="1">IF(COUNTIFS('SEANCE 1'!$B:$B, $B124, 'SEANCE 1'!$C:$C, W$2, 'SEANCE 1'!$F:$F, W$5)=0, "", COUNTIFS('SEANCE 1'!$B:$B, $B124, 'SEANCE 1'!$C:$C, W$2, 'SEANCE 1'!$F:$F, W$5))</f>
        <v/>
      </c>
      <c r="X124" s="64" t="str">
        <f ca="1">IF(COUNTIFS('SEANCE 1'!$B:$B, $B124, 'SEANCE 1'!$C:$C, X$2, 'SEANCE 1'!$F:$F, X$5)=0, "", COUNTIFS('SEANCE 1'!$B:$B, $B124, 'SEANCE 1'!$C:$C, X$2, 'SEANCE 1'!$F:$F, X$5))</f>
        <v/>
      </c>
      <c r="Y124" s="64" t="str">
        <f ca="1">IF(COUNTIFS('SEANCE 1'!$B:$B, $B124, 'SEANCE 1'!$C:$C, Y$2, 'SEANCE 1'!$F:$F, Y$5)=0, "", COUNTIFS('SEANCE 1'!$B:$B, $B124, 'SEANCE 1'!$C:$C, Y$2, 'SEANCE 1'!$F:$F, Y$5))</f>
        <v/>
      </c>
      <c r="Z124" s="64" t="str">
        <f ca="1">IF(COUNTIFS('SEANCE 1'!$B:$B, $B124, 'SEANCE 1'!$C:$C, Z$2, 'SEANCE 1'!$F:$F, Z$5)=0, "", COUNTIFS('SEANCE 1'!$B:$B, $B124, 'SEANCE 1'!$C:$C, Z$2, 'SEANCE 1'!$F:$F, Z$5))</f>
        <v/>
      </c>
      <c r="AA124" s="64" t="str">
        <f ca="1">IF(COUNTIFS('SEANCE 1'!$B:$B, $B124, 'SEANCE 1'!$C:$C, AA$2, 'SEANCE 1'!$F:$F, AA$5)=0, "", COUNTIFS('SEANCE 1'!$B:$B, $B124, 'SEANCE 1'!$C:$C, AA$2, 'SEANCE 1'!$F:$F, AA$5))</f>
        <v/>
      </c>
      <c r="AB124" s="64" t="str">
        <f ca="1">IF(COUNTIFS('SEANCE 1'!$B:$B, $B124, 'SEANCE 1'!$C:$C, AB$2, 'SEANCE 1'!$F:$F, AB$5)=0, "", COUNTIFS('SEANCE 1'!$B:$B, $B124, 'SEANCE 1'!$C:$C, AB$2, 'SEANCE 1'!$F:$F, AB$5))</f>
        <v/>
      </c>
      <c r="AC124" s="64" t="str">
        <f ca="1">IF(COUNTIFS('SEANCE 1'!$B:$B, $B124, 'SEANCE 1'!$C:$C, AC$2, 'SEANCE 1'!$F:$F, AC$5)=0, "", COUNTIFS('SEANCE 1'!$B:$B, $B124, 'SEANCE 1'!$C:$C, AC$2, 'SEANCE 1'!$F:$F, AC$5))</f>
        <v/>
      </c>
      <c r="AD124" s="64" t="str">
        <f ca="1">IF(COUNTIFS('SEANCE 1'!$B:$B, $B124, 'SEANCE 1'!$C:$C, AD$2, 'SEANCE 1'!$F:$F, AD$5)=0, "", COUNTIFS('SEANCE 1'!$B:$B, $B124, 'SEANCE 1'!$C:$C, AD$2, 'SEANCE 1'!$F:$F, AD$5))</f>
        <v/>
      </c>
      <c r="AE124" s="64" t="str">
        <f ca="1">IF(COUNTIFS('SEANCE 1'!$B:$B, $B124, 'SEANCE 1'!$C:$C, AE$2, 'SEANCE 1'!$F:$F, AE$5)=0, "", COUNTIFS('SEANCE 1'!$B:$B, $B124, 'SEANCE 1'!$C:$C, AE$2, 'SEANCE 1'!$F:$F, AE$5))</f>
        <v/>
      </c>
      <c r="AF124" s="64" t="str">
        <f ca="1">IF(COUNTIFS('SEANCE 1'!$B:$B, $B124, 'SEANCE 1'!$C:$C, AF$2, 'SEANCE 1'!$F:$F, AF$5)=0, "", COUNTIFS('SEANCE 1'!$B:$B, $B124, 'SEANCE 1'!$C:$C, AF$2, 'SEANCE 1'!$F:$F, AF$5))</f>
        <v/>
      </c>
      <c r="AG124" s="64" t="str">
        <f ca="1">IF(COUNTIFS('SEANCE 1'!$B:$B, $B124, 'SEANCE 1'!$C:$C, AG$2, 'SEANCE 1'!$F:$F, AG$5)=0, "", COUNTIFS('SEANCE 1'!$B:$B, $B124, 'SEANCE 1'!$C:$C, AG$2, 'SEANCE 1'!$F:$F, AG$5))</f>
        <v/>
      </c>
      <c r="AH124" s="64" t="str">
        <f ca="1">IF(COUNTIFS('SEANCE 1'!$B:$B, $B124, 'SEANCE 1'!$C:$C, AH$2, 'SEANCE 1'!$F:$F, AH$5)=0, "", COUNTIFS('SEANCE 1'!$B:$B, $B124, 'SEANCE 1'!$C:$C, AH$2, 'SEANCE 1'!$F:$F, AH$5))</f>
        <v/>
      </c>
      <c r="AI124" s="64" t="str">
        <f ca="1">IF(COUNTIFS('SEANCE 1'!$B:$B, $B124, 'SEANCE 1'!$C:$C, AI$2, 'SEANCE 1'!$F:$F, AI$5)=0, "", COUNTIFS('SEANCE 1'!$B:$B, $B124, 'SEANCE 1'!$C:$C, AI$2, 'SEANCE 1'!$F:$F, AI$5))</f>
        <v/>
      </c>
      <c r="AJ124" s="64" t="str">
        <f ca="1">IF(COUNTIFS('SEANCE 1'!$B:$B, $B124, 'SEANCE 1'!$C:$C, AJ$2, 'SEANCE 1'!$F:$F, AJ$5)=0, "", COUNTIFS('SEANCE 1'!$B:$B, $B124, 'SEANCE 1'!$C:$C, AJ$2, 'SEANCE 1'!$F:$F, AJ$5))</f>
        <v/>
      </c>
      <c r="AK124" s="64" t="str">
        <f ca="1">IF(COUNTIFS('SEANCE 1'!$B:$B, $B124, 'SEANCE 1'!$C:$C, AK$2, 'SEANCE 1'!$F:$F, AK$5)=0, "", COUNTIFS('SEANCE 1'!$B:$B, $B124, 'SEANCE 1'!$C:$C, AK$2, 'SEANCE 1'!$F:$F, AK$5))</f>
        <v/>
      </c>
      <c r="AL124" s="64" t="str">
        <f ca="1">IF(COUNTIFS('SEANCE 1'!$B:$B, $B124, 'SEANCE 1'!$C:$C, AL$2, 'SEANCE 1'!$F:$F, AL$5)=0, "", COUNTIFS('SEANCE 1'!$B:$B, $B124, 'SEANCE 1'!$C:$C, AL$2, 'SEANCE 1'!$F:$F, AL$5))</f>
        <v/>
      </c>
      <c r="AM124" s="64" t="str">
        <f ca="1">IF(COUNTIFS('SEANCE 1'!$B:$B, $B124, 'SEANCE 1'!$C:$C, AM$2, 'SEANCE 1'!$F:$F, AM$5)=0, "", COUNTIFS('SEANCE 1'!$B:$B, $B124, 'SEANCE 1'!$C:$C, AM$2, 'SEANCE 1'!$F:$F, AM$5))</f>
        <v/>
      </c>
      <c r="AN124" s="64" t="str">
        <f ca="1">IF(COUNTIFS('SEANCE 1'!$B:$B, $B124, 'SEANCE 1'!$C:$C, AN$2, 'SEANCE 1'!$F:$F, AN$5)=0, "", COUNTIFS('SEANCE 1'!$B:$B, $B124, 'SEANCE 1'!$C:$C, AN$2, 'SEANCE 1'!$F:$F, AN$5))</f>
        <v/>
      </c>
      <c r="AO124" s="64" t="str">
        <f ca="1">IF(COUNTIFS('SEANCE 1'!$B:$B, $B124, 'SEANCE 1'!$C:$C, AO$2, 'SEANCE 1'!$F:$F, AO$5)=0, "", COUNTIFS('SEANCE 1'!$B:$B, $B124, 'SEANCE 1'!$C:$C, AO$2, 'SEANCE 1'!$F:$F, AO$5))</f>
        <v/>
      </c>
      <c r="AP124" s="64" t="str">
        <f ca="1">IF(COUNTIFS('SEANCE 1'!$B:$B, $B124, 'SEANCE 1'!$C:$C, AP$2, 'SEANCE 1'!$F:$F, AP$5)=0, "", COUNTIFS('SEANCE 1'!$B:$B, $B124, 'SEANCE 1'!$C:$C, AP$2, 'SEANCE 1'!$F:$F, AP$5))</f>
        <v/>
      </c>
      <c r="AQ124" s="64" t="str">
        <f ca="1">IF(COUNTIFS('SEANCE 1'!$B:$B, $B124, 'SEANCE 1'!$C:$C, AQ$2, 'SEANCE 1'!$F:$F, AQ$5)=0, "", COUNTIFS('SEANCE 1'!$B:$B, $B124, 'SEANCE 1'!$C:$C, AQ$2, 'SEANCE 1'!$F:$F, AQ$5))</f>
        <v/>
      </c>
      <c r="AR124" s="64" t="str">
        <f ca="1">IF(COUNTIFS('SEANCE 1'!$B:$B, $B124, 'SEANCE 1'!$C:$C, AR$2, 'SEANCE 1'!$F:$F, AR$5)=0, "", COUNTIFS('SEANCE 1'!$B:$B, $B124, 'SEANCE 1'!$C:$C, AR$2, 'SEANCE 1'!$F:$F, AR$5))</f>
        <v/>
      </c>
      <c r="AS124" s="64" t="str">
        <f ca="1">IF(COUNTIFS('SEANCE 1'!$B:$B, $B124, 'SEANCE 1'!$C:$C, AS$2, 'SEANCE 1'!$F:$F, AS$5)=0, "", COUNTIFS('SEANCE 1'!$B:$B, $B124, 'SEANCE 1'!$C:$C, AS$2, 'SEANCE 1'!$F:$F, AS$5))</f>
        <v/>
      </c>
      <c r="AT124" s="64" t="str">
        <f ca="1">IF(COUNTIFS('SEANCE 1'!$B:$B, $B124, 'SEANCE 1'!$C:$C, AT$2, 'SEANCE 1'!$F:$F, AT$5)=0, "", COUNTIFS('SEANCE 1'!$B:$B, $B124, 'SEANCE 1'!$C:$C, AT$2, 'SEANCE 1'!$F:$F, AT$5))</f>
        <v/>
      </c>
      <c r="AU124" s="64" t="str">
        <f ca="1">IF(COUNTIFS('SEANCE 1'!$B:$B, $B124, 'SEANCE 1'!$C:$C, AU$2, 'SEANCE 1'!$F:$F, AU$5)=0, "", COUNTIFS('SEANCE 1'!$B:$B, $B124, 'SEANCE 1'!$C:$C, AU$2, 'SEANCE 1'!$F:$F, AU$5))</f>
        <v/>
      </c>
      <c r="AV124" s="64" t="str">
        <f ca="1">IF(COUNTIFS('SEANCE 1'!$B:$B, $B124, 'SEANCE 1'!$C:$C, AV$2, 'SEANCE 1'!$F:$F, AV$5)=0, "", COUNTIFS('SEANCE 1'!$B:$B, $B124, 'SEANCE 1'!$C:$C, AV$2, 'SEANCE 1'!$F:$F, AV$5))</f>
        <v/>
      </c>
      <c r="AW124" s="64" t="str">
        <f ca="1">IF(COUNTIFS('SEANCE 1'!$B:$B, $B124, 'SEANCE 1'!$C:$C, AW$2, 'SEANCE 1'!$F:$F, AW$5)=0, "", COUNTIFS('SEANCE 1'!$B:$B, $B124, 'SEANCE 1'!$C:$C, AW$2, 'SEANCE 1'!$F:$F, AW$5))</f>
        <v/>
      </c>
      <c r="AX124" s="64" t="str">
        <f ca="1">IF(COUNTIFS('SEANCE 1'!$B:$B, $B124, 'SEANCE 1'!$C:$C, AX$2, 'SEANCE 1'!$F:$F, AX$5)=0, "", COUNTIFS('SEANCE 1'!$B:$B, $B124, 'SEANCE 1'!$C:$C, AX$2, 'SEANCE 1'!$F:$F, AX$5))</f>
        <v/>
      </c>
      <c r="AY124" s="64" t="str">
        <f ca="1">IF(COUNTIFS('SEANCE 1'!$B:$B, $B124, 'SEANCE 1'!$C:$C, AY$2, 'SEANCE 1'!$F:$F, AY$5)=0, "", COUNTIFS('SEANCE 1'!$B:$B, $B124, 'SEANCE 1'!$C:$C, AY$2, 'SEANCE 1'!$F:$F, AY$5))</f>
        <v/>
      </c>
      <c r="AZ124" s="32">
        <f t="shared" ca="1" si="1"/>
        <v>0</v>
      </c>
    </row>
    <row r="125" spans="1:52">
      <c r="A125" s="44" t="str">
        <f>IF('SEANCE 1'!$B121&lt;&gt;"",'SEANCE 1'!$A121,"")</f>
        <v/>
      </c>
      <c r="B125" s="44" t="str">
        <f t="array" aca="1" ref="B125" ca="1">IF(ISNA(INDEX(ListeB,MATCH(0,COUNTIF($B$5:B124,ListeB),0))),"",INDEX(ListeB,MATCH(0,COUNTIF($B$5:B124,ListeB),0)))</f>
        <v/>
      </c>
      <c r="C125" s="64" t="str">
        <f ca="1">IF(COUNTIFS('SEANCE 1'!$B:$B, $B125, 'SEANCE 1'!$C:$C, C$2, 'SEANCE 1'!$F:$F, C$5)=0, "", COUNTIFS('SEANCE 1'!$B:$B, $B125, 'SEANCE 1'!$C:$C, C$2, 'SEANCE 1'!$F:$F, C$5))</f>
        <v/>
      </c>
      <c r="D125" s="64" t="str">
        <f ca="1">IF(COUNTIFS('SEANCE 1'!$B:$B, $B125, 'SEANCE 1'!$C:$C, D$2, 'SEANCE 1'!$F:$F, D$5)=0, "", COUNTIFS('SEANCE 1'!$B:$B, $B125, 'SEANCE 1'!$C:$C, D$2, 'SEANCE 1'!$F:$F, D$5))</f>
        <v/>
      </c>
      <c r="E125" s="64" t="str">
        <f ca="1">IF(COUNTIFS('SEANCE 1'!$B:$B, $B125, 'SEANCE 1'!$C:$C, E$2, 'SEANCE 1'!$F:$F, E$5)=0, "", COUNTIFS('SEANCE 1'!$B:$B, $B125, 'SEANCE 1'!$C:$C, E$2, 'SEANCE 1'!$F:$F, E$5))</f>
        <v/>
      </c>
      <c r="F125" s="64" t="str">
        <f ca="1">IF(COUNTIFS('SEANCE 1'!$B:$B, $B125, 'SEANCE 1'!$C:$C, F$2, 'SEANCE 1'!$F:$F, F$5)=0, "", COUNTIFS('SEANCE 1'!$B:$B, $B125, 'SEANCE 1'!$C:$C, F$2, 'SEANCE 1'!$F:$F, F$5))</f>
        <v/>
      </c>
      <c r="G125" s="64" t="str">
        <f ca="1">IF(COUNTIFS('SEANCE 1'!$B:$B, $B125, 'SEANCE 1'!$C:$C, G$2, 'SEANCE 1'!$F:$F, G$5)=0, "", COUNTIFS('SEANCE 1'!$B:$B, $B125, 'SEANCE 1'!$C:$C, G$2, 'SEANCE 1'!$F:$F, G$5))</f>
        <v/>
      </c>
      <c r="H125" s="64" t="str">
        <f ca="1">IF(COUNTIFS('SEANCE 1'!$B:$B, $B125, 'SEANCE 1'!$C:$C, H$2, 'SEANCE 1'!$F:$F, H$5)=0, "", COUNTIFS('SEANCE 1'!$B:$B, $B125, 'SEANCE 1'!$C:$C, H$2, 'SEANCE 1'!$F:$F, H$5))</f>
        <v/>
      </c>
      <c r="I125" s="64" t="str">
        <f ca="1">IF(COUNTIFS('SEANCE 1'!$B:$B, $B125, 'SEANCE 1'!$C:$C, I$2, 'SEANCE 1'!$F:$F, I$5)=0, "", COUNTIFS('SEANCE 1'!$B:$B, $B125, 'SEANCE 1'!$C:$C, I$2, 'SEANCE 1'!$F:$F, I$5))</f>
        <v/>
      </c>
      <c r="J125" s="64" t="str">
        <f ca="1">IF(COUNTIFS('SEANCE 1'!$B:$B, $B125, 'SEANCE 1'!$C:$C, J$2, 'SEANCE 1'!$F:$F, J$5)=0, "", COUNTIFS('SEANCE 1'!$B:$B, $B125, 'SEANCE 1'!$C:$C, J$2, 'SEANCE 1'!$F:$F, J$5))</f>
        <v/>
      </c>
      <c r="K125" s="64" t="str">
        <f ca="1">IF(COUNTIFS('SEANCE 1'!$B:$B, $B125, 'SEANCE 1'!$C:$C, K$2, 'SEANCE 1'!$F:$F, K$5)=0, "", COUNTIFS('SEANCE 1'!$B:$B, $B125, 'SEANCE 1'!$C:$C, K$2, 'SEANCE 1'!$F:$F, K$5))</f>
        <v/>
      </c>
      <c r="L125" s="64" t="str">
        <f ca="1">IF(COUNTIFS('SEANCE 1'!$B:$B, $B125, 'SEANCE 1'!$C:$C, L$2, 'SEANCE 1'!$F:$F, L$5)=0, "", COUNTIFS('SEANCE 1'!$B:$B, $B125, 'SEANCE 1'!$C:$C, L$2, 'SEANCE 1'!$F:$F, L$5))</f>
        <v/>
      </c>
      <c r="M125" s="64" t="str">
        <f ca="1">IF(COUNTIFS('SEANCE 1'!$B:$B, $B125, 'SEANCE 1'!$C:$C, M$2, 'SEANCE 1'!$F:$F, M$5)=0, "", COUNTIFS('SEANCE 1'!$B:$B, $B125, 'SEANCE 1'!$C:$C, M$2, 'SEANCE 1'!$F:$F, M$5))</f>
        <v/>
      </c>
      <c r="N125" s="64" t="str">
        <f ca="1">IF(COUNTIFS('SEANCE 1'!$B:$B, $B125, 'SEANCE 1'!$C:$C, N$2, 'SEANCE 1'!$F:$F, N$5)=0, "", COUNTIFS('SEANCE 1'!$B:$B, $B125, 'SEANCE 1'!$C:$C, N$2, 'SEANCE 1'!$F:$F, N$5))</f>
        <v/>
      </c>
      <c r="O125" s="64" t="str">
        <f ca="1">IF(COUNTIFS('SEANCE 1'!$B:$B, $B125, 'SEANCE 1'!$C:$C, O$2, 'SEANCE 1'!$F:$F, O$5)=0, "", COUNTIFS('SEANCE 1'!$B:$B, $B125, 'SEANCE 1'!$C:$C, O$2, 'SEANCE 1'!$F:$F, O$5))</f>
        <v/>
      </c>
      <c r="P125" s="64" t="str">
        <f ca="1">IF(COUNTIFS('SEANCE 1'!$B:$B, $B125, 'SEANCE 1'!$C:$C, P$2, 'SEANCE 1'!$F:$F, P$5)=0, "", COUNTIFS('SEANCE 1'!$B:$B, $B125, 'SEANCE 1'!$C:$C, P$2, 'SEANCE 1'!$F:$F, P$5))</f>
        <v/>
      </c>
      <c r="Q125" s="64" t="str">
        <f ca="1">IF(COUNTIFS('SEANCE 1'!$B:$B, $B125, 'SEANCE 1'!$C:$C, Q$2, 'SEANCE 1'!$F:$F, Q$5)=0, "", COUNTIFS('SEANCE 1'!$B:$B, $B125, 'SEANCE 1'!$C:$C, Q$2, 'SEANCE 1'!$F:$F, Q$5))</f>
        <v/>
      </c>
      <c r="R125" s="64" t="str">
        <f ca="1">IF(COUNTIFS('SEANCE 1'!$B:$B, $B125, 'SEANCE 1'!$C:$C, R$2, 'SEANCE 1'!$F:$F, R$5)=0, "", COUNTIFS('SEANCE 1'!$B:$B, $B125, 'SEANCE 1'!$C:$C, R$2, 'SEANCE 1'!$F:$F, R$5))</f>
        <v/>
      </c>
      <c r="S125" s="64" t="str">
        <f ca="1">IF(COUNTIFS('SEANCE 1'!$B:$B, $B125, 'SEANCE 1'!$C:$C, S$2, 'SEANCE 1'!$F:$F, S$5)=0, "", COUNTIFS('SEANCE 1'!$B:$B, $B125, 'SEANCE 1'!$C:$C, S$2, 'SEANCE 1'!$F:$F, S$5))</f>
        <v/>
      </c>
      <c r="T125" s="64" t="str">
        <f ca="1">IF(COUNTIFS('SEANCE 1'!$B:$B, $B125, 'SEANCE 1'!$C:$C, T$2, 'SEANCE 1'!$F:$F, T$5)=0, "", COUNTIFS('SEANCE 1'!$B:$B, $B125, 'SEANCE 1'!$C:$C, T$2, 'SEANCE 1'!$F:$F, T$5))</f>
        <v/>
      </c>
      <c r="U125" s="64" t="str">
        <f ca="1">IF(COUNTIFS('SEANCE 1'!$B:$B, $B125, 'SEANCE 1'!$C:$C, U$2, 'SEANCE 1'!$F:$F, U$5)=0, "", COUNTIFS('SEANCE 1'!$B:$B, $B125, 'SEANCE 1'!$C:$C, U$2, 'SEANCE 1'!$F:$F, U$5))</f>
        <v/>
      </c>
      <c r="V125" s="64" t="str">
        <f ca="1">IF(COUNTIFS('SEANCE 1'!$B:$B, $B125, 'SEANCE 1'!$C:$C, V$2, 'SEANCE 1'!$F:$F, V$5)=0, "", COUNTIFS('SEANCE 1'!$B:$B, $B125, 'SEANCE 1'!$C:$C, V$2, 'SEANCE 1'!$F:$F, V$5))</f>
        <v/>
      </c>
      <c r="W125" s="64" t="str">
        <f ca="1">IF(COUNTIFS('SEANCE 1'!$B:$B, $B125, 'SEANCE 1'!$C:$C, W$2, 'SEANCE 1'!$F:$F, W$5)=0, "", COUNTIFS('SEANCE 1'!$B:$B, $B125, 'SEANCE 1'!$C:$C, W$2, 'SEANCE 1'!$F:$F, W$5))</f>
        <v/>
      </c>
      <c r="X125" s="64" t="str">
        <f ca="1">IF(COUNTIFS('SEANCE 1'!$B:$B, $B125, 'SEANCE 1'!$C:$C, X$2, 'SEANCE 1'!$F:$F, X$5)=0, "", COUNTIFS('SEANCE 1'!$B:$B, $B125, 'SEANCE 1'!$C:$C, X$2, 'SEANCE 1'!$F:$F, X$5))</f>
        <v/>
      </c>
      <c r="Y125" s="64" t="str">
        <f ca="1">IF(COUNTIFS('SEANCE 1'!$B:$B, $B125, 'SEANCE 1'!$C:$C, Y$2, 'SEANCE 1'!$F:$F, Y$5)=0, "", COUNTIFS('SEANCE 1'!$B:$B, $B125, 'SEANCE 1'!$C:$C, Y$2, 'SEANCE 1'!$F:$F, Y$5))</f>
        <v/>
      </c>
      <c r="Z125" s="64" t="str">
        <f ca="1">IF(COUNTIFS('SEANCE 1'!$B:$B, $B125, 'SEANCE 1'!$C:$C, Z$2, 'SEANCE 1'!$F:$F, Z$5)=0, "", COUNTIFS('SEANCE 1'!$B:$B, $B125, 'SEANCE 1'!$C:$C, Z$2, 'SEANCE 1'!$F:$F, Z$5))</f>
        <v/>
      </c>
      <c r="AA125" s="64" t="str">
        <f ca="1">IF(COUNTIFS('SEANCE 1'!$B:$B, $B125, 'SEANCE 1'!$C:$C, AA$2, 'SEANCE 1'!$F:$F, AA$5)=0, "", COUNTIFS('SEANCE 1'!$B:$B, $B125, 'SEANCE 1'!$C:$C, AA$2, 'SEANCE 1'!$F:$F, AA$5))</f>
        <v/>
      </c>
      <c r="AB125" s="64" t="str">
        <f ca="1">IF(COUNTIFS('SEANCE 1'!$B:$B, $B125, 'SEANCE 1'!$C:$C, AB$2, 'SEANCE 1'!$F:$F, AB$5)=0, "", COUNTIFS('SEANCE 1'!$B:$B, $B125, 'SEANCE 1'!$C:$C, AB$2, 'SEANCE 1'!$F:$F, AB$5))</f>
        <v/>
      </c>
      <c r="AC125" s="64" t="str">
        <f ca="1">IF(COUNTIFS('SEANCE 1'!$B:$B, $B125, 'SEANCE 1'!$C:$C, AC$2, 'SEANCE 1'!$F:$F, AC$5)=0, "", COUNTIFS('SEANCE 1'!$B:$B, $B125, 'SEANCE 1'!$C:$C, AC$2, 'SEANCE 1'!$F:$F, AC$5))</f>
        <v/>
      </c>
      <c r="AD125" s="64" t="str">
        <f ca="1">IF(COUNTIFS('SEANCE 1'!$B:$B, $B125, 'SEANCE 1'!$C:$C, AD$2, 'SEANCE 1'!$F:$F, AD$5)=0, "", COUNTIFS('SEANCE 1'!$B:$B, $B125, 'SEANCE 1'!$C:$C, AD$2, 'SEANCE 1'!$F:$F, AD$5))</f>
        <v/>
      </c>
      <c r="AE125" s="64" t="str">
        <f ca="1">IF(COUNTIFS('SEANCE 1'!$B:$B, $B125, 'SEANCE 1'!$C:$C, AE$2, 'SEANCE 1'!$F:$F, AE$5)=0, "", COUNTIFS('SEANCE 1'!$B:$B, $B125, 'SEANCE 1'!$C:$C, AE$2, 'SEANCE 1'!$F:$F, AE$5))</f>
        <v/>
      </c>
      <c r="AF125" s="64" t="str">
        <f ca="1">IF(COUNTIFS('SEANCE 1'!$B:$B, $B125, 'SEANCE 1'!$C:$C, AF$2, 'SEANCE 1'!$F:$F, AF$5)=0, "", COUNTIFS('SEANCE 1'!$B:$B, $B125, 'SEANCE 1'!$C:$C, AF$2, 'SEANCE 1'!$F:$F, AF$5))</f>
        <v/>
      </c>
      <c r="AG125" s="64" t="str">
        <f ca="1">IF(COUNTIFS('SEANCE 1'!$B:$B, $B125, 'SEANCE 1'!$C:$C, AG$2, 'SEANCE 1'!$F:$F, AG$5)=0, "", COUNTIFS('SEANCE 1'!$B:$B, $B125, 'SEANCE 1'!$C:$C, AG$2, 'SEANCE 1'!$F:$F, AG$5))</f>
        <v/>
      </c>
      <c r="AH125" s="64" t="str">
        <f ca="1">IF(COUNTIFS('SEANCE 1'!$B:$B, $B125, 'SEANCE 1'!$C:$C, AH$2, 'SEANCE 1'!$F:$F, AH$5)=0, "", COUNTIFS('SEANCE 1'!$B:$B, $B125, 'SEANCE 1'!$C:$C, AH$2, 'SEANCE 1'!$F:$F, AH$5))</f>
        <v/>
      </c>
      <c r="AI125" s="64" t="str">
        <f ca="1">IF(COUNTIFS('SEANCE 1'!$B:$B, $B125, 'SEANCE 1'!$C:$C, AI$2, 'SEANCE 1'!$F:$F, AI$5)=0, "", COUNTIFS('SEANCE 1'!$B:$B, $B125, 'SEANCE 1'!$C:$C, AI$2, 'SEANCE 1'!$F:$F, AI$5))</f>
        <v/>
      </c>
      <c r="AJ125" s="64" t="str">
        <f ca="1">IF(COUNTIFS('SEANCE 1'!$B:$B, $B125, 'SEANCE 1'!$C:$C, AJ$2, 'SEANCE 1'!$F:$F, AJ$5)=0, "", COUNTIFS('SEANCE 1'!$B:$B, $B125, 'SEANCE 1'!$C:$C, AJ$2, 'SEANCE 1'!$F:$F, AJ$5))</f>
        <v/>
      </c>
      <c r="AK125" s="64" t="str">
        <f ca="1">IF(COUNTIFS('SEANCE 1'!$B:$B, $B125, 'SEANCE 1'!$C:$C, AK$2, 'SEANCE 1'!$F:$F, AK$5)=0, "", COUNTIFS('SEANCE 1'!$B:$B, $B125, 'SEANCE 1'!$C:$C, AK$2, 'SEANCE 1'!$F:$F, AK$5))</f>
        <v/>
      </c>
      <c r="AL125" s="64" t="str">
        <f ca="1">IF(COUNTIFS('SEANCE 1'!$B:$B, $B125, 'SEANCE 1'!$C:$C, AL$2, 'SEANCE 1'!$F:$F, AL$5)=0, "", COUNTIFS('SEANCE 1'!$B:$B, $B125, 'SEANCE 1'!$C:$C, AL$2, 'SEANCE 1'!$F:$F, AL$5))</f>
        <v/>
      </c>
      <c r="AM125" s="64" t="str">
        <f ca="1">IF(COUNTIFS('SEANCE 1'!$B:$B, $B125, 'SEANCE 1'!$C:$C, AM$2, 'SEANCE 1'!$F:$F, AM$5)=0, "", COUNTIFS('SEANCE 1'!$B:$B, $B125, 'SEANCE 1'!$C:$C, AM$2, 'SEANCE 1'!$F:$F, AM$5))</f>
        <v/>
      </c>
      <c r="AN125" s="64" t="str">
        <f ca="1">IF(COUNTIFS('SEANCE 1'!$B:$B, $B125, 'SEANCE 1'!$C:$C, AN$2, 'SEANCE 1'!$F:$F, AN$5)=0, "", COUNTIFS('SEANCE 1'!$B:$B, $B125, 'SEANCE 1'!$C:$C, AN$2, 'SEANCE 1'!$F:$F, AN$5))</f>
        <v/>
      </c>
      <c r="AO125" s="64" t="str">
        <f ca="1">IF(COUNTIFS('SEANCE 1'!$B:$B, $B125, 'SEANCE 1'!$C:$C, AO$2, 'SEANCE 1'!$F:$F, AO$5)=0, "", COUNTIFS('SEANCE 1'!$B:$B, $B125, 'SEANCE 1'!$C:$C, AO$2, 'SEANCE 1'!$F:$F, AO$5))</f>
        <v/>
      </c>
      <c r="AP125" s="64" t="str">
        <f ca="1">IF(COUNTIFS('SEANCE 1'!$B:$B, $B125, 'SEANCE 1'!$C:$C, AP$2, 'SEANCE 1'!$F:$F, AP$5)=0, "", COUNTIFS('SEANCE 1'!$B:$B, $B125, 'SEANCE 1'!$C:$C, AP$2, 'SEANCE 1'!$F:$F, AP$5))</f>
        <v/>
      </c>
      <c r="AQ125" s="64" t="str">
        <f ca="1">IF(COUNTIFS('SEANCE 1'!$B:$B, $B125, 'SEANCE 1'!$C:$C, AQ$2, 'SEANCE 1'!$F:$F, AQ$5)=0, "", COUNTIFS('SEANCE 1'!$B:$B, $B125, 'SEANCE 1'!$C:$C, AQ$2, 'SEANCE 1'!$F:$F, AQ$5))</f>
        <v/>
      </c>
      <c r="AR125" s="64" t="str">
        <f ca="1">IF(COUNTIFS('SEANCE 1'!$B:$B, $B125, 'SEANCE 1'!$C:$C, AR$2, 'SEANCE 1'!$F:$F, AR$5)=0, "", COUNTIFS('SEANCE 1'!$B:$B, $B125, 'SEANCE 1'!$C:$C, AR$2, 'SEANCE 1'!$F:$F, AR$5))</f>
        <v/>
      </c>
      <c r="AS125" s="64" t="str">
        <f ca="1">IF(COUNTIFS('SEANCE 1'!$B:$B, $B125, 'SEANCE 1'!$C:$C, AS$2, 'SEANCE 1'!$F:$F, AS$5)=0, "", COUNTIFS('SEANCE 1'!$B:$B, $B125, 'SEANCE 1'!$C:$C, AS$2, 'SEANCE 1'!$F:$F, AS$5))</f>
        <v/>
      </c>
      <c r="AT125" s="64" t="str">
        <f ca="1">IF(COUNTIFS('SEANCE 1'!$B:$B, $B125, 'SEANCE 1'!$C:$C, AT$2, 'SEANCE 1'!$F:$F, AT$5)=0, "", COUNTIFS('SEANCE 1'!$B:$B, $B125, 'SEANCE 1'!$C:$C, AT$2, 'SEANCE 1'!$F:$F, AT$5))</f>
        <v/>
      </c>
      <c r="AU125" s="64" t="str">
        <f ca="1">IF(COUNTIFS('SEANCE 1'!$B:$B, $B125, 'SEANCE 1'!$C:$C, AU$2, 'SEANCE 1'!$F:$F, AU$5)=0, "", COUNTIFS('SEANCE 1'!$B:$B, $B125, 'SEANCE 1'!$C:$C, AU$2, 'SEANCE 1'!$F:$F, AU$5))</f>
        <v/>
      </c>
      <c r="AV125" s="64" t="str">
        <f ca="1">IF(COUNTIFS('SEANCE 1'!$B:$B, $B125, 'SEANCE 1'!$C:$C, AV$2, 'SEANCE 1'!$F:$F, AV$5)=0, "", COUNTIFS('SEANCE 1'!$B:$B, $B125, 'SEANCE 1'!$C:$C, AV$2, 'SEANCE 1'!$F:$F, AV$5))</f>
        <v/>
      </c>
      <c r="AW125" s="64" t="str">
        <f ca="1">IF(COUNTIFS('SEANCE 1'!$B:$B, $B125, 'SEANCE 1'!$C:$C, AW$2, 'SEANCE 1'!$F:$F, AW$5)=0, "", COUNTIFS('SEANCE 1'!$B:$B, $B125, 'SEANCE 1'!$C:$C, AW$2, 'SEANCE 1'!$F:$F, AW$5))</f>
        <v/>
      </c>
      <c r="AX125" s="64" t="str">
        <f ca="1">IF(COUNTIFS('SEANCE 1'!$B:$B, $B125, 'SEANCE 1'!$C:$C, AX$2, 'SEANCE 1'!$F:$F, AX$5)=0, "", COUNTIFS('SEANCE 1'!$B:$B, $B125, 'SEANCE 1'!$C:$C, AX$2, 'SEANCE 1'!$F:$F, AX$5))</f>
        <v/>
      </c>
      <c r="AY125" s="64" t="str">
        <f ca="1">IF(COUNTIFS('SEANCE 1'!$B:$B, $B125, 'SEANCE 1'!$C:$C, AY$2, 'SEANCE 1'!$F:$F, AY$5)=0, "", COUNTIFS('SEANCE 1'!$B:$B, $B125, 'SEANCE 1'!$C:$C, AY$2, 'SEANCE 1'!$F:$F, AY$5))</f>
        <v/>
      </c>
      <c r="AZ125" s="32">
        <f t="shared" ca="1" si="1"/>
        <v>0</v>
      </c>
    </row>
    <row r="126" spans="1:52">
      <c r="A126" s="44" t="str">
        <f>IF('SEANCE 1'!$B122&lt;&gt;"",'SEANCE 1'!$A122,"")</f>
        <v/>
      </c>
      <c r="B126" s="44" t="str">
        <f t="array" aca="1" ref="B126" ca="1">IF(ISNA(INDEX(ListeB,MATCH(0,COUNTIF($B$5:B125,ListeB),0))),"",INDEX(ListeB,MATCH(0,COUNTIF($B$5:B125,ListeB),0)))</f>
        <v/>
      </c>
      <c r="C126" s="64" t="str">
        <f ca="1">IF(COUNTIFS('SEANCE 1'!$B:$B, $B126, 'SEANCE 1'!$C:$C, C$2, 'SEANCE 1'!$F:$F, C$5)=0, "", COUNTIFS('SEANCE 1'!$B:$B, $B126, 'SEANCE 1'!$C:$C, C$2, 'SEANCE 1'!$F:$F, C$5))</f>
        <v/>
      </c>
      <c r="D126" s="64" t="str">
        <f ca="1">IF(COUNTIFS('SEANCE 1'!$B:$B, $B126, 'SEANCE 1'!$C:$C, D$2, 'SEANCE 1'!$F:$F, D$5)=0, "", COUNTIFS('SEANCE 1'!$B:$B, $B126, 'SEANCE 1'!$C:$C, D$2, 'SEANCE 1'!$F:$F, D$5))</f>
        <v/>
      </c>
      <c r="E126" s="64" t="str">
        <f ca="1">IF(COUNTIFS('SEANCE 1'!$B:$B, $B126, 'SEANCE 1'!$C:$C, E$2, 'SEANCE 1'!$F:$F, E$5)=0, "", COUNTIFS('SEANCE 1'!$B:$B, $B126, 'SEANCE 1'!$C:$C, E$2, 'SEANCE 1'!$F:$F, E$5))</f>
        <v/>
      </c>
      <c r="F126" s="64" t="str">
        <f ca="1">IF(COUNTIFS('SEANCE 1'!$B:$B, $B126, 'SEANCE 1'!$C:$C, F$2, 'SEANCE 1'!$F:$F, F$5)=0, "", COUNTIFS('SEANCE 1'!$B:$B, $B126, 'SEANCE 1'!$C:$C, F$2, 'SEANCE 1'!$F:$F, F$5))</f>
        <v/>
      </c>
      <c r="G126" s="64" t="str">
        <f ca="1">IF(COUNTIFS('SEANCE 1'!$B:$B, $B126, 'SEANCE 1'!$C:$C, G$2, 'SEANCE 1'!$F:$F, G$5)=0, "", COUNTIFS('SEANCE 1'!$B:$B, $B126, 'SEANCE 1'!$C:$C, G$2, 'SEANCE 1'!$F:$F, G$5))</f>
        <v/>
      </c>
      <c r="H126" s="64" t="str">
        <f ca="1">IF(COUNTIFS('SEANCE 1'!$B:$B, $B126, 'SEANCE 1'!$C:$C, H$2, 'SEANCE 1'!$F:$F, H$5)=0, "", COUNTIFS('SEANCE 1'!$B:$B, $B126, 'SEANCE 1'!$C:$C, H$2, 'SEANCE 1'!$F:$F, H$5))</f>
        <v/>
      </c>
      <c r="I126" s="64" t="str">
        <f ca="1">IF(COUNTIFS('SEANCE 1'!$B:$B, $B126, 'SEANCE 1'!$C:$C, I$2, 'SEANCE 1'!$F:$F, I$5)=0, "", COUNTIFS('SEANCE 1'!$B:$B, $B126, 'SEANCE 1'!$C:$C, I$2, 'SEANCE 1'!$F:$F, I$5))</f>
        <v/>
      </c>
      <c r="J126" s="64" t="str">
        <f ca="1">IF(COUNTIFS('SEANCE 1'!$B:$B, $B126, 'SEANCE 1'!$C:$C, J$2, 'SEANCE 1'!$F:$F, J$5)=0, "", COUNTIFS('SEANCE 1'!$B:$B, $B126, 'SEANCE 1'!$C:$C, J$2, 'SEANCE 1'!$F:$F, J$5))</f>
        <v/>
      </c>
      <c r="K126" s="64" t="str">
        <f ca="1">IF(COUNTIFS('SEANCE 1'!$B:$B, $B126, 'SEANCE 1'!$C:$C, K$2, 'SEANCE 1'!$F:$F, K$5)=0, "", COUNTIFS('SEANCE 1'!$B:$B, $B126, 'SEANCE 1'!$C:$C, K$2, 'SEANCE 1'!$F:$F, K$5))</f>
        <v/>
      </c>
      <c r="L126" s="64" t="str">
        <f ca="1">IF(COUNTIFS('SEANCE 1'!$B:$B, $B126, 'SEANCE 1'!$C:$C, L$2, 'SEANCE 1'!$F:$F, L$5)=0, "", COUNTIFS('SEANCE 1'!$B:$B, $B126, 'SEANCE 1'!$C:$C, L$2, 'SEANCE 1'!$F:$F, L$5))</f>
        <v/>
      </c>
      <c r="M126" s="64" t="str">
        <f ca="1">IF(COUNTIFS('SEANCE 1'!$B:$B, $B126, 'SEANCE 1'!$C:$C, M$2, 'SEANCE 1'!$F:$F, M$5)=0, "", COUNTIFS('SEANCE 1'!$B:$B, $B126, 'SEANCE 1'!$C:$C, M$2, 'SEANCE 1'!$F:$F, M$5))</f>
        <v/>
      </c>
      <c r="N126" s="64" t="str">
        <f ca="1">IF(COUNTIFS('SEANCE 1'!$B:$B, $B126, 'SEANCE 1'!$C:$C, N$2, 'SEANCE 1'!$F:$F, N$5)=0, "", COUNTIFS('SEANCE 1'!$B:$B, $B126, 'SEANCE 1'!$C:$C, N$2, 'SEANCE 1'!$F:$F, N$5))</f>
        <v/>
      </c>
      <c r="O126" s="64" t="str">
        <f ca="1">IF(COUNTIFS('SEANCE 1'!$B:$B, $B126, 'SEANCE 1'!$C:$C, O$2, 'SEANCE 1'!$F:$F, O$5)=0, "", COUNTIFS('SEANCE 1'!$B:$B, $B126, 'SEANCE 1'!$C:$C, O$2, 'SEANCE 1'!$F:$F, O$5))</f>
        <v/>
      </c>
      <c r="P126" s="64" t="str">
        <f ca="1">IF(COUNTIFS('SEANCE 1'!$B:$B, $B126, 'SEANCE 1'!$C:$C, P$2, 'SEANCE 1'!$F:$F, P$5)=0, "", COUNTIFS('SEANCE 1'!$B:$B, $B126, 'SEANCE 1'!$C:$C, P$2, 'SEANCE 1'!$F:$F, P$5))</f>
        <v/>
      </c>
      <c r="Q126" s="64" t="str">
        <f ca="1">IF(COUNTIFS('SEANCE 1'!$B:$B, $B126, 'SEANCE 1'!$C:$C, Q$2, 'SEANCE 1'!$F:$F, Q$5)=0, "", COUNTIFS('SEANCE 1'!$B:$B, $B126, 'SEANCE 1'!$C:$C, Q$2, 'SEANCE 1'!$F:$F, Q$5))</f>
        <v/>
      </c>
      <c r="R126" s="64" t="str">
        <f ca="1">IF(COUNTIFS('SEANCE 1'!$B:$B, $B126, 'SEANCE 1'!$C:$C, R$2, 'SEANCE 1'!$F:$F, R$5)=0, "", COUNTIFS('SEANCE 1'!$B:$B, $B126, 'SEANCE 1'!$C:$C, R$2, 'SEANCE 1'!$F:$F, R$5))</f>
        <v/>
      </c>
      <c r="S126" s="64" t="str">
        <f ca="1">IF(COUNTIFS('SEANCE 1'!$B:$B, $B126, 'SEANCE 1'!$C:$C, S$2, 'SEANCE 1'!$F:$F, S$5)=0, "", COUNTIFS('SEANCE 1'!$B:$B, $B126, 'SEANCE 1'!$C:$C, S$2, 'SEANCE 1'!$F:$F, S$5))</f>
        <v/>
      </c>
      <c r="T126" s="64" t="str">
        <f ca="1">IF(COUNTIFS('SEANCE 1'!$B:$B, $B126, 'SEANCE 1'!$C:$C, T$2, 'SEANCE 1'!$F:$F, T$5)=0, "", COUNTIFS('SEANCE 1'!$B:$B, $B126, 'SEANCE 1'!$C:$C, T$2, 'SEANCE 1'!$F:$F, T$5))</f>
        <v/>
      </c>
      <c r="U126" s="64" t="str">
        <f ca="1">IF(COUNTIFS('SEANCE 1'!$B:$B, $B126, 'SEANCE 1'!$C:$C, U$2, 'SEANCE 1'!$F:$F, U$5)=0, "", COUNTIFS('SEANCE 1'!$B:$B, $B126, 'SEANCE 1'!$C:$C, U$2, 'SEANCE 1'!$F:$F, U$5))</f>
        <v/>
      </c>
      <c r="V126" s="64" t="str">
        <f ca="1">IF(COUNTIFS('SEANCE 1'!$B:$B, $B126, 'SEANCE 1'!$C:$C, V$2, 'SEANCE 1'!$F:$F, V$5)=0, "", COUNTIFS('SEANCE 1'!$B:$B, $B126, 'SEANCE 1'!$C:$C, V$2, 'SEANCE 1'!$F:$F, V$5))</f>
        <v/>
      </c>
      <c r="W126" s="64" t="str">
        <f ca="1">IF(COUNTIFS('SEANCE 1'!$B:$B, $B126, 'SEANCE 1'!$C:$C, W$2, 'SEANCE 1'!$F:$F, W$5)=0, "", COUNTIFS('SEANCE 1'!$B:$B, $B126, 'SEANCE 1'!$C:$C, W$2, 'SEANCE 1'!$F:$F, W$5))</f>
        <v/>
      </c>
      <c r="X126" s="64" t="str">
        <f ca="1">IF(COUNTIFS('SEANCE 1'!$B:$B, $B126, 'SEANCE 1'!$C:$C, X$2, 'SEANCE 1'!$F:$F, X$5)=0, "", COUNTIFS('SEANCE 1'!$B:$B, $B126, 'SEANCE 1'!$C:$C, X$2, 'SEANCE 1'!$F:$F, X$5))</f>
        <v/>
      </c>
      <c r="Y126" s="64" t="str">
        <f ca="1">IF(COUNTIFS('SEANCE 1'!$B:$B, $B126, 'SEANCE 1'!$C:$C, Y$2, 'SEANCE 1'!$F:$F, Y$5)=0, "", COUNTIFS('SEANCE 1'!$B:$B, $B126, 'SEANCE 1'!$C:$C, Y$2, 'SEANCE 1'!$F:$F, Y$5))</f>
        <v/>
      </c>
      <c r="Z126" s="64" t="str">
        <f ca="1">IF(COUNTIFS('SEANCE 1'!$B:$B, $B126, 'SEANCE 1'!$C:$C, Z$2, 'SEANCE 1'!$F:$F, Z$5)=0, "", COUNTIFS('SEANCE 1'!$B:$B, $B126, 'SEANCE 1'!$C:$C, Z$2, 'SEANCE 1'!$F:$F, Z$5))</f>
        <v/>
      </c>
      <c r="AA126" s="64" t="str">
        <f ca="1">IF(COUNTIFS('SEANCE 1'!$B:$B, $B126, 'SEANCE 1'!$C:$C, AA$2, 'SEANCE 1'!$F:$F, AA$5)=0, "", COUNTIFS('SEANCE 1'!$B:$B, $B126, 'SEANCE 1'!$C:$C, AA$2, 'SEANCE 1'!$F:$F, AA$5))</f>
        <v/>
      </c>
      <c r="AB126" s="64" t="str">
        <f ca="1">IF(COUNTIFS('SEANCE 1'!$B:$B, $B126, 'SEANCE 1'!$C:$C, AB$2, 'SEANCE 1'!$F:$F, AB$5)=0, "", COUNTIFS('SEANCE 1'!$B:$B, $B126, 'SEANCE 1'!$C:$C, AB$2, 'SEANCE 1'!$F:$F, AB$5))</f>
        <v/>
      </c>
      <c r="AC126" s="64" t="str">
        <f ca="1">IF(COUNTIFS('SEANCE 1'!$B:$B, $B126, 'SEANCE 1'!$C:$C, AC$2, 'SEANCE 1'!$F:$F, AC$5)=0, "", COUNTIFS('SEANCE 1'!$B:$B, $B126, 'SEANCE 1'!$C:$C, AC$2, 'SEANCE 1'!$F:$F, AC$5))</f>
        <v/>
      </c>
      <c r="AD126" s="64" t="str">
        <f ca="1">IF(COUNTIFS('SEANCE 1'!$B:$B, $B126, 'SEANCE 1'!$C:$C, AD$2, 'SEANCE 1'!$F:$F, AD$5)=0, "", COUNTIFS('SEANCE 1'!$B:$B, $B126, 'SEANCE 1'!$C:$C, AD$2, 'SEANCE 1'!$F:$F, AD$5))</f>
        <v/>
      </c>
      <c r="AE126" s="64" t="str">
        <f ca="1">IF(COUNTIFS('SEANCE 1'!$B:$B, $B126, 'SEANCE 1'!$C:$C, AE$2, 'SEANCE 1'!$F:$F, AE$5)=0, "", COUNTIFS('SEANCE 1'!$B:$B, $B126, 'SEANCE 1'!$C:$C, AE$2, 'SEANCE 1'!$F:$F, AE$5))</f>
        <v/>
      </c>
      <c r="AF126" s="64" t="str">
        <f ca="1">IF(COUNTIFS('SEANCE 1'!$B:$B, $B126, 'SEANCE 1'!$C:$C, AF$2, 'SEANCE 1'!$F:$F, AF$5)=0, "", COUNTIFS('SEANCE 1'!$B:$B, $B126, 'SEANCE 1'!$C:$C, AF$2, 'SEANCE 1'!$F:$F, AF$5))</f>
        <v/>
      </c>
      <c r="AG126" s="64" t="str">
        <f ca="1">IF(COUNTIFS('SEANCE 1'!$B:$B, $B126, 'SEANCE 1'!$C:$C, AG$2, 'SEANCE 1'!$F:$F, AG$5)=0, "", COUNTIFS('SEANCE 1'!$B:$B, $B126, 'SEANCE 1'!$C:$C, AG$2, 'SEANCE 1'!$F:$F, AG$5))</f>
        <v/>
      </c>
      <c r="AH126" s="64" t="str">
        <f ca="1">IF(COUNTIFS('SEANCE 1'!$B:$B, $B126, 'SEANCE 1'!$C:$C, AH$2, 'SEANCE 1'!$F:$F, AH$5)=0, "", COUNTIFS('SEANCE 1'!$B:$B, $B126, 'SEANCE 1'!$C:$C, AH$2, 'SEANCE 1'!$F:$F, AH$5))</f>
        <v/>
      </c>
      <c r="AI126" s="64" t="str">
        <f ca="1">IF(COUNTIFS('SEANCE 1'!$B:$B, $B126, 'SEANCE 1'!$C:$C, AI$2, 'SEANCE 1'!$F:$F, AI$5)=0, "", COUNTIFS('SEANCE 1'!$B:$B, $B126, 'SEANCE 1'!$C:$C, AI$2, 'SEANCE 1'!$F:$F, AI$5))</f>
        <v/>
      </c>
      <c r="AJ126" s="64" t="str">
        <f ca="1">IF(COUNTIFS('SEANCE 1'!$B:$B, $B126, 'SEANCE 1'!$C:$C, AJ$2, 'SEANCE 1'!$F:$F, AJ$5)=0, "", COUNTIFS('SEANCE 1'!$B:$B, $B126, 'SEANCE 1'!$C:$C, AJ$2, 'SEANCE 1'!$F:$F, AJ$5))</f>
        <v/>
      </c>
      <c r="AK126" s="64" t="str">
        <f ca="1">IF(COUNTIFS('SEANCE 1'!$B:$B, $B126, 'SEANCE 1'!$C:$C, AK$2, 'SEANCE 1'!$F:$F, AK$5)=0, "", COUNTIFS('SEANCE 1'!$B:$B, $B126, 'SEANCE 1'!$C:$C, AK$2, 'SEANCE 1'!$F:$F, AK$5))</f>
        <v/>
      </c>
      <c r="AL126" s="64" t="str">
        <f ca="1">IF(COUNTIFS('SEANCE 1'!$B:$B, $B126, 'SEANCE 1'!$C:$C, AL$2, 'SEANCE 1'!$F:$F, AL$5)=0, "", COUNTIFS('SEANCE 1'!$B:$B, $B126, 'SEANCE 1'!$C:$C, AL$2, 'SEANCE 1'!$F:$F, AL$5))</f>
        <v/>
      </c>
      <c r="AM126" s="64" t="str">
        <f ca="1">IF(COUNTIFS('SEANCE 1'!$B:$B, $B126, 'SEANCE 1'!$C:$C, AM$2, 'SEANCE 1'!$F:$F, AM$5)=0, "", COUNTIFS('SEANCE 1'!$B:$B, $B126, 'SEANCE 1'!$C:$C, AM$2, 'SEANCE 1'!$F:$F, AM$5))</f>
        <v/>
      </c>
      <c r="AN126" s="64" t="str">
        <f ca="1">IF(COUNTIFS('SEANCE 1'!$B:$B, $B126, 'SEANCE 1'!$C:$C, AN$2, 'SEANCE 1'!$F:$F, AN$5)=0, "", COUNTIFS('SEANCE 1'!$B:$B, $B126, 'SEANCE 1'!$C:$C, AN$2, 'SEANCE 1'!$F:$F, AN$5))</f>
        <v/>
      </c>
      <c r="AO126" s="64" t="str">
        <f ca="1">IF(COUNTIFS('SEANCE 1'!$B:$B, $B126, 'SEANCE 1'!$C:$C, AO$2, 'SEANCE 1'!$F:$F, AO$5)=0, "", COUNTIFS('SEANCE 1'!$B:$B, $B126, 'SEANCE 1'!$C:$C, AO$2, 'SEANCE 1'!$F:$F, AO$5))</f>
        <v/>
      </c>
      <c r="AP126" s="64" t="str">
        <f ca="1">IF(COUNTIFS('SEANCE 1'!$B:$B, $B126, 'SEANCE 1'!$C:$C, AP$2, 'SEANCE 1'!$F:$F, AP$5)=0, "", COUNTIFS('SEANCE 1'!$B:$B, $B126, 'SEANCE 1'!$C:$C, AP$2, 'SEANCE 1'!$F:$F, AP$5))</f>
        <v/>
      </c>
      <c r="AQ126" s="64" t="str">
        <f ca="1">IF(COUNTIFS('SEANCE 1'!$B:$B, $B126, 'SEANCE 1'!$C:$C, AQ$2, 'SEANCE 1'!$F:$F, AQ$5)=0, "", COUNTIFS('SEANCE 1'!$B:$B, $B126, 'SEANCE 1'!$C:$C, AQ$2, 'SEANCE 1'!$F:$F, AQ$5))</f>
        <v/>
      </c>
      <c r="AR126" s="64" t="str">
        <f ca="1">IF(COUNTIFS('SEANCE 1'!$B:$B, $B126, 'SEANCE 1'!$C:$C, AR$2, 'SEANCE 1'!$F:$F, AR$5)=0, "", COUNTIFS('SEANCE 1'!$B:$B, $B126, 'SEANCE 1'!$C:$C, AR$2, 'SEANCE 1'!$F:$F, AR$5))</f>
        <v/>
      </c>
      <c r="AS126" s="64" t="str">
        <f ca="1">IF(COUNTIFS('SEANCE 1'!$B:$B, $B126, 'SEANCE 1'!$C:$C, AS$2, 'SEANCE 1'!$F:$F, AS$5)=0, "", COUNTIFS('SEANCE 1'!$B:$B, $B126, 'SEANCE 1'!$C:$C, AS$2, 'SEANCE 1'!$F:$F, AS$5))</f>
        <v/>
      </c>
      <c r="AT126" s="64" t="str">
        <f ca="1">IF(COUNTIFS('SEANCE 1'!$B:$B, $B126, 'SEANCE 1'!$C:$C, AT$2, 'SEANCE 1'!$F:$F, AT$5)=0, "", COUNTIFS('SEANCE 1'!$B:$B, $B126, 'SEANCE 1'!$C:$C, AT$2, 'SEANCE 1'!$F:$F, AT$5))</f>
        <v/>
      </c>
      <c r="AU126" s="64" t="str">
        <f ca="1">IF(COUNTIFS('SEANCE 1'!$B:$B, $B126, 'SEANCE 1'!$C:$C, AU$2, 'SEANCE 1'!$F:$F, AU$5)=0, "", COUNTIFS('SEANCE 1'!$B:$B, $B126, 'SEANCE 1'!$C:$C, AU$2, 'SEANCE 1'!$F:$F, AU$5))</f>
        <v/>
      </c>
      <c r="AV126" s="64" t="str">
        <f ca="1">IF(COUNTIFS('SEANCE 1'!$B:$B, $B126, 'SEANCE 1'!$C:$C, AV$2, 'SEANCE 1'!$F:$F, AV$5)=0, "", COUNTIFS('SEANCE 1'!$B:$B, $B126, 'SEANCE 1'!$C:$C, AV$2, 'SEANCE 1'!$F:$F, AV$5))</f>
        <v/>
      </c>
      <c r="AW126" s="64" t="str">
        <f ca="1">IF(COUNTIFS('SEANCE 1'!$B:$B, $B126, 'SEANCE 1'!$C:$C, AW$2, 'SEANCE 1'!$F:$F, AW$5)=0, "", COUNTIFS('SEANCE 1'!$B:$B, $B126, 'SEANCE 1'!$C:$C, AW$2, 'SEANCE 1'!$F:$F, AW$5))</f>
        <v/>
      </c>
      <c r="AX126" s="64" t="str">
        <f ca="1">IF(COUNTIFS('SEANCE 1'!$B:$B, $B126, 'SEANCE 1'!$C:$C, AX$2, 'SEANCE 1'!$F:$F, AX$5)=0, "", COUNTIFS('SEANCE 1'!$B:$B, $B126, 'SEANCE 1'!$C:$C, AX$2, 'SEANCE 1'!$F:$F, AX$5))</f>
        <v/>
      </c>
      <c r="AY126" s="64" t="str">
        <f ca="1">IF(COUNTIFS('SEANCE 1'!$B:$B, $B126, 'SEANCE 1'!$C:$C, AY$2, 'SEANCE 1'!$F:$F, AY$5)=0, "", COUNTIFS('SEANCE 1'!$B:$B, $B126, 'SEANCE 1'!$C:$C, AY$2, 'SEANCE 1'!$F:$F, AY$5))</f>
        <v/>
      </c>
      <c r="AZ126" s="32">
        <f t="shared" ca="1" si="1"/>
        <v>0</v>
      </c>
    </row>
    <row r="127" spans="1:52">
      <c r="A127" s="44" t="str">
        <f>IF('SEANCE 1'!$B123&lt;&gt;"",'SEANCE 1'!$A123,"")</f>
        <v/>
      </c>
      <c r="B127" s="44" t="str">
        <f t="array" aca="1" ref="B127" ca="1">IF(ISNA(INDEX(ListeB,MATCH(0,COUNTIF($B$5:B126,ListeB),0))),"",INDEX(ListeB,MATCH(0,COUNTIF($B$5:B126,ListeB),0)))</f>
        <v/>
      </c>
      <c r="C127" s="64" t="str">
        <f ca="1">IF(COUNTIFS('SEANCE 1'!$B:$B, $B127, 'SEANCE 1'!$C:$C, C$2, 'SEANCE 1'!$F:$F, C$5)=0, "", COUNTIFS('SEANCE 1'!$B:$B, $B127, 'SEANCE 1'!$C:$C, C$2, 'SEANCE 1'!$F:$F, C$5))</f>
        <v/>
      </c>
      <c r="D127" s="64" t="str">
        <f ca="1">IF(COUNTIFS('SEANCE 1'!$B:$B, $B127, 'SEANCE 1'!$C:$C, D$2, 'SEANCE 1'!$F:$F, D$5)=0, "", COUNTIFS('SEANCE 1'!$B:$B, $B127, 'SEANCE 1'!$C:$C, D$2, 'SEANCE 1'!$F:$F, D$5))</f>
        <v/>
      </c>
      <c r="E127" s="64" t="str">
        <f ca="1">IF(COUNTIFS('SEANCE 1'!$B:$B, $B127, 'SEANCE 1'!$C:$C, E$2, 'SEANCE 1'!$F:$F, E$5)=0, "", COUNTIFS('SEANCE 1'!$B:$B, $B127, 'SEANCE 1'!$C:$C, E$2, 'SEANCE 1'!$F:$F, E$5))</f>
        <v/>
      </c>
      <c r="F127" s="64" t="str">
        <f ca="1">IF(COUNTIFS('SEANCE 1'!$B:$B, $B127, 'SEANCE 1'!$C:$C, F$2, 'SEANCE 1'!$F:$F, F$5)=0, "", COUNTIFS('SEANCE 1'!$B:$B, $B127, 'SEANCE 1'!$C:$C, F$2, 'SEANCE 1'!$F:$F, F$5))</f>
        <v/>
      </c>
      <c r="G127" s="64" t="str">
        <f ca="1">IF(COUNTIFS('SEANCE 1'!$B:$B, $B127, 'SEANCE 1'!$C:$C, G$2, 'SEANCE 1'!$F:$F, G$5)=0, "", COUNTIFS('SEANCE 1'!$B:$B, $B127, 'SEANCE 1'!$C:$C, G$2, 'SEANCE 1'!$F:$F, G$5))</f>
        <v/>
      </c>
      <c r="H127" s="64" t="str">
        <f ca="1">IF(COUNTIFS('SEANCE 1'!$B:$B, $B127, 'SEANCE 1'!$C:$C, H$2, 'SEANCE 1'!$F:$F, H$5)=0, "", COUNTIFS('SEANCE 1'!$B:$B, $B127, 'SEANCE 1'!$C:$C, H$2, 'SEANCE 1'!$F:$F, H$5))</f>
        <v/>
      </c>
      <c r="I127" s="64" t="str">
        <f ca="1">IF(COUNTIFS('SEANCE 1'!$B:$B, $B127, 'SEANCE 1'!$C:$C, I$2, 'SEANCE 1'!$F:$F, I$5)=0, "", COUNTIFS('SEANCE 1'!$B:$B, $B127, 'SEANCE 1'!$C:$C, I$2, 'SEANCE 1'!$F:$F, I$5))</f>
        <v/>
      </c>
      <c r="J127" s="64" t="str">
        <f ca="1">IF(COUNTIFS('SEANCE 1'!$B:$B, $B127, 'SEANCE 1'!$C:$C, J$2, 'SEANCE 1'!$F:$F, J$5)=0, "", COUNTIFS('SEANCE 1'!$B:$B, $B127, 'SEANCE 1'!$C:$C, J$2, 'SEANCE 1'!$F:$F, J$5))</f>
        <v/>
      </c>
      <c r="K127" s="64" t="str">
        <f ca="1">IF(COUNTIFS('SEANCE 1'!$B:$B, $B127, 'SEANCE 1'!$C:$C, K$2, 'SEANCE 1'!$F:$F, K$5)=0, "", COUNTIFS('SEANCE 1'!$B:$B, $B127, 'SEANCE 1'!$C:$C, K$2, 'SEANCE 1'!$F:$F, K$5))</f>
        <v/>
      </c>
      <c r="L127" s="64" t="str">
        <f ca="1">IF(COUNTIFS('SEANCE 1'!$B:$B, $B127, 'SEANCE 1'!$C:$C, L$2, 'SEANCE 1'!$F:$F, L$5)=0, "", COUNTIFS('SEANCE 1'!$B:$B, $B127, 'SEANCE 1'!$C:$C, L$2, 'SEANCE 1'!$F:$F, L$5))</f>
        <v/>
      </c>
      <c r="M127" s="64" t="str">
        <f ca="1">IF(COUNTIFS('SEANCE 1'!$B:$B, $B127, 'SEANCE 1'!$C:$C, M$2, 'SEANCE 1'!$F:$F, M$5)=0, "", COUNTIFS('SEANCE 1'!$B:$B, $B127, 'SEANCE 1'!$C:$C, M$2, 'SEANCE 1'!$F:$F, M$5))</f>
        <v/>
      </c>
      <c r="N127" s="64" t="str">
        <f ca="1">IF(COUNTIFS('SEANCE 1'!$B:$B, $B127, 'SEANCE 1'!$C:$C, N$2, 'SEANCE 1'!$F:$F, N$5)=0, "", COUNTIFS('SEANCE 1'!$B:$B, $B127, 'SEANCE 1'!$C:$C, N$2, 'SEANCE 1'!$F:$F, N$5))</f>
        <v/>
      </c>
      <c r="O127" s="64" t="str">
        <f ca="1">IF(COUNTIFS('SEANCE 1'!$B:$B, $B127, 'SEANCE 1'!$C:$C, O$2, 'SEANCE 1'!$F:$F, O$5)=0, "", COUNTIFS('SEANCE 1'!$B:$B, $B127, 'SEANCE 1'!$C:$C, O$2, 'SEANCE 1'!$F:$F, O$5))</f>
        <v/>
      </c>
      <c r="P127" s="64" t="str">
        <f ca="1">IF(COUNTIFS('SEANCE 1'!$B:$B, $B127, 'SEANCE 1'!$C:$C, P$2, 'SEANCE 1'!$F:$F, P$5)=0, "", COUNTIFS('SEANCE 1'!$B:$B, $B127, 'SEANCE 1'!$C:$C, P$2, 'SEANCE 1'!$F:$F, P$5))</f>
        <v/>
      </c>
      <c r="Q127" s="64" t="str">
        <f ca="1">IF(COUNTIFS('SEANCE 1'!$B:$B, $B127, 'SEANCE 1'!$C:$C, Q$2, 'SEANCE 1'!$F:$F, Q$5)=0, "", COUNTIFS('SEANCE 1'!$B:$B, $B127, 'SEANCE 1'!$C:$C, Q$2, 'SEANCE 1'!$F:$F, Q$5))</f>
        <v/>
      </c>
      <c r="R127" s="64" t="str">
        <f ca="1">IF(COUNTIFS('SEANCE 1'!$B:$B, $B127, 'SEANCE 1'!$C:$C, R$2, 'SEANCE 1'!$F:$F, R$5)=0, "", COUNTIFS('SEANCE 1'!$B:$B, $B127, 'SEANCE 1'!$C:$C, R$2, 'SEANCE 1'!$F:$F, R$5))</f>
        <v/>
      </c>
      <c r="S127" s="64" t="str">
        <f ca="1">IF(COUNTIFS('SEANCE 1'!$B:$B, $B127, 'SEANCE 1'!$C:$C, S$2, 'SEANCE 1'!$F:$F, S$5)=0, "", COUNTIFS('SEANCE 1'!$B:$B, $B127, 'SEANCE 1'!$C:$C, S$2, 'SEANCE 1'!$F:$F, S$5))</f>
        <v/>
      </c>
      <c r="T127" s="64" t="str">
        <f ca="1">IF(COUNTIFS('SEANCE 1'!$B:$B, $B127, 'SEANCE 1'!$C:$C, T$2, 'SEANCE 1'!$F:$F, T$5)=0, "", COUNTIFS('SEANCE 1'!$B:$B, $B127, 'SEANCE 1'!$C:$C, T$2, 'SEANCE 1'!$F:$F, T$5))</f>
        <v/>
      </c>
      <c r="U127" s="64" t="str">
        <f ca="1">IF(COUNTIFS('SEANCE 1'!$B:$B, $B127, 'SEANCE 1'!$C:$C, U$2, 'SEANCE 1'!$F:$F, U$5)=0, "", COUNTIFS('SEANCE 1'!$B:$B, $B127, 'SEANCE 1'!$C:$C, U$2, 'SEANCE 1'!$F:$F, U$5))</f>
        <v/>
      </c>
      <c r="V127" s="64" t="str">
        <f ca="1">IF(COUNTIFS('SEANCE 1'!$B:$B, $B127, 'SEANCE 1'!$C:$C, V$2, 'SEANCE 1'!$F:$F, V$5)=0, "", COUNTIFS('SEANCE 1'!$B:$B, $B127, 'SEANCE 1'!$C:$C, V$2, 'SEANCE 1'!$F:$F, V$5))</f>
        <v/>
      </c>
      <c r="W127" s="64" t="str">
        <f ca="1">IF(COUNTIFS('SEANCE 1'!$B:$B, $B127, 'SEANCE 1'!$C:$C, W$2, 'SEANCE 1'!$F:$F, W$5)=0, "", COUNTIFS('SEANCE 1'!$B:$B, $B127, 'SEANCE 1'!$C:$C, W$2, 'SEANCE 1'!$F:$F, W$5))</f>
        <v/>
      </c>
      <c r="X127" s="64" t="str">
        <f ca="1">IF(COUNTIFS('SEANCE 1'!$B:$B, $B127, 'SEANCE 1'!$C:$C, X$2, 'SEANCE 1'!$F:$F, X$5)=0, "", COUNTIFS('SEANCE 1'!$B:$B, $B127, 'SEANCE 1'!$C:$C, X$2, 'SEANCE 1'!$F:$F, X$5))</f>
        <v/>
      </c>
      <c r="Y127" s="64" t="str">
        <f ca="1">IF(COUNTIFS('SEANCE 1'!$B:$B, $B127, 'SEANCE 1'!$C:$C, Y$2, 'SEANCE 1'!$F:$F, Y$5)=0, "", COUNTIFS('SEANCE 1'!$B:$B, $B127, 'SEANCE 1'!$C:$C, Y$2, 'SEANCE 1'!$F:$F, Y$5))</f>
        <v/>
      </c>
      <c r="Z127" s="64" t="str">
        <f ca="1">IF(COUNTIFS('SEANCE 1'!$B:$B, $B127, 'SEANCE 1'!$C:$C, Z$2, 'SEANCE 1'!$F:$F, Z$5)=0, "", COUNTIFS('SEANCE 1'!$B:$B, $B127, 'SEANCE 1'!$C:$C, Z$2, 'SEANCE 1'!$F:$F, Z$5))</f>
        <v/>
      </c>
      <c r="AA127" s="64" t="str">
        <f ca="1">IF(COUNTIFS('SEANCE 1'!$B:$B, $B127, 'SEANCE 1'!$C:$C, AA$2, 'SEANCE 1'!$F:$F, AA$5)=0, "", COUNTIFS('SEANCE 1'!$B:$B, $B127, 'SEANCE 1'!$C:$C, AA$2, 'SEANCE 1'!$F:$F, AA$5))</f>
        <v/>
      </c>
      <c r="AB127" s="64" t="str">
        <f ca="1">IF(COUNTIFS('SEANCE 1'!$B:$B, $B127, 'SEANCE 1'!$C:$C, AB$2, 'SEANCE 1'!$F:$F, AB$5)=0, "", COUNTIFS('SEANCE 1'!$B:$B, $B127, 'SEANCE 1'!$C:$C, AB$2, 'SEANCE 1'!$F:$F, AB$5))</f>
        <v/>
      </c>
      <c r="AC127" s="64" t="str">
        <f ca="1">IF(COUNTIFS('SEANCE 1'!$B:$B, $B127, 'SEANCE 1'!$C:$C, AC$2, 'SEANCE 1'!$F:$F, AC$5)=0, "", COUNTIFS('SEANCE 1'!$B:$B, $B127, 'SEANCE 1'!$C:$C, AC$2, 'SEANCE 1'!$F:$F, AC$5))</f>
        <v/>
      </c>
      <c r="AD127" s="64" t="str">
        <f ca="1">IF(COUNTIFS('SEANCE 1'!$B:$B, $B127, 'SEANCE 1'!$C:$C, AD$2, 'SEANCE 1'!$F:$F, AD$5)=0, "", COUNTIFS('SEANCE 1'!$B:$B, $B127, 'SEANCE 1'!$C:$C, AD$2, 'SEANCE 1'!$F:$F, AD$5))</f>
        <v/>
      </c>
      <c r="AE127" s="64" t="str">
        <f ca="1">IF(COUNTIFS('SEANCE 1'!$B:$B, $B127, 'SEANCE 1'!$C:$C, AE$2, 'SEANCE 1'!$F:$F, AE$5)=0, "", COUNTIFS('SEANCE 1'!$B:$B, $B127, 'SEANCE 1'!$C:$C, AE$2, 'SEANCE 1'!$F:$F, AE$5))</f>
        <v/>
      </c>
      <c r="AF127" s="64" t="str">
        <f ca="1">IF(COUNTIFS('SEANCE 1'!$B:$B, $B127, 'SEANCE 1'!$C:$C, AF$2, 'SEANCE 1'!$F:$F, AF$5)=0, "", COUNTIFS('SEANCE 1'!$B:$B, $B127, 'SEANCE 1'!$C:$C, AF$2, 'SEANCE 1'!$F:$F, AF$5))</f>
        <v/>
      </c>
      <c r="AG127" s="64" t="str">
        <f ca="1">IF(COUNTIFS('SEANCE 1'!$B:$B, $B127, 'SEANCE 1'!$C:$C, AG$2, 'SEANCE 1'!$F:$F, AG$5)=0, "", COUNTIFS('SEANCE 1'!$B:$B, $B127, 'SEANCE 1'!$C:$C, AG$2, 'SEANCE 1'!$F:$F, AG$5))</f>
        <v/>
      </c>
      <c r="AH127" s="64" t="str">
        <f ca="1">IF(COUNTIFS('SEANCE 1'!$B:$B, $B127, 'SEANCE 1'!$C:$C, AH$2, 'SEANCE 1'!$F:$F, AH$5)=0, "", COUNTIFS('SEANCE 1'!$B:$B, $B127, 'SEANCE 1'!$C:$C, AH$2, 'SEANCE 1'!$F:$F, AH$5))</f>
        <v/>
      </c>
      <c r="AI127" s="64" t="str">
        <f ca="1">IF(COUNTIFS('SEANCE 1'!$B:$B, $B127, 'SEANCE 1'!$C:$C, AI$2, 'SEANCE 1'!$F:$F, AI$5)=0, "", COUNTIFS('SEANCE 1'!$B:$B, $B127, 'SEANCE 1'!$C:$C, AI$2, 'SEANCE 1'!$F:$F, AI$5))</f>
        <v/>
      </c>
      <c r="AJ127" s="64" t="str">
        <f ca="1">IF(COUNTIFS('SEANCE 1'!$B:$B, $B127, 'SEANCE 1'!$C:$C, AJ$2, 'SEANCE 1'!$F:$F, AJ$5)=0, "", COUNTIFS('SEANCE 1'!$B:$B, $B127, 'SEANCE 1'!$C:$C, AJ$2, 'SEANCE 1'!$F:$F, AJ$5))</f>
        <v/>
      </c>
      <c r="AK127" s="64" t="str">
        <f ca="1">IF(COUNTIFS('SEANCE 1'!$B:$B, $B127, 'SEANCE 1'!$C:$C, AK$2, 'SEANCE 1'!$F:$F, AK$5)=0, "", COUNTIFS('SEANCE 1'!$B:$B, $B127, 'SEANCE 1'!$C:$C, AK$2, 'SEANCE 1'!$F:$F, AK$5))</f>
        <v/>
      </c>
      <c r="AL127" s="64" t="str">
        <f ca="1">IF(COUNTIFS('SEANCE 1'!$B:$B, $B127, 'SEANCE 1'!$C:$C, AL$2, 'SEANCE 1'!$F:$F, AL$5)=0, "", COUNTIFS('SEANCE 1'!$B:$B, $B127, 'SEANCE 1'!$C:$C, AL$2, 'SEANCE 1'!$F:$F, AL$5))</f>
        <v/>
      </c>
      <c r="AM127" s="64" t="str">
        <f ca="1">IF(COUNTIFS('SEANCE 1'!$B:$B, $B127, 'SEANCE 1'!$C:$C, AM$2, 'SEANCE 1'!$F:$F, AM$5)=0, "", COUNTIFS('SEANCE 1'!$B:$B, $B127, 'SEANCE 1'!$C:$C, AM$2, 'SEANCE 1'!$F:$F, AM$5))</f>
        <v/>
      </c>
      <c r="AN127" s="64" t="str">
        <f ca="1">IF(COUNTIFS('SEANCE 1'!$B:$B, $B127, 'SEANCE 1'!$C:$C, AN$2, 'SEANCE 1'!$F:$F, AN$5)=0, "", COUNTIFS('SEANCE 1'!$B:$B, $B127, 'SEANCE 1'!$C:$C, AN$2, 'SEANCE 1'!$F:$F, AN$5))</f>
        <v/>
      </c>
      <c r="AO127" s="64" t="str">
        <f ca="1">IF(COUNTIFS('SEANCE 1'!$B:$B, $B127, 'SEANCE 1'!$C:$C, AO$2, 'SEANCE 1'!$F:$F, AO$5)=0, "", COUNTIFS('SEANCE 1'!$B:$B, $B127, 'SEANCE 1'!$C:$C, AO$2, 'SEANCE 1'!$F:$F, AO$5))</f>
        <v/>
      </c>
      <c r="AP127" s="64" t="str">
        <f ca="1">IF(COUNTIFS('SEANCE 1'!$B:$B, $B127, 'SEANCE 1'!$C:$C, AP$2, 'SEANCE 1'!$F:$F, AP$5)=0, "", COUNTIFS('SEANCE 1'!$B:$B, $B127, 'SEANCE 1'!$C:$C, AP$2, 'SEANCE 1'!$F:$F, AP$5))</f>
        <v/>
      </c>
      <c r="AQ127" s="64" t="str">
        <f ca="1">IF(COUNTIFS('SEANCE 1'!$B:$B, $B127, 'SEANCE 1'!$C:$C, AQ$2, 'SEANCE 1'!$F:$F, AQ$5)=0, "", COUNTIFS('SEANCE 1'!$B:$B, $B127, 'SEANCE 1'!$C:$C, AQ$2, 'SEANCE 1'!$F:$F, AQ$5))</f>
        <v/>
      </c>
      <c r="AR127" s="64" t="str">
        <f ca="1">IF(COUNTIFS('SEANCE 1'!$B:$B, $B127, 'SEANCE 1'!$C:$C, AR$2, 'SEANCE 1'!$F:$F, AR$5)=0, "", COUNTIFS('SEANCE 1'!$B:$B, $B127, 'SEANCE 1'!$C:$C, AR$2, 'SEANCE 1'!$F:$F, AR$5))</f>
        <v/>
      </c>
      <c r="AS127" s="64" t="str">
        <f ca="1">IF(COUNTIFS('SEANCE 1'!$B:$B, $B127, 'SEANCE 1'!$C:$C, AS$2, 'SEANCE 1'!$F:$F, AS$5)=0, "", COUNTIFS('SEANCE 1'!$B:$B, $B127, 'SEANCE 1'!$C:$C, AS$2, 'SEANCE 1'!$F:$F, AS$5))</f>
        <v/>
      </c>
      <c r="AT127" s="64" t="str">
        <f ca="1">IF(COUNTIFS('SEANCE 1'!$B:$B, $B127, 'SEANCE 1'!$C:$C, AT$2, 'SEANCE 1'!$F:$F, AT$5)=0, "", COUNTIFS('SEANCE 1'!$B:$B, $B127, 'SEANCE 1'!$C:$C, AT$2, 'SEANCE 1'!$F:$F, AT$5))</f>
        <v/>
      </c>
      <c r="AU127" s="64" t="str">
        <f ca="1">IF(COUNTIFS('SEANCE 1'!$B:$B, $B127, 'SEANCE 1'!$C:$C, AU$2, 'SEANCE 1'!$F:$F, AU$5)=0, "", COUNTIFS('SEANCE 1'!$B:$B, $B127, 'SEANCE 1'!$C:$C, AU$2, 'SEANCE 1'!$F:$F, AU$5))</f>
        <v/>
      </c>
      <c r="AV127" s="64" t="str">
        <f ca="1">IF(COUNTIFS('SEANCE 1'!$B:$B, $B127, 'SEANCE 1'!$C:$C, AV$2, 'SEANCE 1'!$F:$F, AV$5)=0, "", COUNTIFS('SEANCE 1'!$B:$B, $B127, 'SEANCE 1'!$C:$C, AV$2, 'SEANCE 1'!$F:$F, AV$5))</f>
        <v/>
      </c>
      <c r="AW127" s="64" t="str">
        <f ca="1">IF(COUNTIFS('SEANCE 1'!$B:$B, $B127, 'SEANCE 1'!$C:$C, AW$2, 'SEANCE 1'!$F:$F, AW$5)=0, "", COUNTIFS('SEANCE 1'!$B:$B, $B127, 'SEANCE 1'!$C:$C, AW$2, 'SEANCE 1'!$F:$F, AW$5))</f>
        <v/>
      </c>
      <c r="AX127" s="64" t="str">
        <f ca="1">IF(COUNTIFS('SEANCE 1'!$B:$B, $B127, 'SEANCE 1'!$C:$C, AX$2, 'SEANCE 1'!$F:$F, AX$5)=0, "", COUNTIFS('SEANCE 1'!$B:$B, $B127, 'SEANCE 1'!$C:$C, AX$2, 'SEANCE 1'!$F:$F, AX$5))</f>
        <v/>
      </c>
      <c r="AY127" s="64" t="str">
        <f ca="1">IF(COUNTIFS('SEANCE 1'!$B:$B, $B127, 'SEANCE 1'!$C:$C, AY$2, 'SEANCE 1'!$F:$F, AY$5)=0, "", COUNTIFS('SEANCE 1'!$B:$B, $B127, 'SEANCE 1'!$C:$C, AY$2, 'SEANCE 1'!$F:$F, AY$5))</f>
        <v/>
      </c>
      <c r="AZ127" s="32">
        <f t="shared" ca="1" si="1"/>
        <v>0</v>
      </c>
    </row>
    <row r="128" spans="1:52">
      <c r="A128" s="44" t="str">
        <f>IF('SEANCE 1'!$B124&lt;&gt;"",'SEANCE 1'!$A124,"")</f>
        <v/>
      </c>
      <c r="B128" s="44" t="str">
        <f t="array" aca="1" ref="B128" ca="1">IF(ISNA(INDEX(ListeB,MATCH(0,COUNTIF($B$5:B127,ListeB),0))),"",INDEX(ListeB,MATCH(0,COUNTIF($B$5:B127,ListeB),0)))</f>
        <v/>
      </c>
      <c r="C128" s="64" t="str">
        <f ca="1">IF(COUNTIFS('SEANCE 1'!$B:$B, $B128, 'SEANCE 1'!$C:$C, C$2, 'SEANCE 1'!$F:$F, C$5)=0, "", COUNTIFS('SEANCE 1'!$B:$B, $B128, 'SEANCE 1'!$C:$C, C$2, 'SEANCE 1'!$F:$F, C$5))</f>
        <v/>
      </c>
      <c r="D128" s="64" t="str">
        <f ca="1">IF(COUNTIFS('SEANCE 1'!$B:$B, $B128, 'SEANCE 1'!$C:$C, D$2, 'SEANCE 1'!$F:$F, D$5)=0, "", COUNTIFS('SEANCE 1'!$B:$B, $B128, 'SEANCE 1'!$C:$C, D$2, 'SEANCE 1'!$F:$F, D$5))</f>
        <v/>
      </c>
      <c r="E128" s="64" t="str">
        <f ca="1">IF(COUNTIFS('SEANCE 1'!$B:$B, $B128, 'SEANCE 1'!$C:$C, E$2, 'SEANCE 1'!$F:$F, E$5)=0, "", COUNTIFS('SEANCE 1'!$B:$B, $B128, 'SEANCE 1'!$C:$C, E$2, 'SEANCE 1'!$F:$F, E$5))</f>
        <v/>
      </c>
      <c r="F128" s="64" t="str">
        <f ca="1">IF(COUNTIFS('SEANCE 1'!$B:$B, $B128, 'SEANCE 1'!$C:$C, F$2, 'SEANCE 1'!$F:$F, F$5)=0, "", COUNTIFS('SEANCE 1'!$B:$B, $B128, 'SEANCE 1'!$C:$C, F$2, 'SEANCE 1'!$F:$F, F$5))</f>
        <v/>
      </c>
      <c r="G128" s="64" t="str">
        <f ca="1">IF(COUNTIFS('SEANCE 1'!$B:$B, $B128, 'SEANCE 1'!$C:$C, G$2, 'SEANCE 1'!$F:$F, G$5)=0, "", COUNTIFS('SEANCE 1'!$B:$B, $B128, 'SEANCE 1'!$C:$C, G$2, 'SEANCE 1'!$F:$F, G$5))</f>
        <v/>
      </c>
      <c r="H128" s="64" t="str">
        <f ca="1">IF(COUNTIFS('SEANCE 1'!$B:$B, $B128, 'SEANCE 1'!$C:$C, H$2, 'SEANCE 1'!$F:$F, H$5)=0, "", COUNTIFS('SEANCE 1'!$B:$B, $B128, 'SEANCE 1'!$C:$C, H$2, 'SEANCE 1'!$F:$F, H$5))</f>
        <v/>
      </c>
      <c r="I128" s="64" t="str">
        <f ca="1">IF(COUNTIFS('SEANCE 1'!$B:$B, $B128, 'SEANCE 1'!$C:$C, I$2, 'SEANCE 1'!$F:$F, I$5)=0, "", COUNTIFS('SEANCE 1'!$B:$B, $B128, 'SEANCE 1'!$C:$C, I$2, 'SEANCE 1'!$F:$F, I$5))</f>
        <v/>
      </c>
      <c r="J128" s="64" t="str">
        <f ca="1">IF(COUNTIFS('SEANCE 1'!$B:$B, $B128, 'SEANCE 1'!$C:$C, J$2, 'SEANCE 1'!$F:$F, J$5)=0, "", COUNTIFS('SEANCE 1'!$B:$B, $B128, 'SEANCE 1'!$C:$C, J$2, 'SEANCE 1'!$F:$F, J$5))</f>
        <v/>
      </c>
      <c r="K128" s="64" t="str">
        <f ca="1">IF(COUNTIFS('SEANCE 1'!$B:$B, $B128, 'SEANCE 1'!$C:$C, K$2, 'SEANCE 1'!$F:$F, K$5)=0, "", COUNTIFS('SEANCE 1'!$B:$B, $B128, 'SEANCE 1'!$C:$C, K$2, 'SEANCE 1'!$F:$F, K$5))</f>
        <v/>
      </c>
      <c r="L128" s="64" t="str">
        <f ca="1">IF(COUNTIFS('SEANCE 1'!$B:$B, $B128, 'SEANCE 1'!$C:$C, L$2, 'SEANCE 1'!$F:$F, L$5)=0, "", COUNTIFS('SEANCE 1'!$B:$B, $B128, 'SEANCE 1'!$C:$C, L$2, 'SEANCE 1'!$F:$F, L$5))</f>
        <v/>
      </c>
      <c r="M128" s="64" t="str">
        <f ca="1">IF(COUNTIFS('SEANCE 1'!$B:$B, $B128, 'SEANCE 1'!$C:$C, M$2, 'SEANCE 1'!$F:$F, M$5)=0, "", COUNTIFS('SEANCE 1'!$B:$B, $B128, 'SEANCE 1'!$C:$C, M$2, 'SEANCE 1'!$F:$F, M$5))</f>
        <v/>
      </c>
      <c r="N128" s="64" t="str">
        <f ca="1">IF(COUNTIFS('SEANCE 1'!$B:$B, $B128, 'SEANCE 1'!$C:$C, N$2, 'SEANCE 1'!$F:$F, N$5)=0, "", COUNTIFS('SEANCE 1'!$B:$B, $B128, 'SEANCE 1'!$C:$C, N$2, 'SEANCE 1'!$F:$F, N$5))</f>
        <v/>
      </c>
      <c r="O128" s="64" t="str">
        <f ca="1">IF(COUNTIFS('SEANCE 1'!$B:$B, $B128, 'SEANCE 1'!$C:$C, O$2, 'SEANCE 1'!$F:$F, O$5)=0, "", COUNTIFS('SEANCE 1'!$B:$B, $B128, 'SEANCE 1'!$C:$C, O$2, 'SEANCE 1'!$F:$F, O$5))</f>
        <v/>
      </c>
      <c r="P128" s="64" t="str">
        <f ca="1">IF(COUNTIFS('SEANCE 1'!$B:$B, $B128, 'SEANCE 1'!$C:$C, P$2, 'SEANCE 1'!$F:$F, P$5)=0, "", COUNTIFS('SEANCE 1'!$B:$B, $B128, 'SEANCE 1'!$C:$C, P$2, 'SEANCE 1'!$F:$F, P$5))</f>
        <v/>
      </c>
      <c r="Q128" s="64" t="str">
        <f ca="1">IF(COUNTIFS('SEANCE 1'!$B:$B, $B128, 'SEANCE 1'!$C:$C, Q$2, 'SEANCE 1'!$F:$F, Q$5)=0, "", COUNTIFS('SEANCE 1'!$B:$B, $B128, 'SEANCE 1'!$C:$C, Q$2, 'SEANCE 1'!$F:$F, Q$5))</f>
        <v/>
      </c>
      <c r="R128" s="64" t="str">
        <f ca="1">IF(COUNTIFS('SEANCE 1'!$B:$B, $B128, 'SEANCE 1'!$C:$C, R$2, 'SEANCE 1'!$F:$F, R$5)=0, "", COUNTIFS('SEANCE 1'!$B:$B, $B128, 'SEANCE 1'!$C:$C, R$2, 'SEANCE 1'!$F:$F, R$5))</f>
        <v/>
      </c>
      <c r="S128" s="64" t="str">
        <f ca="1">IF(COUNTIFS('SEANCE 1'!$B:$B, $B128, 'SEANCE 1'!$C:$C, S$2, 'SEANCE 1'!$F:$F, S$5)=0, "", COUNTIFS('SEANCE 1'!$B:$B, $B128, 'SEANCE 1'!$C:$C, S$2, 'SEANCE 1'!$F:$F, S$5))</f>
        <v/>
      </c>
      <c r="T128" s="64" t="str">
        <f ca="1">IF(COUNTIFS('SEANCE 1'!$B:$B, $B128, 'SEANCE 1'!$C:$C, T$2, 'SEANCE 1'!$F:$F, T$5)=0, "", COUNTIFS('SEANCE 1'!$B:$B, $B128, 'SEANCE 1'!$C:$C, T$2, 'SEANCE 1'!$F:$F, T$5))</f>
        <v/>
      </c>
      <c r="U128" s="64" t="str">
        <f ca="1">IF(COUNTIFS('SEANCE 1'!$B:$B, $B128, 'SEANCE 1'!$C:$C, U$2, 'SEANCE 1'!$F:$F, U$5)=0, "", COUNTIFS('SEANCE 1'!$B:$B, $B128, 'SEANCE 1'!$C:$C, U$2, 'SEANCE 1'!$F:$F, U$5))</f>
        <v/>
      </c>
      <c r="V128" s="64" t="str">
        <f ca="1">IF(COUNTIFS('SEANCE 1'!$B:$B, $B128, 'SEANCE 1'!$C:$C, V$2, 'SEANCE 1'!$F:$F, V$5)=0, "", COUNTIFS('SEANCE 1'!$B:$B, $B128, 'SEANCE 1'!$C:$C, V$2, 'SEANCE 1'!$F:$F, V$5))</f>
        <v/>
      </c>
      <c r="W128" s="64" t="str">
        <f ca="1">IF(COUNTIFS('SEANCE 1'!$B:$B, $B128, 'SEANCE 1'!$C:$C, W$2, 'SEANCE 1'!$F:$F, W$5)=0, "", COUNTIFS('SEANCE 1'!$B:$B, $B128, 'SEANCE 1'!$C:$C, W$2, 'SEANCE 1'!$F:$F, W$5))</f>
        <v/>
      </c>
      <c r="X128" s="64" t="str">
        <f ca="1">IF(COUNTIFS('SEANCE 1'!$B:$B, $B128, 'SEANCE 1'!$C:$C, X$2, 'SEANCE 1'!$F:$F, X$5)=0, "", COUNTIFS('SEANCE 1'!$B:$B, $B128, 'SEANCE 1'!$C:$C, X$2, 'SEANCE 1'!$F:$F, X$5))</f>
        <v/>
      </c>
      <c r="Y128" s="64" t="str">
        <f ca="1">IF(COUNTIFS('SEANCE 1'!$B:$B, $B128, 'SEANCE 1'!$C:$C, Y$2, 'SEANCE 1'!$F:$F, Y$5)=0, "", COUNTIFS('SEANCE 1'!$B:$B, $B128, 'SEANCE 1'!$C:$C, Y$2, 'SEANCE 1'!$F:$F, Y$5))</f>
        <v/>
      </c>
      <c r="Z128" s="64" t="str">
        <f ca="1">IF(COUNTIFS('SEANCE 1'!$B:$B, $B128, 'SEANCE 1'!$C:$C, Z$2, 'SEANCE 1'!$F:$F, Z$5)=0, "", COUNTIFS('SEANCE 1'!$B:$B, $B128, 'SEANCE 1'!$C:$C, Z$2, 'SEANCE 1'!$F:$F, Z$5))</f>
        <v/>
      </c>
      <c r="AA128" s="64" t="str">
        <f ca="1">IF(COUNTIFS('SEANCE 1'!$B:$B, $B128, 'SEANCE 1'!$C:$C, AA$2, 'SEANCE 1'!$F:$F, AA$5)=0, "", COUNTIFS('SEANCE 1'!$B:$B, $B128, 'SEANCE 1'!$C:$C, AA$2, 'SEANCE 1'!$F:$F, AA$5))</f>
        <v/>
      </c>
      <c r="AB128" s="64" t="str">
        <f ca="1">IF(COUNTIFS('SEANCE 1'!$B:$B, $B128, 'SEANCE 1'!$C:$C, AB$2, 'SEANCE 1'!$F:$F, AB$5)=0, "", COUNTIFS('SEANCE 1'!$B:$B, $B128, 'SEANCE 1'!$C:$C, AB$2, 'SEANCE 1'!$F:$F, AB$5))</f>
        <v/>
      </c>
      <c r="AC128" s="64" t="str">
        <f ca="1">IF(COUNTIFS('SEANCE 1'!$B:$B, $B128, 'SEANCE 1'!$C:$C, AC$2, 'SEANCE 1'!$F:$F, AC$5)=0, "", COUNTIFS('SEANCE 1'!$B:$B, $B128, 'SEANCE 1'!$C:$C, AC$2, 'SEANCE 1'!$F:$F, AC$5))</f>
        <v/>
      </c>
      <c r="AD128" s="64" t="str">
        <f ca="1">IF(COUNTIFS('SEANCE 1'!$B:$B, $B128, 'SEANCE 1'!$C:$C, AD$2, 'SEANCE 1'!$F:$F, AD$5)=0, "", COUNTIFS('SEANCE 1'!$B:$B, $B128, 'SEANCE 1'!$C:$C, AD$2, 'SEANCE 1'!$F:$F, AD$5))</f>
        <v/>
      </c>
      <c r="AE128" s="64" t="str">
        <f ca="1">IF(COUNTIFS('SEANCE 1'!$B:$B, $B128, 'SEANCE 1'!$C:$C, AE$2, 'SEANCE 1'!$F:$F, AE$5)=0, "", COUNTIFS('SEANCE 1'!$B:$B, $B128, 'SEANCE 1'!$C:$C, AE$2, 'SEANCE 1'!$F:$F, AE$5))</f>
        <v/>
      </c>
      <c r="AF128" s="64" t="str">
        <f ca="1">IF(COUNTIFS('SEANCE 1'!$B:$B, $B128, 'SEANCE 1'!$C:$C, AF$2, 'SEANCE 1'!$F:$F, AF$5)=0, "", COUNTIFS('SEANCE 1'!$B:$B, $B128, 'SEANCE 1'!$C:$C, AF$2, 'SEANCE 1'!$F:$F, AF$5))</f>
        <v/>
      </c>
      <c r="AG128" s="64" t="str">
        <f ca="1">IF(COUNTIFS('SEANCE 1'!$B:$B, $B128, 'SEANCE 1'!$C:$C, AG$2, 'SEANCE 1'!$F:$F, AG$5)=0, "", COUNTIFS('SEANCE 1'!$B:$B, $B128, 'SEANCE 1'!$C:$C, AG$2, 'SEANCE 1'!$F:$F, AG$5))</f>
        <v/>
      </c>
      <c r="AH128" s="64" t="str">
        <f ca="1">IF(COUNTIFS('SEANCE 1'!$B:$B, $B128, 'SEANCE 1'!$C:$C, AH$2, 'SEANCE 1'!$F:$F, AH$5)=0, "", COUNTIFS('SEANCE 1'!$B:$B, $B128, 'SEANCE 1'!$C:$C, AH$2, 'SEANCE 1'!$F:$F, AH$5))</f>
        <v/>
      </c>
      <c r="AI128" s="64" t="str">
        <f ca="1">IF(COUNTIFS('SEANCE 1'!$B:$B, $B128, 'SEANCE 1'!$C:$C, AI$2, 'SEANCE 1'!$F:$F, AI$5)=0, "", COUNTIFS('SEANCE 1'!$B:$B, $B128, 'SEANCE 1'!$C:$C, AI$2, 'SEANCE 1'!$F:$F, AI$5))</f>
        <v/>
      </c>
      <c r="AJ128" s="64" t="str">
        <f ca="1">IF(COUNTIFS('SEANCE 1'!$B:$B, $B128, 'SEANCE 1'!$C:$C, AJ$2, 'SEANCE 1'!$F:$F, AJ$5)=0, "", COUNTIFS('SEANCE 1'!$B:$B, $B128, 'SEANCE 1'!$C:$C, AJ$2, 'SEANCE 1'!$F:$F, AJ$5))</f>
        <v/>
      </c>
      <c r="AK128" s="64" t="str">
        <f ca="1">IF(COUNTIFS('SEANCE 1'!$B:$B, $B128, 'SEANCE 1'!$C:$C, AK$2, 'SEANCE 1'!$F:$F, AK$5)=0, "", COUNTIFS('SEANCE 1'!$B:$B, $B128, 'SEANCE 1'!$C:$C, AK$2, 'SEANCE 1'!$F:$F, AK$5))</f>
        <v/>
      </c>
      <c r="AL128" s="64" t="str">
        <f ca="1">IF(COUNTIFS('SEANCE 1'!$B:$B, $B128, 'SEANCE 1'!$C:$C, AL$2, 'SEANCE 1'!$F:$F, AL$5)=0, "", COUNTIFS('SEANCE 1'!$B:$B, $B128, 'SEANCE 1'!$C:$C, AL$2, 'SEANCE 1'!$F:$F, AL$5))</f>
        <v/>
      </c>
      <c r="AM128" s="64" t="str">
        <f ca="1">IF(COUNTIFS('SEANCE 1'!$B:$B, $B128, 'SEANCE 1'!$C:$C, AM$2, 'SEANCE 1'!$F:$F, AM$5)=0, "", COUNTIFS('SEANCE 1'!$B:$B, $B128, 'SEANCE 1'!$C:$C, AM$2, 'SEANCE 1'!$F:$F, AM$5))</f>
        <v/>
      </c>
      <c r="AN128" s="64" t="str">
        <f ca="1">IF(COUNTIFS('SEANCE 1'!$B:$B, $B128, 'SEANCE 1'!$C:$C, AN$2, 'SEANCE 1'!$F:$F, AN$5)=0, "", COUNTIFS('SEANCE 1'!$B:$B, $B128, 'SEANCE 1'!$C:$C, AN$2, 'SEANCE 1'!$F:$F, AN$5))</f>
        <v/>
      </c>
      <c r="AO128" s="64" t="str">
        <f ca="1">IF(COUNTIFS('SEANCE 1'!$B:$B, $B128, 'SEANCE 1'!$C:$C, AO$2, 'SEANCE 1'!$F:$F, AO$5)=0, "", COUNTIFS('SEANCE 1'!$B:$B, $B128, 'SEANCE 1'!$C:$C, AO$2, 'SEANCE 1'!$F:$F, AO$5))</f>
        <v/>
      </c>
      <c r="AP128" s="64" t="str">
        <f ca="1">IF(COUNTIFS('SEANCE 1'!$B:$B, $B128, 'SEANCE 1'!$C:$C, AP$2, 'SEANCE 1'!$F:$F, AP$5)=0, "", COUNTIFS('SEANCE 1'!$B:$B, $B128, 'SEANCE 1'!$C:$C, AP$2, 'SEANCE 1'!$F:$F, AP$5))</f>
        <v/>
      </c>
      <c r="AQ128" s="64" t="str">
        <f ca="1">IF(COUNTIFS('SEANCE 1'!$B:$B, $B128, 'SEANCE 1'!$C:$C, AQ$2, 'SEANCE 1'!$F:$F, AQ$5)=0, "", COUNTIFS('SEANCE 1'!$B:$B, $B128, 'SEANCE 1'!$C:$C, AQ$2, 'SEANCE 1'!$F:$F, AQ$5))</f>
        <v/>
      </c>
      <c r="AR128" s="64" t="str">
        <f ca="1">IF(COUNTIFS('SEANCE 1'!$B:$B, $B128, 'SEANCE 1'!$C:$C, AR$2, 'SEANCE 1'!$F:$F, AR$5)=0, "", COUNTIFS('SEANCE 1'!$B:$B, $B128, 'SEANCE 1'!$C:$C, AR$2, 'SEANCE 1'!$F:$F, AR$5))</f>
        <v/>
      </c>
      <c r="AS128" s="64" t="str">
        <f ca="1">IF(COUNTIFS('SEANCE 1'!$B:$B, $B128, 'SEANCE 1'!$C:$C, AS$2, 'SEANCE 1'!$F:$F, AS$5)=0, "", COUNTIFS('SEANCE 1'!$B:$B, $B128, 'SEANCE 1'!$C:$C, AS$2, 'SEANCE 1'!$F:$F, AS$5))</f>
        <v/>
      </c>
      <c r="AT128" s="64" t="str">
        <f ca="1">IF(COUNTIFS('SEANCE 1'!$B:$B, $B128, 'SEANCE 1'!$C:$C, AT$2, 'SEANCE 1'!$F:$F, AT$5)=0, "", COUNTIFS('SEANCE 1'!$B:$B, $B128, 'SEANCE 1'!$C:$C, AT$2, 'SEANCE 1'!$F:$F, AT$5))</f>
        <v/>
      </c>
      <c r="AU128" s="64" t="str">
        <f ca="1">IF(COUNTIFS('SEANCE 1'!$B:$B, $B128, 'SEANCE 1'!$C:$C, AU$2, 'SEANCE 1'!$F:$F, AU$5)=0, "", COUNTIFS('SEANCE 1'!$B:$B, $B128, 'SEANCE 1'!$C:$C, AU$2, 'SEANCE 1'!$F:$F, AU$5))</f>
        <v/>
      </c>
      <c r="AV128" s="64" t="str">
        <f ca="1">IF(COUNTIFS('SEANCE 1'!$B:$B, $B128, 'SEANCE 1'!$C:$C, AV$2, 'SEANCE 1'!$F:$F, AV$5)=0, "", COUNTIFS('SEANCE 1'!$B:$B, $B128, 'SEANCE 1'!$C:$C, AV$2, 'SEANCE 1'!$F:$F, AV$5))</f>
        <v/>
      </c>
      <c r="AW128" s="64" t="str">
        <f ca="1">IF(COUNTIFS('SEANCE 1'!$B:$B, $B128, 'SEANCE 1'!$C:$C, AW$2, 'SEANCE 1'!$F:$F, AW$5)=0, "", COUNTIFS('SEANCE 1'!$B:$B, $B128, 'SEANCE 1'!$C:$C, AW$2, 'SEANCE 1'!$F:$F, AW$5))</f>
        <v/>
      </c>
      <c r="AX128" s="64" t="str">
        <f ca="1">IF(COUNTIFS('SEANCE 1'!$B:$B, $B128, 'SEANCE 1'!$C:$C, AX$2, 'SEANCE 1'!$F:$F, AX$5)=0, "", COUNTIFS('SEANCE 1'!$B:$B, $B128, 'SEANCE 1'!$C:$C, AX$2, 'SEANCE 1'!$F:$F, AX$5))</f>
        <v/>
      </c>
      <c r="AY128" s="64" t="str">
        <f ca="1">IF(COUNTIFS('SEANCE 1'!$B:$B, $B128, 'SEANCE 1'!$C:$C, AY$2, 'SEANCE 1'!$F:$F, AY$5)=0, "", COUNTIFS('SEANCE 1'!$B:$B, $B128, 'SEANCE 1'!$C:$C, AY$2, 'SEANCE 1'!$F:$F, AY$5))</f>
        <v/>
      </c>
      <c r="AZ128" s="32">
        <f t="shared" ca="1" si="1"/>
        <v>0</v>
      </c>
    </row>
    <row r="129" spans="1:52">
      <c r="A129" s="44" t="str">
        <f>IF('SEANCE 1'!$B125&lt;&gt;"",'SEANCE 1'!$A125,"")</f>
        <v/>
      </c>
      <c r="B129" s="44" t="str">
        <f t="array" aca="1" ref="B129" ca="1">IF(ISNA(INDEX(ListeB,MATCH(0,COUNTIF($B$5:B128,ListeB),0))),"",INDEX(ListeB,MATCH(0,COUNTIF($B$5:B128,ListeB),0)))</f>
        <v/>
      </c>
      <c r="C129" s="64" t="str">
        <f ca="1">IF(COUNTIFS('SEANCE 1'!$B:$B, $B129, 'SEANCE 1'!$C:$C, C$2, 'SEANCE 1'!$F:$F, C$5)=0, "", COUNTIFS('SEANCE 1'!$B:$B, $B129, 'SEANCE 1'!$C:$C, C$2, 'SEANCE 1'!$F:$F, C$5))</f>
        <v/>
      </c>
      <c r="D129" s="64" t="str">
        <f ca="1">IF(COUNTIFS('SEANCE 1'!$B:$B, $B129, 'SEANCE 1'!$C:$C, D$2, 'SEANCE 1'!$F:$F, D$5)=0, "", COUNTIFS('SEANCE 1'!$B:$B, $B129, 'SEANCE 1'!$C:$C, D$2, 'SEANCE 1'!$F:$F, D$5))</f>
        <v/>
      </c>
      <c r="E129" s="64" t="str">
        <f ca="1">IF(COUNTIFS('SEANCE 1'!$B:$B, $B129, 'SEANCE 1'!$C:$C, E$2, 'SEANCE 1'!$F:$F, E$5)=0, "", COUNTIFS('SEANCE 1'!$B:$B, $B129, 'SEANCE 1'!$C:$C, E$2, 'SEANCE 1'!$F:$F, E$5))</f>
        <v/>
      </c>
      <c r="F129" s="64" t="str">
        <f ca="1">IF(COUNTIFS('SEANCE 1'!$B:$B, $B129, 'SEANCE 1'!$C:$C, F$2, 'SEANCE 1'!$F:$F, F$5)=0, "", COUNTIFS('SEANCE 1'!$B:$B, $B129, 'SEANCE 1'!$C:$C, F$2, 'SEANCE 1'!$F:$F, F$5))</f>
        <v/>
      </c>
      <c r="G129" s="64" t="str">
        <f ca="1">IF(COUNTIFS('SEANCE 1'!$B:$B, $B129, 'SEANCE 1'!$C:$C, G$2, 'SEANCE 1'!$F:$F, G$5)=0, "", COUNTIFS('SEANCE 1'!$B:$B, $B129, 'SEANCE 1'!$C:$C, G$2, 'SEANCE 1'!$F:$F, G$5))</f>
        <v/>
      </c>
      <c r="H129" s="64" t="str">
        <f ca="1">IF(COUNTIFS('SEANCE 1'!$B:$B, $B129, 'SEANCE 1'!$C:$C, H$2, 'SEANCE 1'!$F:$F, H$5)=0, "", COUNTIFS('SEANCE 1'!$B:$B, $B129, 'SEANCE 1'!$C:$C, H$2, 'SEANCE 1'!$F:$F, H$5))</f>
        <v/>
      </c>
      <c r="I129" s="64" t="str">
        <f ca="1">IF(COUNTIFS('SEANCE 1'!$B:$B, $B129, 'SEANCE 1'!$C:$C, I$2, 'SEANCE 1'!$F:$F, I$5)=0, "", COUNTIFS('SEANCE 1'!$B:$B, $B129, 'SEANCE 1'!$C:$C, I$2, 'SEANCE 1'!$F:$F, I$5))</f>
        <v/>
      </c>
      <c r="J129" s="64" t="str">
        <f ca="1">IF(COUNTIFS('SEANCE 1'!$B:$B, $B129, 'SEANCE 1'!$C:$C, J$2, 'SEANCE 1'!$F:$F, J$5)=0, "", COUNTIFS('SEANCE 1'!$B:$B, $B129, 'SEANCE 1'!$C:$C, J$2, 'SEANCE 1'!$F:$F, J$5))</f>
        <v/>
      </c>
      <c r="K129" s="64" t="str">
        <f ca="1">IF(COUNTIFS('SEANCE 1'!$B:$B, $B129, 'SEANCE 1'!$C:$C, K$2, 'SEANCE 1'!$F:$F, K$5)=0, "", COUNTIFS('SEANCE 1'!$B:$B, $B129, 'SEANCE 1'!$C:$C, K$2, 'SEANCE 1'!$F:$F, K$5))</f>
        <v/>
      </c>
      <c r="L129" s="64" t="str">
        <f ca="1">IF(COUNTIFS('SEANCE 1'!$B:$B, $B129, 'SEANCE 1'!$C:$C, L$2, 'SEANCE 1'!$F:$F, L$5)=0, "", COUNTIFS('SEANCE 1'!$B:$B, $B129, 'SEANCE 1'!$C:$C, L$2, 'SEANCE 1'!$F:$F, L$5))</f>
        <v/>
      </c>
      <c r="M129" s="64" t="str">
        <f ca="1">IF(COUNTIFS('SEANCE 1'!$B:$B, $B129, 'SEANCE 1'!$C:$C, M$2, 'SEANCE 1'!$F:$F, M$5)=0, "", COUNTIFS('SEANCE 1'!$B:$B, $B129, 'SEANCE 1'!$C:$C, M$2, 'SEANCE 1'!$F:$F, M$5))</f>
        <v/>
      </c>
      <c r="N129" s="64" t="str">
        <f ca="1">IF(COUNTIFS('SEANCE 1'!$B:$B, $B129, 'SEANCE 1'!$C:$C, N$2, 'SEANCE 1'!$F:$F, N$5)=0, "", COUNTIFS('SEANCE 1'!$B:$B, $B129, 'SEANCE 1'!$C:$C, N$2, 'SEANCE 1'!$F:$F, N$5))</f>
        <v/>
      </c>
      <c r="O129" s="64" t="str">
        <f ca="1">IF(COUNTIFS('SEANCE 1'!$B:$B, $B129, 'SEANCE 1'!$C:$C, O$2, 'SEANCE 1'!$F:$F, O$5)=0, "", COUNTIFS('SEANCE 1'!$B:$B, $B129, 'SEANCE 1'!$C:$C, O$2, 'SEANCE 1'!$F:$F, O$5))</f>
        <v/>
      </c>
      <c r="P129" s="64" t="str">
        <f ca="1">IF(COUNTIFS('SEANCE 1'!$B:$B, $B129, 'SEANCE 1'!$C:$C, P$2, 'SEANCE 1'!$F:$F, P$5)=0, "", COUNTIFS('SEANCE 1'!$B:$B, $B129, 'SEANCE 1'!$C:$C, P$2, 'SEANCE 1'!$F:$F, P$5))</f>
        <v/>
      </c>
      <c r="Q129" s="64" t="str">
        <f ca="1">IF(COUNTIFS('SEANCE 1'!$B:$B, $B129, 'SEANCE 1'!$C:$C, Q$2, 'SEANCE 1'!$F:$F, Q$5)=0, "", COUNTIFS('SEANCE 1'!$B:$B, $B129, 'SEANCE 1'!$C:$C, Q$2, 'SEANCE 1'!$F:$F, Q$5))</f>
        <v/>
      </c>
      <c r="R129" s="64" t="str">
        <f ca="1">IF(COUNTIFS('SEANCE 1'!$B:$B, $B129, 'SEANCE 1'!$C:$C, R$2, 'SEANCE 1'!$F:$F, R$5)=0, "", COUNTIFS('SEANCE 1'!$B:$B, $B129, 'SEANCE 1'!$C:$C, R$2, 'SEANCE 1'!$F:$F, R$5))</f>
        <v/>
      </c>
      <c r="S129" s="64" t="str">
        <f ca="1">IF(COUNTIFS('SEANCE 1'!$B:$B, $B129, 'SEANCE 1'!$C:$C, S$2, 'SEANCE 1'!$F:$F, S$5)=0, "", COUNTIFS('SEANCE 1'!$B:$B, $B129, 'SEANCE 1'!$C:$C, S$2, 'SEANCE 1'!$F:$F, S$5))</f>
        <v/>
      </c>
      <c r="T129" s="64" t="str">
        <f ca="1">IF(COUNTIFS('SEANCE 1'!$B:$B, $B129, 'SEANCE 1'!$C:$C, T$2, 'SEANCE 1'!$F:$F, T$5)=0, "", COUNTIFS('SEANCE 1'!$B:$B, $B129, 'SEANCE 1'!$C:$C, T$2, 'SEANCE 1'!$F:$F, T$5))</f>
        <v/>
      </c>
      <c r="U129" s="64" t="str">
        <f ca="1">IF(COUNTIFS('SEANCE 1'!$B:$B, $B129, 'SEANCE 1'!$C:$C, U$2, 'SEANCE 1'!$F:$F, U$5)=0, "", COUNTIFS('SEANCE 1'!$B:$B, $B129, 'SEANCE 1'!$C:$C, U$2, 'SEANCE 1'!$F:$F, U$5))</f>
        <v/>
      </c>
      <c r="V129" s="64" t="str">
        <f ca="1">IF(COUNTIFS('SEANCE 1'!$B:$B, $B129, 'SEANCE 1'!$C:$C, V$2, 'SEANCE 1'!$F:$F, V$5)=0, "", COUNTIFS('SEANCE 1'!$B:$B, $B129, 'SEANCE 1'!$C:$C, V$2, 'SEANCE 1'!$F:$F, V$5))</f>
        <v/>
      </c>
      <c r="W129" s="64" t="str">
        <f ca="1">IF(COUNTIFS('SEANCE 1'!$B:$B, $B129, 'SEANCE 1'!$C:$C, W$2, 'SEANCE 1'!$F:$F, W$5)=0, "", COUNTIFS('SEANCE 1'!$B:$B, $B129, 'SEANCE 1'!$C:$C, W$2, 'SEANCE 1'!$F:$F, W$5))</f>
        <v/>
      </c>
      <c r="X129" s="64" t="str">
        <f ca="1">IF(COUNTIFS('SEANCE 1'!$B:$B, $B129, 'SEANCE 1'!$C:$C, X$2, 'SEANCE 1'!$F:$F, X$5)=0, "", COUNTIFS('SEANCE 1'!$B:$B, $B129, 'SEANCE 1'!$C:$C, X$2, 'SEANCE 1'!$F:$F, X$5))</f>
        <v/>
      </c>
      <c r="Y129" s="64" t="str">
        <f ca="1">IF(COUNTIFS('SEANCE 1'!$B:$B, $B129, 'SEANCE 1'!$C:$C, Y$2, 'SEANCE 1'!$F:$F, Y$5)=0, "", COUNTIFS('SEANCE 1'!$B:$B, $B129, 'SEANCE 1'!$C:$C, Y$2, 'SEANCE 1'!$F:$F, Y$5))</f>
        <v/>
      </c>
      <c r="Z129" s="64" t="str">
        <f ca="1">IF(COUNTIFS('SEANCE 1'!$B:$B, $B129, 'SEANCE 1'!$C:$C, Z$2, 'SEANCE 1'!$F:$F, Z$5)=0, "", COUNTIFS('SEANCE 1'!$B:$B, $B129, 'SEANCE 1'!$C:$C, Z$2, 'SEANCE 1'!$F:$F, Z$5))</f>
        <v/>
      </c>
      <c r="AA129" s="64" t="str">
        <f ca="1">IF(COUNTIFS('SEANCE 1'!$B:$B, $B129, 'SEANCE 1'!$C:$C, AA$2, 'SEANCE 1'!$F:$F, AA$5)=0, "", COUNTIFS('SEANCE 1'!$B:$B, $B129, 'SEANCE 1'!$C:$C, AA$2, 'SEANCE 1'!$F:$F, AA$5))</f>
        <v/>
      </c>
      <c r="AB129" s="64" t="str">
        <f ca="1">IF(COUNTIFS('SEANCE 1'!$B:$B, $B129, 'SEANCE 1'!$C:$C, AB$2, 'SEANCE 1'!$F:$F, AB$5)=0, "", COUNTIFS('SEANCE 1'!$B:$B, $B129, 'SEANCE 1'!$C:$C, AB$2, 'SEANCE 1'!$F:$F, AB$5))</f>
        <v/>
      </c>
      <c r="AC129" s="64" t="str">
        <f ca="1">IF(COUNTIFS('SEANCE 1'!$B:$B, $B129, 'SEANCE 1'!$C:$C, AC$2, 'SEANCE 1'!$F:$F, AC$5)=0, "", COUNTIFS('SEANCE 1'!$B:$B, $B129, 'SEANCE 1'!$C:$C, AC$2, 'SEANCE 1'!$F:$F, AC$5))</f>
        <v/>
      </c>
      <c r="AD129" s="64" t="str">
        <f ca="1">IF(COUNTIFS('SEANCE 1'!$B:$B, $B129, 'SEANCE 1'!$C:$C, AD$2, 'SEANCE 1'!$F:$F, AD$5)=0, "", COUNTIFS('SEANCE 1'!$B:$B, $B129, 'SEANCE 1'!$C:$C, AD$2, 'SEANCE 1'!$F:$F, AD$5))</f>
        <v/>
      </c>
      <c r="AE129" s="64" t="str">
        <f ca="1">IF(COUNTIFS('SEANCE 1'!$B:$B, $B129, 'SEANCE 1'!$C:$C, AE$2, 'SEANCE 1'!$F:$F, AE$5)=0, "", COUNTIFS('SEANCE 1'!$B:$B, $B129, 'SEANCE 1'!$C:$C, AE$2, 'SEANCE 1'!$F:$F, AE$5))</f>
        <v/>
      </c>
      <c r="AF129" s="64" t="str">
        <f ca="1">IF(COUNTIFS('SEANCE 1'!$B:$B, $B129, 'SEANCE 1'!$C:$C, AF$2, 'SEANCE 1'!$F:$F, AF$5)=0, "", COUNTIFS('SEANCE 1'!$B:$B, $B129, 'SEANCE 1'!$C:$C, AF$2, 'SEANCE 1'!$F:$F, AF$5))</f>
        <v/>
      </c>
      <c r="AG129" s="64" t="str">
        <f ca="1">IF(COUNTIFS('SEANCE 1'!$B:$B, $B129, 'SEANCE 1'!$C:$C, AG$2, 'SEANCE 1'!$F:$F, AG$5)=0, "", COUNTIFS('SEANCE 1'!$B:$B, $B129, 'SEANCE 1'!$C:$C, AG$2, 'SEANCE 1'!$F:$F, AG$5))</f>
        <v/>
      </c>
      <c r="AH129" s="64" t="str">
        <f ca="1">IF(COUNTIFS('SEANCE 1'!$B:$B, $B129, 'SEANCE 1'!$C:$C, AH$2, 'SEANCE 1'!$F:$F, AH$5)=0, "", COUNTIFS('SEANCE 1'!$B:$B, $B129, 'SEANCE 1'!$C:$C, AH$2, 'SEANCE 1'!$F:$F, AH$5))</f>
        <v/>
      </c>
      <c r="AI129" s="64" t="str">
        <f ca="1">IF(COUNTIFS('SEANCE 1'!$B:$B, $B129, 'SEANCE 1'!$C:$C, AI$2, 'SEANCE 1'!$F:$F, AI$5)=0, "", COUNTIFS('SEANCE 1'!$B:$B, $B129, 'SEANCE 1'!$C:$C, AI$2, 'SEANCE 1'!$F:$F, AI$5))</f>
        <v/>
      </c>
      <c r="AJ129" s="64" t="str">
        <f ca="1">IF(COUNTIFS('SEANCE 1'!$B:$B, $B129, 'SEANCE 1'!$C:$C, AJ$2, 'SEANCE 1'!$F:$F, AJ$5)=0, "", COUNTIFS('SEANCE 1'!$B:$B, $B129, 'SEANCE 1'!$C:$C, AJ$2, 'SEANCE 1'!$F:$F, AJ$5))</f>
        <v/>
      </c>
      <c r="AK129" s="64" t="str">
        <f ca="1">IF(COUNTIFS('SEANCE 1'!$B:$B, $B129, 'SEANCE 1'!$C:$C, AK$2, 'SEANCE 1'!$F:$F, AK$5)=0, "", COUNTIFS('SEANCE 1'!$B:$B, $B129, 'SEANCE 1'!$C:$C, AK$2, 'SEANCE 1'!$F:$F, AK$5))</f>
        <v/>
      </c>
      <c r="AL129" s="64" t="str">
        <f ca="1">IF(COUNTIFS('SEANCE 1'!$B:$B, $B129, 'SEANCE 1'!$C:$C, AL$2, 'SEANCE 1'!$F:$F, AL$5)=0, "", COUNTIFS('SEANCE 1'!$B:$B, $B129, 'SEANCE 1'!$C:$C, AL$2, 'SEANCE 1'!$F:$F, AL$5))</f>
        <v/>
      </c>
      <c r="AM129" s="64" t="str">
        <f ca="1">IF(COUNTIFS('SEANCE 1'!$B:$B, $B129, 'SEANCE 1'!$C:$C, AM$2, 'SEANCE 1'!$F:$F, AM$5)=0, "", COUNTIFS('SEANCE 1'!$B:$B, $B129, 'SEANCE 1'!$C:$C, AM$2, 'SEANCE 1'!$F:$F, AM$5))</f>
        <v/>
      </c>
      <c r="AN129" s="64" t="str">
        <f ca="1">IF(COUNTIFS('SEANCE 1'!$B:$B, $B129, 'SEANCE 1'!$C:$C, AN$2, 'SEANCE 1'!$F:$F, AN$5)=0, "", COUNTIFS('SEANCE 1'!$B:$B, $B129, 'SEANCE 1'!$C:$C, AN$2, 'SEANCE 1'!$F:$F, AN$5))</f>
        <v/>
      </c>
      <c r="AO129" s="64" t="str">
        <f ca="1">IF(COUNTIFS('SEANCE 1'!$B:$B, $B129, 'SEANCE 1'!$C:$C, AO$2, 'SEANCE 1'!$F:$F, AO$5)=0, "", COUNTIFS('SEANCE 1'!$B:$B, $B129, 'SEANCE 1'!$C:$C, AO$2, 'SEANCE 1'!$F:$F, AO$5))</f>
        <v/>
      </c>
      <c r="AP129" s="64" t="str">
        <f ca="1">IF(COUNTIFS('SEANCE 1'!$B:$B, $B129, 'SEANCE 1'!$C:$C, AP$2, 'SEANCE 1'!$F:$F, AP$5)=0, "", COUNTIFS('SEANCE 1'!$B:$B, $B129, 'SEANCE 1'!$C:$C, AP$2, 'SEANCE 1'!$F:$F, AP$5))</f>
        <v/>
      </c>
      <c r="AQ129" s="64" t="str">
        <f ca="1">IF(COUNTIFS('SEANCE 1'!$B:$B, $B129, 'SEANCE 1'!$C:$C, AQ$2, 'SEANCE 1'!$F:$F, AQ$5)=0, "", COUNTIFS('SEANCE 1'!$B:$B, $B129, 'SEANCE 1'!$C:$C, AQ$2, 'SEANCE 1'!$F:$F, AQ$5))</f>
        <v/>
      </c>
      <c r="AR129" s="64" t="str">
        <f ca="1">IF(COUNTIFS('SEANCE 1'!$B:$B, $B129, 'SEANCE 1'!$C:$C, AR$2, 'SEANCE 1'!$F:$F, AR$5)=0, "", COUNTIFS('SEANCE 1'!$B:$B, $B129, 'SEANCE 1'!$C:$C, AR$2, 'SEANCE 1'!$F:$F, AR$5))</f>
        <v/>
      </c>
      <c r="AS129" s="64" t="str">
        <f ca="1">IF(COUNTIFS('SEANCE 1'!$B:$B, $B129, 'SEANCE 1'!$C:$C, AS$2, 'SEANCE 1'!$F:$F, AS$5)=0, "", COUNTIFS('SEANCE 1'!$B:$B, $B129, 'SEANCE 1'!$C:$C, AS$2, 'SEANCE 1'!$F:$F, AS$5))</f>
        <v/>
      </c>
      <c r="AT129" s="64" t="str">
        <f ca="1">IF(COUNTIFS('SEANCE 1'!$B:$B, $B129, 'SEANCE 1'!$C:$C, AT$2, 'SEANCE 1'!$F:$F, AT$5)=0, "", COUNTIFS('SEANCE 1'!$B:$B, $B129, 'SEANCE 1'!$C:$C, AT$2, 'SEANCE 1'!$F:$F, AT$5))</f>
        <v/>
      </c>
      <c r="AU129" s="64" t="str">
        <f ca="1">IF(COUNTIFS('SEANCE 1'!$B:$B, $B129, 'SEANCE 1'!$C:$C, AU$2, 'SEANCE 1'!$F:$F, AU$5)=0, "", COUNTIFS('SEANCE 1'!$B:$B, $B129, 'SEANCE 1'!$C:$C, AU$2, 'SEANCE 1'!$F:$F, AU$5))</f>
        <v/>
      </c>
      <c r="AV129" s="64" t="str">
        <f ca="1">IF(COUNTIFS('SEANCE 1'!$B:$B, $B129, 'SEANCE 1'!$C:$C, AV$2, 'SEANCE 1'!$F:$F, AV$5)=0, "", COUNTIFS('SEANCE 1'!$B:$B, $B129, 'SEANCE 1'!$C:$C, AV$2, 'SEANCE 1'!$F:$F, AV$5))</f>
        <v/>
      </c>
      <c r="AW129" s="64" t="str">
        <f ca="1">IF(COUNTIFS('SEANCE 1'!$B:$B, $B129, 'SEANCE 1'!$C:$C, AW$2, 'SEANCE 1'!$F:$F, AW$5)=0, "", COUNTIFS('SEANCE 1'!$B:$B, $B129, 'SEANCE 1'!$C:$C, AW$2, 'SEANCE 1'!$F:$F, AW$5))</f>
        <v/>
      </c>
      <c r="AX129" s="64" t="str">
        <f ca="1">IF(COUNTIFS('SEANCE 1'!$B:$B, $B129, 'SEANCE 1'!$C:$C, AX$2, 'SEANCE 1'!$F:$F, AX$5)=0, "", COUNTIFS('SEANCE 1'!$B:$B, $B129, 'SEANCE 1'!$C:$C, AX$2, 'SEANCE 1'!$F:$F, AX$5))</f>
        <v/>
      </c>
      <c r="AY129" s="64" t="str">
        <f ca="1">IF(COUNTIFS('SEANCE 1'!$B:$B, $B129, 'SEANCE 1'!$C:$C, AY$2, 'SEANCE 1'!$F:$F, AY$5)=0, "", COUNTIFS('SEANCE 1'!$B:$B, $B129, 'SEANCE 1'!$C:$C, AY$2, 'SEANCE 1'!$F:$F, AY$5))</f>
        <v/>
      </c>
      <c r="AZ129" s="32">
        <f t="shared" ca="1" si="1"/>
        <v>0</v>
      </c>
    </row>
    <row r="130" spans="1:52">
      <c r="A130" s="44" t="str">
        <f>IF('SEANCE 1'!$B126&lt;&gt;"",'SEANCE 1'!$A126,"")</f>
        <v/>
      </c>
      <c r="B130" s="44" t="str">
        <f t="array" aca="1" ref="B130" ca="1">IF(ISNA(INDEX(ListeB,MATCH(0,COUNTIF($B$5:B129,ListeB),0))),"",INDEX(ListeB,MATCH(0,COUNTIF($B$5:B129,ListeB),0)))</f>
        <v/>
      </c>
      <c r="C130" s="64" t="str">
        <f ca="1">IF(COUNTIFS('SEANCE 1'!$B:$B, $B130, 'SEANCE 1'!$C:$C, C$2, 'SEANCE 1'!$F:$F, C$5)=0, "", COUNTIFS('SEANCE 1'!$B:$B, $B130, 'SEANCE 1'!$C:$C, C$2, 'SEANCE 1'!$F:$F, C$5))</f>
        <v/>
      </c>
      <c r="D130" s="64" t="str">
        <f ca="1">IF(COUNTIFS('SEANCE 1'!$B:$B, $B130, 'SEANCE 1'!$C:$C, D$2, 'SEANCE 1'!$F:$F, D$5)=0, "", COUNTIFS('SEANCE 1'!$B:$B, $B130, 'SEANCE 1'!$C:$C, D$2, 'SEANCE 1'!$F:$F, D$5))</f>
        <v/>
      </c>
      <c r="E130" s="64" t="str">
        <f ca="1">IF(COUNTIFS('SEANCE 1'!$B:$B, $B130, 'SEANCE 1'!$C:$C, E$2, 'SEANCE 1'!$F:$F, E$5)=0, "", COUNTIFS('SEANCE 1'!$B:$B, $B130, 'SEANCE 1'!$C:$C, E$2, 'SEANCE 1'!$F:$F, E$5))</f>
        <v/>
      </c>
      <c r="F130" s="64" t="str">
        <f ca="1">IF(COUNTIFS('SEANCE 1'!$B:$B, $B130, 'SEANCE 1'!$C:$C, F$2, 'SEANCE 1'!$F:$F, F$5)=0, "", COUNTIFS('SEANCE 1'!$B:$B, $B130, 'SEANCE 1'!$C:$C, F$2, 'SEANCE 1'!$F:$F, F$5))</f>
        <v/>
      </c>
      <c r="G130" s="64" t="str">
        <f ca="1">IF(COUNTIFS('SEANCE 1'!$B:$B, $B130, 'SEANCE 1'!$C:$C, G$2, 'SEANCE 1'!$F:$F, G$5)=0, "", COUNTIFS('SEANCE 1'!$B:$B, $B130, 'SEANCE 1'!$C:$C, G$2, 'SEANCE 1'!$F:$F, G$5))</f>
        <v/>
      </c>
      <c r="H130" s="64" t="str">
        <f ca="1">IF(COUNTIFS('SEANCE 1'!$B:$B, $B130, 'SEANCE 1'!$C:$C, H$2, 'SEANCE 1'!$F:$F, H$5)=0, "", COUNTIFS('SEANCE 1'!$B:$B, $B130, 'SEANCE 1'!$C:$C, H$2, 'SEANCE 1'!$F:$F, H$5))</f>
        <v/>
      </c>
      <c r="I130" s="64" t="str">
        <f ca="1">IF(COUNTIFS('SEANCE 1'!$B:$B, $B130, 'SEANCE 1'!$C:$C, I$2, 'SEANCE 1'!$F:$F, I$5)=0, "", COUNTIFS('SEANCE 1'!$B:$B, $B130, 'SEANCE 1'!$C:$C, I$2, 'SEANCE 1'!$F:$F, I$5))</f>
        <v/>
      </c>
      <c r="J130" s="64" t="str">
        <f ca="1">IF(COUNTIFS('SEANCE 1'!$B:$B, $B130, 'SEANCE 1'!$C:$C, J$2, 'SEANCE 1'!$F:$F, J$5)=0, "", COUNTIFS('SEANCE 1'!$B:$B, $B130, 'SEANCE 1'!$C:$C, J$2, 'SEANCE 1'!$F:$F, J$5))</f>
        <v/>
      </c>
      <c r="K130" s="64" t="str">
        <f ca="1">IF(COUNTIFS('SEANCE 1'!$B:$B, $B130, 'SEANCE 1'!$C:$C, K$2, 'SEANCE 1'!$F:$F, K$5)=0, "", COUNTIFS('SEANCE 1'!$B:$B, $B130, 'SEANCE 1'!$C:$C, K$2, 'SEANCE 1'!$F:$F, K$5))</f>
        <v/>
      </c>
      <c r="L130" s="64" t="str">
        <f ca="1">IF(COUNTIFS('SEANCE 1'!$B:$B, $B130, 'SEANCE 1'!$C:$C, L$2, 'SEANCE 1'!$F:$F, L$5)=0, "", COUNTIFS('SEANCE 1'!$B:$B, $B130, 'SEANCE 1'!$C:$C, L$2, 'SEANCE 1'!$F:$F, L$5))</f>
        <v/>
      </c>
      <c r="M130" s="64" t="str">
        <f ca="1">IF(COUNTIFS('SEANCE 1'!$B:$B, $B130, 'SEANCE 1'!$C:$C, M$2, 'SEANCE 1'!$F:$F, M$5)=0, "", COUNTIFS('SEANCE 1'!$B:$B, $B130, 'SEANCE 1'!$C:$C, M$2, 'SEANCE 1'!$F:$F, M$5))</f>
        <v/>
      </c>
      <c r="N130" s="64" t="str">
        <f ca="1">IF(COUNTIFS('SEANCE 1'!$B:$B, $B130, 'SEANCE 1'!$C:$C, N$2, 'SEANCE 1'!$F:$F, N$5)=0, "", COUNTIFS('SEANCE 1'!$B:$B, $B130, 'SEANCE 1'!$C:$C, N$2, 'SEANCE 1'!$F:$F, N$5))</f>
        <v/>
      </c>
      <c r="O130" s="64" t="str">
        <f ca="1">IF(COUNTIFS('SEANCE 1'!$B:$B, $B130, 'SEANCE 1'!$C:$C, O$2, 'SEANCE 1'!$F:$F, O$5)=0, "", COUNTIFS('SEANCE 1'!$B:$B, $B130, 'SEANCE 1'!$C:$C, O$2, 'SEANCE 1'!$F:$F, O$5))</f>
        <v/>
      </c>
      <c r="P130" s="64" t="str">
        <f ca="1">IF(COUNTIFS('SEANCE 1'!$B:$B, $B130, 'SEANCE 1'!$C:$C, P$2, 'SEANCE 1'!$F:$F, P$5)=0, "", COUNTIFS('SEANCE 1'!$B:$B, $B130, 'SEANCE 1'!$C:$C, P$2, 'SEANCE 1'!$F:$F, P$5))</f>
        <v/>
      </c>
      <c r="Q130" s="64" t="str">
        <f ca="1">IF(COUNTIFS('SEANCE 1'!$B:$B, $B130, 'SEANCE 1'!$C:$C, Q$2, 'SEANCE 1'!$F:$F, Q$5)=0, "", COUNTIFS('SEANCE 1'!$B:$B, $B130, 'SEANCE 1'!$C:$C, Q$2, 'SEANCE 1'!$F:$F, Q$5))</f>
        <v/>
      </c>
      <c r="R130" s="64" t="str">
        <f ca="1">IF(COUNTIFS('SEANCE 1'!$B:$B, $B130, 'SEANCE 1'!$C:$C, R$2, 'SEANCE 1'!$F:$F, R$5)=0, "", COUNTIFS('SEANCE 1'!$B:$B, $B130, 'SEANCE 1'!$C:$C, R$2, 'SEANCE 1'!$F:$F, R$5))</f>
        <v/>
      </c>
      <c r="S130" s="64" t="str">
        <f ca="1">IF(COUNTIFS('SEANCE 1'!$B:$B, $B130, 'SEANCE 1'!$C:$C, S$2, 'SEANCE 1'!$F:$F, S$5)=0, "", COUNTIFS('SEANCE 1'!$B:$B, $B130, 'SEANCE 1'!$C:$C, S$2, 'SEANCE 1'!$F:$F, S$5))</f>
        <v/>
      </c>
      <c r="T130" s="64" t="str">
        <f ca="1">IF(COUNTIFS('SEANCE 1'!$B:$B, $B130, 'SEANCE 1'!$C:$C, T$2, 'SEANCE 1'!$F:$F, T$5)=0, "", COUNTIFS('SEANCE 1'!$B:$B, $B130, 'SEANCE 1'!$C:$C, T$2, 'SEANCE 1'!$F:$F, T$5))</f>
        <v/>
      </c>
      <c r="U130" s="64" t="str">
        <f ca="1">IF(COUNTIFS('SEANCE 1'!$B:$B, $B130, 'SEANCE 1'!$C:$C, U$2, 'SEANCE 1'!$F:$F, U$5)=0, "", COUNTIFS('SEANCE 1'!$B:$B, $B130, 'SEANCE 1'!$C:$C, U$2, 'SEANCE 1'!$F:$F, U$5))</f>
        <v/>
      </c>
      <c r="V130" s="64" t="str">
        <f ca="1">IF(COUNTIFS('SEANCE 1'!$B:$B, $B130, 'SEANCE 1'!$C:$C, V$2, 'SEANCE 1'!$F:$F, V$5)=0, "", COUNTIFS('SEANCE 1'!$B:$B, $B130, 'SEANCE 1'!$C:$C, V$2, 'SEANCE 1'!$F:$F, V$5))</f>
        <v/>
      </c>
      <c r="W130" s="64" t="str">
        <f ca="1">IF(COUNTIFS('SEANCE 1'!$B:$B, $B130, 'SEANCE 1'!$C:$C, W$2, 'SEANCE 1'!$F:$F, W$5)=0, "", COUNTIFS('SEANCE 1'!$B:$B, $B130, 'SEANCE 1'!$C:$C, W$2, 'SEANCE 1'!$F:$F, W$5))</f>
        <v/>
      </c>
      <c r="X130" s="64" t="str">
        <f ca="1">IF(COUNTIFS('SEANCE 1'!$B:$B, $B130, 'SEANCE 1'!$C:$C, X$2, 'SEANCE 1'!$F:$F, X$5)=0, "", COUNTIFS('SEANCE 1'!$B:$B, $B130, 'SEANCE 1'!$C:$C, X$2, 'SEANCE 1'!$F:$F, X$5))</f>
        <v/>
      </c>
      <c r="Y130" s="64" t="str">
        <f ca="1">IF(COUNTIFS('SEANCE 1'!$B:$B, $B130, 'SEANCE 1'!$C:$C, Y$2, 'SEANCE 1'!$F:$F, Y$5)=0, "", COUNTIFS('SEANCE 1'!$B:$B, $B130, 'SEANCE 1'!$C:$C, Y$2, 'SEANCE 1'!$F:$F, Y$5))</f>
        <v/>
      </c>
      <c r="Z130" s="64" t="str">
        <f ca="1">IF(COUNTIFS('SEANCE 1'!$B:$B, $B130, 'SEANCE 1'!$C:$C, Z$2, 'SEANCE 1'!$F:$F, Z$5)=0, "", COUNTIFS('SEANCE 1'!$B:$B, $B130, 'SEANCE 1'!$C:$C, Z$2, 'SEANCE 1'!$F:$F, Z$5))</f>
        <v/>
      </c>
      <c r="AA130" s="64" t="str">
        <f ca="1">IF(COUNTIFS('SEANCE 1'!$B:$B, $B130, 'SEANCE 1'!$C:$C, AA$2, 'SEANCE 1'!$F:$F, AA$5)=0, "", COUNTIFS('SEANCE 1'!$B:$B, $B130, 'SEANCE 1'!$C:$C, AA$2, 'SEANCE 1'!$F:$F, AA$5))</f>
        <v/>
      </c>
      <c r="AB130" s="64" t="str">
        <f ca="1">IF(COUNTIFS('SEANCE 1'!$B:$B, $B130, 'SEANCE 1'!$C:$C, AB$2, 'SEANCE 1'!$F:$F, AB$5)=0, "", COUNTIFS('SEANCE 1'!$B:$B, $B130, 'SEANCE 1'!$C:$C, AB$2, 'SEANCE 1'!$F:$F, AB$5))</f>
        <v/>
      </c>
      <c r="AC130" s="64" t="str">
        <f ca="1">IF(COUNTIFS('SEANCE 1'!$B:$B, $B130, 'SEANCE 1'!$C:$C, AC$2, 'SEANCE 1'!$F:$F, AC$5)=0, "", COUNTIFS('SEANCE 1'!$B:$B, $B130, 'SEANCE 1'!$C:$C, AC$2, 'SEANCE 1'!$F:$F, AC$5))</f>
        <v/>
      </c>
      <c r="AD130" s="64" t="str">
        <f ca="1">IF(COUNTIFS('SEANCE 1'!$B:$B, $B130, 'SEANCE 1'!$C:$C, AD$2, 'SEANCE 1'!$F:$F, AD$5)=0, "", COUNTIFS('SEANCE 1'!$B:$B, $B130, 'SEANCE 1'!$C:$C, AD$2, 'SEANCE 1'!$F:$F, AD$5))</f>
        <v/>
      </c>
      <c r="AE130" s="64" t="str">
        <f ca="1">IF(COUNTIFS('SEANCE 1'!$B:$B, $B130, 'SEANCE 1'!$C:$C, AE$2, 'SEANCE 1'!$F:$F, AE$5)=0, "", COUNTIFS('SEANCE 1'!$B:$B, $B130, 'SEANCE 1'!$C:$C, AE$2, 'SEANCE 1'!$F:$F, AE$5))</f>
        <v/>
      </c>
      <c r="AF130" s="64" t="str">
        <f ca="1">IF(COUNTIFS('SEANCE 1'!$B:$B, $B130, 'SEANCE 1'!$C:$C, AF$2, 'SEANCE 1'!$F:$F, AF$5)=0, "", COUNTIFS('SEANCE 1'!$B:$B, $B130, 'SEANCE 1'!$C:$C, AF$2, 'SEANCE 1'!$F:$F, AF$5))</f>
        <v/>
      </c>
      <c r="AG130" s="64" t="str">
        <f ca="1">IF(COUNTIFS('SEANCE 1'!$B:$B, $B130, 'SEANCE 1'!$C:$C, AG$2, 'SEANCE 1'!$F:$F, AG$5)=0, "", COUNTIFS('SEANCE 1'!$B:$B, $B130, 'SEANCE 1'!$C:$C, AG$2, 'SEANCE 1'!$F:$F, AG$5))</f>
        <v/>
      </c>
      <c r="AH130" s="64" t="str">
        <f ca="1">IF(COUNTIFS('SEANCE 1'!$B:$B, $B130, 'SEANCE 1'!$C:$C, AH$2, 'SEANCE 1'!$F:$F, AH$5)=0, "", COUNTIFS('SEANCE 1'!$B:$B, $B130, 'SEANCE 1'!$C:$C, AH$2, 'SEANCE 1'!$F:$F, AH$5))</f>
        <v/>
      </c>
      <c r="AI130" s="64" t="str">
        <f ca="1">IF(COUNTIFS('SEANCE 1'!$B:$B, $B130, 'SEANCE 1'!$C:$C, AI$2, 'SEANCE 1'!$F:$F, AI$5)=0, "", COUNTIFS('SEANCE 1'!$B:$B, $B130, 'SEANCE 1'!$C:$C, AI$2, 'SEANCE 1'!$F:$F, AI$5))</f>
        <v/>
      </c>
      <c r="AJ130" s="64" t="str">
        <f ca="1">IF(COUNTIFS('SEANCE 1'!$B:$B, $B130, 'SEANCE 1'!$C:$C, AJ$2, 'SEANCE 1'!$F:$F, AJ$5)=0, "", COUNTIFS('SEANCE 1'!$B:$B, $B130, 'SEANCE 1'!$C:$C, AJ$2, 'SEANCE 1'!$F:$F, AJ$5))</f>
        <v/>
      </c>
      <c r="AK130" s="64" t="str">
        <f ca="1">IF(COUNTIFS('SEANCE 1'!$B:$B, $B130, 'SEANCE 1'!$C:$C, AK$2, 'SEANCE 1'!$F:$F, AK$5)=0, "", COUNTIFS('SEANCE 1'!$B:$B, $B130, 'SEANCE 1'!$C:$C, AK$2, 'SEANCE 1'!$F:$F, AK$5))</f>
        <v/>
      </c>
      <c r="AL130" s="64" t="str">
        <f ca="1">IF(COUNTIFS('SEANCE 1'!$B:$B, $B130, 'SEANCE 1'!$C:$C, AL$2, 'SEANCE 1'!$F:$F, AL$5)=0, "", COUNTIFS('SEANCE 1'!$B:$B, $B130, 'SEANCE 1'!$C:$C, AL$2, 'SEANCE 1'!$F:$F, AL$5))</f>
        <v/>
      </c>
      <c r="AM130" s="64" t="str">
        <f ca="1">IF(COUNTIFS('SEANCE 1'!$B:$B, $B130, 'SEANCE 1'!$C:$C, AM$2, 'SEANCE 1'!$F:$F, AM$5)=0, "", COUNTIFS('SEANCE 1'!$B:$B, $B130, 'SEANCE 1'!$C:$C, AM$2, 'SEANCE 1'!$F:$F, AM$5))</f>
        <v/>
      </c>
      <c r="AN130" s="64" t="str">
        <f ca="1">IF(COUNTIFS('SEANCE 1'!$B:$B, $B130, 'SEANCE 1'!$C:$C, AN$2, 'SEANCE 1'!$F:$F, AN$5)=0, "", COUNTIFS('SEANCE 1'!$B:$B, $B130, 'SEANCE 1'!$C:$C, AN$2, 'SEANCE 1'!$F:$F, AN$5))</f>
        <v/>
      </c>
      <c r="AO130" s="64" t="str">
        <f ca="1">IF(COUNTIFS('SEANCE 1'!$B:$B, $B130, 'SEANCE 1'!$C:$C, AO$2, 'SEANCE 1'!$F:$F, AO$5)=0, "", COUNTIFS('SEANCE 1'!$B:$B, $B130, 'SEANCE 1'!$C:$C, AO$2, 'SEANCE 1'!$F:$F, AO$5))</f>
        <v/>
      </c>
      <c r="AP130" s="64" t="str">
        <f ca="1">IF(COUNTIFS('SEANCE 1'!$B:$B, $B130, 'SEANCE 1'!$C:$C, AP$2, 'SEANCE 1'!$F:$F, AP$5)=0, "", COUNTIFS('SEANCE 1'!$B:$B, $B130, 'SEANCE 1'!$C:$C, AP$2, 'SEANCE 1'!$F:$F, AP$5))</f>
        <v/>
      </c>
      <c r="AQ130" s="64" t="str">
        <f ca="1">IF(COUNTIFS('SEANCE 1'!$B:$B, $B130, 'SEANCE 1'!$C:$C, AQ$2, 'SEANCE 1'!$F:$F, AQ$5)=0, "", COUNTIFS('SEANCE 1'!$B:$B, $B130, 'SEANCE 1'!$C:$C, AQ$2, 'SEANCE 1'!$F:$F, AQ$5))</f>
        <v/>
      </c>
      <c r="AR130" s="64" t="str">
        <f ca="1">IF(COUNTIFS('SEANCE 1'!$B:$B, $B130, 'SEANCE 1'!$C:$C, AR$2, 'SEANCE 1'!$F:$F, AR$5)=0, "", COUNTIFS('SEANCE 1'!$B:$B, $B130, 'SEANCE 1'!$C:$C, AR$2, 'SEANCE 1'!$F:$F, AR$5))</f>
        <v/>
      </c>
      <c r="AS130" s="64" t="str">
        <f ca="1">IF(COUNTIFS('SEANCE 1'!$B:$B, $B130, 'SEANCE 1'!$C:$C, AS$2, 'SEANCE 1'!$F:$F, AS$5)=0, "", COUNTIFS('SEANCE 1'!$B:$B, $B130, 'SEANCE 1'!$C:$C, AS$2, 'SEANCE 1'!$F:$F, AS$5))</f>
        <v/>
      </c>
      <c r="AT130" s="64" t="str">
        <f ca="1">IF(COUNTIFS('SEANCE 1'!$B:$B, $B130, 'SEANCE 1'!$C:$C, AT$2, 'SEANCE 1'!$F:$F, AT$5)=0, "", COUNTIFS('SEANCE 1'!$B:$B, $B130, 'SEANCE 1'!$C:$C, AT$2, 'SEANCE 1'!$F:$F, AT$5))</f>
        <v/>
      </c>
      <c r="AU130" s="64" t="str">
        <f ca="1">IF(COUNTIFS('SEANCE 1'!$B:$B, $B130, 'SEANCE 1'!$C:$C, AU$2, 'SEANCE 1'!$F:$F, AU$5)=0, "", COUNTIFS('SEANCE 1'!$B:$B, $B130, 'SEANCE 1'!$C:$C, AU$2, 'SEANCE 1'!$F:$F, AU$5))</f>
        <v/>
      </c>
      <c r="AV130" s="64" t="str">
        <f ca="1">IF(COUNTIFS('SEANCE 1'!$B:$B, $B130, 'SEANCE 1'!$C:$C, AV$2, 'SEANCE 1'!$F:$F, AV$5)=0, "", COUNTIFS('SEANCE 1'!$B:$B, $B130, 'SEANCE 1'!$C:$C, AV$2, 'SEANCE 1'!$F:$F, AV$5))</f>
        <v/>
      </c>
      <c r="AW130" s="64" t="str">
        <f ca="1">IF(COUNTIFS('SEANCE 1'!$B:$B, $B130, 'SEANCE 1'!$C:$C, AW$2, 'SEANCE 1'!$F:$F, AW$5)=0, "", COUNTIFS('SEANCE 1'!$B:$B, $B130, 'SEANCE 1'!$C:$C, AW$2, 'SEANCE 1'!$F:$F, AW$5))</f>
        <v/>
      </c>
      <c r="AX130" s="64" t="str">
        <f ca="1">IF(COUNTIFS('SEANCE 1'!$B:$B, $B130, 'SEANCE 1'!$C:$C, AX$2, 'SEANCE 1'!$F:$F, AX$5)=0, "", COUNTIFS('SEANCE 1'!$B:$B, $B130, 'SEANCE 1'!$C:$C, AX$2, 'SEANCE 1'!$F:$F, AX$5))</f>
        <v/>
      </c>
      <c r="AY130" s="64" t="str">
        <f ca="1">IF(COUNTIFS('SEANCE 1'!$B:$B, $B130, 'SEANCE 1'!$C:$C, AY$2, 'SEANCE 1'!$F:$F, AY$5)=0, "", COUNTIFS('SEANCE 1'!$B:$B, $B130, 'SEANCE 1'!$C:$C, AY$2, 'SEANCE 1'!$F:$F, AY$5))</f>
        <v/>
      </c>
      <c r="AZ130" s="32">
        <f t="shared" ca="1" si="1"/>
        <v>0</v>
      </c>
    </row>
    <row r="131" spans="1:52">
      <c r="A131" s="44" t="str">
        <f>IF('SEANCE 1'!$B127&lt;&gt;"",'SEANCE 1'!$A127,"")</f>
        <v/>
      </c>
      <c r="B131" s="44" t="str">
        <f t="array" aca="1" ref="B131" ca="1">IF(ISNA(INDEX(ListeB,MATCH(0,COUNTIF($B$5:B130,ListeB),0))),"",INDEX(ListeB,MATCH(0,COUNTIF($B$5:B130,ListeB),0)))</f>
        <v/>
      </c>
      <c r="C131" s="64" t="str">
        <f ca="1">IF(COUNTIFS('SEANCE 1'!$B:$B, $B131, 'SEANCE 1'!$C:$C, C$2, 'SEANCE 1'!$F:$F, C$5)=0, "", COUNTIFS('SEANCE 1'!$B:$B, $B131, 'SEANCE 1'!$C:$C, C$2, 'SEANCE 1'!$F:$F, C$5))</f>
        <v/>
      </c>
      <c r="D131" s="64" t="str">
        <f ca="1">IF(COUNTIFS('SEANCE 1'!$B:$B, $B131, 'SEANCE 1'!$C:$C, D$2, 'SEANCE 1'!$F:$F, D$5)=0, "", COUNTIFS('SEANCE 1'!$B:$B, $B131, 'SEANCE 1'!$C:$C, D$2, 'SEANCE 1'!$F:$F, D$5))</f>
        <v/>
      </c>
      <c r="E131" s="64" t="str">
        <f ca="1">IF(COUNTIFS('SEANCE 1'!$B:$B, $B131, 'SEANCE 1'!$C:$C, E$2, 'SEANCE 1'!$F:$F, E$5)=0, "", COUNTIFS('SEANCE 1'!$B:$B, $B131, 'SEANCE 1'!$C:$C, E$2, 'SEANCE 1'!$F:$F, E$5))</f>
        <v/>
      </c>
      <c r="F131" s="64" t="str">
        <f ca="1">IF(COUNTIFS('SEANCE 1'!$B:$B, $B131, 'SEANCE 1'!$C:$C, F$2, 'SEANCE 1'!$F:$F, F$5)=0, "", COUNTIFS('SEANCE 1'!$B:$B, $B131, 'SEANCE 1'!$C:$C, F$2, 'SEANCE 1'!$F:$F, F$5))</f>
        <v/>
      </c>
      <c r="G131" s="64" t="str">
        <f ca="1">IF(COUNTIFS('SEANCE 1'!$B:$B, $B131, 'SEANCE 1'!$C:$C, G$2, 'SEANCE 1'!$F:$F, G$5)=0, "", COUNTIFS('SEANCE 1'!$B:$B, $B131, 'SEANCE 1'!$C:$C, G$2, 'SEANCE 1'!$F:$F, G$5))</f>
        <v/>
      </c>
      <c r="H131" s="64" t="str">
        <f ca="1">IF(COUNTIFS('SEANCE 1'!$B:$B, $B131, 'SEANCE 1'!$C:$C, H$2, 'SEANCE 1'!$F:$F, H$5)=0, "", COUNTIFS('SEANCE 1'!$B:$B, $B131, 'SEANCE 1'!$C:$C, H$2, 'SEANCE 1'!$F:$F, H$5))</f>
        <v/>
      </c>
      <c r="I131" s="64" t="str">
        <f ca="1">IF(COUNTIFS('SEANCE 1'!$B:$B, $B131, 'SEANCE 1'!$C:$C, I$2, 'SEANCE 1'!$F:$F, I$5)=0, "", COUNTIFS('SEANCE 1'!$B:$B, $B131, 'SEANCE 1'!$C:$C, I$2, 'SEANCE 1'!$F:$F, I$5))</f>
        <v/>
      </c>
      <c r="J131" s="64" t="str">
        <f ca="1">IF(COUNTIFS('SEANCE 1'!$B:$B, $B131, 'SEANCE 1'!$C:$C, J$2, 'SEANCE 1'!$F:$F, J$5)=0, "", COUNTIFS('SEANCE 1'!$B:$B, $B131, 'SEANCE 1'!$C:$C, J$2, 'SEANCE 1'!$F:$F, J$5))</f>
        <v/>
      </c>
      <c r="K131" s="64" t="str">
        <f ca="1">IF(COUNTIFS('SEANCE 1'!$B:$B, $B131, 'SEANCE 1'!$C:$C, K$2, 'SEANCE 1'!$F:$F, K$5)=0, "", COUNTIFS('SEANCE 1'!$B:$B, $B131, 'SEANCE 1'!$C:$C, K$2, 'SEANCE 1'!$F:$F, K$5))</f>
        <v/>
      </c>
      <c r="L131" s="64" t="str">
        <f ca="1">IF(COUNTIFS('SEANCE 1'!$B:$B, $B131, 'SEANCE 1'!$C:$C, L$2, 'SEANCE 1'!$F:$F, L$5)=0, "", COUNTIFS('SEANCE 1'!$B:$B, $B131, 'SEANCE 1'!$C:$C, L$2, 'SEANCE 1'!$F:$F, L$5))</f>
        <v/>
      </c>
      <c r="M131" s="64" t="str">
        <f ca="1">IF(COUNTIFS('SEANCE 1'!$B:$B, $B131, 'SEANCE 1'!$C:$C, M$2, 'SEANCE 1'!$F:$F, M$5)=0, "", COUNTIFS('SEANCE 1'!$B:$B, $B131, 'SEANCE 1'!$C:$C, M$2, 'SEANCE 1'!$F:$F, M$5))</f>
        <v/>
      </c>
      <c r="N131" s="64" t="str">
        <f ca="1">IF(COUNTIFS('SEANCE 1'!$B:$B, $B131, 'SEANCE 1'!$C:$C, N$2, 'SEANCE 1'!$F:$F, N$5)=0, "", COUNTIFS('SEANCE 1'!$B:$B, $B131, 'SEANCE 1'!$C:$C, N$2, 'SEANCE 1'!$F:$F, N$5))</f>
        <v/>
      </c>
      <c r="O131" s="64" t="str">
        <f ca="1">IF(COUNTIFS('SEANCE 1'!$B:$B, $B131, 'SEANCE 1'!$C:$C, O$2, 'SEANCE 1'!$F:$F, O$5)=0, "", COUNTIFS('SEANCE 1'!$B:$B, $B131, 'SEANCE 1'!$C:$C, O$2, 'SEANCE 1'!$F:$F, O$5))</f>
        <v/>
      </c>
      <c r="P131" s="64" t="str">
        <f ca="1">IF(COUNTIFS('SEANCE 1'!$B:$B, $B131, 'SEANCE 1'!$C:$C, P$2, 'SEANCE 1'!$F:$F, P$5)=0, "", COUNTIFS('SEANCE 1'!$B:$B, $B131, 'SEANCE 1'!$C:$C, P$2, 'SEANCE 1'!$F:$F, P$5))</f>
        <v/>
      </c>
      <c r="Q131" s="64" t="str">
        <f ca="1">IF(COUNTIFS('SEANCE 1'!$B:$B, $B131, 'SEANCE 1'!$C:$C, Q$2, 'SEANCE 1'!$F:$F, Q$5)=0, "", COUNTIFS('SEANCE 1'!$B:$B, $B131, 'SEANCE 1'!$C:$C, Q$2, 'SEANCE 1'!$F:$F, Q$5))</f>
        <v/>
      </c>
      <c r="R131" s="64" t="str">
        <f ca="1">IF(COUNTIFS('SEANCE 1'!$B:$B, $B131, 'SEANCE 1'!$C:$C, R$2, 'SEANCE 1'!$F:$F, R$5)=0, "", COUNTIFS('SEANCE 1'!$B:$B, $B131, 'SEANCE 1'!$C:$C, R$2, 'SEANCE 1'!$F:$F, R$5))</f>
        <v/>
      </c>
      <c r="S131" s="64" t="str">
        <f ca="1">IF(COUNTIFS('SEANCE 1'!$B:$B, $B131, 'SEANCE 1'!$C:$C, S$2, 'SEANCE 1'!$F:$F, S$5)=0, "", COUNTIFS('SEANCE 1'!$B:$B, $B131, 'SEANCE 1'!$C:$C, S$2, 'SEANCE 1'!$F:$F, S$5))</f>
        <v/>
      </c>
      <c r="T131" s="64" t="str">
        <f ca="1">IF(COUNTIFS('SEANCE 1'!$B:$B, $B131, 'SEANCE 1'!$C:$C, T$2, 'SEANCE 1'!$F:$F, T$5)=0, "", COUNTIFS('SEANCE 1'!$B:$B, $B131, 'SEANCE 1'!$C:$C, T$2, 'SEANCE 1'!$F:$F, T$5))</f>
        <v/>
      </c>
      <c r="U131" s="64" t="str">
        <f ca="1">IF(COUNTIFS('SEANCE 1'!$B:$B, $B131, 'SEANCE 1'!$C:$C, U$2, 'SEANCE 1'!$F:$F, U$5)=0, "", COUNTIFS('SEANCE 1'!$B:$B, $B131, 'SEANCE 1'!$C:$C, U$2, 'SEANCE 1'!$F:$F, U$5))</f>
        <v/>
      </c>
      <c r="V131" s="64" t="str">
        <f ca="1">IF(COUNTIFS('SEANCE 1'!$B:$B, $B131, 'SEANCE 1'!$C:$C, V$2, 'SEANCE 1'!$F:$F, V$5)=0, "", COUNTIFS('SEANCE 1'!$B:$B, $B131, 'SEANCE 1'!$C:$C, V$2, 'SEANCE 1'!$F:$F, V$5))</f>
        <v/>
      </c>
      <c r="W131" s="64" t="str">
        <f ca="1">IF(COUNTIFS('SEANCE 1'!$B:$B, $B131, 'SEANCE 1'!$C:$C, W$2, 'SEANCE 1'!$F:$F, W$5)=0, "", COUNTIFS('SEANCE 1'!$B:$B, $B131, 'SEANCE 1'!$C:$C, W$2, 'SEANCE 1'!$F:$F, W$5))</f>
        <v/>
      </c>
      <c r="X131" s="64" t="str">
        <f ca="1">IF(COUNTIFS('SEANCE 1'!$B:$B, $B131, 'SEANCE 1'!$C:$C, X$2, 'SEANCE 1'!$F:$F, X$5)=0, "", COUNTIFS('SEANCE 1'!$B:$B, $B131, 'SEANCE 1'!$C:$C, X$2, 'SEANCE 1'!$F:$F, X$5))</f>
        <v/>
      </c>
      <c r="Y131" s="64" t="str">
        <f ca="1">IF(COUNTIFS('SEANCE 1'!$B:$B, $B131, 'SEANCE 1'!$C:$C, Y$2, 'SEANCE 1'!$F:$F, Y$5)=0, "", COUNTIFS('SEANCE 1'!$B:$B, $B131, 'SEANCE 1'!$C:$C, Y$2, 'SEANCE 1'!$F:$F, Y$5))</f>
        <v/>
      </c>
      <c r="Z131" s="64" t="str">
        <f ca="1">IF(COUNTIFS('SEANCE 1'!$B:$B, $B131, 'SEANCE 1'!$C:$C, Z$2, 'SEANCE 1'!$F:$F, Z$5)=0, "", COUNTIFS('SEANCE 1'!$B:$B, $B131, 'SEANCE 1'!$C:$C, Z$2, 'SEANCE 1'!$F:$F, Z$5))</f>
        <v/>
      </c>
      <c r="AA131" s="64" t="str">
        <f ca="1">IF(COUNTIFS('SEANCE 1'!$B:$B, $B131, 'SEANCE 1'!$C:$C, AA$2, 'SEANCE 1'!$F:$F, AA$5)=0, "", COUNTIFS('SEANCE 1'!$B:$B, $B131, 'SEANCE 1'!$C:$C, AA$2, 'SEANCE 1'!$F:$F, AA$5))</f>
        <v/>
      </c>
      <c r="AB131" s="64" t="str">
        <f ca="1">IF(COUNTIFS('SEANCE 1'!$B:$B, $B131, 'SEANCE 1'!$C:$C, AB$2, 'SEANCE 1'!$F:$F, AB$5)=0, "", COUNTIFS('SEANCE 1'!$B:$B, $B131, 'SEANCE 1'!$C:$C, AB$2, 'SEANCE 1'!$F:$F, AB$5))</f>
        <v/>
      </c>
      <c r="AC131" s="64" t="str">
        <f ca="1">IF(COUNTIFS('SEANCE 1'!$B:$B, $B131, 'SEANCE 1'!$C:$C, AC$2, 'SEANCE 1'!$F:$F, AC$5)=0, "", COUNTIFS('SEANCE 1'!$B:$B, $B131, 'SEANCE 1'!$C:$C, AC$2, 'SEANCE 1'!$F:$F, AC$5))</f>
        <v/>
      </c>
      <c r="AD131" s="64" t="str">
        <f ca="1">IF(COUNTIFS('SEANCE 1'!$B:$B, $B131, 'SEANCE 1'!$C:$C, AD$2, 'SEANCE 1'!$F:$F, AD$5)=0, "", COUNTIFS('SEANCE 1'!$B:$B, $B131, 'SEANCE 1'!$C:$C, AD$2, 'SEANCE 1'!$F:$F, AD$5))</f>
        <v/>
      </c>
      <c r="AE131" s="64" t="str">
        <f ca="1">IF(COUNTIFS('SEANCE 1'!$B:$B, $B131, 'SEANCE 1'!$C:$C, AE$2, 'SEANCE 1'!$F:$F, AE$5)=0, "", COUNTIFS('SEANCE 1'!$B:$B, $B131, 'SEANCE 1'!$C:$C, AE$2, 'SEANCE 1'!$F:$F, AE$5))</f>
        <v/>
      </c>
      <c r="AF131" s="64" t="str">
        <f ca="1">IF(COUNTIFS('SEANCE 1'!$B:$B, $B131, 'SEANCE 1'!$C:$C, AF$2, 'SEANCE 1'!$F:$F, AF$5)=0, "", COUNTIFS('SEANCE 1'!$B:$B, $B131, 'SEANCE 1'!$C:$C, AF$2, 'SEANCE 1'!$F:$F, AF$5))</f>
        <v/>
      </c>
      <c r="AG131" s="64" t="str">
        <f ca="1">IF(COUNTIFS('SEANCE 1'!$B:$B, $B131, 'SEANCE 1'!$C:$C, AG$2, 'SEANCE 1'!$F:$F, AG$5)=0, "", COUNTIFS('SEANCE 1'!$B:$B, $B131, 'SEANCE 1'!$C:$C, AG$2, 'SEANCE 1'!$F:$F, AG$5))</f>
        <v/>
      </c>
      <c r="AH131" s="64" t="str">
        <f ca="1">IF(COUNTIFS('SEANCE 1'!$B:$B, $B131, 'SEANCE 1'!$C:$C, AH$2, 'SEANCE 1'!$F:$F, AH$5)=0, "", COUNTIFS('SEANCE 1'!$B:$B, $B131, 'SEANCE 1'!$C:$C, AH$2, 'SEANCE 1'!$F:$F, AH$5))</f>
        <v/>
      </c>
      <c r="AI131" s="64" t="str">
        <f ca="1">IF(COUNTIFS('SEANCE 1'!$B:$B, $B131, 'SEANCE 1'!$C:$C, AI$2, 'SEANCE 1'!$F:$F, AI$5)=0, "", COUNTIFS('SEANCE 1'!$B:$B, $B131, 'SEANCE 1'!$C:$C, AI$2, 'SEANCE 1'!$F:$F, AI$5))</f>
        <v/>
      </c>
      <c r="AJ131" s="64" t="str">
        <f ca="1">IF(COUNTIFS('SEANCE 1'!$B:$B, $B131, 'SEANCE 1'!$C:$C, AJ$2, 'SEANCE 1'!$F:$F, AJ$5)=0, "", COUNTIFS('SEANCE 1'!$B:$B, $B131, 'SEANCE 1'!$C:$C, AJ$2, 'SEANCE 1'!$F:$F, AJ$5))</f>
        <v/>
      </c>
      <c r="AK131" s="64" t="str">
        <f ca="1">IF(COUNTIFS('SEANCE 1'!$B:$B, $B131, 'SEANCE 1'!$C:$C, AK$2, 'SEANCE 1'!$F:$F, AK$5)=0, "", COUNTIFS('SEANCE 1'!$B:$B, $B131, 'SEANCE 1'!$C:$C, AK$2, 'SEANCE 1'!$F:$F, AK$5))</f>
        <v/>
      </c>
      <c r="AL131" s="64" t="str">
        <f ca="1">IF(COUNTIFS('SEANCE 1'!$B:$B, $B131, 'SEANCE 1'!$C:$C, AL$2, 'SEANCE 1'!$F:$F, AL$5)=0, "", COUNTIFS('SEANCE 1'!$B:$B, $B131, 'SEANCE 1'!$C:$C, AL$2, 'SEANCE 1'!$F:$F, AL$5))</f>
        <v/>
      </c>
      <c r="AM131" s="64" t="str">
        <f ca="1">IF(COUNTIFS('SEANCE 1'!$B:$B, $B131, 'SEANCE 1'!$C:$C, AM$2, 'SEANCE 1'!$F:$F, AM$5)=0, "", COUNTIFS('SEANCE 1'!$B:$B, $B131, 'SEANCE 1'!$C:$C, AM$2, 'SEANCE 1'!$F:$F, AM$5))</f>
        <v/>
      </c>
      <c r="AN131" s="64" t="str">
        <f ca="1">IF(COUNTIFS('SEANCE 1'!$B:$B, $B131, 'SEANCE 1'!$C:$C, AN$2, 'SEANCE 1'!$F:$F, AN$5)=0, "", COUNTIFS('SEANCE 1'!$B:$B, $B131, 'SEANCE 1'!$C:$C, AN$2, 'SEANCE 1'!$F:$F, AN$5))</f>
        <v/>
      </c>
      <c r="AO131" s="64" t="str">
        <f ca="1">IF(COUNTIFS('SEANCE 1'!$B:$B, $B131, 'SEANCE 1'!$C:$C, AO$2, 'SEANCE 1'!$F:$F, AO$5)=0, "", COUNTIFS('SEANCE 1'!$B:$B, $B131, 'SEANCE 1'!$C:$C, AO$2, 'SEANCE 1'!$F:$F, AO$5))</f>
        <v/>
      </c>
      <c r="AP131" s="64" t="str">
        <f ca="1">IF(COUNTIFS('SEANCE 1'!$B:$B, $B131, 'SEANCE 1'!$C:$C, AP$2, 'SEANCE 1'!$F:$F, AP$5)=0, "", COUNTIFS('SEANCE 1'!$B:$B, $B131, 'SEANCE 1'!$C:$C, AP$2, 'SEANCE 1'!$F:$F, AP$5))</f>
        <v/>
      </c>
      <c r="AQ131" s="64" t="str">
        <f ca="1">IF(COUNTIFS('SEANCE 1'!$B:$B, $B131, 'SEANCE 1'!$C:$C, AQ$2, 'SEANCE 1'!$F:$F, AQ$5)=0, "", COUNTIFS('SEANCE 1'!$B:$B, $B131, 'SEANCE 1'!$C:$C, AQ$2, 'SEANCE 1'!$F:$F, AQ$5))</f>
        <v/>
      </c>
      <c r="AR131" s="64" t="str">
        <f ca="1">IF(COUNTIFS('SEANCE 1'!$B:$B, $B131, 'SEANCE 1'!$C:$C, AR$2, 'SEANCE 1'!$F:$F, AR$5)=0, "", COUNTIFS('SEANCE 1'!$B:$B, $B131, 'SEANCE 1'!$C:$C, AR$2, 'SEANCE 1'!$F:$F, AR$5))</f>
        <v/>
      </c>
      <c r="AS131" s="64" t="str">
        <f ca="1">IF(COUNTIFS('SEANCE 1'!$B:$B, $B131, 'SEANCE 1'!$C:$C, AS$2, 'SEANCE 1'!$F:$F, AS$5)=0, "", COUNTIFS('SEANCE 1'!$B:$B, $B131, 'SEANCE 1'!$C:$C, AS$2, 'SEANCE 1'!$F:$F, AS$5))</f>
        <v/>
      </c>
      <c r="AT131" s="64" t="str">
        <f ca="1">IF(COUNTIFS('SEANCE 1'!$B:$B, $B131, 'SEANCE 1'!$C:$C, AT$2, 'SEANCE 1'!$F:$F, AT$5)=0, "", COUNTIFS('SEANCE 1'!$B:$B, $B131, 'SEANCE 1'!$C:$C, AT$2, 'SEANCE 1'!$F:$F, AT$5))</f>
        <v/>
      </c>
      <c r="AU131" s="64" t="str">
        <f ca="1">IF(COUNTIFS('SEANCE 1'!$B:$B, $B131, 'SEANCE 1'!$C:$C, AU$2, 'SEANCE 1'!$F:$F, AU$5)=0, "", COUNTIFS('SEANCE 1'!$B:$B, $B131, 'SEANCE 1'!$C:$C, AU$2, 'SEANCE 1'!$F:$F, AU$5))</f>
        <v/>
      </c>
      <c r="AV131" s="64" t="str">
        <f ca="1">IF(COUNTIFS('SEANCE 1'!$B:$B, $B131, 'SEANCE 1'!$C:$C, AV$2, 'SEANCE 1'!$F:$F, AV$5)=0, "", COUNTIFS('SEANCE 1'!$B:$B, $B131, 'SEANCE 1'!$C:$C, AV$2, 'SEANCE 1'!$F:$F, AV$5))</f>
        <v/>
      </c>
      <c r="AW131" s="64" t="str">
        <f ca="1">IF(COUNTIFS('SEANCE 1'!$B:$B, $B131, 'SEANCE 1'!$C:$C, AW$2, 'SEANCE 1'!$F:$F, AW$5)=0, "", COUNTIFS('SEANCE 1'!$B:$B, $B131, 'SEANCE 1'!$C:$C, AW$2, 'SEANCE 1'!$F:$F, AW$5))</f>
        <v/>
      </c>
      <c r="AX131" s="64" t="str">
        <f ca="1">IF(COUNTIFS('SEANCE 1'!$B:$B, $B131, 'SEANCE 1'!$C:$C, AX$2, 'SEANCE 1'!$F:$F, AX$5)=0, "", COUNTIFS('SEANCE 1'!$B:$B, $B131, 'SEANCE 1'!$C:$C, AX$2, 'SEANCE 1'!$F:$F, AX$5))</f>
        <v/>
      </c>
      <c r="AY131" s="64" t="str">
        <f ca="1">IF(COUNTIFS('SEANCE 1'!$B:$B, $B131, 'SEANCE 1'!$C:$C, AY$2, 'SEANCE 1'!$F:$F, AY$5)=0, "", COUNTIFS('SEANCE 1'!$B:$B, $B131, 'SEANCE 1'!$C:$C, AY$2, 'SEANCE 1'!$F:$F, AY$5))</f>
        <v/>
      </c>
      <c r="AZ131" s="32">
        <f t="shared" ca="1" si="1"/>
        <v>0</v>
      </c>
    </row>
    <row r="132" spans="1:52">
      <c r="A132" s="44" t="str">
        <f>IF('SEANCE 1'!$B128&lt;&gt;"",'SEANCE 1'!$A128,"")</f>
        <v/>
      </c>
      <c r="B132" s="44" t="str">
        <f t="array" aca="1" ref="B132" ca="1">IF(ISNA(INDEX(ListeB,MATCH(0,COUNTIF($B$5:B131,ListeB),0))),"",INDEX(ListeB,MATCH(0,COUNTIF($B$5:B131,ListeB),0)))</f>
        <v/>
      </c>
      <c r="C132" s="64" t="str">
        <f ca="1">IF(COUNTIFS('SEANCE 1'!$B:$B, $B132, 'SEANCE 1'!$C:$C, C$2, 'SEANCE 1'!$F:$F, C$5)=0, "", COUNTIFS('SEANCE 1'!$B:$B, $B132, 'SEANCE 1'!$C:$C, C$2, 'SEANCE 1'!$F:$F, C$5))</f>
        <v/>
      </c>
      <c r="D132" s="64" t="str">
        <f ca="1">IF(COUNTIFS('SEANCE 1'!$B:$B, $B132, 'SEANCE 1'!$C:$C, D$2, 'SEANCE 1'!$F:$F, D$5)=0, "", COUNTIFS('SEANCE 1'!$B:$B, $B132, 'SEANCE 1'!$C:$C, D$2, 'SEANCE 1'!$F:$F, D$5))</f>
        <v/>
      </c>
      <c r="E132" s="64" t="str">
        <f ca="1">IF(COUNTIFS('SEANCE 1'!$B:$B, $B132, 'SEANCE 1'!$C:$C, E$2, 'SEANCE 1'!$F:$F, E$5)=0, "", COUNTIFS('SEANCE 1'!$B:$B, $B132, 'SEANCE 1'!$C:$C, E$2, 'SEANCE 1'!$F:$F, E$5))</f>
        <v/>
      </c>
      <c r="F132" s="64" t="str">
        <f ca="1">IF(COUNTIFS('SEANCE 1'!$B:$B, $B132, 'SEANCE 1'!$C:$C, F$2, 'SEANCE 1'!$F:$F, F$5)=0, "", COUNTIFS('SEANCE 1'!$B:$B, $B132, 'SEANCE 1'!$C:$C, F$2, 'SEANCE 1'!$F:$F, F$5))</f>
        <v/>
      </c>
      <c r="G132" s="64" t="str">
        <f ca="1">IF(COUNTIFS('SEANCE 1'!$B:$B, $B132, 'SEANCE 1'!$C:$C, G$2, 'SEANCE 1'!$F:$F, G$5)=0, "", COUNTIFS('SEANCE 1'!$B:$B, $B132, 'SEANCE 1'!$C:$C, G$2, 'SEANCE 1'!$F:$F, G$5))</f>
        <v/>
      </c>
      <c r="H132" s="64" t="str">
        <f ca="1">IF(COUNTIFS('SEANCE 1'!$B:$B, $B132, 'SEANCE 1'!$C:$C, H$2, 'SEANCE 1'!$F:$F, H$5)=0, "", COUNTIFS('SEANCE 1'!$B:$B, $B132, 'SEANCE 1'!$C:$C, H$2, 'SEANCE 1'!$F:$F, H$5))</f>
        <v/>
      </c>
      <c r="I132" s="64" t="str">
        <f ca="1">IF(COUNTIFS('SEANCE 1'!$B:$B, $B132, 'SEANCE 1'!$C:$C, I$2, 'SEANCE 1'!$F:$F, I$5)=0, "", COUNTIFS('SEANCE 1'!$B:$B, $B132, 'SEANCE 1'!$C:$C, I$2, 'SEANCE 1'!$F:$F, I$5))</f>
        <v/>
      </c>
      <c r="J132" s="64" t="str">
        <f ca="1">IF(COUNTIFS('SEANCE 1'!$B:$B, $B132, 'SEANCE 1'!$C:$C, J$2, 'SEANCE 1'!$F:$F, J$5)=0, "", COUNTIFS('SEANCE 1'!$B:$B, $B132, 'SEANCE 1'!$C:$C, J$2, 'SEANCE 1'!$F:$F, J$5))</f>
        <v/>
      </c>
      <c r="K132" s="64" t="str">
        <f ca="1">IF(COUNTIFS('SEANCE 1'!$B:$B, $B132, 'SEANCE 1'!$C:$C, K$2, 'SEANCE 1'!$F:$F, K$5)=0, "", COUNTIFS('SEANCE 1'!$B:$B, $B132, 'SEANCE 1'!$C:$C, K$2, 'SEANCE 1'!$F:$F, K$5))</f>
        <v/>
      </c>
      <c r="L132" s="64" t="str">
        <f ca="1">IF(COUNTIFS('SEANCE 1'!$B:$B, $B132, 'SEANCE 1'!$C:$C, L$2, 'SEANCE 1'!$F:$F, L$5)=0, "", COUNTIFS('SEANCE 1'!$B:$B, $B132, 'SEANCE 1'!$C:$C, L$2, 'SEANCE 1'!$F:$F, L$5))</f>
        <v/>
      </c>
      <c r="M132" s="64" t="str">
        <f ca="1">IF(COUNTIFS('SEANCE 1'!$B:$B, $B132, 'SEANCE 1'!$C:$C, M$2, 'SEANCE 1'!$F:$F, M$5)=0, "", COUNTIFS('SEANCE 1'!$B:$B, $B132, 'SEANCE 1'!$C:$C, M$2, 'SEANCE 1'!$F:$F, M$5))</f>
        <v/>
      </c>
      <c r="N132" s="64" t="str">
        <f ca="1">IF(COUNTIFS('SEANCE 1'!$B:$B, $B132, 'SEANCE 1'!$C:$C, N$2, 'SEANCE 1'!$F:$F, N$5)=0, "", COUNTIFS('SEANCE 1'!$B:$B, $B132, 'SEANCE 1'!$C:$C, N$2, 'SEANCE 1'!$F:$F, N$5))</f>
        <v/>
      </c>
      <c r="O132" s="64" t="str">
        <f ca="1">IF(COUNTIFS('SEANCE 1'!$B:$B, $B132, 'SEANCE 1'!$C:$C, O$2, 'SEANCE 1'!$F:$F, O$5)=0, "", COUNTIFS('SEANCE 1'!$B:$B, $B132, 'SEANCE 1'!$C:$C, O$2, 'SEANCE 1'!$F:$F, O$5))</f>
        <v/>
      </c>
      <c r="P132" s="64" t="str">
        <f ca="1">IF(COUNTIFS('SEANCE 1'!$B:$B, $B132, 'SEANCE 1'!$C:$C, P$2, 'SEANCE 1'!$F:$F, P$5)=0, "", COUNTIFS('SEANCE 1'!$B:$B, $B132, 'SEANCE 1'!$C:$C, P$2, 'SEANCE 1'!$F:$F, P$5))</f>
        <v/>
      </c>
      <c r="Q132" s="64" t="str">
        <f ca="1">IF(COUNTIFS('SEANCE 1'!$B:$B, $B132, 'SEANCE 1'!$C:$C, Q$2, 'SEANCE 1'!$F:$F, Q$5)=0, "", COUNTIFS('SEANCE 1'!$B:$B, $B132, 'SEANCE 1'!$C:$C, Q$2, 'SEANCE 1'!$F:$F, Q$5))</f>
        <v/>
      </c>
      <c r="R132" s="64" t="str">
        <f ca="1">IF(COUNTIFS('SEANCE 1'!$B:$B, $B132, 'SEANCE 1'!$C:$C, R$2, 'SEANCE 1'!$F:$F, R$5)=0, "", COUNTIFS('SEANCE 1'!$B:$B, $B132, 'SEANCE 1'!$C:$C, R$2, 'SEANCE 1'!$F:$F, R$5))</f>
        <v/>
      </c>
      <c r="S132" s="64" t="str">
        <f ca="1">IF(COUNTIFS('SEANCE 1'!$B:$B, $B132, 'SEANCE 1'!$C:$C, S$2, 'SEANCE 1'!$F:$F, S$5)=0, "", COUNTIFS('SEANCE 1'!$B:$B, $B132, 'SEANCE 1'!$C:$C, S$2, 'SEANCE 1'!$F:$F, S$5))</f>
        <v/>
      </c>
      <c r="T132" s="64" t="str">
        <f ca="1">IF(COUNTIFS('SEANCE 1'!$B:$B, $B132, 'SEANCE 1'!$C:$C, T$2, 'SEANCE 1'!$F:$F, T$5)=0, "", COUNTIFS('SEANCE 1'!$B:$B, $B132, 'SEANCE 1'!$C:$C, T$2, 'SEANCE 1'!$F:$F, T$5))</f>
        <v/>
      </c>
      <c r="U132" s="64" t="str">
        <f ca="1">IF(COUNTIFS('SEANCE 1'!$B:$B, $B132, 'SEANCE 1'!$C:$C, U$2, 'SEANCE 1'!$F:$F, U$5)=0, "", COUNTIFS('SEANCE 1'!$B:$B, $B132, 'SEANCE 1'!$C:$C, U$2, 'SEANCE 1'!$F:$F, U$5))</f>
        <v/>
      </c>
      <c r="V132" s="64" t="str">
        <f ca="1">IF(COUNTIFS('SEANCE 1'!$B:$B, $B132, 'SEANCE 1'!$C:$C, V$2, 'SEANCE 1'!$F:$F, V$5)=0, "", COUNTIFS('SEANCE 1'!$B:$B, $B132, 'SEANCE 1'!$C:$C, V$2, 'SEANCE 1'!$F:$F, V$5))</f>
        <v/>
      </c>
      <c r="W132" s="64" t="str">
        <f ca="1">IF(COUNTIFS('SEANCE 1'!$B:$B, $B132, 'SEANCE 1'!$C:$C, W$2, 'SEANCE 1'!$F:$F, W$5)=0, "", COUNTIFS('SEANCE 1'!$B:$B, $B132, 'SEANCE 1'!$C:$C, W$2, 'SEANCE 1'!$F:$F, W$5))</f>
        <v/>
      </c>
      <c r="X132" s="64" t="str">
        <f ca="1">IF(COUNTIFS('SEANCE 1'!$B:$B, $B132, 'SEANCE 1'!$C:$C, X$2, 'SEANCE 1'!$F:$F, X$5)=0, "", COUNTIFS('SEANCE 1'!$B:$B, $B132, 'SEANCE 1'!$C:$C, X$2, 'SEANCE 1'!$F:$F, X$5))</f>
        <v/>
      </c>
      <c r="Y132" s="64" t="str">
        <f ca="1">IF(COUNTIFS('SEANCE 1'!$B:$B, $B132, 'SEANCE 1'!$C:$C, Y$2, 'SEANCE 1'!$F:$F, Y$5)=0, "", COUNTIFS('SEANCE 1'!$B:$B, $B132, 'SEANCE 1'!$C:$C, Y$2, 'SEANCE 1'!$F:$F, Y$5))</f>
        <v/>
      </c>
      <c r="Z132" s="64" t="str">
        <f ca="1">IF(COUNTIFS('SEANCE 1'!$B:$B, $B132, 'SEANCE 1'!$C:$C, Z$2, 'SEANCE 1'!$F:$F, Z$5)=0, "", COUNTIFS('SEANCE 1'!$B:$B, $B132, 'SEANCE 1'!$C:$C, Z$2, 'SEANCE 1'!$F:$F, Z$5))</f>
        <v/>
      </c>
      <c r="AA132" s="64" t="str">
        <f ca="1">IF(COUNTIFS('SEANCE 1'!$B:$B, $B132, 'SEANCE 1'!$C:$C, AA$2, 'SEANCE 1'!$F:$F, AA$5)=0, "", COUNTIFS('SEANCE 1'!$B:$B, $B132, 'SEANCE 1'!$C:$C, AA$2, 'SEANCE 1'!$F:$F, AA$5))</f>
        <v/>
      </c>
      <c r="AB132" s="64" t="str">
        <f ca="1">IF(COUNTIFS('SEANCE 1'!$B:$B, $B132, 'SEANCE 1'!$C:$C, AB$2, 'SEANCE 1'!$F:$F, AB$5)=0, "", COUNTIFS('SEANCE 1'!$B:$B, $B132, 'SEANCE 1'!$C:$C, AB$2, 'SEANCE 1'!$F:$F, AB$5))</f>
        <v/>
      </c>
      <c r="AC132" s="64" t="str">
        <f ca="1">IF(COUNTIFS('SEANCE 1'!$B:$B, $B132, 'SEANCE 1'!$C:$C, AC$2, 'SEANCE 1'!$F:$F, AC$5)=0, "", COUNTIFS('SEANCE 1'!$B:$B, $B132, 'SEANCE 1'!$C:$C, AC$2, 'SEANCE 1'!$F:$F, AC$5))</f>
        <v/>
      </c>
      <c r="AD132" s="64" t="str">
        <f ca="1">IF(COUNTIFS('SEANCE 1'!$B:$B, $B132, 'SEANCE 1'!$C:$C, AD$2, 'SEANCE 1'!$F:$F, AD$5)=0, "", COUNTIFS('SEANCE 1'!$B:$B, $B132, 'SEANCE 1'!$C:$C, AD$2, 'SEANCE 1'!$F:$F, AD$5))</f>
        <v/>
      </c>
      <c r="AE132" s="64" t="str">
        <f ca="1">IF(COUNTIFS('SEANCE 1'!$B:$B, $B132, 'SEANCE 1'!$C:$C, AE$2, 'SEANCE 1'!$F:$F, AE$5)=0, "", COUNTIFS('SEANCE 1'!$B:$B, $B132, 'SEANCE 1'!$C:$C, AE$2, 'SEANCE 1'!$F:$F, AE$5))</f>
        <v/>
      </c>
      <c r="AF132" s="64" t="str">
        <f ca="1">IF(COUNTIFS('SEANCE 1'!$B:$B, $B132, 'SEANCE 1'!$C:$C, AF$2, 'SEANCE 1'!$F:$F, AF$5)=0, "", COUNTIFS('SEANCE 1'!$B:$B, $B132, 'SEANCE 1'!$C:$C, AF$2, 'SEANCE 1'!$F:$F, AF$5))</f>
        <v/>
      </c>
      <c r="AG132" s="64" t="str">
        <f ca="1">IF(COUNTIFS('SEANCE 1'!$B:$B, $B132, 'SEANCE 1'!$C:$C, AG$2, 'SEANCE 1'!$F:$F, AG$5)=0, "", COUNTIFS('SEANCE 1'!$B:$B, $B132, 'SEANCE 1'!$C:$C, AG$2, 'SEANCE 1'!$F:$F, AG$5))</f>
        <v/>
      </c>
      <c r="AH132" s="64" t="str">
        <f ca="1">IF(COUNTIFS('SEANCE 1'!$B:$B, $B132, 'SEANCE 1'!$C:$C, AH$2, 'SEANCE 1'!$F:$F, AH$5)=0, "", COUNTIFS('SEANCE 1'!$B:$B, $B132, 'SEANCE 1'!$C:$C, AH$2, 'SEANCE 1'!$F:$F, AH$5))</f>
        <v/>
      </c>
      <c r="AI132" s="64" t="str">
        <f ca="1">IF(COUNTIFS('SEANCE 1'!$B:$B, $B132, 'SEANCE 1'!$C:$C, AI$2, 'SEANCE 1'!$F:$F, AI$5)=0, "", COUNTIFS('SEANCE 1'!$B:$B, $B132, 'SEANCE 1'!$C:$C, AI$2, 'SEANCE 1'!$F:$F, AI$5))</f>
        <v/>
      </c>
      <c r="AJ132" s="64" t="str">
        <f ca="1">IF(COUNTIFS('SEANCE 1'!$B:$B, $B132, 'SEANCE 1'!$C:$C, AJ$2, 'SEANCE 1'!$F:$F, AJ$5)=0, "", COUNTIFS('SEANCE 1'!$B:$B, $B132, 'SEANCE 1'!$C:$C, AJ$2, 'SEANCE 1'!$F:$F, AJ$5))</f>
        <v/>
      </c>
      <c r="AK132" s="64" t="str">
        <f ca="1">IF(COUNTIFS('SEANCE 1'!$B:$B, $B132, 'SEANCE 1'!$C:$C, AK$2, 'SEANCE 1'!$F:$F, AK$5)=0, "", COUNTIFS('SEANCE 1'!$B:$B, $B132, 'SEANCE 1'!$C:$C, AK$2, 'SEANCE 1'!$F:$F, AK$5))</f>
        <v/>
      </c>
      <c r="AL132" s="64" t="str">
        <f ca="1">IF(COUNTIFS('SEANCE 1'!$B:$B, $B132, 'SEANCE 1'!$C:$C, AL$2, 'SEANCE 1'!$F:$F, AL$5)=0, "", COUNTIFS('SEANCE 1'!$B:$B, $B132, 'SEANCE 1'!$C:$C, AL$2, 'SEANCE 1'!$F:$F, AL$5))</f>
        <v/>
      </c>
      <c r="AM132" s="64" t="str">
        <f ca="1">IF(COUNTIFS('SEANCE 1'!$B:$B, $B132, 'SEANCE 1'!$C:$C, AM$2, 'SEANCE 1'!$F:$F, AM$5)=0, "", COUNTIFS('SEANCE 1'!$B:$B, $B132, 'SEANCE 1'!$C:$C, AM$2, 'SEANCE 1'!$F:$F, AM$5))</f>
        <v/>
      </c>
      <c r="AN132" s="64" t="str">
        <f ca="1">IF(COUNTIFS('SEANCE 1'!$B:$B, $B132, 'SEANCE 1'!$C:$C, AN$2, 'SEANCE 1'!$F:$F, AN$5)=0, "", COUNTIFS('SEANCE 1'!$B:$B, $B132, 'SEANCE 1'!$C:$C, AN$2, 'SEANCE 1'!$F:$F, AN$5))</f>
        <v/>
      </c>
      <c r="AO132" s="64" t="str">
        <f ca="1">IF(COUNTIFS('SEANCE 1'!$B:$B, $B132, 'SEANCE 1'!$C:$C, AO$2, 'SEANCE 1'!$F:$F, AO$5)=0, "", COUNTIFS('SEANCE 1'!$B:$B, $B132, 'SEANCE 1'!$C:$C, AO$2, 'SEANCE 1'!$F:$F, AO$5))</f>
        <v/>
      </c>
      <c r="AP132" s="64" t="str">
        <f ca="1">IF(COUNTIFS('SEANCE 1'!$B:$B, $B132, 'SEANCE 1'!$C:$C, AP$2, 'SEANCE 1'!$F:$F, AP$5)=0, "", COUNTIFS('SEANCE 1'!$B:$B, $B132, 'SEANCE 1'!$C:$C, AP$2, 'SEANCE 1'!$F:$F, AP$5))</f>
        <v/>
      </c>
      <c r="AQ132" s="64" t="str">
        <f ca="1">IF(COUNTIFS('SEANCE 1'!$B:$B, $B132, 'SEANCE 1'!$C:$C, AQ$2, 'SEANCE 1'!$F:$F, AQ$5)=0, "", COUNTIFS('SEANCE 1'!$B:$B, $B132, 'SEANCE 1'!$C:$C, AQ$2, 'SEANCE 1'!$F:$F, AQ$5))</f>
        <v/>
      </c>
      <c r="AR132" s="64" t="str">
        <f ca="1">IF(COUNTIFS('SEANCE 1'!$B:$B, $B132, 'SEANCE 1'!$C:$C, AR$2, 'SEANCE 1'!$F:$F, AR$5)=0, "", COUNTIFS('SEANCE 1'!$B:$B, $B132, 'SEANCE 1'!$C:$C, AR$2, 'SEANCE 1'!$F:$F, AR$5))</f>
        <v/>
      </c>
      <c r="AS132" s="64" t="str">
        <f ca="1">IF(COUNTIFS('SEANCE 1'!$B:$B, $B132, 'SEANCE 1'!$C:$C, AS$2, 'SEANCE 1'!$F:$F, AS$5)=0, "", COUNTIFS('SEANCE 1'!$B:$B, $B132, 'SEANCE 1'!$C:$C, AS$2, 'SEANCE 1'!$F:$F, AS$5))</f>
        <v/>
      </c>
      <c r="AT132" s="64" t="str">
        <f ca="1">IF(COUNTIFS('SEANCE 1'!$B:$B, $B132, 'SEANCE 1'!$C:$C, AT$2, 'SEANCE 1'!$F:$F, AT$5)=0, "", COUNTIFS('SEANCE 1'!$B:$B, $B132, 'SEANCE 1'!$C:$C, AT$2, 'SEANCE 1'!$F:$F, AT$5))</f>
        <v/>
      </c>
      <c r="AU132" s="64" t="str">
        <f ca="1">IF(COUNTIFS('SEANCE 1'!$B:$B, $B132, 'SEANCE 1'!$C:$C, AU$2, 'SEANCE 1'!$F:$F, AU$5)=0, "", COUNTIFS('SEANCE 1'!$B:$B, $B132, 'SEANCE 1'!$C:$C, AU$2, 'SEANCE 1'!$F:$F, AU$5))</f>
        <v/>
      </c>
      <c r="AV132" s="64" t="str">
        <f ca="1">IF(COUNTIFS('SEANCE 1'!$B:$B, $B132, 'SEANCE 1'!$C:$C, AV$2, 'SEANCE 1'!$F:$F, AV$5)=0, "", COUNTIFS('SEANCE 1'!$B:$B, $B132, 'SEANCE 1'!$C:$C, AV$2, 'SEANCE 1'!$F:$F, AV$5))</f>
        <v/>
      </c>
      <c r="AW132" s="64" t="str">
        <f ca="1">IF(COUNTIFS('SEANCE 1'!$B:$B, $B132, 'SEANCE 1'!$C:$C, AW$2, 'SEANCE 1'!$F:$F, AW$5)=0, "", COUNTIFS('SEANCE 1'!$B:$B, $B132, 'SEANCE 1'!$C:$C, AW$2, 'SEANCE 1'!$F:$F, AW$5))</f>
        <v/>
      </c>
      <c r="AX132" s="64" t="str">
        <f ca="1">IF(COUNTIFS('SEANCE 1'!$B:$B, $B132, 'SEANCE 1'!$C:$C, AX$2, 'SEANCE 1'!$F:$F, AX$5)=0, "", COUNTIFS('SEANCE 1'!$B:$B, $B132, 'SEANCE 1'!$C:$C, AX$2, 'SEANCE 1'!$F:$F, AX$5))</f>
        <v/>
      </c>
      <c r="AY132" s="64" t="str">
        <f ca="1">IF(COUNTIFS('SEANCE 1'!$B:$B, $B132, 'SEANCE 1'!$C:$C, AY$2, 'SEANCE 1'!$F:$F, AY$5)=0, "", COUNTIFS('SEANCE 1'!$B:$B, $B132, 'SEANCE 1'!$C:$C, AY$2, 'SEANCE 1'!$F:$F, AY$5))</f>
        <v/>
      </c>
      <c r="AZ132" s="32">
        <f t="shared" ca="1" si="1"/>
        <v>0</v>
      </c>
    </row>
    <row r="133" spans="1:52">
      <c r="A133" s="44" t="str">
        <f>IF('SEANCE 1'!$B129&lt;&gt;"",'SEANCE 1'!$A129,"")</f>
        <v/>
      </c>
      <c r="B133" s="44" t="str">
        <f t="array" aca="1" ref="B133" ca="1">IF(ISNA(INDEX(ListeB,MATCH(0,COUNTIF($B$5:B132,ListeB),0))),"",INDEX(ListeB,MATCH(0,COUNTIF($B$5:B132,ListeB),0)))</f>
        <v/>
      </c>
      <c r="C133" s="64" t="str">
        <f ca="1">IF(COUNTIFS('SEANCE 1'!$B:$B, $B133, 'SEANCE 1'!$C:$C, C$2, 'SEANCE 1'!$F:$F, C$5)=0, "", COUNTIFS('SEANCE 1'!$B:$B, $B133, 'SEANCE 1'!$C:$C, C$2, 'SEANCE 1'!$F:$F, C$5))</f>
        <v/>
      </c>
      <c r="D133" s="64" t="str">
        <f ca="1">IF(COUNTIFS('SEANCE 1'!$B:$B, $B133, 'SEANCE 1'!$C:$C, D$2, 'SEANCE 1'!$F:$F, D$5)=0, "", COUNTIFS('SEANCE 1'!$B:$B, $B133, 'SEANCE 1'!$C:$C, D$2, 'SEANCE 1'!$F:$F, D$5))</f>
        <v/>
      </c>
      <c r="E133" s="64" t="str">
        <f ca="1">IF(COUNTIFS('SEANCE 1'!$B:$B, $B133, 'SEANCE 1'!$C:$C, E$2, 'SEANCE 1'!$F:$F, E$5)=0, "", COUNTIFS('SEANCE 1'!$B:$B, $B133, 'SEANCE 1'!$C:$C, E$2, 'SEANCE 1'!$F:$F, E$5))</f>
        <v/>
      </c>
      <c r="F133" s="64" t="str">
        <f ca="1">IF(COUNTIFS('SEANCE 1'!$B:$B, $B133, 'SEANCE 1'!$C:$C, F$2, 'SEANCE 1'!$F:$F, F$5)=0, "", COUNTIFS('SEANCE 1'!$B:$B, $B133, 'SEANCE 1'!$C:$C, F$2, 'SEANCE 1'!$F:$F, F$5))</f>
        <v/>
      </c>
      <c r="G133" s="64" t="str">
        <f ca="1">IF(COUNTIFS('SEANCE 1'!$B:$B, $B133, 'SEANCE 1'!$C:$C, G$2, 'SEANCE 1'!$F:$F, G$5)=0, "", COUNTIFS('SEANCE 1'!$B:$B, $B133, 'SEANCE 1'!$C:$C, G$2, 'SEANCE 1'!$F:$F, G$5))</f>
        <v/>
      </c>
      <c r="H133" s="64" t="str">
        <f ca="1">IF(COUNTIFS('SEANCE 1'!$B:$B, $B133, 'SEANCE 1'!$C:$C, H$2, 'SEANCE 1'!$F:$F, H$5)=0, "", COUNTIFS('SEANCE 1'!$B:$B, $B133, 'SEANCE 1'!$C:$C, H$2, 'SEANCE 1'!$F:$F, H$5))</f>
        <v/>
      </c>
      <c r="I133" s="64" t="str">
        <f ca="1">IF(COUNTIFS('SEANCE 1'!$B:$B, $B133, 'SEANCE 1'!$C:$C, I$2, 'SEANCE 1'!$F:$F, I$5)=0, "", COUNTIFS('SEANCE 1'!$B:$B, $B133, 'SEANCE 1'!$C:$C, I$2, 'SEANCE 1'!$F:$F, I$5))</f>
        <v/>
      </c>
      <c r="J133" s="64" t="str">
        <f ca="1">IF(COUNTIFS('SEANCE 1'!$B:$B, $B133, 'SEANCE 1'!$C:$C, J$2, 'SEANCE 1'!$F:$F, J$5)=0, "", COUNTIFS('SEANCE 1'!$B:$B, $B133, 'SEANCE 1'!$C:$C, J$2, 'SEANCE 1'!$F:$F, J$5))</f>
        <v/>
      </c>
      <c r="K133" s="64" t="str">
        <f ca="1">IF(COUNTIFS('SEANCE 1'!$B:$B, $B133, 'SEANCE 1'!$C:$C, K$2, 'SEANCE 1'!$F:$F, K$5)=0, "", COUNTIFS('SEANCE 1'!$B:$B, $B133, 'SEANCE 1'!$C:$C, K$2, 'SEANCE 1'!$F:$F, K$5))</f>
        <v/>
      </c>
      <c r="L133" s="64" t="str">
        <f ca="1">IF(COUNTIFS('SEANCE 1'!$B:$B, $B133, 'SEANCE 1'!$C:$C, L$2, 'SEANCE 1'!$F:$F, L$5)=0, "", COUNTIFS('SEANCE 1'!$B:$B, $B133, 'SEANCE 1'!$C:$C, L$2, 'SEANCE 1'!$F:$F, L$5))</f>
        <v/>
      </c>
      <c r="M133" s="64" t="str">
        <f ca="1">IF(COUNTIFS('SEANCE 1'!$B:$B, $B133, 'SEANCE 1'!$C:$C, M$2, 'SEANCE 1'!$F:$F, M$5)=0, "", COUNTIFS('SEANCE 1'!$B:$B, $B133, 'SEANCE 1'!$C:$C, M$2, 'SEANCE 1'!$F:$F, M$5))</f>
        <v/>
      </c>
      <c r="N133" s="64" t="str">
        <f ca="1">IF(COUNTIFS('SEANCE 1'!$B:$B, $B133, 'SEANCE 1'!$C:$C, N$2, 'SEANCE 1'!$F:$F, N$5)=0, "", COUNTIFS('SEANCE 1'!$B:$B, $B133, 'SEANCE 1'!$C:$C, N$2, 'SEANCE 1'!$F:$F, N$5))</f>
        <v/>
      </c>
      <c r="O133" s="64" t="str">
        <f ca="1">IF(COUNTIFS('SEANCE 1'!$B:$B, $B133, 'SEANCE 1'!$C:$C, O$2, 'SEANCE 1'!$F:$F, O$5)=0, "", COUNTIFS('SEANCE 1'!$B:$B, $B133, 'SEANCE 1'!$C:$C, O$2, 'SEANCE 1'!$F:$F, O$5))</f>
        <v/>
      </c>
      <c r="P133" s="64" t="str">
        <f ca="1">IF(COUNTIFS('SEANCE 1'!$B:$B, $B133, 'SEANCE 1'!$C:$C, P$2, 'SEANCE 1'!$F:$F, P$5)=0, "", COUNTIFS('SEANCE 1'!$B:$B, $B133, 'SEANCE 1'!$C:$C, P$2, 'SEANCE 1'!$F:$F, P$5))</f>
        <v/>
      </c>
      <c r="Q133" s="64" t="str">
        <f ca="1">IF(COUNTIFS('SEANCE 1'!$B:$B, $B133, 'SEANCE 1'!$C:$C, Q$2, 'SEANCE 1'!$F:$F, Q$5)=0, "", COUNTIFS('SEANCE 1'!$B:$B, $B133, 'SEANCE 1'!$C:$C, Q$2, 'SEANCE 1'!$F:$F, Q$5))</f>
        <v/>
      </c>
      <c r="R133" s="64" t="str">
        <f ca="1">IF(COUNTIFS('SEANCE 1'!$B:$B, $B133, 'SEANCE 1'!$C:$C, R$2, 'SEANCE 1'!$F:$F, R$5)=0, "", COUNTIFS('SEANCE 1'!$B:$B, $B133, 'SEANCE 1'!$C:$C, R$2, 'SEANCE 1'!$F:$F, R$5))</f>
        <v/>
      </c>
      <c r="S133" s="64" t="str">
        <f ca="1">IF(COUNTIFS('SEANCE 1'!$B:$B, $B133, 'SEANCE 1'!$C:$C, S$2, 'SEANCE 1'!$F:$F, S$5)=0, "", COUNTIFS('SEANCE 1'!$B:$B, $B133, 'SEANCE 1'!$C:$C, S$2, 'SEANCE 1'!$F:$F, S$5))</f>
        <v/>
      </c>
      <c r="T133" s="64" t="str">
        <f ca="1">IF(COUNTIFS('SEANCE 1'!$B:$B, $B133, 'SEANCE 1'!$C:$C, T$2, 'SEANCE 1'!$F:$F, T$5)=0, "", COUNTIFS('SEANCE 1'!$B:$B, $B133, 'SEANCE 1'!$C:$C, T$2, 'SEANCE 1'!$F:$F, T$5))</f>
        <v/>
      </c>
      <c r="U133" s="64" t="str">
        <f ca="1">IF(COUNTIFS('SEANCE 1'!$B:$B, $B133, 'SEANCE 1'!$C:$C, U$2, 'SEANCE 1'!$F:$F, U$5)=0, "", COUNTIFS('SEANCE 1'!$B:$B, $B133, 'SEANCE 1'!$C:$C, U$2, 'SEANCE 1'!$F:$F, U$5))</f>
        <v/>
      </c>
      <c r="V133" s="64" t="str">
        <f ca="1">IF(COUNTIFS('SEANCE 1'!$B:$B, $B133, 'SEANCE 1'!$C:$C, V$2, 'SEANCE 1'!$F:$F, V$5)=0, "", COUNTIFS('SEANCE 1'!$B:$B, $B133, 'SEANCE 1'!$C:$C, V$2, 'SEANCE 1'!$F:$F, V$5))</f>
        <v/>
      </c>
      <c r="W133" s="64" t="str">
        <f ca="1">IF(COUNTIFS('SEANCE 1'!$B:$B, $B133, 'SEANCE 1'!$C:$C, W$2, 'SEANCE 1'!$F:$F, W$5)=0, "", COUNTIFS('SEANCE 1'!$B:$B, $B133, 'SEANCE 1'!$C:$C, W$2, 'SEANCE 1'!$F:$F, W$5))</f>
        <v/>
      </c>
      <c r="X133" s="64" t="str">
        <f ca="1">IF(COUNTIFS('SEANCE 1'!$B:$B, $B133, 'SEANCE 1'!$C:$C, X$2, 'SEANCE 1'!$F:$F, X$5)=0, "", COUNTIFS('SEANCE 1'!$B:$B, $B133, 'SEANCE 1'!$C:$C, X$2, 'SEANCE 1'!$F:$F, X$5))</f>
        <v/>
      </c>
      <c r="Y133" s="64" t="str">
        <f ca="1">IF(COUNTIFS('SEANCE 1'!$B:$B, $B133, 'SEANCE 1'!$C:$C, Y$2, 'SEANCE 1'!$F:$F, Y$5)=0, "", COUNTIFS('SEANCE 1'!$B:$B, $B133, 'SEANCE 1'!$C:$C, Y$2, 'SEANCE 1'!$F:$F, Y$5))</f>
        <v/>
      </c>
      <c r="Z133" s="64" t="str">
        <f ca="1">IF(COUNTIFS('SEANCE 1'!$B:$B, $B133, 'SEANCE 1'!$C:$C, Z$2, 'SEANCE 1'!$F:$F, Z$5)=0, "", COUNTIFS('SEANCE 1'!$B:$B, $B133, 'SEANCE 1'!$C:$C, Z$2, 'SEANCE 1'!$F:$F, Z$5))</f>
        <v/>
      </c>
      <c r="AA133" s="64" t="str">
        <f ca="1">IF(COUNTIFS('SEANCE 1'!$B:$B, $B133, 'SEANCE 1'!$C:$C, AA$2, 'SEANCE 1'!$F:$F, AA$5)=0, "", COUNTIFS('SEANCE 1'!$B:$B, $B133, 'SEANCE 1'!$C:$C, AA$2, 'SEANCE 1'!$F:$F, AA$5))</f>
        <v/>
      </c>
      <c r="AB133" s="64" t="str">
        <f ca="1">IF(COUNTIFS('SEANCE 1'!$B:$B, $B133, 'SEANCE 1'!$C:$C, AB$2, 'SEANCE 1'!$F:$F, AB$5)=0, "", COUNTIFS('SEANCE 1'!$B:$B, $B133, 'SEANCE 1'!$C:$C, AB$2, 'SEANCE 1'!$F:$F, AB$5))</f>
        <v/>
      </c>
      <c r="AC133" s="64" t="str">
        <f ca="1">IF(COUNTIFS('SEANCE 1'!$B:$B, $B133, 'SEANCE 1'!$C:$C, AC$2, 'SEANCE 1'!$F:$F, AC$5)=0, "", COUNTIFS('SEANCE 1'!$B:$B, $B133, 'SEANCE 1'!$C:$C, AC$2, 'SEANCE 1'!$F:$F, AC$5))</f>
        <v/>
      </c>
      <c r="AD133" s="64" t="str">
        <f ca="1">IF(COUNTIFS('SEANCE 1'!$B:$B, $B133, 'SEANCE 1'!$C:$C, AD$2, 'SEANCE 1'!$F:$F, AD$5)=0, "", COUNTIFS('SEANCE 1'!$B:$B, $B133, 'SEANCE 1'!$C:$C, AD$2, 'SEANCE 1'!$F:$F, AD$5))</f>
        <v/>
      </c>
      <c r="AE133" s="64" t="str">
        <f ca="1">IF(COUNTIFS('SEANCE 1'!$B:$B, $B133, 'SEANCE 1'!$C:$C, AE$2, 'SEANCE 1'!$F:$F, AE$5)=0, "", COUNTIFS('SEANCE 1'!$B:$B, $B133, 'SEANCE 1'!$C:$C, AE$2, 'SEANCE 1'!$F:$F, AE$5))</f>
        <v/>
      </c>
      <c r="AF133" s="64" t="str">
        <f ca="1">IF(COUNTIFS('SEANCE 1'!$B:$B, $B133, 'SEANCE 1'!$C:$C, AF$2, 'SEANCE 1'!$F:$F, AF$5)=0, "", COUNTIFS('SEANCE 1'!$B:$B, $B133, 'SEANCE 1'!$C:$C, AF$2, 'SEANCE 1'!$F:$F, AF$5))</f>
        <v/>
      </c>
      <c r="AG133" s="64" t="str">
        <f ca="1">IF(COUNTIFS('SEANCE 1'!$B:$B, $B133, 'SEANCE 1'!$C:$C, AG$2, 'SEANCE 1'!$F:$F, AG$5)=0, "", COUNTIFS('SEANCE 1'!$B:$B, $B133, 'SEANCE 1'!$C:$C, AG$2, 'SEANCE 1'!$F:$F, AG$5))</f>
        <v/>
      </c>
      <c r="AH133" s="64" t="str">
        <f ca="1">IF(COUNTIFS('SEANCE 1'!$B:$B, $B133, 'SEANCE 1'!$C:$C, AH$2, 'SEANCE 1'!$F:$F, AH$5)=0, "", COUNTIFS('SEANCE 1'!$B:$B, $B133, 'SEANCE 1'!$C:$C, AH$2, 'SEANCE 1'!$F:$F, AH$5))</f>
        <v/>
      </c>
      <c r="AI133" s="64" t="str">
        <f ca="1">IF(COUNTIFS('SEANCE 1'!$B:$B, $B133, 'SEANCE 1'!$C:$C, AI$2, 'SEANCE 1'!$F:$F, AI$5)=0, "", COUNTIFS('SEANCE 1'!$B:$B, $B133, 'SEANCE 1'!$C:$C, AI$2, 'SEANCE 1'!$F:$F, AI$5))</f>
        <v/>
      </c>
      <c r="AJ133" s="64" t="str">
        <f ca="1">IF(COUNTIFS('SEANCE 1'!$B:$B, $B133, 'SEANCE 1'!$C:$C, AJ$2, 'SEANCE 1'!$F:$F, AJ$5)=0, "", COUNTIFS('SEANCE 1'!$B:$B, $B133, 'SEANCE 1'!$C:$C, AJ$2, 'SEANCE 1'!$F:$F, AJ$5))</f>
        <v/>
      </c>
      <c r="AK133" s="64" t="str">
        <f ca="1">IF(COUNTIFS('SEANCE 1'!$B:$B, $B133, 'SEANCE 1'!$C:$C, AK$2, 'SEANCE 1'!$F:$F, AK$5)=0, "", COUNTIFS('SEANCE 1'!$B:$B, $B133, 'SEANCE 1'!$C:$C, AK$2, 'SEANCE 1'!$F:$F, AK$5))</f>
        <v/>
      </c>
      <c r="AL133" s="64" t="str">
        <f ca="1">IF(COUNTIFS('SEANCE 1'!$B:$B, $B133, 'SEANCE 1'!$C:$C, AL$2, 'SEANCE 1'!$F:$F, AL$5)=0, "", COUNTIFS('SEANCE 1'!$B:$B, $B133, 'SEANCE 1'!$C:$C, AL$2, 'SEANCE 1'!$F:$F, AL$5))</f>
        <v/>
      </c>
      <c r="AM133" s="64" t="str">
        <f ca="1">IF(COUNTIFS('SEANCE 1'!$B:$B, $B133, 'SEANCE 1'!$C:$C, AM$2, 'SEANCE 1'!$F:$F, AM$5)=0, "", COUNTIFS('SEANCE 1'!$B:$B, $B133, 'SEANCE 1'!$C:$C, AM$2, 'SEANCE 1'!$F:$F, AM$5))</f>
        <v/>
      </c>
      <c r="AN133" s="64" t="str">
        <f ca="1">IF(COUNTIFS('SEANCE 1'!$B:$B, $B133, 'SEANCE 1'!$C:$C, AN$2, 'SEANCE 1'!$F:$F, AN$5)=0, "", COUNTIFS('SEANCE 1'!$B:$B, $B133, 'SEANCE 1'!$C:$C, AN$2, 'SEANCE 1'!$F:$F, AN$5))</f>
        <v/>
      </c>
      <c r="AO133" s="64" t="str">
        <f ca="1">IF(COUNTIFS('SEANCE 1'!$B:$B, $B133, 'SEANCE 1'!$C:$C, AO$2, 'SEANCE 1'!$F:$F, AO$5)=0, "", COUNTIFS('SEANCE 1'!$B:$B, $B133, 'SEANCE 1'!$C:$C, AO$2, 'SEANCE 1'!$F:$F, AO$5))</f>
        <v/>
      </c>
      <c r="AP133" s="64" t="str">
        <f ca="1">IF(COUNTIFS('SEANCE 1'!$B:$B, $B133, 'SEANCE 1'!$C:$C, AP$2, 'SEANCE 1'!$F:$F, AP$5)=0, "", COUNTIFS('SEANCE 1'!$B:$B, $B133, 'SEANCE 1'!$C:$C, AP$2, 'SEANCE 1'!$F:$F, AP$5))</f>
        <v/>
      </c>
      <c r="AQ133" s="64" t="str">
        <f ca="1">IF(COUNTIFS('SEANCE 1'!$B:$B, $B133, 'SEANCE 1'!$C:$C, AQ$2, 'SEANCE 1'!$F:$F, AQ$5)=0, "", COUNTIFS('SEANCE 1'!$B:$B, $B133, 'SEANCE 1'!$C:$C, AQ$2, 'SEANCE 1'!$F:$F, AQ$5))</f>
        <v/>
      </c>
      <c r="AR133" s="64" t="str">
        <f ca="1">IF(COUNTIFS('SEANCE 1'!$B:$B, $B133, 'SEANCE 1'!$C:$C, AR$2, 'SEANCE 1'!$F:$F, AR$5)=0, "", COUNTIFS('SEANCE 1'!$B:$B, $B133, 'SEANCE 1'!$C:$C, AR$2, 'SEANCE 1'!$F:$F, AR$5))</f>
        <v/>
      </c>
      <c r="AS133" s="64" t="str">
        <f ca="1">IF(COUNTIFS('SEANCE 1'!$B:$B, $B133, 'SEANCE 1'!$C:$C, AS$2, 'SEANCE 1'!$F:$F, AS$5)=0, "", COUNTIFS('SEANCE 1'!$B:$B, $B133, 'SEANCE 1'!$C:$C, AS$2, 'SEANCE 1'!$F:$F, AS$5))</f>
        <v/>
      </c>
      <c r="AT133" s="64" t="str">
        <f ca="1">IF(COUNTIFS('SEANCE 1'!$B:$B, $B133, 'SEANCE 1'!$C:$C, AT$2, 'SEANCE 1'!$F:$F, AT$5)=0, "", COUNTIFS('SEANCE 1'!$B:$B, $B133, 'SEANCE 1'!$C:$C, AT$2, 'SEANCE 1'!$F:$F, AT$5))</f>
        <v/>
      </c>
      <c r="AU133" s="64" t="str">
        <f ca="1">IF(COUNTIFS('SEANCE 1'!$B:$B, $B133, 'SEANCE 1'!$C:$C, AU$2, 'SEANCE 1'!$F:$F, AU$5)=0, "", COUNTIFS('SEANCE 1'!$B:$B, $B133, 'SEANCE 1'!$C:$C, AU$2, 'SEANCE 1'!$F:$F, AU$5))</f>
        <v/>
      </c>
      <c r="AV133" s="64" t="str">
        <f ca="1">IF(COUNTIFS('SEANCE 1'!$B:$B, $B133, 'SEANCE 1'!$C:$C, AV$2, 'SEANCE 1'!$F:$F, AV$5)=0, "", COUNTIFS('SEANCE 1'!$B:$B, $B133, 'SEANCE 1'!$C:$C, AV$2, 'SEANCE 1'!$F:$F, AV$5))</f>
        <v/>
      </c>
      <c r="AW133" s="64" t="str">
        <f ca="1">IF(COUNTIFS('SEANCE 1'!$B:$B, $B133, 'SEANCE 1'!$C:$C, AW$2, 'SEANCE 1'!$F:$F, AW$5)=0, "", COUNTIFS('SEANCE 1'!$B:$B, $B133, 'SEANCE 1'!$C:$C, AW$2, 'SEANCE 1'!$F:$F, AW$5))</f>
        <v/>
      </c>
      <c r="AX133" s="64" t="str">
        <f ca="1">IF(COUNTIFS('SEANCE 1'!$B:$B, $B133, 'SEANCE 1'!$C:$C, AX$2, 'SEANCE 1'!$F:$F, AX$5)=0, "", COUNTIFS('SEANCE 1'!$B:$B, $B133, 'SEANCE 1'!$C:$C, AX$2, 'SEANCE 1'!$F:$F, AX$5))</f>
        <v/>
      </c>
      <c r="AY133" s="64" t="str">
        <f ca="1">IF(COUNTIFS('SEANCE 1'!$B:$B, $B133, 'SEANCE 1'!$C:$C, AY$2, 'SEANCE 1'!$F:$F, AY$5)=0, "", COUNTIFS('SEANCE 1'!$B:$B, $B133, 'SEANCE 1'!$C:$C, AY$2, 'SEANCE 1'!$F:$F, AY$5))</f>
        <v/>
      </c>
      <c r="AZ133" s="32">
        <f t="shared" ca="1" si="1"/>
        <v>0</v>
      </c>
    </row>
    <row r="134" spans="1:52">
      <c r="A134" s="44" t="str">
        <f>IF('SEANCE 1'!$B130&lt;&gt;"",'SEANCE 1'!$A130,"")</f>
        <v/>
      </c>
      <c r="B134" s="44" t="str">
        <f t="array" aca="1" ref="B134" ca="1">IF(ISNA(INDEX(ListeB,MATCH(0,COUNTIF($B$5:B133,ListeB),0))),"",INDEX(ListeB,MATCH(0,COUNTIF($B$5:B133,ListeB),0)))</f>
        <v/>
      </c>
      <c r="C134" s="64" t="str">
        <f ca="1">IF(COUNTIFS('SEANCE 1'!$B:$B, $B134, 'SEANCE 1'!$C:$C, C$2, 'SEANCE 1'!$F:$F, C$5)=0, "", COUNTIFS('SEANCE 1'!$B:$B, $B134, 'SEANCE 1'!$C:$C, C$2, 'SEANCE 1'!$F:$F, C$5))</f>
        <v/>
      </c>
      <c r="D134" s="64" t="str">
        <f ca="1">IF(COUNTIFS('SEANCE 1'!$B:$B, $B134, 'SEANCE 1'!$C:$C, D$2, 'SEANCE 1'!$F:$F, D$5)=0, "", COUNTIFS('SEANCE 1'!$B:$B, $B134, 'SEANCE 1'!$C:$C, D$2, 'SEANCE 1'!$F:$F, D$5))</f>
        <v/>
      </c>
      <c r="E134" s="64" t="str">
        <f ca="1">IF(COUNTIFS('SEANCE 1'!$B:$B, $B134, 'SEANCE 1'!$C:$C, E$2, 'SEANCE 1'!$F:$F, E$5)=0, "", COUNTIFS('SEANCE 1'!$B:$B, $B134, 'SEANCE 1'!$C:$C, E$2, 'SEANCE 1'!$F:$F, E$5))</f>
        <v/>
      </c>
      <c r="F134" s="64" t="str">
        <f ca="1">IF(COUNTIFS('SEANCE 1'!$B:$B, $B134, 'SEANCE 1'!$C:$C, F$2, 'SEANCE 1'!$F:$F, F$5)=0, "", COUNTIFS('SEANCE 1'!$B:$B, $B134, 'SEANCE 1'!$C:$C, F$2, 'SEANCE 1'!$F:$F, F$5))</f>
        <v/>
      </c>
      <c r="G134" s="64" t="str">
        <f ca="1">IF(COUNTIFS('SEANCE 1'!$B:$B, $B134, 'SEANCE 1'!$C:$C, G$2, 'SEANCE 1'!$F:$F, G$5)=0, "", COUNTIFS('SEANCE 1'!$B:$B, $B134, 'SEANCE 1'!$C:$C, G$2, 'SEANCE 1'!$F:$F, G$5))</f>
        <v/>
      </c>
      <c r="H134" s="64" t="str">
        <f ca="1">IF(COUNTIFS('SEANCE 1'!$B:$B, $B134, 'SEANCE 1'!$C:$C, H$2, 'SEANCE 1'!$F:$F, H$5)=0, "", COUNTIFS('SEANCE 1'!$B:$B, $B134, 'SEANCE 1'!$C:$C, H$2, 'SEANCE 1'!$F:$F, H$5))</f>
        <v/>
      </c>
      <c r="I134" s="64" t="str">
        <f ca="1">IF(COUNTIFS('SEANCE 1'!$B:$B, $B134, 'SEANCE 1'!$C:$C, I$2, 'SEANCE 1'!$F:$F, I$5)=0, "", COUNTIFS('SEANCE 1'!$B:$B, $B134, 'SEANCE 1'!$C:$C, I$2, 'SEANCE 1'!$F:$F, I$5))</f>
        <v/>
      </c>
      <c r="J134" s="64" t="str">
        <f ca="1">IF(COUNTIFS('SEANCE 1'!$B:$B, $B134, 'SEANCE 1'!$C:$C, J$2, 'SEANCE 1'!$F:$F, J$5)=0, "", COUNTIFS('SEANCE 1'!$B:$B, $B134, 'SEANCE 1'!$C:$C, J$2, 'SEANCE 1'!$F:$F, J$5))</f>
        <v/>
      </c>
      <c r="K134" s="64" t="str">
        <f ca="1">IF(COUNTIFS('SEANCE 1'!$B:$B, $B134, 'SEANCE 1'!$C:$C, K$2, 'SEANCE 1'!$F:$F, K$5)=0, "", COUNTIFS('SEANCE 1'!$B:$B, $B134, 'SEANCE 1'!$C:$C, K$2, 'SEANCE 1'!$F:$F, K$5))</f>
        <v/>
      </c>
      <c r="L134" s="64" t="str">
        <f ca="1">IF(COUNTIFS('SEANCE 1'!$B:$B, $B134, 'SEANCE 1'!$C:$C, L$2, 'SEANCE 1'!$F:$F, L$5)=0, "", COUNTIFS('SEANCE 1'!$B:$B, $B134, 'SEANCE 1'!$C:$C, L$2, 'SEANCE 1'!$F:$F, L$5))</f>
        <v/>
      </c>
      <c r="M134" s="64" t="str">
        <f ca="1">IF(COUNTIFS('SEANCE 1'!$B:$B, $B134, 'SEANCE 1'!$C:$C, M$2, 'SEANCE 1'!$F:$F, M$5)=0, "", COUNTIFS('SEANCE 1'!$B:$B, $B134, 'SEANCE 1'!$C:$C, M$2, 'SEANCE 1'!$F:$F, M$5))</f>
        <v/>
      </c>
      <c r="N134" s="64" t="str">
        <f ca="1">IF(COUNTIFS('SEANCE 1'!$B:$B, $B134, 'SEANCE 1'!$C:$C, N$2, 'SEANCE 1'!$F:$F, N$5)=0, "", COUNTIFS('SEANCE 1'!$B:$B, $B134, 'SEANCE 1'!$C:$C, N$2, 'SEANCE 1'!$F:$F, N$5))</f>
        <v/>
      </c>
      <c r="O134" s="64" t="str">
        <f ca="1">IF(COUNTIFS('SEANCE 1'!$B:$B, $B134, 'SEANCE 1'!$C:$C, O$2, 'SEANCE 1'!$F:$F, O$5)=0, "", COUNTIFS('SEANCE 1'!$B:$B, $B134, 'SEANCE 1'!$C:$C, O$2, 'SEANCE 1'!$F:$F, O$5))</f>
        <v/>
      </c>
      <c r="P134" s="64" t="str">
        <f ca="1">IF(COUNTIFS('SEANCE 1'!$B:$B, $B134, 'SEANCE 1'!$C:$C, P$2, 'SEANCE 1'!$F:$F, P$5)=0, "", COUNTIFS('SEANCE 1'!$B:$B, $B134, 'SEANCE 1'!$C:$C, P$2, 'SEANCE 1'!$F:$F, P$5))</f>
        <v/>
      </c>
      <c r="Q134" s="64" t="str">
        <f ca="1">IF(COUNTIFS('SEANCE 1'!$B:$B, $B134, 'SEANCE 1'!$C:$C, Q$2, 'SEANCE 1'!$F:$F, Q$5)=0, "", COUNTIFS('SEANCE 1'!$B:$B, $B134, 'SEANCE 1'!$C:$C, Q$2, 'SEANCE 1'!$F:$F, Q$5))</f>
        <v/>
      </c>
      <c r="R134" s="64" t="str">
        <f ca="1">IF(COUNTIFS('SEANCE 1'!$B:$B, $B134, 'SEANCE 1'!$C:$C, R$2, 'SEANCE 1'!$F:$F, R$5)=0, "", COUNTIFS('SEANCE 1'!$B:$B, $B134, 'SEANCE 1'!$C:$C, R$2, 'SEANCE 1'!$F:$F, R$5))</f>
        <v/>
      </c>
      <c r="S134" s="64" t="str">
        <f ca="1">IF(COUNTIFS('SEANCE 1'!$B:$B, $B134, 'SEANCE 1'!$C:$C, S$2, 'SEANCE 1'!$F:$F, S$5)=0, "", COUNTIFS('SEANCE 1'!$B:$B, $B134, 'SEANCE 1'!$C:$C, S$2, 'SEANCE 1'!$F:$F, S$5))</f>
        <v/>
      </c>
      <c r="T134" s="64" t="str">
        <f ca="1">IF(COUNTIFS('SEANCE 1'!$B:$B, $B134, 'SEANCE 1'!$C:$C, T$2, 'SEANCE 1'!$F:$F, T$5)=0, "", COUNTIFS('SEANCE 1'!$B:$B, $B134, 'SEANCE 1'!$C:$C, T$2, 'SEANCE 1'!$F:$F, T$5))</f>
        <v/>
      </c>
      <c r="U134" s="64" t="str">
        <f ca="1">IF(COUNTIFS('SEANCE 1'!$B:$B, $B134, 'SEANCE 1'!$C:$C, U$2, 'SEANCE 1'!$F:$F, U$5)=0, "", COUNTIFS('SEANCE 1'!$B:$B, $B134, 'SEANCE 1'!$C:$C, U$2, 'SEANCE 1'!$F:$F, U$5))</f>
        <v/>
      </c>
      <c r="V134" s="64" t="str">
        <f ca="1">IF(COUNTIFS('SEANCE 1'!$B:$B, $B134, 'SEANCE 1'!$C:$C, V$2, 'SEANCE 1'!$F:$F, V$5)=0, "", COUNTIFS('SEANCE 1'!$B:$B, $B134, 'SEANCE 1'!$C:$C, V$2, 'SEANCE 1'!$F:$F, V$5))</f>
        <v/>
      </c>
      <c r="W134" s="64" t="str">
        <f ca="1">IF(COUNTIFS('SEANCE 1'!$B:$B, $B134, 'SEANCE 1'!$C:$C, W$2, 'SEANCE 1'!$F:$F, W$5)=0, "", COUNTIFS('SEANCE 1'!$B:$B, $B134, 'SEANCE 1'!$C:$C, W$2, 'SEANCE 1'!$F:$F, W$5))</f>
        <v/>
      </c>
      <c r="X134" s="64" t="str">
        <f ca="1">IF(COUNTIFS('SEANCE 1'!$B:$B, $B134, 'SEANCE 1'!$C:$C, X$2, 'SEANCE 1'!$F:$F, X$5)=0, "", COUNTIFS('SEANCE 1'!$B:$B, $B134, 'SEANCE 1'!$C:$C, X$2, 'SEANCE 1'!$F:$F, X$5))</f>
        <v/>
      </c>
      <c r="Y134" s="64" t="str">
        <f ca="1">IF(COUNTIFS('SEANCE 1'!$B:$B, $B134, 'SEANCE 1'!$C:$C, Y$2, 'SEANCE 1'!$F:$F, Y$5)=0, "", COUNTIFS('SEANCE 1'!$B:$B, $B134, 'SEANCE 1'!$C:$C, Y$2, 'SEANCE 1'!$F:$F, Y$5))</f>
        <v/>
      </c>
      <c r="Z134" s="64" t="str">
        <f ca="1">IF(COUNTIFS('SEANCE 1'!$B:$B, $B134, 'SEANCE 1'!$C:$C, Z$2, 'SEANCE 1'!$F:$F, Z$5)=0, "", COUNTIFS('SEANCE 1'!$B:$B, $B134, 'SEANCE 1'!$C:$C, Z$2, 'SEANCE 1'!$F:$F, Z$5))</f>
        <v/>
      </c>
      <c r="AA134" s="64" t="str">
        <f ca="1">IF(COUNTIFS('SEANCE 1'!$B:$B, $B134, 'SEANCE 1'!$C:$C, AA$2, 'SEANCE 1'!$F:$F, AA$5)=0, "", COUNTIFS('SEANCE 1'!$B:$B, $B134, 'SEANCE 1'!$C:$C, AA$2, 'SEANCE 1'!$F:$F, AA$5))</f>
        <v/>
      </c>
      <c r="AB134" s="64" t="str">
        <f ca="1">IF(COUNTIFS('SEANCE 1'!$B:$B, $B134, 'SEANCE 1'!$C:$C, AB$2, 'SEANCE 1'!$F:$F, AB$5)=0, "", COUNTIFS('SEANCE 1'!$B:$B, $B134, 'SEANCE 1'!$C:$C, AB$2, 'SEANCE 1'!$F:$F, AB$5))</f>
        <v/>
      </c>
      <c r="AC134" s="64" t="str">
        <f ca="1">IF(COUNTIFS('SEANCE 1'!$B:$B, $B134, 'SEANCE 1'!$C:$C, AC$2, 'SEANCE 1'!$F:$F, AC$5)=0, "", COUNTIFS('SEANCE 1'!$B:$B, $B134, 'SEANCE 1'!$C:$C, AC$2, 'SEANCE 1'!$F:$F, AC$5))</f>
        <v/>
      </c>
      <c r="AD134" s="64" t="str">
        <f ca="1">IF(COUNTIFS('SEANCE 1'!$B:$B, $B134, 'SEANCE 1'!$C:$C, AD$2, 'SEANCE 1'!$F:$F, AD$5)=0, "", COUNTIFS('SEANCE 1'!$B:$B, $B134, 'SEANCE 1'!$C:$C, AD$2, 'SEANCE 1'!$F:$F, AD$5))</f>
        <v/>
      </c>
      <c r="AE134" s="64" t="str">
        <f ca="1">IF(COUNTIFS('SEANCE 1'!$B:$B, $B134, 'SEANCE 1'!$C:$C, AE$2, 'SEANCE 1'!$F:$F, AE$5)=0, "", COUNTIFS('SEANCE 1'!$B:$B, $B134, 'SEANCE 1'!$C:$C, AE$2, 'SEANCE 1'!$F:$F, AE$5))</f>
        <v/>
      </c>
      <c r="AF134" s="64" t="str">
        <f ca="1">IF(COUNTIFS('SEANCE 1'!$B:$B, $B134, 'SEANCE 1'!$C:$C, AF$2, 'SEANCE 1'!$F:$F, AF$5)=0, "", COUNTIFS('SEANCE 1'!$B:$B, $B134, 'SEANCE 1'!$C:$C, AF$2, 'SEANCE 1'!$F:$F, AF$5))</f>
        <v/>
      </c>
      <c r="AG134" s="64" t="str">
        <f ca="1">IF(COUNTIFS('SEANCE 1'!$B:$B, $B134, 'SEANCE 1'!$C:$C, AG$2, 'SEANCE 1'!$F:$F, AG$5)=0, "", COUNTIFS('SEANCE 1'!$B:$B, $B134, 'SEANCE 1'!$C:$C, AG$2, 'SEANCE 1'!$F:$F, AG$5))</f>
        <v/>
      </c>
      <c r="AH134" s="64" t="str">
        <f ca="1">IF(COUNTIFS('SEANCE 1'!$B:$B, $B134, 'SEANCE 1'!$C:$C, AH$2, 'SEANCE 1'!$F:$F, AH$5)=0, "", COUNTIFS('SEANCE 1'!$B:$B, $B134, 'SEANCE 1'!$C:$C, AH$2, 'SEANCE 1'!$F:$F, AH$5))</f>
        <v/>
      </c>
      <c r="AI134" s="64" t="str">
        <f ca="1">IF(COUNTIFS('SEANCE 1'!$B:$B, $B134, 'SEANCE 1'!$C:$C, AI$2, 'SEANCE 1'!$F:$F, AI$5)=0, "", COUNTIFS('SEANCE 1'!$B:$B, $B134, 'SEANCE 1'!$C:$C, AI$2, 'SEANCE 1'!$F:$F, AI$5))</f>
        <v/>
      </c>
      <c r="AJ134" s="64" t="str">
        <f ca="1">IF(COUNTIFS('SEANCE 1'!$B:$B, $B134, 'SEANCE 1'!$C:$C, AJ$2, 'SEANCE 1'!$F:$F, AJ$5)=0, "", COUNTIFS('SEANCE 1'!$B:$B, $B134, 'SEANCE 1'!$C:$C, AJ$2, 'SEANCE 1'!$F:$F, AJ$5))</f>
        <v/>
      </c>
      <c r="AK134" s="64" t="str">
        <f ca="1">IF(COUNTIFS('SEANCE 1'!$B:$B, $B134, 'SEANCE 1'!$C:$C, AK$2, 'SEANCE 1'!$F:$F, AK$5)=0, "", COUNTIFS('SEANCE 1'!$B:$B, $B134, 'SEANCE 1'!$C:$C, AK$2, 'SEANCE 1'!$F:$F, AK$5))</f>
        <v/>
      </c>
      <c r="AL134" s="64" t="str">
        <f ca="1">IF(COUNTIFS('SEANCE 1'!$B:$B, $B134, 'SEANCE 1'!$C:$C, AL$2, 'SEANCE 1'!$F:$F, AL$5)=0, "", COUNTIFS('SEANCE 1'!$B:$B, $B134, 'SEANCE 1'!$C:$C, AL$2, 'SEANCE 1'!$F:$F, AL$5))</f>
        <v/>
      </c>
      <c r="AM134" s="64" t="str">
        <f ca="1">IF(COUNTIFS('SEANCE 1'!$B:$B, $B134, 'SEANCE 1'!$C:$C, AM$2, 'SEANCE 1'!$F:$F, AM$5)=0, "", COUNTIFS('SEANCE 1'!$B:$B, $B134, 'SEANCE 1'!$C:$C, AM$2, 'SEANCE 1'!$F:$F, AM$5))</f>
        <v/>
      </c>
      <c r="AN134" s="64" t="str">
        <f ca="1">IF(COUNTIFS('SEANCE 1'!$B:$B, $B134, 'SEANCE 1'!$C:$C, AN$2, 'SEANCE 1'!$F:$F, AN$5)=0, "", COUNTIFS('SEANCE 1'!$B:$B, $B134, 'SEANCE 1'!$C:$C, AN$2, 'SEANCE 1'!$F:$F, AN$5))</f>
        <v/>
      </c>
      <c r="AO134" s="64" t="str">
        <f ca="1">IF(COUNTIFS('SEANCE 1'!$B:$B, $B134, 'SEANCE 1'!$C:$C, AO$2, 'SEANCE 1'!$F:$F, AO$5)=0, "", COUNTIFS('SEANCE 1'!$B:$B, $B134, 'SEANCE 1'!$C:$C, AO$2, 'SEANCE 1'!$F:$F, AO$5))</f>
        <v/>
      </c>
      <c r="AP134" s="64" t="str">
        <f ca="1">IF(COUNTIFS('SEANCE 1'!$B:$B, $B134, 'SEANCE 1'!$C:$C, AP$2, 'SEANCE 1'!$F:$F, AP$5)=0, "", COUNTIFS('SEANCE 1'!$B:$B, $B134, 'SEANCE 1'!$C:$C, AP$2, 'SEANCE 1'!$F:$F, AP$5))</f>
        <v/>
      </c>
      <c r="AQ134" s="64" t="str">
        <f ca="1">IF(COUNTIFS('SEANCE 1'!$B:$B, $B134, 'SEANCE 1'!$C:$C, AQ$2, 'SEANCE 1'!$F:$F, AQ$5)=0, "", COUNTIFS('SEANCE 1'!$B:$B, $B134, 'SEANCE 1'!$C:$C, AQ$2, 'SEANCE 1'!$F:$F, AQ$5))</f>
        <v/>
      </c>
      <c r="AR134" s="64" t="str">
        <f ca="1">IF(COUNTIFS('SEANCE 1'!$B:$B, $B134, 'SEANCE 1'!$C:$C, AR$2, 'SEANCE 1'!$F:$F, AR$5)=0, "", COUNTIFS('SEANCE 1'!$B:$B, $B134, 'SEANCE 1'!$C:$C, AR$2, 'SEANCE 1'!$F:$F, AR$5))</f>
        <v/>
      </c>
      <c r="AS134" s="64" t="str">
        <f ca="1">IF(COUNTIFS('SEANCE 1'!$B:$B, $B134, 'SEANCE 1'!$C:$C, AS$2, 'SEANCE 1'!$F:$F, AS$5)=0, "", COUNTIFS('SEANCE 1'!$B:$B, $B134, 'SEANCE 1'!$C:$C, AS$2, 'SEANCE 1'!$F:$F, AS$5))</f>
        <v/>
      </c>
      <c r="AT134" s="64" t="str">
        <f ca="1">IF(COUNTIFS('SEANCE 1'!$B:$B, $B134, 'SEANCE 1'!$C:$C, AT$2, 'SEANCE 1'!$F:$F, AT$5)=0, "", COUNTIFS('SEANCE 1'!$B:$B, $B134, 'SEANCE 1'!$C:$C, AT$2, 'SEANCE 1'!$F:$F, AT$5))</f>
        <v/>
      </c>
      <c r="AU134" s="64" t="str">
        <f ca="1">IF(COUNTIFS('SEANCE 1'!$B:$B, $B134, 'SEANCE 1'!$C:$C, AU$2, 'SEANCE 1'!$F:$F, AU$5)=0, "", COUNTIFS('SEANCE 1'!$B:$B, $B134, 'SEANCE 1'!$C:$C, AU$2, 'SEANCE 1'!$F:$F, AU$5))</f>
        <v/>
      </c>
      <c r="AV134" s="64" t="str">
        <f ca="1">IF(COUNTIFS('SEANCE 1'!$B:$B, $B134, 'SEANCE 1'!$C:$C, AV$2, 'SEANCE 1'!$F:$F, AV$5)=0, "", COUNTIFS('SEANCE 1'!$B:$B, $B134, 'SEANCE 1'!$C:$C, AV$2, 'SEANCE 1'!$F:$F, AV$5))</f>
        <v/>
      </c>
      <c r="AW134" s="64" t="str">
        <f ca="1">IF(COUNTIFS('SEANCE 1'!$B:$B, $B134, 'SEANCE 1'!$C:$C, AW$2, 'SEANCE 1'!$F:$F, AW$5)=0, "", COUNTIFS('SEANCE 1'!$B:$B, $B134, 'SEANCE 1'!$C:$C, AW$2, 'SEANCE 1'!$F:$F, AW$5))</f>
        <v/>
      </c>
      <c r="AX134" s="64" t="str">
        <f ca="1">IF(COUNTIFS('SEANCE 1'!$B:$B, $B134, 'SEANCE 1'!$C:$C, AX$2, 'SEANCE 1'!$F:$F, AX$5)=0, "", COUNTIFS('SEANCE 1'!$B:$B, $B134, 'SEANCE 1'!$C:$C, AX$2, 'SEANCE 1'!$F:$F, AX$5))</f>
        <v/>
      </c>
      <c r="AY134" s="64" t="str">
        <f ca="1">IF(COUNTIFS('SEANCE 1'!$B:$B, $B134, 'SEANCE 1'!$C:$C, AY$2, 'SEANCE 1'!$F:$F, AY$5)=0, "", COUNTIFS('SEANCE 1'!$B:$B, $B134, 'SEANCE 1'!$C:$C, AY$2, 'SEANCE 1'!$F:$F, AY$5))</f>
        <v/>
      </c>
      <c r="AZ134" s="32">
        <f t="shared" ca="1" si="1"/>
        <v>0</v>
      </c>
    </row>
    <row r="135" spans="1:52">
      <c r="A135" s="44" t="str">
        <f>IF('SEANCE 1'!$B131&lt;&gt;"",'SEANCE 1'!$A131,"")</f>
        <v/>
      </c>
      <c r="B135" s="44" t="str">
        <f t="array" aca="1" ref="B135" ca="1">IF(ISNA(INDEX(ListeB,MATCH(0,COUNTIF($B$5:B134,ListeB),0))),"",INDEX(ListeB,MATCH(0,COUNTIF($B$5:B134,ListeB),0)))</f>
        <v/>
      </c>
      <c r="C135" s="64" t="str">
        <f ca="1">IF(COUNTIFS('SEANCE 1'!$B:$B, $B135, 'SEANCE 1'!$C:$C, C$2, 'SEANCE 1'!$F:$F, C$5)=0, "", COUNTIFS('SEANCE 1'!$B:$B, $B135, 'SEANCE 1'!$C:$C, C$2, 'SEANCE 1'!$F:$F, C$5))</f>
        <v/>
      </c>
      <c r="D135" s="64" t="str">
        <f ca="1">IF(COUNTIFS('SEANCE 1'!$B:$B, $B135, 'SEANCE 1'!$C:$C, D$2, 'SEANCE 1'!$F:$F, D$5)=0, "", COUNTIFS('SEANCE 1'!$B:$B, $B135, 'SEANCE 1'!$C:$C, D$2, 'SEANCE 1'!$F:$F, D$5))</f>
        <v/>
      </c>
      <c r="E135" s="64" t="str">
        <f ca="1">IF(COUNTIFS('SEANCE 1'!$B:$B, $B135, 'SEANCE 1'!$C:$C, E$2, 'SEANCE 1'!$F:$F, E$5)=0, "", COUNTIFS('SEANCE 1'!$B:$B, $B135, 'SEANCE 1'!$C:$C, E$2, 'SEANCE 1'!$F:$F, E$5))</f>
        <v/>
      </c>
      <c r="F135" s="64" t="str">
        <f ca="1">IF(COUNTIFS('SEANCE 1'!$B:$B, $B135, 'SEANCE 1'!$C:$C, F$2, 'SEANCE 1'!$F:$F, F$5)=0, "", COUNTIFS('SEANCE 1'!$B:$B, $B135, 'SEANCE 1'!$C:$C, F$2, 'SEANCE 1'!$F:$F, F$5))</f>
        <v/>
      </c>
      <c r="G135" s="64" t="str">
        <f ca="1">IF(COUNTIFS('SEANCE 1'!$B:$B, $B135, 'SEANCE 1'!$C:$C, G$2, 'SEANCE 1'!$F:$F, G$5)=0, "", COUNTIFS('SEANCE 1'!$B:$B, $B135, 'SEANCE 1'!$C:$C, G$2, 'SEANCE 1'!$F:$F, G$5))</f>
        <v/>
      </c>
      <c r="H135" s="64" t="str">
        <f ca="1">IF(COUNTIFS('SEANCE 1'!$B:$B, $B135, 'SEANCE 1'!$C:$C, H$2, 'SEANCE 1'!$F:$F, H$5)=0, "", COUNTIFS('SEANCE 1'!$B:$B, $B135, 'SEANCE 1'!$C:$C, H$2, 'SEANCE 1'!$F:$F, H$5))</f>
        <v/>
      </c>
      <c r="I135" s="64" t="str">
        <f ca="1">IF(COUNTIFS('SEANCE 1'!$B:$B, $B135, 'SEANCE 1'!$C:$C, I$2, 'SEANCE 1'!$F:$F, I$5)=0, "", COUNTIFS('SEANCE 1'!$B:$B, $B135, 'SEANCE 1'!$C:$C, I$2, 'SEANCE 1'!$F:$F, I$5))</f>
        <v/>
      </c>
      <c r="J135" s="64" t="str">
        <f ca="1">IF(COUNTIFS('SEANCE 1'!$B:$B, $B135, 'SEANCE 1'!$C:$C, J$2, 'SEANCE 1'!$F:$F, J$5)=0, "", COUNTIFS('SEANCE 1'!$B:$B, $B135, 'SEANCE 1'!$C:$C, J$2, 'SEANCE 1'!$F:$F, J$5))</f>
        <v/>
      </c>
      <c r="K135" s="64" t="str">
        <f ca="1">IF(COUNTIFS('SEANCE 1'!$B:$B, $B135, 'SEANCE 1'!$C:$C, K$2, 'SEANCE 1'!$F:$F, K$5)=0, "", COUNTIFS('SEANCE 1'!$B:$B, $B135, 'SEANCE 1'!$C:$C, K$2, 'SEANCE 1'!$F:$F, K$5))</f>
        <v/>
      </c>
      <c r="L135" s="64" t="str">
        <f ca="1">IF(COUNTIFS('SEANCE 1'!$B:$B, $B135, 'SEANCE 1'!$C:$C, L$2, 'SEANCE 1'!$F:$F, L$5)=0, "", COUNTIFS('SEANCE 1'!$B:$B, $B135, 'SEANCE 1'!$C:$C, L$2, 'SEANCE 1'!$F:$F, L$5))</f>
        <v/>
      </c>
      <c r="M135" s="64" t="str">
        <f ca="1">IF(COUNTIFS('SEANCE 1'!$B:$B, $B135, 'SEANCE 1'!$C:$C, M$2, 'SEANCE 1'!$F:$F, M$5)=0, "", COUNTIFS('SEANCE 1'!$B:$B, $B135, 'SEANCE 1'!$C:$C, M$2, 'SEANCE 1'!$F:$F, M$5))</f>
        <v/>
      </c>
      <c r="N135" s="64" t="str">
        <f ca="1">IF(COUNTIFS('SEANCE 1'!$B:$B, $B135, 'SEANCE 1'!$C:$C, N$2, 'SEANCE 1'!$F:$F, N$5)=0, "", COUNTIFS('SEANCE 1'!$B:$B, $B135, 'SEANCE 1'!$C:$C, N$2, 'SEANCE 1'!$F:$F, N$5))</f>
        <v/>
      </c>
      <c r="O135" s="64" t="str">
        <f ca="1">IF(COUNTIFS('SEANCE 1'!$B:$B, $B135, 'SEANCE 1'!$C:$C, O$2, 'SEANCE 1'!$F:$F, O$5)=0, "", COUNTIFS('SEANCE 1'!$B:$B, $B135, 'SEANCE 1'!$C:$C, O$2, 'SEANCE 1'!$F:$F, O$5))</f>
        <v/>
      </c>
      <c r="P135" s="64" t="str">
        <f ca="1">IF(COUNTIFS('SEANCE 1'!$B:$B, $B135, 'SEANCE 1'!$C:$C, P$2, 'SEANCE 1'!$F:$F, P$5)=0, "", COUNTIFS('SEANCE 1'!$B:$B, $B135, 'SEANCE 1'!$C:$C, P$2, 'SEANCE 1'!$F:$F, P$5))</f>
        <v/>
      </c>
      <c r="Q135" s="64" t="str">
        <f ca="1">IF(COUNTIFS('SEANCE 1'!$B:$B, $B135, 'SEANCE 1'!$C:$C, Q$2, 'SEANCE 1'!$F:$F, Q$5)=0, "", COUNTIFS('SEANCE 1'!$B:$B, $B135, 'SEANCE 1'!$C:$C, Q$2, 'SEANCE 1'!$F:$F, Q$5))</f>
        <v/>
      </c>
      <c r="R135" s="64" t="str">
        <f ca="1">IF(COUNTIFS('SEANCE 1'!$B:$B, $B135, 'SEANCE 1'!$C:$C, R$2, 'SEANCE 1'!$F:$F, R$5)=0, "", COUNTIFS('SEANCE 1'!$B:$B, $B135, 'SEANCE 1'!$C:$C, R$2, 'SEANCE 1'!$F:$F, R$5))</f>
        <v/>
      </c>
      <c r="S135" s="64" t="str">
        <f ca="1">IF(COUNTIFS('SEANCE 1'!$B:$B, $B135, 'SEANCE 1'!$C:$C, S$2, 'SEANCE 1'!$F:$F, S$5)=0, "", COUNTIFS('SEANCE 1'!$B:$B, $B135, 'SEANCE 1'!$C:$C, S$2, 'SEANCE 1'!$F:$F, S$5))</f>
        <v/>
      </c>
      <c r="T135" s="64" t="str">
        <f ca="1">IF(COUNTIFS('SEANCE 1'!$B:$B, $B135, 'SEANCE 1'!$C:$C, T$2, 'SEANCE 1'!$F:$F, T$5)=0, "", COUNTIFS('SEANCE 1'!$B:$B, $B135, 'SEANCE 1'!$C:$C, T$2, 'SEANCE 1'!$F:$F, T$5))</f>
        <v/>
      </c>
      <c r="U135" s="64" t="str">
        <f ca="1">IF(COUNTIFS('SEANCE 1'!$B:$B, $B135, 'SEANCE 1'!$C:$C, U$2, 'SEANCE 1'!$F:$F, U$5)=0, "", COUNTIFS('SEANCE 1'!$B:$B, $B135, 'SEANCE 1'!$C:$C, U$2, 'SEANCE 1'!$F:$F, U$5))</f>
        <v/>
      </c>
      <c r="V135" s="64" t="str">
        <f ca="1">IF(COUNTIFS('SEANCE 1'!$B:$B, $B135, 'SEANCE 1'!$C:$C, V$2, 'SEANCE 1'!$F:$F, V$5)=0, "", COUNTIFS('SEANCE 1'!$B:$B, $B135, 'SEANCE 1'!$C:$C, V$2, 'SEANCE 1'!$F:$F, V$5))</f>
        <v/>
      </c>
      <c r="W135" s="64" t="str">
        <f ca="1">IF(COUNTIFS('SEANCE 1'!$B:$B, $B135, 'SEANCE 1'!$C:$C, W$2, 'SEANCE 1'!$F:$F, W$5)=0, "", COUNTIFS('SEANCE 1'!$B:$B, $B135, 'SEANCE 1'!$C:$C, W$2, 'SEANCE 1'!$F:$F, W$5))</f>
        <v/>
      </c>
      <c r="X135" s="64" t="str">
        <f ca="1">IF(COUNTIFS('SEANCE 1'!$B:$B, $B135, 'SEANCE 1'!$C:$C, X$2, 'SEANCE 1'!$F:$F, X$5)=0, "", COUNTIFS('SEANCE 1'!$B:$B, $B135, 'SEANCE 1'!$C:$C, X$2, 'SEANCE 1'!$F:$F, X$5))</f>
        <v/>
      </c>
      <c r="Y135" s="64" t="str">
        <f ca="1">IF(COUNTIFS('SEANCE 1'!$B:$B, $B135, 'SEANCE 1'!$C:$C, Y$2, 'SEANCE 1'!$F:$F, Y$5)=0, "", COUNTIFS('SEANCE 1'!$B:$B, $B135, 'SEANCE 1'!$C:$C, Y$2, 'SEANCE 1'!$F:$F, Y$5))</f>
        <v/>
      </c>
      <c r="Z135" s="64" t="str">
        <f ca="1">IF(COUNTIFS('SEANCE 1'!$B:$B, $B135, 'SEANCE 1'!$C:$C, Z$2, 'SEANCE 1'!$F:$F, Z$5)=0, "", COUNTIFS('SEANCE 1'!$B:$B, $B135, 'SEANCE 1'!$C:$C, Z$2, 'SEANCE 1'!$F:$F, Z$5))</f>
        <v/>
      </c>
      <c r="AA135" s="64" t="str">
        <f ca="1">IF(COUNTIFS('SEANCE 1'!$B:$B, $B135, 'SEANCE 1'!$C:$C, AA$2, 'SEANCE 1'!$F:$F, AA$5)=0, "", COUNTIFS('SEANCE 1'!$B:$B, $B135, 'SEANCE 1'!$C:$C, AA$2, 'SEANCE 1'!$F:$F, AA$5))</f>
        <v/>
      </c>
      <c r="AB135" s="64" t="str">
        <f ca="1">IF(COUNTIFS('SEANCE 1'!$B:$B, $B135, 'SEANCE 1'!$C:$C, AB$2, 'SEANCE 1'!$F:$F, AB$5)=0, "", COUNTIFS('SEANCE 1'!$B:$B, $B135, 'SEANCE 1'!$C:$C, AB$2, 'SEANCE 1'!$F:$F, AB$5))</f>
        <v/>
      </c>
      <c r="AC135" s="64" t="str">
        <f ca="1">IF(COUNTIFS('SEANCE 1'!$B:$B, $B135, 'SEANCE 1'!$C:$C, AC$2, 'SEANCE 1'!$F:$F, AC$5)=0, "", COUNTIFS('SEANCE 1'!$B:$B, $B135, 'SEANCE 1'!$C:$C, AC$2, 'SEANCE 1'!$F:$F, AC$5))</f>
        <v/>
      </c>
      <c r="AD135" s="64" t="str">
        <f ca="1">IF(COUNTIFS('SEANCE 1'!$B:$B, $B135, 'SEANCE 1'!$C:$C, AD$2, 'SEANCE 1'!$F:$F, AD$5)=0, "", COUNTIFS('SEANCE 1'!$B:$B, $B135, 'SEANCE 1'!$C:$C, AD$2, 'SEANCE 1'!$F:$F, AD$5))</f>
        <v/>
      </c>
      <c r="AE135" s="64" t="str">
        <f ca="1">IF(COUNTIFS('SEANCE 1'!$B:$B, $B135, 'SEANCE 1'!$C:$C, AE$2, 'SEANCE 1'!$F:$F, AE$5)=0, "", COUNTIFS('SEANCE 1'!$B:$B, $B135, 'SEANCE 1'!$C:$C, AE$2, 'SEANCE 1'!$F:$F, AE$5))</f>
        <v/>
      </c>
      <c r="AF135" s="64" t="str">
        <f ca="1">IF(COUNTIFS('SEANCE 1'!$B:$B, $B135, 'SEANCE 1'!$C:$C, AF$2, 'SEANCE 1'!$F:$F, AF$5)=0, "", COUNTIFS('SEANCE 1'!$B:$B, $B135, 'SEANCE 1'!$C:$C, AF$2, 'SEANCE 1'!$F:$F, AF$5))</f>
        <v/>
      </c>
      <c r="AG135" s="64" t="str">
        <f ca="1">IF(COUNTIFS('SEANCE 1'!$B:$B, $B135, 'SEANCE 1'!$C:$C, AG$2, 'SEANCE 1'!$F:$F, AG$5)=0, "", COUNTIFS('SEANCE 1'!$B:$B, $B135, 'SEANCE 1'!$C:$C, AG$2, 'SEANCE 1'!$F:$F, AG$5))</f>
        <v/>
      </c>
      <c r="AH135" s="64" t="str">
        <f ca="1">IF(COUNTIFS('SEANCE 1'!$B:$B, $B135, 'SEANCE 1'!$C:$C, AH$2, 'SEANCE 1'!$F:$F, AH$5)=0, "", COUNTIFS('SEANCE 1'!$B:$B, $B135, 'SEANCE 1'!$C:$C, AH$2, 'SEANCE 1'!$F:$F, AH$5))</f>
        <v/>
      </c>
      <c r="AI135" s="64" t="str">
        <f ca="1">IF(COUNTIFS('SEANCE 1'!$B:$B, $B135, 'SEANCE 1'!$C:$C, AI$2, 'SEANCE 1'!$F:$F, AI$5)=0, "", COUNTIFS('SEANCE 1'!$B:$B, $B135, 'SEANCE 1'!$C:$C, AI$2, 'SEANCE 1'!$F:$F, AI$5))</f>
        <v/>
      </c>
      <c r="AJ135" s="64" t="str">
        <f ca="1">IF(COUNTIFS('SEANCE 1'!$B:$B, $B135, 'SEANCE 1'!$C:$C, AJ$2, 'SEANCE 1'!$F:$F, AJ$5)=0, "", COUNTIFS('SEANCE 1'!$B:$B, $B135, 'SEANCE 1'!$C:$C, AJ$2, 'SEANCE 1'!$F:$F, AJ$5))</f>
        <v/>
      </c>
      <c r="AK135" s="64" t="str">
        <f ca="1">IF(COUNTIFS('SEANCE 1'!$B:$B, $B135, 'SEANCE 1'!$C:$C, AK$2, 'SEANCE 1'!$F:$F, AK$5)=0, "", COUNTIFS('SEANCE 1'!$B:$B, $B135, 'SEANCE 1'!$C:$C, AK$2, 'SEANCE 1'!$F:$F, AK$5))</f>
        <v/>
      </c>
      <c r="AL135" s="64" t="str">
        <f ca="1">IF(COUNTIFS('SEANCE 1'!$B:$B, $B135, 'SEANCE 1'!$C:$C, AL$2, 'SEANCE 1'!$F:$F, AL$5)=0, "", COUNTIFS('SEANCE 1'!$B:$B, $B135, 'SEANCE 1'!$C:$C, AL$2, 'SEANCE 1'!$F:$F, AL$5))</f>
        <v/>
      </c>
      <c r="AM135" s="64" t="str">
        <f ca="1">IF(COUNTIFS('SEANCE 1'!$B:$B, $B135, 'SEANCE 1'!$C:$C, AM$2, 'SEANCE 1'!$F:$F, AM$5)=0, "", COUNTIFS('SEANCE 1'!$B:$B, $B135, 'SEANCE 1'!$C:$C, AM$2, 'SEANCE 1'!$F:$F, AM$5))</f>
        <v/>
      </c>
      <c r="AN135" s="64" t="str">
        <f ca="1">IF(COUNTIFS('SEANCE 1'!$B:$B, $B135, 'SEANCE 1'!$C:$C, AN$2, 'SEANCE 1'!$F:$F, AN$5)=0, "", COUNTIFS('SEANCE 1'!$B:$B, $B135, 'SEANCE 1'!$C:$C, AN$2, 'SEANCE 1'!$F:$F, AN$5))</f>
        <v/>
      </c>
      <c r="AO135" s="64" t="str">
        <f ca="1">IF(COUNTIFS('SEANCE 1'!$B:$B, $B135, 'SEANCE 1'!$C:$C, AO$2, 'SEANCE 1'!$F:$F, AO$5)=0, "", COUNTIFS('SEANCE 1'!$B:$B, $B135, 'SEANCE 1'!$C:$C, AO$2, 'SEANCE 1'!$F:$F, AO$5))</f>
        <v/>
      </c>
      <c r="AP135" s="64" t="str">
        <f ca="1">IF(COUNTIFS('SEANCE 1'!$B:$B, $B135, 'SEANCE 1'!$C:$C, AP$2, 'SEANCE 1'!$F:$F, AP$5)=0, "", COUNTIFS('SEANCE 1'!$B:$B, $B135, 'SEANCE 1'!$C:$C, AP$2, 'SEANCE 1'!$F:$F, AP$5))</f>
        <v/>
      </c>
      <c r="AQ135" s="64" t="str">
        <f ca="1">IF(COUNTIFS('SEANCE 1'!$B:$B, $B135, 'SEANCE 1'!$C:$C, AQ$2, 'SEANCE 1'!$F:$F, AQ$5)=0, "", COUNTIFS('SEANCE 1'!$B:$B, $B135, 'SEANCE 1'!$C:$C, AQ$2, 'SEANCE 1'!$F:$F, AQ$5))</f>
        <v/>
      </c>
      <c r="AR135" s="64" t="str">
        <f ca="1">IF(COUNTIFS('SEANCE 1'!$B:$B, $B135, 'SEANCE 1'!$C:$C, AR$2, 'SEANCE 1'!$F:$F, AR$5)=0, "", COUNTIFS('SEANCE 1'!$B:$B, $B135, 'SEANCE 1'!$C:$C, AR$2, 'SEANCE 1'!$F:$F, AR$5))</f>
        <v/>
      </c>
      <c r="AS135" s="64" t="str">
        <f ca="1">IF(COUNTIFS('SEANCE 1'!$B:$B, $B135, 'SEANCE 1'!$C:$C, AS$2, 'SEANCE 1'!$F:$F, AS$5)=0, "", COUNTIFS('SEANCE 1'!$B:$B, $B135, 'SEANCE 1'!$C:$C, AS$2, 'SEANCE 1'!$F:$F, AS$5))</f>
        <v/>
      </c>
      <c r="AT135" s="64" t="str">
        <f ca="1">IF(COUNTIFS('SEANCE 1'!$B:$B, $B135, 'SEANCE 1'!$C:$C, AT$2, 'SEANCE 1'!$F:$F, AT$5)=0, "", COUNTIFS('SEANCE 1'!$B:$B, $B135, 'SEANCE 1'!$C:$C, AT$2, 'SEANCE 1'!$F:$F, AT$5))</f>
        <v/>
      </c>
      <c r="AU135" s="64" t="str">
        <f ca="1">IF(COUNTIFS('SEANCE 1'!$B:$B, $B135, 'SEANCE 1'!$C:$C, AU$2, 'SEANCE 1'!$F:$F, AU$5)=0, "", COUNTIFS('SEANCE 1'!$B:$B, $B135, 'SEANCE 1'!$C:$C, AU$2, 'SEANCE 1'!$F:$F, AU$5))</f>
        <v/>
      </c>
      <c r="AV135" s="64" t="str">
        <f ca="1">IF(COUNTIFS('SEANCE 1'!$B:$B, $B135, 'SEANCE 1'!$C:$C, AV$2, 'SEANCE 1'!$F:$F, AV$5)=0, "", COUNTIFS('SEANCE 1'!$B:$B, $B135, 'SEANCE 1'!$C:$C, AV$2, 'SEANCE 1'!$F:$F, AV$5))</f>
        <v/>
      </c>
      <c r="AW135" s="64" t="str">
        <f ca="1">IF(COUNTIFS('SEANCE 1'!$B:$B, $B135, 'SEANCE 1'!$C:$C, AW$2, 'SEANCE 1'!$F:$F, AW$5)=0, "", COUNTIFS('SEANCE 1'!$B:$B, $B135, 'SEANCE 1'!$C:$C, AW$2, 'SEANCE 1'!$F:$F, AW$5))</f>
        <v/>
      </c>
      <c r="AX135" s="64" t="str">
        <f ca="1">IF(COUNTIFS('SEANCE 1'!$B:$B, $B135, 'SEANCE 1'!$C:$C, AX$2, 'SEANCE 1'!$F:$F, AX$5)=0, "", COUNTIFS('SEANCE 1'!$B:$B, $B135, 'SEANCE 1'!$C:$C, AX$2, 'SEANCE 1'!$F:$F, AX$5))</f>
        <v/>
      </c>
      <c r="AY135" s="64" t="str">
        <f ca="1">IF(COUNTIFS('SEANCE 1'!$B:$B, $B135, 'SEANCE 1'!$C:$C, AY$2, 'SEANCE 1'!$F:$F, AY$5)=0, "", COUNTIFS('SEANCE 1'!$B:$B, $B135, 'SEANCE 1'!$C:$C, AY$2, 'SEANCE 1'!$F:$F, AY$5))</f>
        <v/>
      </c>
      <c r="AZ135" s="32">
        <f t="shared" ref="AZ135:AZ145" ca="1" si="2">SUM(C135:AY135)</f>
        <v>0</v>
      </c>
    </row>
    <row r="136" spans="1:52">
      <c r="A136" s="44" t="str">
        <f>IF('SEANCE 1'!$B132&lt;&gt;"",'SEANCE 1'!$A132,"")</f>
        <v/>
      </c>
      <c r="B136" s="44" t="str">
        <f t="array" aca="1" ref="B136" ca="1">IF(ISNA(INDEX(ListeB,MATCH(0,COUNTIF($B$5:B135,ListeB),0))),"",INDEX(ListeB,MATCH(0,COUNTIF($B$5:B135,ListeB),0)))</f>
        <v/>
      </c>
      <c r="C136" s="64" t="str">
        <f ca="1">IF(COUNTIFS('SEANCE 1'!$B:$B, $B136, 'SEANCE 1'!$C:$C, C$2, 'SEANCE 1'!$F:$F, C$5)=0, "", COUNTIFS('SEANCE 1'!$B:$B, $B136, 'SEANCE 1'!$C:$C, C$2, 'SEANCE 1'!$F:$F, C$5))</f>
        <v/>
      </c>
      <c r="D136" s="64" t="str">
        <f ca="1">IF(COUNTIFS('SEANCE 1'!$B:$B, $B136, 'SEANCE 1'!$C:$C, D$2, 'SEANCE 1'!$F:$F, D$5)=0, "", COUNTIFS('SEANCE 1'!$B:$B, $B136, 'SEANCE 1'!$C:$C, D$2, 'SEANCE 1'!$F:$F, D$5))</f>
        <v/>
      </c>
      <c r="E136" s="64" t="str">
        <f ca="1">IF(COUNTIFS('SEANCE 1'!$B:$B, $B136, 'SEANCE 1'!$C:$C, E$2, 'SEANCE 1'!$F:$F, E$5)=0, "", COUNTIFS('SEANCE 1'!$B:$B, $B136, 'SEANCE 1'!$C:$C, E$2, 'SEANCE 1'!$F:$F, E$5))</f>
        <v/>
      </c>
      <c r="F136" s="64" t="str">
        <f ca="1">IF(COUNTIFS('SEANCE 1'!$B:$B, $B136, 'SEANCE 1'!$C:$C, F$2, 'SEANCE 1'!$F:$F, F$5)=0, "", COUNTIFS('SEANCE 1'!$B:$B, $B136, 'SEANCE 1'!$C:$C, F$2, 'SEANCE 1'!$F:$F, F$5))</f>
        <v/>
      </c>
      <c r="G136" s="64" t="str">
        <f ca="1">IF(COUNTIFS('SEANCE 1'!$B:$B, $B136, 'SEANCE 1'!$C:$C, G$2, 'SEANCE 1'!$F:$F, G$5)=0, "", COUNTIFS('SEANCE 1'!$B:$B, $B136, 'SEANCE 1'!$C:$C, G$2, 'SEANCE 1'!$F:$F, G$5))</f>
        <v/>
      </c>
      <c r="H136" s="64" t="str">
        <f ca="1">IF(COUNTIFS('SEANCE 1'!$B:$B, $B136, 'SEANCE 1'!$C:$C, H$2, 'SEANCE 1'!$F:$F, H$5)=0, "", COUNTIFS('SEANCE 1'!$B:$B, $B136, 'SEANCE 1'!$C:$C, H$2, 'SEANCE 1'!$F:$F, H$5))</f>
        <v/>
      </c>
      <c r="I136" s="64" t="str">
        <f ca="1">IF(COUNTIFS('SEANCE 1'!$B:$B, $B136, 'SEANCE 1'!$C:$C, I$2, 'SEANCE 1'!$F:$F, I$5)=0, "", COUNTIFS('SEANCE 1'!$B:$B, $B136, 'SEANCE 1'!$C:$C, I$2, 'SEANCE 1'!$F:$F, I$5))</f>
        <v/>
      </c>
      <c r="J136" s="64" t="str">
        <f ca="1">IF(COUNTIFS('SEANCE 1'!$B:$B, $B136, 'SEANCE 1'!$C:$C, J$2, 'SEANCE 1'!$F:$F, J$5)=0, "", COUNTIFS('SEANCE 1'!$B:$B, $B136, 'SEANCE 1'!$C:$C, J$2, 'SEANCE 1'!$F:$F, J$5))</f>
        <v/>
      </c>
      <c r="K136" s="64" t="str">
        <f ca="1">IF(COUNTIFS('SEANCE 1'!$B:$B, $B136, 'SEANCE 1'!$C:$C, K$2, 'SEANCE 1'!$F:$F, K$5)=0, "", COUNTIFS('SEANCE 1'!$B:$B, $B136, 'SEANCE 1'!$C:$C, K$2, 'SEANCE 1'!$F:$F, K$5))</f>
        <v/>
      </c>
      <c r="L136" s="64" t="str">
        <f ca="1">IF(COUNTIFS('SEANCE 1'!$B:$B, $B136, 'SEANCE 1'!$C:$C, L$2, 'SEANCE 1'!$F:$F, L$5)=0, "", COUNTIFS('SEANCE 1'!$B:$B, $B136, 'SEANCE 1'!$C:$C, L$2, 'SEANCE 1'!$F:$F, L$5))</f>
        <v/>
      </c>
      <c r="M136" s="64" t="str">
        <f ca="1">IF(COUNTIFS('SEANCE 1'!$B:$B, $B136, 'SEANCE 1'!$C:$C, M$2, 'SEANCE 1'!$F:$F, M$5)=0, "", COUNTIFS('SEANCE 1'!$B:$B, $B136, 'SEANCE 1'!$C:$C, M$2, 'SEANCE 1'!$F:$F, M$5))</f>
        <v/>
      </c>
      <c r="N136" s="64" t="str">
        <f ca="1">IF(COUNTIFS('SEANCE 1'!$B:$B, $B136, 'SEANCE 1'!$C:$C, N$2, 'SEANCE 1'!$F:$F, N$5)=0, "", COUNTIFS('SEANCE 1'!$B:$B, $B136, 'SEANCE 1'!$C:$C, N$2, 'SEANCE 1'!$F:$F, N$5))</f>
        <v/>
      </c>
      <c r="O136" s="64" t="str">
        <f ca="1">IF(COUNTIFS('SEANCE 1'!$B:$B, $B136, 'SEANCE 1'!$C:$C, O$2, 'SEANCE 1'!$F:$F, O$5)=0, "", COUNTIFS('SEANCE 1'!$B:$B, $B136, 'SEANCE 1'!$C:$C, O$2, 'SEANCE 1'!$F:$F, O$5))</f>
        <v/>
      </c>
      <c r="P136" s="64" t="str">
        <f ca="1">IF(COUNTIFS('SEANCE 1'!$B:$B, $B136, 'SEANCE 1'!$C:$C, P$2, 'SEANCE 1'!$F:$F, P$5)=0, "", COUNTIFS('SEANCE 1'!$B:$B, $B136, 'SEANCE 1'!$C:$C, P$2, 'SEANCE 1'!$F:$F, P$5))</f>
        <v/>
      </c>
      <c r="Q136" s="64" t="str">
        <f ca="1">IF(COUNTIFS('SEANCE 1'!$B:$B, $B136, 'SEANCE 1'!$C:$C, Q$2, 'SEANCE 1'!$F:$F, Q$5)=0, "", COUNTIFS('SEANCE 1'!$B:$B, $B136, 'SEANCE 1'!$C:$C, Q$2, 'SEANCE 1'!$F:$F, Q$5))</f>
        <v/>
      </c>
      <c r="R136" s="64" t="str">
        <f ca="1">IF(COUNTIFS('SEANCE 1'!$B:$B, $B136, 'SEANCE 1'!$C:$C, R$2, 'SEANCE 1'!$F:$F, R$5)=0, "", COUNTIFS('SEANCE 1'!$B:$B, $B136, 'SEANCE 1'!$C:$C, R$2, 'SEANCE 1'!$F:$F, R$5))</f>
        <v/>
      </c>
      <c r="S136" s="64" t="str">
        <f ca="1">IF(COUNTIFS('SEANCE 1'!$B:$B, $B136, 'SEANCE 1'!$C:$C, S$2, 'SEANCE 1'!$F:$F, S$5)=0, "", COUNTIFS('SEANCE 1'!$B:$B, $B136, 'SEANCE 1'!$C:$C, S$2, 'SEANCE 1'!$F:$F, S$5))</f>
        <v/>
      </c>
      <c r="T136" s="64" t="str">
        <f ca="1">IF(COUNTIFS('SEANCE 1'!$B:$B, $B136, 'SEANCE 1'!$C:$C, T$2, 'SEANCE 1'!$F:$F, T$5)=0, "", COUNTIFS('SEANCE 1'!$B:$B, $B136, 'SEANCE 1'!$C:$C, T$2, 'SEANCE 1'!$F:$F, T$5))</f>
        <v/>
      </c>
      <c r="U136" s="64" t="str">
        <f ca="1">IF(COUNTIFS('SEANCE 1'!$B:$B, $B136, 'SEANCE 1'!$C:$C, U$2, 'SEANCE 1'!$F:$F, U$5)=0, "", COUNTIFS('SEANCE 1'!$B:$B, $B136, 'SEANCE 1'!$C:$C, U$2, 'SEANCE 1'!$F:$F, U$5))</f>
        <v/>
      </c>
      <c r="V136" s="64" t="str">
        <f ca="1">IF(COUNTIFS('SEANCE 1'!$B:$B, $B136, 'SEANCE 1'!$C:$C, V$2, 'SEANCE 1'!$F:$F, V$5)=0, "", COUNTIFS('SEANCE 1'!$B:$B, $B136, 'SEANCE 1'!$C:$C, V$2, 'SEANCE 1'!$F:$F, V$5))</f>
        <v/>
      </c>
      <c r="W136" s="64" t="str">
        <f ca="1">IF(COUNTIFS('SEANCE 1'!$B:$B, $B136, 'SEANCE 1'!$C:$C, W$2, 'SEANCE 1'!$F:$F, W$5)=0, "", COUNTIFS('SEANCE 1'!$B:$B, $B136, 'SEANCE 1'!$C:$C, W$2, 'SEANCE 1'!$F:$F, W$5))</f>
        <v/>
      </c>
      <c r="X136" s="64" t="str">
        <f ca="1">IF(COUNTIFS('SEANCE 1'!$B:$B, $B136, 'SEANCE 1'!$C:$C, X$2, 'SEANCE 1'!$F:$F, X$5)=0, "", COUNTIFS('SEANCE 1'!$B:$B, $B136, 'SEANCE 1'!$C:$C, X$2, 'SEANCE 1'!$F:$F, X$5))</f>
        <v/>
      </c>
      <c r="Y136" s="64" t="str">
        <f ca="1">IF(COUNTIFS('SEANCE 1'!$B:$B, $B136, 'SEANCE 1'!$C:$C, Y$2, 'SEANCE 1'!$F:$F, Y$5)=0, "", COUNTIFS('SEANCE 1'!$B:$B, $B136, 'SEANCE 1'!$C:$C, Y$2, 'SEANCE 1'!$F:$F, Y$5))</f>
        <v/>
      </c>
      <c r="Z136" s="64" t="str">
        <f ca="1">IF(COUNTIFS('SEANCE 1'!$B:$B, $B136, 'SEANCE 1'!$C:$C, Z$2, 'SEANCE 1'!$F:$F, Z$5)=0, "", COUNTIFS('SEANCE 1'!$B:$B, $B136, 'SEANCE 1'!$C:$C, Z$2, 'SEANCE 1'!$F:$F, Z$5))</f>
        <v/>
      </c>
      <c r="AA136" s="64" t="str">
        <f ca="1">IF(COUNTIFS('SEANCE 1'!$B:$B, $B136, 'SEANCE 1'!$C:$C, AA$2, 'SEANCE 1'!$F:$F, AA$5)=0, "", COUNTIFS('SEANCE 1'!$B:$B, $B136, 'SEANCE 1'!$C:$C, AA$2, 'SEANCE 1'!$F:$F, AA$5))</f>
        <v/>
      </c>
      <c r="AB136" s="64" t="str">
        <f ca="1">IF(COUNTIFS('SEANCE 1'!$B:$B, $B136, 'SEANCE 1'!$C:$C, AB$2, 'SEANCE 1'!$F:$F, AB$5)=0, "", COUNTIFS('SEANCE 1'!$B:$B, $B136, 'SEANCE 1'!$C:$C, AB$2, 'SEANCE 1'!$F:$F, AB$5))</f>
        <v/>
      </c>
      <c r="AC136" s="64" t="str">
        <f ca="1">IF(COUNTIFS('SEANCE 1'!$B:$B, $B136, 'SEANCE 1'!$C:$C, AC$2, 'SEANCE 1'!$F:$F, AC$5)=0, "", COUNTIFS('SEANCE 1'!$B:$B, $B136, 'SEANCE 1'!$C:$C, AC$2, 'SEANCE 1'!$F:$F, AC$5))</f>
        <v/>
      </c>
      <c r="AD136" s="64" t="str">
        <f ca="1">IF(COUNTIFS('SEANCE 1'!$B:$B, $B136, 'SEANCE 1'!$C:$C, AD$2, 'SEANCE 1'!$F:$F, AD$5)=0, "", COUNTIFS('SEANCE 1'!$B:$B, $B136, 'SEANCE 1'!$C:$C, AD$2, 'SEANCE 1'!$F:$F, AD$5))</f>
        <v/>
      </c>
      <c r="AE136" s="64" t="str">
        <f ca="1">IF(COUNTIFS('SEANCE 1'!$B:$B, $B136, 'SEANCE 1'!$C:$C, AE$2, 'SEANCE 1'!$F:$F, AE$5)=0, "", COUNTIFS('SEANCE 1'!$B:$B, $B136, 'SEANCE 1'!$C:$C, AE$2, 'SEANCE 1'!$F:$F, AE$5))</f>
        <v/>
      </c>
      <c r="AF136" s="64" t="str">
        <f ca="1">IF(COUNTIFS('SEANCE 1'!$B:$B, $B136, 'SEANCE 1'!$C:$C, AF$2, 'SEANCE 1'!$F:$F, AF$5)=0, "", COUNTIFS('SEANCE 1'!$B:$B, $B136, 'SEANCE 1'!$C:$C, AF$2, 'SEANCE 1'!$F:$F, AF$5))</f>
        <v/>
      </c>
      <c r="AG136" s="64" t="str">
        <f ca="1">IF(COUNTIFS('SEANCE 1'!$B:$B, $B136, 'SEANCE 1'!$C:$C, AG$2, 'SEANCE 1'!$F:$F, AG$5)=0, "", COUNTIFS('SEANCE 1'!$B:$B, $B136, 'SEANCE 1'!$C:$C, AG$2, 'SEANCE 1'!$F:$F, AG$5))</f>
        <v/>
      </c>
      <c r="AH136" s="64" t="str">
        <f ca="1">IF(COUNTIFS('SEANCE 1'!$B:$B, $B136, 'SEANCE 1'!$C:$C, AH$2, 'SEANCE 1'!$F:$F, AH$5)=0, "", COUNTIFS('SEANCE 1'!$B:$B, $B136, 'SEANCE 1'!$C:$C, AH$2, 'SEANCE 1'!$F:$F, AH$5))</f>
        <v/>
      </c>
      <c r="AI136" s="64" t="str">
        <f ca="1">IF(COUNTIFS('SEANCE 1'!$B:$B, $B136, 'SEANCE 1'!$C:$C, AI$2, 'SEANCE 1'!$F:$F, AI$5)=0, "", COUNTIFS('SEANCE 1'!$B:$B, $B136, 'SEANCE 1'!$C:$C, AI$2, 'SEANCE 1'!$F:$F, AI$5))</f>
        <v/>
      </c>
      <c r="AJ136" s="64" t="str">
        <f ca="1">IF(COUNTIFS('SEANCE 1'!$B:$B, $B136, 'SEANCE 1'!$C:$C, AJ$2, 'SEANCE 1'!$F:$F, AJ$5)=0, "", COUNTIFS('SEANCE 1'!$B:$B, $B136, 'SEANCE 1'!$C:$C, AJ$2, 'SEANCE 1'!$F:$F, AJ$5))</f>
        <v/>
      </c>
      <c r="AK136" s="64" t="str">
        <f ca="1">IF(COUNTIFS('SEANCE 1'!$B:$B, $B136, 'SEANCE 1'!$C:$C, AK$2, 'SEANCE 1'!$F:$F, AK$5)=0, "", COUNTIFS('SEANCE 1'!$B:$B, $B136, 'SEANCE 1'!$C:$C, AK$2, 'SEANCE 1'!$F:$F, AK$5))</f>
        <v/>
      </c>
      <c r="AL136" s="64" t="str">
        <f ca="1">IF(COUNTIFS('SEANCE 1'!$B:$B, $B136, 'SEANCE 1'!$C:$C, AL$2, 'SEANCE 1'!$F:$F, AL$5)=0, "", COUNTIFS('SEANCE 1'!$B:$B, $B136, 'SEANCE 1'!$C:$C, AL$2, 'SEANCE 1'!$F:$F, AL$5))</f>
        <v/>
      </c>
      <c r="AM136" s="64" t="str">
        <f ca="1">IF(COUNTIFS('SEANCE 1'!$B:$B, $B136, 'SEANCE 1'!$C:$C, AM$2, 'SEANCE 1'!$F:$F, AM$5)=0, "", COUNTIFS('SEANCE 1'!$B:$B, $B136, 'SEANCE 1'!$C:$C, AM$2, 'SEANCE 1'!$F:$F, AM$5))</f>
        <v/>
      </c>
      <c r="AN136" s="64" t="str">
        <f ca="1">IF(COUNTIFS('SEANCE 1'!$B:$B, $B136, 'SEANCE 1'!$C:$C, AN$2, 'SEANCE 1'!$F:$F, AN$5)=0, "", COUNTIFS('SEANCE 1'!$B:$B, $B136, 'SEANCE 1'!$C:$C, AN$2, 'SEANCE 1'!$F:$F, AN$5))</f>
        <v/>
      </c>
      <c r="AO136" s="64" t="str">
        <f ca="1">IF(COUNTIFS('SEANCE 1'!$B:$B, $B136, 'SEANCE 1'!$C:$C, AO$2, 'SEANCE 1'!$F:$F, AO$5)=0, "", COUNTIFS('SEANCE 1'!$B:$B, $B136, 'SEANCE 1'!$C:$C, AO$2, 'SEANCE 1'!$F:$F, AO$5))</f>
        <v/>
      </c>
      <c r="AP136" s="64" t="str">
        <f ca="1">IF(COUNTIFS('SEANCE 1'!$B:$B, $B136, 'SEANCE 1'!$C:$C, AP$2, 'SEANCE 1'!$F:$F, AP$5)=0, "", COUNTIFS('SEANCE 1'!$B:$B, $B136, 'SEANCE 1'!$C:$C, AP$2, 'SEANCE 1'!$F:$F, AP$5))</f>
        <v/>
      </c>
      <c r="AQ136" s="64" t="str">
        <f ca="1">IF(COUNTIFS('SEANCE 1'!$B:$B, $B136, 'SEANCE 1'!$C:$C, AQ$2, 'SEANCE 1'!$F:$F, AQ$5)=0, "", COUNTIFS('SEANCE 1'!$B:$B, $B136, 'SEANCE 1'!$C:$C, AQ$2, 'SEANCE 1'!$F:$F, AQ$5))</f>
        <v/>
      </c>
      <c r="AR136" s="64" t="str">
        <f ca="1">IF(COUNTIFS('SEANCE 1'!$B:$B, $B136, 'SEANCE 1'!$C:$C, AR$2, 'SEANCE 1'!$F:$F, AR$5)=0, "", COUNTIFS('SEANCE 1'!$B:$B, $B136, 'SEANCE 1'!$C:$C, AR$2, 'SEANCE 1'!$F:$F, AR$5))</f>
        <v/>
      </c>
      <c r="AS136" s="64" t="str">
        <f ca="1">IF(COUNTIFS('SEANCE 1'!$B:$B, $B136, 'SEANCE 1'!$C:$C, AS$2, 'SEANCE 1'!$F:$F, AS$5)=0, "", COUNTIFS('SEANCE 1'!$B:$B, $B136, 'SEANCE 1'!$C:$C, AS$2, 'SEANCE 1'!$F:$F, AS$5))</f>
        <v/>
      </c>
      <c r="AT136" s="64" t="str">
        <f ca="1">IF(COUNTIFS('SEANCE 1'!$B:$B, $B136, 'SEANCE 1'!$C:$C, AT$2, 'SEANCE 1'!$F:$F, AT$5)=0, "", COUNTIFS('SEANCE 1'!$B:$B, $B136, 'SEANCE 1'!$C:$C, AT$2, 'SEANCE 1'!$F:$F, AT$5))</f>
        <v/>
      </c>
      <c r="AU136" s="64" t="str">
        <f ca="1">IF(COUNTIFS('SEANCE 1'!$B:$B, $B136, 'SEANCE 1'!$C:$C, AU$2, 'SEANCE 1'!$F:$F, AU$5)=0, "", COUNTIFS('SEANCE 1'!$B:$B, $B136, 'SEANCE 1'!$C:$C, AU$2, 'SEANCE 1'!$F:$F, AU$5))</f>
        <v/>
      </c>
      <c r="AV136" s="64" t="str">
        <f ca="1">IF(COUNTIFS('SEANCE 1'!$B:$B, $B136, 'SEANCE 1'!$C:$C, AV$2, 'SEANCE 1'!$F:$F, AV$5)=0, "", COUNTIFS('SEANCE 1'!$B:$B, $B136, 'SEANCE 1'!$C:$C, AV$2, 'SEANCE 1'!$F:$F, AV$5))</f>
        <v/>
      </c>
      <c r="AW136" s="64" t="str">
        <f ca="1">IF(COUNTIFS('SEANCE 1'!$B:$B, $B136, 'SEANCE 1'!$C:$C, AW$2, 'SEANCE 1'!$F:$F, AW$5)=0, "", COUNTIFS('SEANCE 1'!$B:$B, $B136, 'SEANCE 1'!$C:$C, AW$2, 'SEANCE 1'!$F:$F, AW$5))</f>
        <v/>
      </c>
      <c r="AX136" s="64" t="str">
        <f ca="1">IF(COUNTIFS('SEANCE 1'!$B:$B, $B136, 'SEANCE 1'!$C:$C, AX$2, 'SEANCE 1'!$F:$F, AX$5)=0, "", COUNTIFS('SEANCE 1'!$B:$B, $B136, 'SEANCE 1'!$C:$C, AX$2, 'SEANCE 1'!$F:$F, AX$5))</f>
        <v/>
      </c>
      <c r="AY136" s="64" t="str">
        <f ca="1">IF(COUNTIFS('SEANCE 1'!$B:$B, $B136, 'SEANCE 1'!$C:$C, AY$2, 'SEANCE 1'!$F:$F, AY$5)=0, "", COUNTIFS('SEANCE 1'!$B:$B, $B136, 'SEANCE 1'!$C:$C, AY$2, 'SEANCE 1'!$F:$F, AY$5))</f>
        <v/>
      </c>
      <c r="AZ136" s="32">
        <f t="shared" ca="1" si="2"/>
        <v>0</v>
      </c>
    </row>
    <row r="137" spans="1:52">
      <c r="A137" s="44" t="str">
        <f>IF('SEANCE 1'!$B133&lt;&gt;"",'SEANCE 1'!$A133,"")</f>
        <v/>
      </c>
      <c r="B137" s="44" t="str">
        <f t="array" aca="1" ref="B137" ca="1">IF(ISNA(INDEX(ListeB,MATCH(0,COUNTIF($B$5:B136,ListeB),0))),"",INDEX(ListeB,MATCH(0,COUNTIF($B$5:B136,ListeB),0)))</f>
        <v/>
      </c>
      <c r="C137" s="64" t="str">
        <f ca="1">IF(COUNTIFS('SEANCE 1'!$B:$B, $B137, 'SEANCE 1'!$C:$C, C$2, 'SEANCE 1'!$F:$F, C$5)=0, "", COUNTIFS('SEANCE 1'!$B:$B, $B137, 'SEANCE 1'!$C:$C, C$2, 'SEANCE 1'!$F:$F, C$5))</f>
        <v/>
      </c>
      <c r="D137" s="64" t="str">
        <f ca="1">IF(COUNTIFS('SEANCE 1'!$B:$B, $B137, 'SEANCE 1'!$C:$C, D$2, 'SEANCE 1'!$F:$F, D$5)=0, "", COUNTIFS('SEANCE 1'!$B:$B, $B137, 'SEANCE 1'!$C:$C, D$2, 'SEANCE 1'!$F:$F, D$5))</f>
        <v/>
      </c>
      <c r="E137" s="64" t="str">
        <f ca="1">IF(COUNTIFS('SEANCE 1'!$B:$B, $B137, 'SEANCE 1'!$C:$C, E$2, 'SEANCE 1'!$F:$F, E$5)=0, "", COUNTIFS('SEANCE 1'!$B:$B, $B137, 'SEANCE 1'!$C:$C, E$2, 'SEANCE 1'!$F:$F, E$5))</f>
        <v/>
      </c>
      <c r="F137" s="64" t="str">
        <f ca="1">IF(COUNTIFS('SEANCE 1'!$B:$B, $B137, 'SEANCE 1'!$C:$C, F$2, 'SEANCE 1'!$F:$F, F$5)=0, "", COUNTIFS('SEANCE 1'!$B:$B, $B137, 'SEANCE 1'!$C:$C, F$2, 'SEANCE 1'!$F:$F, F$5))</f>
        <v/>
      </c>
      <c r="G137" s="64" t="str">
        <f ca="1">IF(COUNTIFS('SEANCE 1'!$B:$B, $B137, 'SEANCE 1'!$C:$C, G$2, 'SEANCE 1'!$F:$F, G$5)=0, "", COUNTIFS('SEANCE 1'!$B:$B, $B137, 'SEANCE 1'!$C:$C, G$2, 'SEANCE 1'!$F:$F, G$5))</f>
        <v/>
      </c>
      <c r="H137" s="64" t="str">
        <f ca="1">IF(COUNTIFS('SEANCE 1'!$B:$B, $B137, 'SEANCE 1'!$C:$C, H$2, 'SEANCE 1'!$F:$F, H$5)=0, "", COUNTIFS('SEANCE 1'!$B:$B, $B137, 'SEANCE 1'!$C:$C, H$2, 'SEANCE 1'!$F:$F, H$5))</f>
        <v/>
      </c>
      <c r="I137" s="64" t="str">
        <f ca="1">IF(COUNTIFS('SEANCE 1'!$B:$B, $B137, 'SEANCE 1'!$C:$C, I$2, 'SEANCE 1'!$F:$F, I$5)=0, "", COUNTIFS('SEANCE 1'!$B:$B, $B137, 'SEANCE 1'!$C:$C, I$2, 'SEANCE 1'!$F:$F, I$5))</f>
        <v/>
      </c>
      <c r="J137" s="64" t="str">
        <f ca="1">IF(COUNTIFS('SEANCE 1'!$B:$B, $B137, 'SEANCE 1'!$C:$C, J$2, 'SEANCE 1'!$F:$F, J$5)=0, "", COUNTIFS('SEANCE 1'!$B:$B, $B137, 'SEANCE 1'!$C:$C, J$2, 'SEANCE 1'!$F:$F, J$5))</f>
        <v/>
      </c>
      <c r="K137" s="64" t="str">
        <f ca="1">IF(COUNTIFS('SEANCE 1'!$B:$B, $B137, 'SEANCE 1'!$C:$C, K$2, 'SEANCE 1'!$F:$F, K$5)=0, "", COUNTIFS('SEANCE 1'!$B:$B, $B137, 'SEANCE 1'!$C:$C, K$2, 'SEANCE 1'!$F:$F, K$5))</f>
        <v/>
      </c>
      <c r="L137" s="64" t="str">
        <f ca="1">IF(COUNTIFS('SEANCE 1'!$B:$B, $B137, 'SEANCE 1'!$C:$C, L$2, 'SEANCE 1'!$F:$F, L$5)=0, "", COUNTIFS('SEANCE 1'!$B:$B, $B137, 'SEANCE 1'!$C:$C, L$2, 'SEANCE 1'!$F:$F, L$5))</f>
        <v/>
      </c>
      <c r="M137" s="64" t="str">
        <f ca="1">IF(COUNTIFS('SEANCE 1'!$B:$B, $B137, 'SEANCE 1'!$C:$C, M$2, 'SEANCE 1'!$F:$F, M$5)=0, "", COUNTIFS('SEANCE 1'!$B:$B, $B137, 'SEANCE 1'!$C:$C, M$2, 'SEANCE 1'!$F:$F, M$5))</f>
        <v/>
      </c>
      <c r="N137" s="64" t="str">
        <f ca="1">IF(COUNTIFS('SEANCE 1'!$B:$B, $B137, 'SEANCE 1'!$C:$C, N$2, 'SEANCE 1'!$F:$F, N$5)=0, "", COUNTIFS('SEANCE 1'!$B:$B, $B137, 'SEANCE 1'!$C:$C, N$2, 'SEANCE 1'!$F:$F, N$5))</f>
        <v/>
      </c>
      <c r="O137" s="64" t="str">
        <f ca="1">IF(COUNTIFS('SEANCE 1'!$B:$B, $B137, 'SEANCE 1'!$C:$C, O$2, 'SEANCE 1'!$F:$F, O$5)=0, "", COUNTIFS('SEANCE 1'!$B:$B, $B137, 'SEANCE 1'!$C:$C, O$2, 'SEANCE 1'!$F:$F, O$5))</f>
        <v/>
      </c>
      <c r="P137" s="64" t="str">
        <f ca="1">IF(COUNTIFS('SEANCE 1'!$B:$B, $B137, 'SEANCE 1'!$C:$C, P$2, 'SEANCE 1'!$F:$F, P$5)=0, "", COUNTIFS('SEANCE 1'!$B:$B, $B137, 'SEANCE 1'!$C:$C, P$2, 'SEANCE 1'!$F:$F, P$5))</f>
        <v/>
      </c>
      <c r="Q137" s="64" t="str">
        <f ca="1">IF(COUNTIFS('SEANCE 1'!$B:$B, $B137, 'SEANCE 1'!$C:$C, Q$2, 'SEANCE 1'!$F:$F, Q$5)=0, "", COUNTIFS('SEANCE 1'!$B:$B, $B137, 'SEANCE 1'!$C:$C, Q$2, 'SEANCE 1'!$F:$F, Q$5))</f>
        <v/>
      </c>
      <c r="R137" s="64" t="str">
        <f ca="1">IF(COUNTIFS('SEANCE 1'!$B:$B, $B137, 'SEANCE 1'!$C:$C, R$2, 'SEANCE 1'!$F:$F, R$5)=0, "", COUNTIFS('SEANCE 1'!$B:$B, $B137, 'SEANCE 1'!$C:$C, R$2, 'SEANCE 1'!$F:$F, R$5))</f>
        <v/>
      </c>
      <c r="S137" s="64" t="str">
        <f ca="1">IF(COUNTIFS('SEANCE 1'!$B:$B, $B137, 'SEANCE 1'!$C:$C, S$2, 'SEANCE 1'!$F:$F, S$5)=0, "", COUNTIFS('SEANCE 1'!$B:$B, $B137, 'SEANCE 1'!$C:$C, S$2, 'SEANCE 1'!$F:$F, S$5))</f>
        <v/>
      </c>
      <c r="T137" s="64" t="str">
        <f ca="1">IF(COUNTIFS('SEANCE 1'!$B:$B, $B137, 'SEANCE 1'!$C:$C, T$2, 'SEANCE 1'!$F:$F, T$5)=0, "", COUNTIFS('SEANCE 1'!$B:$B, $B137, 'SEANCE 1'!$C:$C, T$2, 'SEANCE 1'!$F:$F, T$5))</f>
        <v/>
      </c>
      <c r="U137" s="64" t="str">
        <f ca="1">IF(COUNTIFS('SEANCE 1'!$B:$B, $B137, 'SEANCE 1'!$C:$C, U$2, 'SEANCE 1'!$F:$F, U$5)=0, "", COUNTIFS('SEANCE 1'!$B:$B, $B137, 'SEANCE 1'!$C:$C, U$2, 'SEANCE 1'!$F:$F, U$5))</f>
        <v/>
      </c>
      <c r="V137" s="64" t="str">
        <f ca="1">IF(COUNTIFS('SEANCE 1'!$B:$B, $B137, 'SEANCE 1'!$C:$C, V$2, 'SEANCE 1'!$F:$F, V$5)=0, "", COUNTIFS('SEANCE 1'!$B:$B, $B137, 'SEANCE 1'!$C:$C, V$2, 'SEANCE 1'!$F:$F, V$5))</f>
        <v/>
      </c>
      <c r="W137" s="64" t="str">
        <f ca="1">IF(COUNTIFS('SEANCE 1'!$B:$B, $B137, 'SEANCE 1'!$C:$C, W$2, 'SEANCE 1'!$F:$F, W$5)=0, "", COUNTIFS('SEANCE 1'!$B:$B, $B137, 'SEANCE 1'!$C:$C, W$2, 'SEANCE 1'!$F:$F, W$5))</f>
        <v/>
      </c>
      <c r="X137" s="64" t="str">
        <f ca="1">IF(COUNTIFS('SEANCE 1'!$B:$B, $B137, 'SEANCE 1'!$C:$C, X$2, 'SEANCE 1'!$F:$F, X$5)=0, "", COUNTIFS('SEANCE 1'!$B:$B, $B137, 'SEANCE 1'!$C:$C, X$2, 'SEANCE 1'!$F:$F, X$5))</f>
        <v/>
      </c>
      <c r="Y137" s="64" t="str">
        <f ca="1">IF(COUNTIFS('SEANCE 1'!$B:$B, $B137, 'SEANCE 1'!$C:$C, Y$2, 'SEANCE 1'!$F:$F, Y$5)=0, "", COUNTIFS('SEANCE 1'!$B:$B, $B137, 'SEANCE 1'!$C:$C, Y$2, 'SEANCE 1'!$F:$F, Y$5))</f>
        <v/>
      </c>
      <c r="Z137" s="64" t="str">
        <f ca="1">IF(COUNTIFS('SEANCE 1'!$B:$B, $B137, 'SEANCE 1'!$C:$C, Z$2, 'SEANCE 1'!$F:$F, Z$5)=0, "", COUNTIFS('SEANCE 1'!$B:$B, $B137, 'SEANCE 1'!$C:$C, Z$2, 'SEANCE 1'!$F:$F, Z$5))</f>
        <v/>
      </c>
      <c r="AA137" s="64" t="str">
        <f ca="1">IF(COUNTIFS('SEANCE 1'!$B:$B, $B137, 'SEANCE 1'!$C:$C, AA$2, 'SEANCE 1'!$F:$F, AA$5)=0, "", COUNTIFS('SEANCE 1'!$B:$B, $B137, 'SEANCE 1'!$C:$C, AA$2, 'SEANCE 1'!$F:$F, AA$5))</f>
        <v/>
      </c>
      <c r="AB137" s="64" t="str">
        <f ca="1">IF(COUNTIFS('SEANCE 1'!$B:$B, $B137, 'SEANCE 1'!$C:$C, AB$2, 'SEANCE 1'!$F:$F, AB$5)=0, "", COUNTIFS('SEANCE 1'!$B:$B, $B137, 'SEANCE 1'!$C:$C, AB$2, 'SEANCE 1'!$F:$F, AB$5))</f>
        <v/>
      </c>
      <c r="AC137" s="64" t="str">
        <f ca="1">IF(COUNTIFS('SEANCE 1'!$B:$B, $B137, 'SEANCE 1'!$C:$C, AC$2, 'SEANCE 1'!$F:$F, AC$5)=0, "", COUNTIFS('SEANCE 1'!$B:$B, $B137, 'SEANCE 1'!$C:$C, AC$2, 'SEANCE 1'!$F:$F, AC$5))</f>
        <v/>
      </c>
      <c r="AD137" s="64" t="str">
        <f ca="1">IF(COUNTIFS('SEANCE 1'!$B:$B, $B137, 'SEANCE 1'!$C:$C, AD$2, 'SEANCE 1'!$F:$F, AD$5)=0, "", COUNTIFS('SEANCE 1'!$B:$B, $B137, 'SEANCE 1'!$C:$C, AD$2, 'SEANCE 1'!$F:$F, AD$5))</f>
        <v/>
      </c>
      <c r="AE137" s="64" t="str">
        <f ca="1">IF(COUNTIFS('SEANCE 1'!$B:$B, $B137, 'SEANCE 1'!$C:$C, AE$2, 'SEANCE 1'!$F:$F, AE$5)=0, "", COUNTIFS('SEANCE 1'!$B:$B, $B137, 'SEANCE 1'!$C:$C, AE$2, 'SEANCE 1'!$F:$F, AE$5))</f>
        <v/>
      </c>
      <c r="AF137" s="64" t="str">
        <f ca="1">IF(COUNTIFS('SEANCE 1'!$B:$B, $B137, 'SEANCE 1'!$C:$C, AF$2, 'SEANCE 1'!$F:$F, AF$5)=0, "", COUNTIFS('SEANCE 1'!$B:$B, $B137, 'SEANCE 1'!$C:$C, AF$2, 'SEANCE 1'!$F:$F, AF$5))</f>
        <v/>
      </c>
      <c r="AG137" s="64" t="str">
        <f ca="1">IF(COUNTIFS('SEANCE 1'!$B:$B, $B137, 'SEANCE 1'!$C:$C, AG$2, 'SEANCE 1'!$F:$F, AG$5)=0, "", COUNTIFS('SEANCE 1'!$B:$B, $B137, 'SEANCE 1'!$C:$C, AG$2, 'SEANCE 1'!$F:$F, AG$5))</f>
        <v/>
      </c>
      <c r="AH137" s="64" t="str">
        <f ca="1">IF(COUNTIFS('SEANCE 1'!$B:$B, $B137, 'SEANCE 1'!$C:$C, AH$2, 'SEANCE 1'!$F:$F, AH$5)=0, "", COUNTIFS('SEANCE 1'!$B:$B, $B137, 'SEANCE 1'!$C:$C, AH$2, 'SEANCE 1'!$F:$F, AH$5))</f>
        <v/>
      </c>
      <c r="AI137" s="64" t="str">
        <f ca="1">IF(COUNTIFS('SEANCE 1'!$B:$B, $B137, 'SEANCE 1'!$C:$C, AI$2, 'SEANCE 1'!$F:$F, AI$5)=0, "", COUNTIFS('SEANCE 1'!$B:$B, $B137, 'SEANCE 1'!$C:$C, AI$2, 'SEANCE 1'!$F:$F, AI$5))</f>
        <v/>
      </c>
      <c r="AJ137" s="64" t="str">
        <f ca="1">IF(COUNTIFS('SEANCE 1'!$B:$B, $B137, 'SEANCE 1'!$C:$C, AJ$2, 'SEANCE 1'!$F:$F, AJ$5)=0, "", COUNTIFS('SEANCE 1'!$B:$B, $B137, 'SEANCE 1'!$C:$C, AJ$2, 'SEANCE 1'!$F:$F, AJ$5))</f>
        <v/>
      </c>
      <c r="AK137" s="64" t="str">
        <f ca="1">IF(COUNTIFS('SEANCE 1'!$B:$B, $B137, 'SEANCE 1'!$C:$C, AK$2, 'SEANCE 1'!$F:$F, AK$5)=0, "", COUNTIFS('SEANCE 1'!$B:$B, $B137, 'SEANCE 1'!$C:$C, AK$2, 'SEANCE 1'!$F:$F, AK$5))</f>
        <v/>
      </c>
      <c r="AL137" s="64" t="str">
        <f ca="1">IF(COUNTIFS('SEANCE 1'!$B:$B, $B137, 'SEANCE 1'!$C:$C, AL$2, 'SEANCE 1'!$F:$F, AL$5)=0, "", COUNTIFS('SEANCE 1'!$B:$B, $B137, 'SEANCE 1'!$C:$C, AL$2, 'SEANCE 1'!$F:$F, AL$5))</f>
        <v/>
      </c>
      <c r="AM137" s="64" t="str">
        <f ca="1">IF(COUNTIFS('SEANCE 1'!$B:$B, $B137, 'SEANCE 1'!$C:$C, AM$2, 'SEANCE 1'!$F:$F, AM$5)=0, "", COUNTIFS('SEANCE 1'!$B:$B, $B137, 'SEANCE 1'!$C:$C, AM$2, 'SEANCE 1'!$F:$F, AM$5))</f>
        <v/>
      </c>
      <c r="AN137" s="64" t="str">
        <f ca="1">IF(COUNTIFS('SEANCE 1'!$B:$B, $B137, 'SEANCE 1'!$C:$C, AN$2, 'SEANCE 1'!$F:$F, AN$5)=0, "", COUNTIFS('SEANCE 1'!$B:$B, $B137, 'SEANCE 1'!$C:$C, AN$2, 'SEANCE 1'!$F:$F, AN$5))</f>
        <v/>
      </c>
      <c r="AO137" s="64" t="str">
        <f ca="1">IF(COUNTIFS('SEANCE 1'!$B:$B, $B137, 'SEANCE 1'!$C:$C, AO$2, 'SEANCE 1'!$F:$F, AO$5)=0, "", COUNTIFS('SEANCE 1'!$B:$B, $B137, 'SEANCE 1'!$C:$C, AO$2, 'SEANCE 1'!$F:$F, AO$5))</f>
        <v/>
      </c>
      <c r="AP137" s="64" t="str">
        <f ca="1">IF(COUNTIFS('SEANCE 1'!$B:$B, $B137, 'SEANCE 1'!$C:$C, AP$2, 'SEANCE 1'!$F:$F, AP$5)=0, "", COUNTIFS('SEANCE 1'!$B:$B, $B137, 'SEANCE 1'!$C:$C, AP$2, 'SEANCE 1'!$F:$F, AP$5))</f>
        <v/>
      </c>
      <c r="AQ137" s="64" t="str">
        <f ca="1">IF(COUNTIFS('SEANCE 1'!$B:$B, $B137, 'SEANCE 1'!$C:$C, AQ$2, 'SEANCE 1'!$F:$F, AQ$5)=0, "", COUNTIFS('SEANCE 1'!$B:$B, $B137, 'SEANCE 1'!$C:$C, AQ$2, 'SEANCE 1'!$F:$F, AQ$5))</f>
        <v/>
      </c>
      <c r="AR137" s="64" t="str">
        <f ca="1">IF(COUNTIFS('SEANCE 1'!$B:$B, $B137, 'SEANCE 1'!$C:$C, AR$2, 'SEANCE 1'!$F:$F, AR$5)=0, "", COUNTIFS('SEANCE 1'!$B:$B, $B137, 'SEANCE 1'!$C:$C, AR$2, 'SEANCE 1'!$F:$F, AR$5))</f>
        <v/>
      </c>
      <c r="AS137" s="64" t="str">
        <f ca="1">IF(COUNTIFS('SEANCE 1'!$B:$B, $B137, 'SEANCE 1'!$C:$C, AS$2, 'SEANCE 1'!$F:$F, AS$5)=0, "", COUNTIFS('SEANCE 1'!$B:$B, $B137, 'SEANCE 1'!$C:$C, AS$2, 'SEANCE 1'!$F:$F, AS$5))</f>
        <v/>
      </c>
      <c r="AT137" s="64" t="str">
        <f ca="1">IF(COUNTIFS('SEANCE 1'!$B:$B, $B137, 'SEANCE 1'!$C:$C, AT$2, 'SEANCE 1'!$F:$F, AT$5)=0, "", COUNTIFS('SEANCE 1'!$B:$B, $B137, 'SEANCE 1'!$C:$C, AT$2, 'SEANCE 1'!$F:$F, AT$5))</f>
        <v/>
      </c>
      <c r="AU137" s="64" t="str">
        <f ca="1">IF(COUNTIFS('SEANCE 1'!$B:$B, $B137, 'SEANCE 1'!$C:$C, AU$2, 'SEANCE 1'!$F:$F, AU$5)=0, "", COUNTIFS('SEANCE 1'!$B:$B, $B137, 'SEANCE 1'!$C:$C, AU$2, 'SEANCE 1'!$F:$F, AU$5))</f>
        <v/>
      </c>
      <c r="AV137" s="64" t="str">
        <f ca="1">IF(COUNTIFS('SEANCE 1'!$B:$B, $B137, 'SEANCE 1'!$C:$C, AV$2, 'SEANCE 1'!$F:$F, AV$5)=0, "", COUNTIFS('SEANCE 1'!$B:$B, $B137, 'SEANCE 1'!$C:$C, AV$2, 'SEANCE 1'!$F:$F, AV$5))</f>
        <v/>
      </c>
      <c r="AW137" s="64" t="str">
        <f ca="1">IF(COUNTIFS('SEANCE 1'!$B:$B, $B137, 'SEANCE 1'!$C:$C, AW$2, 'SEANCE 1'!$F:$F, AW$5)=0, "", COUNTIFS('SEANCE 1'!$B:$B, $B137, 'SEANCE 1'!$C:$C, AW$2, 'SEANCE 1'!$F:$F, AW$5))</f>
        <v/>
      </c>
      <c r="AX137" s="64" t="str">
        <f ca="1">IF(COUNTIFS('SEANCE 1'!$B:$B, $B137, 'SEANCE 1'!$C:$C, AX$2, 'SEANCE 1'!$F:$F, AX$5)=0, "", COUNTIFS('SEANCE 1'!$B:$B, $B137, 'SEANCE 1'!$C:$C, AX$2, 'SEANCE 1'!$F:$F, AX$5))</f>
        <v/>
      </c>
      <c r="AY137" s="64" t="str">
        <f ca="1">IF(COUNTIFS('SEANCE 1'!$B:$B, $B137, 'SEANCE 1'!$C:$C, AY$2, 'SEANCE 1'!$F:$F, AY$5)=0, "", COUNTIFS('SEANCE 1'!$B:$B, $B137, 'SEANCE 1'!$C:$C, AY$2, 'SEANCE 1'!$F:$F, AY$5))</f>
        <v/>
      </c>
      <c r="AZ137" s="32">
        <f t="shared" ca="1" si="2"/>
        <v>0</v>
      </c>
    </row>
    <row r="138" spans="1:52">
      <c r="A138" s="44" t="str">
        <f>IF('SEANCE 1'!$B134&lt;&gt;"",'SEANCE 1'!$A134,"")</f>
        <v/>
      </c>
      <c r="B138" s="44" t="str">
        <f t="array" aca="1" ref="B138" ca="1">IF(ISNA(INDEX(ListeB,MATCH(0,COUNTIF($B$5:B137,ListeB),0))),"",INDEX(ListeB,MATCH(0,COUNTIF($B$5:B137,ListeB),0)))</f>
        <v/>
      </c>
      <c r="C138" s="64" t="str">
        <f ca="1">IF(COUNTIFS('SEANCE 1'!$B:$B, $B138, 'SEANCE 1'!$C:$C, C$2, 'SEANCE 1'!$F:$F, C$5)=0, "", COUNTIFS('SEANCE 1'!$B:$B, $B138, 'SEANCE 1'!$C:$C, C$2, 'SEANCE 1'!$F:$F, C$5))</f>
        <v/>
      </c>
      <c r="D138" s="64" t="str">
        <f ca="1">IF(COUNTIFS('SEANCE 1'!$B:$B, $B138, 'SEANCE 1'!$C:$C, D$2, 'SEANCE 1'!$F:$F, D$5)=0, "", COUNTIFS('SEANCE 1'!$B:$B, $B138, 'SEANCE 1'!$C:$C, D$2, 'SEANCE 1'!$F:$F, D$5))</f>
        <v/>
      </c>
      <c r="E138" s="64" t="str">
        <f ca="1">IF(COUNTIFS('SEANCE 1'!$B:$B, $B138, 'SEANCE 1'!$C:$C, E$2, 'SEANCE 1'!$F:$F, E$5)=0, "", COUNTIFS('SEANCE 1'!$B:$B, $B138, 'SEANCE 1'!$C:$C, E$2, 'SEANCE 1'!$F:$F, E$5))</f>
        <v/>
      </c>
      <c r="F138" s="64" t="str">
        <f ca="1">IF(COUNTIFS('SEANCE 1'!$B:$B, $B138, 'SEANCE 1'!$C:$C, F$2, 'SEANCE 1'!$F:$F, F$5)=0, "", COUNTIFS('SEANCE 1'!$B:$B, $B138, 'SEANCE 1'!$C:$C, F$2, 'SEANCE 1'!$F:$F, F$5))</f>
        <v/>
      </c>
      <c r="G138" s="64" t="str">
        <f ca="1">IF(COUNTIFS('SEANCE 1'!$B:$B, $B138, 'SEANCE 1'!$C:$C, G$2, 'SEANCE 1'!$F:$F, G$5)=0, "", COUNTIFS('SEANCE 1'!$B:$B, $B138, 'SEANCE 1'!$C:$C, G$2, 'SEANCE 1'!$F:$F, G$5))</f>
        <v/>
      </c>
      <c r="H138" s="64" t="str">
        <f ca="1">IF(COUNTIFS('SEANCE 1'!$B:$B, $B138, 'SEANCE 1'!$C:$C, H$2, 'SEANCE 1'!$F:$F, H$5)=0, "", COUNTIFS('SEANCE 1'!$B:$B, $B138, 'SEANCE 1'!$C:$C, H$2, 'SEANCE 1'!$F:$F, H$5))</f>
        <v/>
      </c>
      <c r="I138" s="64" t="str">
        <f ca="1">IF(COUNTIFS('SEANCE 1'!$B:$B, $B138, 'SEANCE 1'!$C:$C, I$2, 'SEANCE 1'!$F:$F, I$5)=0, "", COUNTIFS('SEANCE 1'!$B:$B, $B138, 'SEANCE 1'!$C:$C, I$2, 'SEANCE 1'!$F:$F, I$5))</f>
        <v/>
      </c>
      <c r="J138" s="64" t="str">
        <f ca="1">IF(COUNTIFS('SEANCE 1'!$B:$B, $B138, 'SEANCE 1'!$C:$C, J$2, 'SEANCE 1'!$F:$F, J$5)=0, "", COUNTIFS('SEANCE 1'!$B:$B, $B138, 'SEANCE 1'!$C:$C, J$2, 'SEANCE 1'!$F:$F, J$5))</f>
        <v/>
      </c>
      <c r="K138" s="64" t="str">
        <f ca="1">IF(COUNTIFS('SEANCE 1'!$B:$B, $B138, 'SEANCE 1'!$C:$C, K$2, 'SEANCE 1'!$F:$F, K$5)=0, "", COUNTIFS('SEANCE 1'!$B:$B, $B138, 'SEANCE 1'!$C:$C, K$2, 'SEANCE 1'!$F:$F, K$5))</f>
        <v/>
      </c>
      <c r="L138" s="64" t="str">
        <f ca="1">IF(COUNTIFS('SEANCE 1'!$B:$B, $B138, 'SEANCE 1'!$C:$C, L$2, 'SEANCE 1'!$F:$F, L$5)=0, "", COUNTIFS('SEANCE 1'!$B:$B, $B138, 'SEANCE 1'!$C:$C, L$2, 'SEANCE 1'!$F:$F, L$5))</f>
        <v/>
      </c>
      <c r="M138" s="64" t="str">
        <f ca="1">IF(COUNTIFS('SEANCE 1'!$B:$B, $B138, 'SEANCE 1'!$C:$C, M$2, 'SEANCE 1'!$F:$F, M$5)=0, "", COUNTIFS('SEANCE 1'!$B:$B, $B138, 'SEANCE 1'!$C:$C, M$2, 'SEANCE 1'!$F:$F, M$5))</f>
        <v/>
      </c>
      <c r="N138" s="64" t="str">
        <f ca="1">IF(COUNTIFS('SEANCE 1'!$B:$B, $B138, 'SEANCE 1'!$C:$C, N$2, 'SEANCE 1'!$F:$F, N$5)=0, "", COUNTIFS('SEANCE 1'!$B:$B, $B138, 'SEANCE 1'!$C:$C, N$2, 'SEANCE 1'!$F:$F, N$5))</f>
        <v/>
      </c>
      <c r="O138" s="64" t="str">
        <f ca="1">IF(COUNTIFS('SEANCE 1'!$B:$B, $B138, 'SEANCE 1'!$C:$C, O$2, 'SEANCE 1'!$F:$F, O$5)=0, "", COUNTIFS('SEANCE 1'!$B:$B, $B138, 'SEANCE 1'!$C:$C, O$2, 'SEANCE 1'!$F:$F, O$5))</f>
        <v/>
      </c>
      <c r="P138" s="64" t="str">
        <f ca="1">IF(COUNTIFS('SEANCE 1'!$B:$B, $B138, 'SEANCE 1'!$C:$C, P$2, 'SEANCE 1'!$F:$F, P$5)=0, "", COUNTIFS('SEANCE 1'!$B:$B, $B138, 'SEANCE 1'!$C:$C, P$2, 'SEANCE 1'!$F:$F, P$5))</f>
        <v/>
      </c>
      <c r="Q138" s="64" t="str">
        <f ca="1">IF(COUNTIFS('SEANCE 1'!$B:$B, $B138, 'SEANCE 1'!$C:$C, Q$2, 'SEANCE 1'!$F:$F, Q$5)=0, "", COUNTIFS('SEANCE 1'!$B:$B, $B138, 'SEANCE 1'!$C:$C, Q$2, 'SEANCE 1'!$F:$F, Q$5))</f>
        <v/>
      </c>
      <c r="R138" s="64" t="str">
        <f ca="1">IF(COUNTIFS('SEANCE 1'!$B:$B, $B138, 'SEANCE 1'!$C:$C, R$2, 'SEANCE 1'!$F:$F, R$5)=0, "", COUNTIFS('SEANCE 1'!$B:$B, $B138, 'SEANCE 1'!$C:$C, R$2, 'SEANCE 1'!$F:$F, R$5))</f>
        <v/>
      </c>
      <c r="S138" s="64" t="str">
        <f ca="1">IF(COUNTIFS('SEANCE 1'!$B:$B, $B138, 'SEANCE 1'!$C:$C, S$2, 'SEANCE 1'!$F:$F, S$5)=0, "", COUNTIFS('SEANCE 1'!$B:$B, $B138, 'SEANCE 1'!$C:$C, S$2, 'SEANCE 1'!$F:$F, S$5))</f>
        <v/>
      </c>
      <c r="T138" s="64" t="str">
        <f ca="1">IF(COUNTIFS('SEANCE 1'!$B:$B, $B138, 'SEANCE 1'!$C:$C, T$2, 'SEANCE 1'!$F:$F, T$5)=0, "", COUNTIFS('SEANCE 1'!$B:$B, $B138, 'SEANCE 1'!$C:$C, T$2, 'SEANCE 1'!$F:$F, T$5))</f>
        <v/>
      </c>
      <c r="U138" s="64" t="str">
        <f ca="1">IF(COUNTIFS('SEANCE 1'!$B:$B, $B138, 'SEANCE 1'!$C:$C, U$2, 'SEANCE 1'!$F:$F, U$5)=0, "", COUNTIFS('SEANCE 1'!$B:$B, $B138, 'SEANCE 1'!$C:$C, U$2, 'SEANCE 1'!$F:$F, U$5))</f>
        <v/>
      </c>
      <c r="V138" s="64" t="str">
        <f ca="1">IF(COUNTIFS('SEANCE 1'!$B:$B, $B138, 'SEANCE 1'!$C:$C, V$2, 'SEANCE 1'!$F:$F, V$5)=0, "", COUNTIFS('SEANCE 1'!$B:$B, $B138, 'SEANCE 1'!$C:$C, V$2, 'SEANCE 1'!$F:$F, V$5))</f>
        <v/>
      </c>
      <c r="W138" s="64" t="str">
        <f ca="1">IF(COUNTIFS('SEANCE 1'!$B:$B, $B138, 'SEANCE 1'!$C:$C, W$2, 'SEANCE 1'!$F:$F, W$5)=0, "", COUNTIFS('SEANCE 1'!$B:$B, $B138, 'SEANCE 1'!$C:$C, W$2, 'SEANCE 1'!$F:$F, W$5))</f>
        <v/>
      </c>
      <c r="X138" s="64" t="str">
        <f ca="1">IF(COUNTIFS('SEANCE 1'!$B:$B, $B138, 'SEANCE 1'!$C:$C, X$2, 'SEANCE 1'!$F:$F, X$5)=0, "", COUNTIFS('SEANCE 1'!$B:$B, $B138, 'SEANCE 1'!$C:$C, X$2, 'SEANCE 1'!$F:$F, X$5))</f>
        <v/>
      </c>
      <c r="Y138" s="64" t="str">
        <f ca="1">IF(COUNTIFS('SEANCE 1'!$B:$B, $B138, 'SEANCE 1'!$C:$C, Y$2, 'SEANCE 1'!$F:$F, Y$5)=0, "", COUNTIFS('SEANCE 1'!$B:$B, $B138, 'SEANCE 1'!$C:$C, Y$2, 'SEANCE 1'!$F:$F, Y$5))</f>
        <v/>
      </c>
      <c r="Z138" s="64" t="str">
        <f ca="1">IF(COUNTIFS('SEANCE 1'!$B:$B, $B138, 'SEANCE 1'!$C:$C, Z$2, 'SEANCE 1'!$F:$F, Z$5)=0, "", COUNTIFS('SEANCE 1'!$B:$B, $B138, 'SEANCE 1'!$C:$C, Z$2, 'SEANCE 1'!$F:$F, Z$5))</f>
        <v/>
      </c>
      <c r="AA138" s="64" t="str">
        <f ca="1">IF(COUNTIFS('SEANCE 1'!$B:$B, $B138, 'SEANCE 1'!$C:$C, AA$2, 'SEANCE 1'!$F:$F, AA$5)=0, "", COUNTIFS('SEANCE 1'!$B:$B, $B138, 'SEANCE 1'!$C:$C, AA$2, 'SEANCE 1'!$F:$F, AA$5))</f>
        <v/>
      </c>
      <c r="AB138" s="64" t="str">
        <f ca="1">IF(COUNTIFS('SEANCE 1'!$B:$B, $B138, 'SEANCE 1'!$C:$C, AB$2, 'SEANCE 1'!$F:$F, AB$5)=0, "", COUNTIFS('SEANCE 1'!$B:$B, $B138, 'SEANCE 1'!$C:$C, AB$2, 'SEANCE 1'!$F:$F, AB$5))</f>
        <v/>
      </c>
      <c r="AC138" s="64" t="str">
        <f ca="1">IF(COUNTIFS('SEANCE 1'!$B:$B, $B138, 'SEANCE 1'!$C:$C, AC$2, 'SEANCE 1'!$F:$F, AC$5)=0, "", COUNTIFS('SEANCE 1'!$B:$B, $B138, 'SEANCE 1'!$C:$C, AC$2, 'SEANCE 1'!$F:$F, AC$5))</f>
        <v/>
      </c>
      <c r="AD138" s="64" t="str">
        <f ca="1">IF(COUNTIFS('SEANCE 1'!$B:$B, $B138, 'SEANCE 1'!$C:$C, AD$2, 'SEANCE 1'!$F:$F, AD$5)=0, "", COUNTIFS('SEANCE 1'!$B:$B, $B138, 'SEANCE 1'!$C:$C, AD$2, 'SEANCE 1'!$F:$F, AD$5))</f>
        <v/>
      </c>
      <c r="AE138" s="64" t="str">
        <f ca="1">IF(COUNTIFS('SEANCE 1'!$B:$B, $B138, 'SEANCE 1'!$C:$C, AE$2, 'SEANCE 1'!$F:$F, AE$5)=0, "", COUNTIFS('SEANCE 1'!$B:$B, $B138, 'SEANCE 1'!$C:$C, AE$2, 'SEANCE 1'!$F:$F, AE$5))</f>
        <v/>
      </c>
      <c r="AF138" s="64" t="str">
        <f ca="1">IF(COUNTIFS('SEANCE 1'!$B:$B, $B138, 'SEANCE 1'!$C:$C, AF$2, 'SEANCE 1'!$F:$F, AF$5)=0, "", COUNTIFS('SEANCE 1'!$B:$B, $B138, 'SEANCE 1'!$C:$C, AF$2, 'SEANCE 1'!$F:$F, AF$5))</f>
        <v/>
      </c>
      <c r="AG138" s="64" t="str">
        <f ca="1">IF(COUNTIFS('SEANCE 1'!$B:$B, $B138, 'SEANCE 1'!$C:$C, AG$2, 'SEANCE 1'!$F:$F, AG$5)=0, "", COUNTIFS('SEANCE 1'!$B:$B, $B138, 'SEANCE 1'!$C:$C, AG$2, 'SEANCE 1'!$F:$F, AG$5))</f>
        <v/>
      </c>
      <c r="AH138" s="64" t="str">
        <f ca="1">IF(COUNTIFS('SEANCE 1'!$B:$B, $B138, 'SEANCE 1'!$C:$C, AH$2, 'SEANCE 1'!$F:$F, AH$5)=0, "", COUNTIFS('SEANCE 1'!$B:$B, $B138, 'SEANCE 1'!$C:$C, AH$2, 'SEANCE 1'!$F:$F, AH$5))</f>
        <v/>
      </c>
      <c r="AI138" s="64" t="str">
        <f ca="1">IF(COUNTIFS('SEANCE 1'!$B:$B, $B138, 'SEANCE 1'!$C:$C, AI$2, 'SEANCE 1'!$F:$F, AI$5)=0, "", COUNTIFS('SEANCE 1'!$B:$B, $B138, 'SEANCE 1'!$C:$C, AI$2, 'SEANCE 1'!$F:$F, AI$5))</f>
        <v/>
      </c>
      <c r="AJ138" s="64" t="str">
        <f ca="1">IF(COUNTIFS('SEANCE 1'!$B:$B, $B138, 'SEANCE 1'!$C:$C, AJ$2, 'SEANCE 1'!$F:$F, AJ$5)=0, "", COUNTIFS('SEANCE 1'!$B:$B, $B138, 'SEANCE 1'!$C:$C, AJ$2, 'SEANCE 1'!$F:$F, AJ$5))</f>
        <v/>
      </c>
      <c r="AK138" s="64" t="str">
        <f ca="1">IF(COUNTIFS('SEANCE 1'!$B:$B, $B138, 'SEANCE 1'!$C:$C, AK$2, 'SEANCE 1'!$F:$F, AK$5)=0, "", COUNTIFS('SEANCE 1'!$B:$B, $B138, 'SEANCE 1'!$C:$C, AK$2, 'SEANCE 1'!$F:$F, AK$5))</f>
        <v/>
      </c>
      <c r="AL138" s="64" t="str">
        <f ca="1">IF(COUNTIFS('SEANCE 1'!$B:$B, $B138, 'SEANCE 1'!$C:$C, AL$2, 'SEANCE 1'!$F:$F, AL$5)=0, "", COUNTIFS('SEANCE 1'!$B:$B, $B138, 'SEANCE 1'!$C:$C, AL$2, 'SEANCE 1'!$F:$F, AL$5))</f>
        <v/>
      </c>
      <c r="AM138" s="64" t="str">
        <f ca="1">IF(COUNTIFS('SEANCE 1'!$B:$B, $B138, 'SEANCE 1'!$C:$C, AM$2, 'SEANCE 1'!$F:$F, AM$5)=0, "", COUNTIFS('SEANCE 1'!$B:$B, $B138, 'SEANCE 1'!$C:$C, AM$2, 'SEANCE 1'!$F:$F, AM$5))</f>
        <v/>
      </c>
      <c r="AN138" s="64" t="str">
        <f ca="1">IF(COUNTIFS('SEANCE 1'!$B:$B, $B138, 'SEANCE 1'!$C:$C, AN$2, 'SEANCE 1'!$F:$F, AN$5)=0, "", COUNTIFS('SEANCE 1'!$B:$B, $B138, 'SEANCE 1'!$C:$C, AN$2, 'SEANCE 1'!$F:$F, AN$5))</f>
        <v/>
      </c>
      <c r="AO138" s="64" t="str">
        <f ca="1">IF(COUNTIFS('SEANCE 1'!$B:$B, $B138, 'SEANCE 1'!$C:$C, AO$2, 'SEANCE 1'!$F:$F, AO$5)=0, "", COUNTIFS('SEANCE 1'!$B:$B, $B138, 'SEANCE 1'!$C:$C, AO$2, 'SEANCE 1'!$F:$F, AO$5))</f>
        <v/>
      </c>
      <c r="AP138" s="64" t="str">
        <f ca="1">IF(COUNTIFS('SEANCE 1'!$B:$B, $B138, 'SEANCE 1'!$C:$C, AP$2, 'SEANCE 1'!$F:$F, AP$5)=0, "", COUNTIFS('SEANCE 1'!$B:$B, $B138, 'SEANCE 1'!$C:$C, AP$2, 'SEANCE 1'!$F:$F, AP$5))</f>
        <v/>
      </c>
      <c r="AQ138" s="64" t="str">
        <f ca="1">IF(COUNTIFS('SEANCE 1'!$B:$B, $B138, 'SEANCE 1'!$C:$C, AQ$2, 'SEANCE 1'!$F:$F, AQ$5)=0, "", COUNTIFS('SEANCE 1'!$B:$B, $B138, 'SEANCE 1'!$C:$C, AQ$2, 'SEANCE 1'!$F:$F, AQ$5))</f>
        <v/>
      </c>
      <c r="AR138" s="64" t="str">
        <f ca="1">IF(COUNTIFS('SEANCE 1'!$B:$B, $B138, 'SEANCE 1'!$C:$C, AR$2, 'SEANCE 1'!$F:$F, AR$5)=0, "", COUNTIFS('SEANCE 1'!$B:$B, $B138, 'SEANCE 1'!$C:$C, AR$2, 'SEANCE 1'!$F:$F, AR$5))</f>
        <v/>
      </c>
      <c r="AS138" s="64" t="str">
        <f ca="1">IF(COUNTIFS('SEANCE 1'!$B:$B, $B138, 'SEANCE 1'!$C:$C, AS$2, 'SEANCE 1'!$F:$F, AS$5)=0, "", COUNTIFS('SEANCE 1'!$B:$B, $B138, 'SEANCE 1'!$C:$C, AS$2, 'SEANCE 1'!$F:$F, AS$5))</f>
        <v/>
      </c>
      <c r="AT138" s="64" t="str">
        <f ca="1">IF(COUNTIFS('SEANCE 1'!$B:$B, $B138, 'SEANCE 1'!$C:$C, AT$2, 'SEANCE 1'!$F:$F, AT$5)=0, "", COUNTIFS('SEANCE 1'!$B:$B, $B138, 'SEANCE 1'!$C:$C, AT$2, 'SEANCE 1'!$F:$F, AT$5))</f>
        <v/>
      </c>
      <c r="AU138" s="64" t="str">
        <f ca="1">IF(COUNTIFS('SEANCE 1'!$B:$B, $B138, 'SEANCE 1'!$C:$C, AU$2, 'SEANCE 1'!$F:$F, AU$5)=0, "", COUNTIFS('SEANCE 1'!$B:$B, $B138, 'SEANCE 1'!$C:$C, AU$2, 'SEANCE 1'!$F:$F, AU$5))</f>
        <v/>
      </c>
      <c r="AV138" s="64" t="str">
        <f ca="1">IF(COUNTIFS('SEANCE 1'!$B:$B, $B138, 'SEANCE 1'!$C:$C, AV$2, 'SEANCE 1'!$F:$F, AV$5)=0, "", COUNTIFS('SEANCE 1'!$B:$B, $B138, 'SEANCE 1'!$C:$C, AV$2, 'SEANCE 1'!$F:$F, AV$5))</f>
        <v/>
      </c>
      <c r="AW138" s="64" t="str">
        <f ca="1">IF(COUNTIFS('SEANCE 1'!$B:$B, $B138, 'SEANCE 1'!$C:$C, AW$2, 'SEANCE 1'!$F:$F, AW$5)=0, "", COUNTIFS('SEANCE 1'!$B:$B, $B138, 'SEANCE 1'!$C:$C, AW$2, 'SEANCE 1'!$F:$F, AW$5))</f>
        <v/>
      </c>
      <c r="AX138" s="64" t="str">
        <f ca="1">IF(COUNTIFS('SEANCE 1'!$B:$B, $B138, 'SEANCE 1'!$C:$C, AX$2, 'SEANCE 1'!$F:$F, AX$5)=0, "", COUNTIFS('SEANCE 1'!$B:$B, $B138, 'SEANCE 1'!$C:$C, AX$2, 'SEANCE 1'!$F:$F, AX$5))</f>
        <v/>
      </c>
      <c r="AY138" s="64" t="str">
        <f ca="1">IF(COUNTIFS('SEANCE 1'!$B:$B, $B138, 'SEANCE 1'!$C:$C, AY$2, 'SEANCE 1'!$F:$F, AY$5)=0, "", COUNTIFS('SEANCE 1'!$B:$B, $B138, 'SEANCE 1'!$C:$C, AY$2, 'SEANCE 1'!$F:$F, AY$5))</f>
        <v/>
      </c>
      <c r="AZ138" s="32">
        <f t="shared" ca="1" si="2"/>
        <v>0</v>
      </c>
    </row>
    <row r="139" spans="1:52">
      <c r="A139" s="44" t="str">
        <f>IF('SEANCE 1'!$B135&lt;&gt;"",'SEANCE 1'!$A135,"")</f>
        <v/>
      </c>
      <c r="B139" s="44" t="str">
        <f t="array" aca="1" ref="B139" ca="1">IF(ISNA(INDEX(ListeB,MATCH(0,COUNTIF($B$5:B138,ListeB),0))),"",INDEX(ListeB,MATCH(0,COUNTIF($B$5:B138,ListeB),0)))</f>
        <v/>
      </c>
      <c r="C139" s="64" t="str">
        <f ca="1">IF(COUNTIFS('SEANCE 1'!$B:$B, $B139, 'SEANCE 1'!$C:$C, C$2, 'SEANCE 1'!$F:$F, C$5)=0, "", COUNTIFS('SEANCE 1'!$B:$B, $B139, 'SEANCE 1'!$C:$C, C$2, 'SEANCE 1'!$F:$F, C$5))</f>
        <v/>
      </c>
      <c r="D139" s="64" t="str">
        <f ca="1">IF(COUNTIFS('SEANCE 1'!$B:$B, $B139, 'SEANCE 1'!$C:$C, D$2, 'SEANCE 1'!$F:$F, D$5)=0, "", COUNTIFS('SEANCE 1'!$B:$B, $B139, 'SEANCE 1'!$C:$C, D$2, 'SEANCE 1'!$F:$F, D$5))</f>
        <v/>
      </c>
      <c r="E139" s="64" t="str">
        <f ca="1">IF(COUNTIFS('SEANCE 1'!$B:$B, $B139, 'SEANCE 1'!$C:$C, E$2, 'SEANCE 1'!$F:$F, E$5)=0, "", COUNTIFS('SEANCE 1'!$B:$B, $B139, 'SEANCE 1'!$C:$C, E$2, 'SEANCE 1'!$F:$F, E$5))</f>
        <v/>
      </c>
      <c r="F139" s="64" t="str">
        <f ca="1">IF(COUNTIFS('SEANCE 1'!$B:$B, $B139, 'SEANCE 1'!$C:$C, F$2, 'SEANCE 1'!$F:$F, F$5)=0, "", COUNTIFS('SEANCE 1'!$B:$B, $B139, 'SEANCE 1'!$C:$C, F$2, 'SEANCE 1'!$F:$F, F$5))</f>
        <v/>
      </c>
      <c r="G139" s="64" t="str">
        <f ca="1">IF(COUNTIFS('SEANCE 1'!$B:$B, $B139, 'SEANCE 1'!$C:$C, G$2, 'SEANCE 1'!$F:$F, G$5)=0, "", COUNTIFS('SEANCE 1'!$B:$B, $B139, 'SEANCE 1'!$C:$C, G$2, 'SEANCE 1'!$F:$F, G$5))</f>
        <v/>
      </c>
      <c r="H139" s="64" t="str">
        <f ca="1">IF(COUNTIFS('SEANCE 1'!$B:$B, $B139, 'SEANCE 1'!$C:$C, H$2, 'SEANCE 1'!$F:$F, H$5)=0, "", COUNTIFS('SEANCE 1'!$B:$B, $B139, 'SEANCE 1'!$C:$C, H$2, 'SEANCE 1'!$F:$F, H$5))</f>
        <v/>
      </c>
      <c r="I139" s="64" t="str">
        <f ca="1">IF(COUNTIFS('SEANCE 1'!$B:$B, $B139, 'SEANCE 1'!$C:$C, I$2, 'SEANCE 1'!$F:$F, I$5)=0, "", COUNTIFS('SEANCE 1'!$B:$B, $B139, 'SEANCE 1'!$C:$C, I$2, 'SEANCE 1'!$F:$F, I$5))</f>
        <v/>
      </c>
      <c r="J139" s="64" t="str">
        <f ca="1">IF(COUNTIFS('SEANCE 1'!$B:$B, $B139, 'SEANCE 1'!$C:$C, J$2, 'SEANCE 1'!$F:$F, J$5)=0, "", COUNTIFS('SEANCE 1'!$B:$B, $B139, 'SEANCE 1'!$C:$C, J$2, 'SEANCE 1'!$F:$F, J$5))</f>
        <v/>
      </c>
      <c r="K139" s="64" t="str">
        <f ca="1">IF(COUNTIFS('SEANCE 1'!$B:$B, $B139, 'SEANCE 1'!$C:$C, K$2, 'SEANCE 1'!$F:$F, K$5)=0, "", COUNTIFS('SEANCE 1'!$B:$B, $B139, 'SEANCE 1'!$C:$C, K$2, 'SEANCE 1'!$F:$F, K$5))</f>
        <v/>
      </c>
      <c r="L139" s="64" t="str">
        <f ca="1">IF(COUNTIFS('SEANCE 1'!$B:$B, $B139, 'SEANCE 1'!$C:$C, L$2, 'SEANCE 1'!$F:$F, L$5)=0, "", COUNTIFS('SEANCE 1'!$B:$B, $B139, 'SEANCE 1'!$C:$C, L$2, 'SEANCE 1'!$F:$F, L$5))</f>
        <v/>
      </c>
      <c r="M139" s="64" t="str">
        <f ca="1">IF(COUNTIFS('SEANCE 1'!$B:$B, $B139, 'SEANCE 1'!$C:$C, M$2, 'SEANCE 1'!$F:$F, M$5)=0, "", COUNTIFS('SEANCE 1'!$B:$B, $B139, 'SEANCE 1'!$C:$C, M$2, 'SEANCE 1'!$F:$F, M$5))</f>
        <v/>
      </c>
      <c r="N139" s="64" t="str">
        <f ca="1">IF(COUNTIFS('SEANCE 1'!$B:$B, $B139, 'SEANCE 1'!$C:$C, N$2, 'SEANCE 1'!$F:$F, N$5)=0, "", COUNTIFS('SEANCE 1'!$B:$B, $B139, 'SEANCE 1'!$C:$C, N$2, 'SEANCE 1'!$F:$F, N$5))</f>
        <v/>
      </c>
      <c r="O139" s="64" t="str">
        <f ca="1">IF(COUNTIFS('SEANCE 1'!$B:$B, $B139, 'SEANCE 1'!$C:$C, O$2, 'SEANCE 1'!$F:$F, O$5)=0, "", COUNTIFS('SEANCE 1'!$B:$B, $B139, 'SEANCE 1'!$C:$C, O$2, 'SEANCE 1'!$F:$F, O$5))</f>
        <v/>
      </c>
      <c r="P139" s="64" t="str">
        <f ca="1">IF(COUNTIFS('SEANCE 1'!$B:$B, $B139, 'SEANCE 1'!$C:$C, P$2, 'SEANCE 1'!$F:$F, P$5)=0, "", COUNTIFS('SEANCE 1'!$B:$B, $B139, 'SEANCE 1'!$C:$C, P$2, 'SEANCE 1'!$F:$F, P$5))</f>
        <v/>
      </c>
      <c r="Q139" s="64" t="str">
        <f ca="1">IF(COUNTIFS('SEANCE 1'!$B:$B, $B139, 'SEANCE 1'!$C:$C, Q$2, 'SEANCE 1'!$F:$F, Q$5)=0, "", COUNTIFS('SEANCE 1'!$B:$B, $B139, 'SEANCE 1'!$C:$C, Q$2, 'SEANCE 1'!$F:$F, Q$5))</f>
        <v/>
      </c>
      <c r="R139" s="64" t="str">
        <f ca="1">IF(COUNTIFS('SEANCE 1'!$B:$B, $B139, 'SEANCE 1'!$C:$C, R$2, 'SEANCE 1'!$F:$F, R$5)=0, "", COUNTIFS('SEANCE 1'!$B:$B, $B139, 'SEANCE 1'!$C:$C, R$2, 'SEANCE 1'!$F:$F, R$5))</f>
        <v/>
      </c>
      <c r="S139" s="64" t="str">
        <f ca="1">IF(COUNTIFS('SEANCE 1'!$B:$B, $B139, 'SEANCE 1'!$C:$C, S$2, 'SEANCE 1'!$F:$F, S$5)=0, "", COUNTIFS('SEANCE 1'!$B:$B, $B139, 'SEANCE 1'!$C:$C, S$2, 'SEANCE 1'!$F:$F, S$5))</f>
        <v/>
      </c>
      <c r="T139" s="64" t="str">
        <f ca="1">IF(COUNTIFS('SEANCE 1'!$B:$B, $B139, 'SEANCE 1'!$C:$C, T$2, 'SEANCE 1'!$F:$F, T$5)=0, "", COUNTIFS('SEANCE 1'!$B:$B, $B139, 'SEANCE 1'!$C:$C, T$2, 'SEANCE 1'!$F:$F, T$5))</f>
        <v/>
      </c>
      <c r="U139" s="64" t="str">
        <f ca="1">IF(COUNTIFS('SEANCE 1'!$B:$B, $B139, 'SEANCE 1'!$C:$C, U$2, 'SEANCE 1'!$F:$F, U$5)=0, "", COUNTIFS('SEANCE 1'!$B:$B, $B139, 'SEANCE 1'!$C:$C, U$2, 'SEANCE 1'!$F:$F, U$5))</f>
        <v/>
      </c>
      <c r="V139" s="64" t="str">
        <f ca="1">IF(COUNTIFS('SEANCE 1'!$B:$B, $B139, 'SEANCE 1'!$C:$C, V$2, 'SEANCE 1'!$F:$F, V$5)=0, "", COUNTIFS('SEANCE 1'!$B:$B, $B139, 'SEANCE 1'!$C:$C, V$2, 'SEANCE 1'!$F:$F, V$5))</f>
        <v/>
      </c>
      <c r="W139" s="64" t="str">
        <f ca="1">IF(COUNTIFS('SEANCE 1'!$B:$B, $B139, 'SEANCE 1'!$C:$C, W$2, 'SEANCE 1'!$F:$F, W$5)=0, "", COUNTIFS('SEANCE 1'!$B:$B, $B139, 'SEANCE 1'!$C:$C, W$2, 'SEANCE 1'!$F:$F, W$5))</f>
        <v/>
      </c>
      <c r="X139" s="64" t="str">
        <f ca="1">IF(COUNTIFS('SEANCE 1'!$B:$B, $B139, 'SEANCE 1'!$C:$C, X$2, 'SEANCE 1'!$F:$F, X$5)=0, "", COUNTIFS('SEANCE 1'!$B:$B, $B139, 'SEANCE 1'!$C:$C, X$2, 'SEANCE 1'!$F:$F, X$5))</f>
        <v/>
      </c>
      <c r="Y139" s="64" t="str">
        <f ca="1">IF(COUNTIFS('SEANCE 1'!$B:$B, $B139, 'SEANCE 1'!$C:$C, Y$2, 'SEANCE 1'!$F:$F, Y$5)=0, "", COUNTIFS('SEANCE 1'!$B:$B, $B139, 'SEANCE 1'!$C:$C, Y$2, 'SEANCE 1'!$F:$F, Y$5))</f>
        <v/>
      </c>
      <c r="Z139" s="64" t="str">
        <f ca="1">IF(COUNTIFS('SEANCE 1'!$B:$B, $B139, 'SEANCE 1'!$C:$C, Z$2, 'SEANCE 1'!$F:$F, Z$5)=0, "", COUNTIFS('SEANCE 1'!$B:$B, $B139, 'SEANCE 1'!$C:$C, Z$2, 'SEANCE 1'!$F:$F, Z$5))</f>
        <v/>
      </c>
      <c r="AA139" s="64" t="str">
        <f ca="1">IF(COUNTIFS('SEANCE 1'!$B:$B, $B139, 'SEANCE 1'!$C:$C, AA$2, 'SEANCE 1'!$F:$F, AA$5)=0, "", COUNTIFS('SEANCE 1'!$B:$B, $B139, 'SEANCE 1'!$C:$C, AA$2, 'SEANCE 1'!$F:$F, AA$5))</f>
        <v/>
      </c>
      <c r="AB139" s="64" t="str">
        <f ca="1">IF(COUNTIFS('SEANCE 1'!$B:$B, $B139, 'SEANCE 1'!$C:$C, AB$2, 'SEANCE 1'!$F:$F, AB$5)=0, "", COUNTIFS('SEANCE 1'!$B:$B, $B139, 'SEANCE 1'!$C:$C, AB$2, 'SEANCE 1'!$F:$F, AB$5))</f>
        <v/>
      </c>
      <c r="AC139" s="64" t="str">
        <f ca="1">IF(COUNTIFS('SEANCE 1'!$B:$B, $B139, 'SEANCE 1'!$C:$C, AC$2, 'SEANCE 1'!$F:$F, AC$5)=0, "", COUNTIFS('SEANCE 1'!$B:$B, $B139, 'SEANCE 1'!$C:$C, AC$2, 'SEANCE 1'!$F:$F, AC$5))</f>
        <v/>
      </c>
      <c r="AD139" s="64" t="str">
        <f ca="1">IF(COUNTIFS('SEANCE 1'!$B:$B, $B139, 'SEANCE 1'!$C:$C, AD$2, 'SEANCE 1'!$F:$F, AD$5)=0, "", COUNTIFS('SEANCE 1'!$B:$B, $B139, 'SEANCE 1'!$C:$C, AD$2, 'SEANCE 1'!$F:$F, AD$5))</f>
        <v/>
      </c>
      <c r="AE139" s="64" t="str">
        <f ca="1">IF(COUNTIFS('SEANCE 1'!$B:$B, $B139, 'SEANCE 1'!$C:$C, AE$2, 'SEANCE 1'!$F:$F, AE$5)=0, "", COUNTIFS('SEANCE 1'!$B:$B, $B139, 'SEANCE 1'!$C:$C, AE$2, 'SEANCE 1'!$F:$F, AE$5))</f>
        <v/>
      </c>
      <c r="AF139" s="64" t="str">
        <f ca="1">IF(COUNTIFS('SEANCE 1'!$B:$B, $B139, 'SEANCE 1'!$C:$C, AF$2, 'SEANCE 1'!$F:$F, AF$5)=0, "", COUNTIFS('SEANCE 1'!$B:$B, $B139, 'SEANCE 1'!$C:$C, AF$2, 'SEANCE 1'!$F:$F, AF$5))</f>
        <v/>
      </c>
      <c r="AG139" s="64" t="str">
        <f ca="1">IF(COUNTIFS('SEANCE 1'!$B:$B, $B139, 'SEANCE 1'!$C:$C, AG$2, 'SEANCE 1'!$F:$F, AG$5)=0, "", COUNTIFS('SEANCE 1'!$B:$B, $B139, 'SEANCE 1'!$C:$C, AG$2, 'SEANCE 1'!$F:$F, AG$5))</f>
        <v/>
      </c>
      <c r="AH139" s="64" t="str">
        <f ca="1">IF(COUNTIFS('SEANCE 1'!$B:$B, $B139, 'SEANCE 1'!$C:$C, AH$2, 'SEANCE 1'!$F:$F, AH$5)=0, "", COUNTIFS('SEANCE 1'!$B:$B, $B139, 'SEANCE 1'!$C:$C, AH$2, 'SEANCE 1'!$F:$F, AH$5))</f>
        <v/>
      </c>
      <c r="AI139" s="64" t="str">
        <f ca="1">IF(COUNTIFS('SEANCE 1'!$B:$B, $B139, 'SEANCE 1'!$C:$C, AI$2, 'SEANCE 1'!$F:$F, AI$5)=0, "", COUNTIFS('SEANCE 1'!$B:$B, $B139, 'SEANCE 1'!$C:$C, AI$2, 'SEANCE 1'!$F:$F, AI$5))</f>
        <v/>
      </c>
      <c r="AJ139" s="64" t="str">
        <f ca="1">IF(COUNTIFS('SEANCE 1'!$B:$B, $B139, 'SEANCE 1'!$C:$C, AJ$2, 'SEANCE 1'!$F:$F, AJ$5)=0, "", COUNTIFS('SEANCE 1'!$B:$B, $B139, 'SEANCE 1'!$C:$C, AJ$2, 'SEANCE 1'!$F:$F, AJ$5))</f>
        <v/>
      </c>
      <c r="AK139" s="64" t="str">
        <f ca="1">IF(COUNTIFS('SEANCE 1'!$B:$B, $B139, 'SEANCE 1'!$C:$C, AK$2, 'SEANCE 1'!$F:$F, AK$5)=0, "", COUNTIFS('SEANCE 1'!$B:$B, $B139, 'SEANCE 1'!$C:$C, AK$2, 'SEANCE 1'!$F:$F, AK$5))</f>
        <v/>
      </c>
      <c r="AL139" s="64" t="str">
        <f ca="1">IF(COUNTIFS('SEANCE 1'!$B:$B, $B139, 'SEANCE 1'!$C:$C, AL$2, 'SEANCE 1'!$F:$F, AL$5)=0, "", COUNTIFS('SEANCE 1'!$B:$B, $B139, 'SEANCE 1'!$C:$C, AL$2, 'SEANCE 1'!$F:$F, AL$5))</f>
        <v/>
      </c>
      <c r="AM139" s="64" t="str">
        <f ca="1">IF(COUNTIFS('SEANCE 1'!$B:$B, $B139, 'SEANCE 1'!$C:$C, AM$2, 'SEANCE 1'!$F:$F, AM$5)=0, "", COUNTIFS('SEANCE 1'!$B:$B, $B139, 'SEANCE 1'!$C:$C, AM$2, 'SEANCE 1'!$F:$F, AM$5))</f>
        <v/>
      </c>
      <c r="AN139" s="64" t="str">
        <f ca="1">IF(COUNTIFS('SEANCE 1'!$B:$B, $B139, 'SEANCE 1'!$C:$C, AN$2, 'SEANCE 1'!$F:$F, AN$5)=0, "", COUNTIFS('SEANCE 1'!$B:$B, $B139, 'SEANCE 1'!$C:$C, AN$2, 'SEANCE 1'!$F:$F, AN$5))</f>
        <v/>
      </c>
      <c r="AO139" s="64" t="str">
        <f ca="1">IF(COUNTIFS('SEANCE 1'!$B:$B, $B139, 'SEANCE 1'!$C:$C, AO$2, 'SEANCE 1'!$F:$F, AO$5)=0, "", COUNTIFS('SEANCE 1'!$B:$B, $B139, 'SEANCE 1'!$C:$C, AO$2, 'SEANCE 1'!$F:$F, AO$5))</f>
        <v/>
      </c>
      <c r="AP139" s="64" t="str">
        <f ca="1">IF(COUNTIFS('SEANCE 1'!$B:$B, $B139, 'SEANCE 1'!$C:$C, AP$2, 'SEANCE 1'!$F:$F, AP$5)=0, "", COUNTIFS('SEANCE 1'!$B:$B, $B139, 'SEANCE 1'!$C:$C, AP$2, 'SEANCE 1'!$F:$F, AP$5))</f>
        <v/>
      </c>
      <c r="AQ139" s="64" t="str">
        <f ca="1">IF(COUNTIFS('SEANCE 1'!$B:$B, $B139, 'SEANCE 1'!$C:$C, AQ$2, 'SEANCE 1'!$F:$F, AQ$5)=0, "", COUNTIFS('SEANCE 1'!$B:$B, $B139, 'SEANCE 1'!$C:$C, AQ$2, 'SEANCE 1'!$F:$F, AQ$5))</f>
        <v/>
      </c>
      <c r="AR139" s="64" t="str">
        <f ca="1">IF(COUNTIFS('SEANCE 1'!$B:$B, $B139, 'SEANCE 1'!$C:$C, AR$2, 'SEANCE 1'!$F:$F, AR$5)=0, "", COUNTIFS('SEANCE 1'!$B:$B, $B139, 'SEANCE 1'!$C:$C, AR$2, 'SEANCE 1'!$F:$F, AR$5))</f>
        <v/>
      </c>
      <c r="AS139" s="64" t="str">
        <f ca="1">IF(COUNTIFS('SEANCE 1'!$B:$B, $B139, 'SEANCE 1'!$C:$C, AS$2, 'SEANCE 1'!$F:$F, AS$5)=0, "", COUNTIFS('SEANCE 1'!$B:$B, $B139, 'SEANCE 1'!$C:$C, AS$2, 'SEANCE 1'!$F:$F, AS$5))</f>
        <v/>
      </c>
      <c r="AT139" s="64" t="str">
        <f ca="1">IF(COUNTIFS('SEANCE 1'!$B:$B, $B139, 'SEANCE 1'!$C:$C, AT$2, 'SEANCE 1'!$F:$F, AT$5)=0, "", COUNTIFS('SEANCE 1'!$B:$B, $B139, 'SEANCE 1'!$C:$C, AT$2, 'SEANCE 1'!$F:$F, AT$5))</f>
        <v/>
      </c>
      <c r="AU139" s="64" t="str">
        <f ca="1">IF(COUNTIFS('SEANCE 1'!$B:$B, $B139, 'SEANCE 1'!$C:$C, AU$2, 'SEANCE 1'!$F:$F, AU$5)=0, "", COUNTIFS('SEANCE 1'!$B:$B, $B139, 'SEANCE 1'!$C:$C, AU$2, 'SEANCE 1'!$F:$F, AU$5))</f>
        <v/>
      </c>
      <c r="AV139" s="64" t="str">
        <f ca="1">IF(COUNTIFS('SEANCE 1'!$B:$B, $B139, 'SEANCE 1'!$C:$C, AV$2, 'SEANCE 1'!$F:$F, AV$5)=0, "", COUNTIFS('SEANCE 1'!$B:$B, $B139, 'SEANCE 1'!$C:$C, AV$2, 'SEANCE 1'!$F:$F, AV$5))</f>
        <v/>
      </c>
      <c r="AW139" s="64" t="str">
        <f ca="1">IF(COUNTIFS('SEANCE 1'!$B:$B, $B139, 'SEANCE 1'!$C:$C, AW$2, 'SEANCE 1'!$F:$F, AW$5)=0, "", COUNTIFS('SEANCE 1'!$B:$B, $B139, 'SEANCE 1'!$C:$C, AW$2, 'SEANCE 1'!$F:$F, AW$5))</f>
        <v/>
      </c>
      <c r="AX139" s="64" t="str">
        <f ca="1">IF(COUNTIFS('SEANCE 1'!$B:$B, $B139, 'SEANCE 1'!$C:$C, AX$2, 'SEANCE 1'!$F:$F, AX$5)=0, "", COUNTIFS('SEANCE 1'!$B:$B, $B139, 'SEANCE 1'!$C:$C, AX$2, 'SEANCE 1'!$F:$F, AX$5))</f>
        <v/>
      </c>
      <c r="AY139" s="64" t="str">
        <f ca="1">IF(COUNTIFS('SEANCE 1'!$B:$B, $B139, 'SEANCE 1'!$C:$C, AY$2, 'SEANCE 1'!$F:$F, AY$5)=0, "", COUNTIFS('SEANCE 1'!$B:$B, $B139, 'SEANCE 1'!$C:$C, AY$2, 'SEANCE 1'!$F:$F, AY$5))</f>
        <v/>
      </c>
      <c r="AZ139" s="32">
        <f t="shared" ca="1" si="2"/>
        <v>0</v>
      </c>
    </row>
    <row r="140" spans="1:52">
      <c r="A140" s="44" t="str">
        <f>IF('SEANCE 1'!$B136&lt;&gt;"",'SEANCE 1'!$A136,"")</f>
        <v/>
      </c>
      <c r="B140" s="44" t="str">
        <f t="array" aca="1" ref="B140" ca="1">IF(ISNA(INDEX(ListeB,MATCH(0,COUNTIF($B$5:B139,ListeB),0))),"",INDEX(ListeB,MATCH(0,COUNTIF($B$5:B139,ListeB),0)))</f>
        <v/>
      </c>
      <c r="C140" s="64" t="str">
        <f ca="1">IF(COUNTIFS('SEANCE 1'!$B:$B, $B140, 'SEANCE 1'!$C:$C, C$2, 'SEANCE 1'!$F:$F, C$5)=0, "", COUNTIFS('SEANCE 1'!$B:$B, $B140, 'SEANCE 1'!$C:$C, C$2, 'SEANCE 1'!$F:$F, C$5))</f>
        <v/>
      </c>
      <c r="D140" s="64" t="str">
        <f ca="1">IF(COUNTIFS('SEANCE 1'!$B:$B, $B140, 'SEANCE 1'!$C:$C, D$2, 'SEANCE 1'!$F:$F, D$5)=0, "", COUNTIFS('SEANCE 1'!$B:$B, $B140, 'SEANCE 1'!$C:$C, D$2, 'SEANCE 1'!$F:$F, D$5))</f>
        <v/>
      </c>
      <c r="E140" s="64" t="str">
        <f ca="1">IF(COUNTIFS('SEANCE 1'!$B:$B, $B140, 'SEANCE 1'!$C:$C, E$2, 'SEANCE 1'!$F:$F, E$5)=0, "", COUNTIFS('SEANCE 1'!$B:$B, $B140, 'SEANCE 1'!$C:$C, E$2, 'SEANCE 1'!$F:$F, E$5))</f>
        <v/>
      </c>
      <c r="F140" s="64" t="str">
        <f ca="1">IF(COUNTIFS('SEANCE 1'!$B:$B, $B140, 'SEANCE 1'!$C:$C, F$2, 'SEANCE 1'!$F:$F, F$5)=0, "", COUNTIFS('SEANCE 1'!$B:$B, $B140, 'SEANCE 1'!$C:$C, F$2, 'SEANCE 1'!$F:$F, F$5))</f>
        <v/>
      </c>
      <c r="G140" s="64" t="str">
        <f ca="1">IF(COUNTIFS('SEANCE 1'!$B:$B, $B140, 'SEANCE 1'!$C:$C, G$2, 'SEANCE 1'!$F:$F, G$5)=0, "", COUNTIFS('SEANCE 1'!$B:$B, $B140, 'SEANCE 1'!$C:$C, G$2, 'SEANCE 1'!$F:$F, G$5))</f>
        <v/>
      </c>
      <c r="H140" s="64" t="str">
        <f ca="1">IF(COUNTIFS('SEANCE 1'!$B:$B, $B140, 'SEANCE 1'!$C:$C, H$2, 'SEANCE 1'!$F:$F, H$5)=0, "", COUNTIFS('SEANCE 1'!$B:$B, $B140, 'SEANCE 1'!$C:$C, H$2, 'SEANCE 1'!$F:$F, H$5))</f>
        <v/>
      </c>
      <c r="I140" s="64" t="str">
        <f ca="1">IF(COUNTIFS('SEANCE 1'!$B:$B, $B140, 'SEANCE 1'!$C:$C, I$2, 'SEANCE 1'!$F:$F, I$5)=0, "", COUNTIFS('SEANCE 1'!$B:$B, $B140, 'SEANCE 1'!$C:$C, I$2, 'SEANCE 1'!$F:$F, I$5))</f>
        <v/>
      </c>
      <c r="J140" s="64" t="str">
        <f ca="1">IF(COUNTIFS('SEANCE 1'!$B:$B, $B140, 'SEANCE 1'!$C:$C, J$2, 'SEANCE 1'!$F:$F, J$5)=0, "", COUNTIFS('SEANCE 1'!$B:$B, $B140, 'SEANCE 1'!$C:$C, J$2, 'SEANCE 1'!$F:$F, J$5))</f>
        <v/>
      </c>
      <c r="K140" s="64" t="str">
        <f ca="1">IF(COUNTIFS('SEANCE 1'!$B:$B, $B140, 'SEANCE 1'!$C:$C, K$2, 'SEANCE 1'!$F:$F, K$5)=0, "", COUNTIFS('SEANCE 1'!$B:$B, $B140, 'SEANCE 1'!$C:$C, K$2, 'SEANCE 1'!$F:$F, K$5))</f>
        <v/>
      </c>
      <c r="L140" s="64" t="str">
        <f ca="1">IF(COUNTIFS('SEANCE 1'!$B:$B, $B140, 'SEANCE 1'!$C:$C, L$2, 'SEANCE 1'!$F:$F, L$5)=0, "", COUNTIFS('SEANCE 1'!$B:$B, $B140, 'SEANCE 1'!$C:$C, L$2, 'SEANCE 1'!$F:$F, L$5))</f>
        <v/>
      </c>
      <c r="M140" s="64" t="str">
        <f ca="1">IF(COUNTIFS('SEANCE 1'!$B:$B, $B140, 'SEANCE 1'!$C:$C, M$2, 'SEANCE 1'!$F:$F, M$5)=0, "", COUNTIFS('SEANCE 1'!$B:$B, $B140, 'SEANCE 1'!$C:$C, M$2, 'SEANCE 1'!$F:$F, M$5))</f>
        <v/>
      </c>
      <c r="N140" s="64" t="str">
        <f ca="1">IF(COUNTIFS('SEANCE 1'!$B:$B, $B140, 'SEANCE 1'!$C:$C, N$2, 'SEANCE 1'!$F:$F, N$5)=0, "", COUNTIFS('SEANCE 1'!$B:$B, $B140, 'SEANCE 1'!$C:$C, N$2, 'SEANCE 1'!$F:$F, N$5))</f>
        <v/>
      </c>
      <c r="O140" s="64" t="str">
        <f ca="1">IF(COUNTIFS('SEANCE 1'!$B:$B, $B140, 'SEANCE 1'!$C:$C, O$2, 'SEANCE 1'!$F:$F, O$5)=0, "", COUNTIFS('SEANCE 1'!$B:$B, $B140, 'SEANCE 1'!$C:$C, O$2, 'SEANCE 1'!$F:$F, O$5))</f>
        <v/>
      </c>
      <c r="P140" s="64" t="str">
        <f ca="1">IF(COUNTIFS('SEANCE 1'!$B:$B, $B140, 'SEANCE 1'!$C:$C, P$2, 'SEANCE 1'!$F:$F, P$5)=0, "", COUNTIFS('SEANCE 1'!$B:$B, $B140, 'SEANCE 1'!$C:$C, P$2, 'SEANCE 1'!$F:$F, P$5))</f>
        <v/>
      </c>
      <c r="Q140" s="64" t="str">
        <f ca="1">IF(COUNTIFS('SEANCE 1'!$B:$B, $B140, 'SEANCE 1'!$C:$C, Q$2, 'SEANCE 1'!$F:$F, Q$5)=0, "", COUNTIFS('SEANCE 1'!$B:$B, $B140, 'SEANCE 1'!$C:$C, Q$2, 'SEANCE 1'!$F:$F, Q$5))</f>
        <v/>
      </c>
      <c r="R140" s="64" t="str">
        <f ca="1">IF(COUNTIFS('SEANCE 1'!$B:$B, $B140, 'SEANCE 1'!$C:$C, R$2, 'SEANCE 1'!$F:$F, R$5)=0, "", COUNTIFS('SEANCE 1'!$B:$B, $B140, 'SEANCE 1'!$C:$C, R$2, 'SEANCE 1'!$F:$F, R$5))</f>
        <v/>
      </c>
      <c r="S140" s="64" t="str">
        <f ca="1">IF(COUNTIFS('SEANCE 1'!$B:$B, $B140, 'SEANCE 1'!$C:$C, S$2, 'SEANCE 1'!$F:$F, S$5)=0, "", COUNTIFS('SEANCE 1'!$B:$B, $B140, 'SEANCE 1'!$C:$C, S$2, 'SEANCE 1'!$F:$F, S$5))</f>
        <v/>
      </c>
      <c r="T140" s="64" t="str">
        <f ca="1">IF(COUNTIFS('SEANCE 1'!$B:$B, $B140, 'SEANCE 1'!$C:$C, T$2, 'SEANCE 1'!$F:$F, T$5)=0, "", COUNTIFS('SEANCE 1'!$B:$B, $B140, 'SEANCE 1'!$C:$C, T$2, 'SEANCE 1'!$F:$F, T$5))</f>
        <v/>
      </c>
      <c r="U140" s="64" t="str">
        <f ca="1">IF(COUNTIFS('SEANCE 1'!$B:$B, $B140, 'SEANCE 1'!$C:$C, U$2, 'SEANCE 1'!$F:$F, U$5)=0, "", COUNTIFS('SEANCE 1'!$B:$B, $B140, 'SEANCE 1'!$C:$C, U$2, 'SEANCE 1'!$F:$F, U$5))</f>
        <v/>
      </c>
      <c r="V140" s="64" t="str">
        <f ca="1">IF(COUNTIFS('SEANCE 1'!$B:$B, $B140, 'SEANCE 1'!$C:$C, V$2, 'SEANCE 1'!$F:$F, V$5)=0, "", COUNTIFS('SEANCE 1'!$B:$B, $B140, 'SEANCE 1'!$C:$C, V$2, 'SEANCE 1'!$F:$F, V$5))</f>
        <v/>
      </c>
      <c r="W140" s="64" t="str">
        <f ca="1">IF(COUNTIFS('SEANCE 1'!$B:$B, $B140, 'SEANCE 1'!$C:$C, W$2, 'SEANCE 1'!$F:$F, W$5)=0, "", COUNTIFS('SEANCE 1'!$B:$B, $B140, 'SEANCE 1'!$C:$C, W$2, 'SEANCE 1'!$F:$F, W$5))</f>
        <v/>
      </c>
      <c r="X140" s="64" t="str">
        <f ca="1">IF(COUNTIFS('SEANCE 1'!$B:$B, $B140, 'SEANCE 1'!$C:$C, X$2, 'SEANCE 1'!$F:$F, X$5)=0, "", COUNTIFS('SEANCE 1'!$B:$B, $B140, 'SEANCE 1'!$C:$C, X$2, 'SEANCE 1'!$F:$F, X$5))</f>
        <v/>
      </c>
      <c r="Y140" s="64" t="str">
        <f ca="1">IF(COUNTIFS('SEANCE 1'!$B:$B, $B140, 'SEANCE 1'!$C:$C, Y$2, 'SEANCE 1'!$F:$F, Y$5)=0, "", COUNTIFS('SEANCE 1'!$B:$B, $B140, 'SEANCE 1'!$C:$C, Y$2, 'SEANCE 1'!$F:$F, Y$5))</f>
        <v/>
      </c>
      <c r="Z140" s="64" t="str">
        <f ca="1">IF(COUNTIFS('SEANCE 1'!$B:$B, $B140, 'SEANCE 1'!$C:$C, Z$2, 'SEANCE 1'!$F:$F, Z$5)=0, "", COUNTIFS('SEANCE 1'!$B:$B, $B140, 'SEANCE 1'!$C:$C, Z$2, 'SEANCE 1'!$F:$F, Z$5))</f>
        <v/>
      </c>
      <c r="AA140" s="64" t="str">
        <f ca="1">IF(COUNTIFS('SEANCE 1'!$B:$B, $B140, 'SEANCE 1'!$C:$C, AA$2, 'SEANCE 1'!$F:$F, AA$5)=0, "", COUNTIFS('SEANCE 1'!$B:$B, $B140, 'SEANCE 1'!$C:$C, AA$2, 'SEANCE 1'!$F:$F, AA$5))</f>
        <v/>
      </c>
      <c r="AB140" s="64" t="str">
        <f ca="1">IF(COUNTIFS('SEANCE 1'!$B:$B, $B140, 'SEANCE 1'!$C:$C, AB$2, 'SEANCE 1'!$F:$F, AB$5)=0, "", COUNTIFS('SEANCE 1'!$B:$B, $B140, 'SEANCE 1'!$C:$C, AB$2, 'SEANCE 1'!$F:$F, AB$5))</f>
        <v/>
      </c>
      <c r="AC140" s="64" t="str">
        <f ca="1">IF(COUNTIFS('SEANCE 1'!$B:$B, $B140, 'SEANCE 1'!$C:$C, AC$2, 'SEANCE 1'!$F:$F, AC$5)=0, "", COUNTIFS('SEANCE 1'!$B:$B, $B140, 'SEANCE 1'!$C:$C, AC$2, 'SEANCE 1'!$F:$F, AC$5))</f>
        <v/>
      </c>
      <c r="AD140" s="64" t="str">
        <f ca="1">IF(COUNTIFS('SEANCE 1'!$B:$B, $B140, 'SEANCE 1'!$C:$C, AD$2, 'SEANCE 1'!$F:$F, AD$5)=0, "", COUNTIFS('SEANCE 1'!$B:$B, $B140, 'SEANCE 1'!$C:$C, AD$2, 'SEANCE 1'!$F:$F, AD$5))</f>
        <v/>
      </c>
      <c r="AE140" s="64" t="str">
        <f ca="1">IF(COUNTIFS('SEANCE 1'!$B:$B, $B140, 'SEANCE 1'!$C:$C, AE$2, 'SEANCE 1'!$F:$F, AE$5)=0, "", COUNTIFS('SEANCE 1'!$B:$B, $B140, 'SEANCE 1'!$C:$C, AE$2, 'SEANCE 1'!$F:$F, AE$5))</f>
        <v/>
      </c>
      <c r="AF140" s="64" t="str">
        <f ca="1">IF(COUNTIFS('SEANCE 1'!$B:$B, $B140, 'SEANCE 1'!$C:$C, AF$2, 'SEANCE 1'!$F:$F, AF$5)=0, "", COUNTIFS('SEANCE 1'!$B:$B, $B140, 'SEANCE 1'!$C:$C, AF$2, 'SEANCE 1'!$F:$F, AF$5))</f>
        <v/>
      </c>
      <c r="AG140" s="64" t="str">
        <f ca="1">IF(COUNTIFS('SEANCE 1'!$B:$B, $B140, 'SEANCE 1'!$C:$C, AG$2, 'SEANCE 1'!$F:$F, AG$5)=0, "", COUNTIFS('SEANCE 1'!$B:$B, $B140, 'SEANCE 1'!$C:$C, AG$2, 'SEANCE 1'!$F:$F, AG$5))</f>
        <v/>
      </c>
      <c r="AH140" s="64" t="str">
        <f ca="1">IF(COUNTIFS('SEANCE 1'!$B:$B, $B140, 'SEANCE 1'!$C:$C, AH$2, 'SEANCE 1'!$F:$F, AH$5)=0, "", COUNTIFS('SEANCE 1'!$B:$B, $B140, 'SEANCE 1'!$C:$C, AH$2, 'SEANCE 1'!$F:$F, AH$5))</f>
        <v/>
      </c>
      <c r="AI140" s="64" t="str">
        <f ca="1">IF(COUNTIFS('SEANCE 1'!$B:$B, $B140, 'SEANCE 1'!$C:$C, AI$2, 'SEANCE 1'!$F:$F, AI$5)=0, "", COUNTIFS('SEANCE 1'!$B:$B, $B140, 'SEANCE 1'!$C:$C, AI$2, 'SEANCE 1'!$F:$F, AI$5))</f>
        <v/>
      </c>
      <c r="AJ140" s="64" t="str">
        <f ca="1">IF(COUNTIFS('SEANCE 1'!$B:$B, $B140, 'SEANCE 1'!$C:$C, AJ$2, 'SEANCE 1'!$F:$F, AJ$5)=0, "", COUNTIFS('SEANCE 1'!$B:$B, $B140, 'SEANCE 1'!$C:$C, AJ$2, 'SEANCE 1'!$F:$F, AJ$5))</f>
        <v/>
      </c>
      <c r="AK140" s="64" t="str">
        <f ca="1">IF(COUNTIFS('SEANCE 1'!$B:$B, $B140, 'SEANCE 1'!$C:$C, AK$2, 'SEANCE 1'!$F:$F, AK$5)=0, "", COUNTIFS('SEANCE 1'!$B:$B, $B140, 'SEANCE 1'!$C:$C, AK$2, 'SEANCE 1'!$F:$F, AK$5))</f>
        <v/>
      </c>
      <c r="AL140" s="64" t="str">
        <f ca="1">IF(COUNTIFS('SEANCE 1'!$B:$B, $B140, 'SEANCE 1'!$C:$C, AL$2, 'SEANCE 1'!$F:$F, AL$5)=0, "", COUNTIFS('SEANCE 1'!$B:$B, $B140, 'SEANCE 1'!$C:$C, AL$2, 'SEANCE 1'!$F:$F, AL$5))</f>
        <v/>
      </c>
      <c r="AM140" s="64" t="str">
        <f ca="1">IF(COUNTIFS('SEANCE 1'!$B:$B, $B140, 'SEANCE 1'!$C:$C, AM$2, 'SEANCE 1'!$F:$F, AM$5)=0, "", COUNTIFS('SEANCE 1'!$B:$B, $B140, 'SEANCE 1'!$C:$C, AM$2, 'SEANCE 1'!$F:$F, AM$5))</f>
        <v/>
      </c>
      <c r="AN140" s="64" t="str">
        <f ca="1">IF(COUNTIFS('SEANCE 1'!$B:$B, $B140, 'SEANCE 1'!$C:$C, AN$2, 'SEANCE 1'!$F:$F, AN$5)=0, "", COUNTIFS('SEANCE 1'!$B:$B, $B140, 'SEANCE 1'!$C:$C, AN$2, 'SEANCE 1'!$F:$F, AN$5))</f>
        <v/>
      </c>
      <c r="AO140" s="64" t="str">
        <f ca="1">IF(COUNTIFS('SEANCE 1'!$B:$B, $B140, 'SEANCE 1'!$C:$C, AO$2, 'SEANCE 1'!$F:$F, AO$5)=0, "", COUNTIFS('SEANCE 1'!$B:$B, $B140, 'SEANCE 1'!$C:$C, AO$2, 'SEANCE 1'!$F:$F, AO$5))</f>
        <v/>
      </c>
      <c r="AP140" s="64" t="str">
        <f ca="1">IF(COUNTIFS('SEANCE 1'!$B:$B, $B140, 'SEANCE 1'!$C:$C, AP$2, 'SEANCE 1'!$F:$F, AP$5)=0, "", COUNTIFS('SEANCE 1'!$B:$B, $B140, 'SEANCE 1'!$C:$C, AP$2, 'SEANCE 1'!$F:$F, AP$5))</f>
        <v/>
      </c>
      <c r="AQ140" s="64" t="str">
        <f ca="1">IF(COUNTIFS('SEANCE 1'!$B:$B, $B140, 'SEANCE 1'!$C:$C, AQ$2, 'SEANCE 1'!$F:$F, AQ$5)=0, "", COUNTIFS('SEANCE 1'!$B:$B, $B140, 'SEANCE 1'!$C:$C, AQ$2, 'SEANCE 1'!$F:$F, AQ$5))</f>
        <v/>
      </c>
      <c r="AR140" s="64" t="str">
        <f ca="1">IF(COUNTIFS('SEANCE 1'!$B:$B, $B140, 'SEANCE 1'!$C:$C, AR$2, 'SEANCE 1'!$F:$F, AR$5)=0, "", COUNTIFS('SEANCE 1'!$B:$B, $B140, 'SEANCE 1'!$C:$C, AR$2, 'SEANCE 1'!$F:$F, AR$5))</f>
        <v/>
      </c>
      <c r="AS140" s="64" t="str">
        <f ca="1">IF(COUNTIFS('SEANCE 1'!$B:$B, $B140, 'SEANCE 1'!$C:$C, AS$2, 'SEANCE 1'!$F:$F, AS$5)=0, "", COUNTIFS('SEANCE 1'!$B:$B, $B140, 'SEANCE 1'!$C:$C, AS$2, 'SEANCE 1'!$F:$F, AS$5))</f>
        <v/>
      </c>
      <c r="AT140" s="64" t="str">
        <f ca="1">IF(COUNTIFS('SEANCE 1'!$B:$B, $B140, 'SEANCE 1'!$C:$C, AT$2, 'SEANCE 1'!$F:$F, AT$5)=0, "", COUNTIFS('SEANCE 1'!$B:$B, $B140, 'SEANCE 1'!$C:$C, AT$2, 'SEANCE 1'!$F:$F, AT$5))</f>
        <v/>
      </c>
      <c r="AU140" s="64" t="str">
        <f ca="1">IF(COUNTIFS('SEANCE 1'!$B:$B, $B140, 'SEANCE 1'!$C:$C, AU$2, 'SEANCE 1'!$F:$F, AU$5)=0, "", COUNTIFS('SEANCE 1'!$B:$B, $B140, 'SEANCE 1'!$C:$C, AU$2, 'SEANCE 1'!$F:$F, AU$5))</f>
        <v/>
      </c>
      <c r="AV140" s="64" t="str">
        <f ca="1">IF(COUNTIFS('SEANCE 1'!$B:$B, $B140, 'SEANCE 1'!$C:$C, AV$2, 'SEANCE 1'!$F:$F, AV$5)=0, "", COUNTIFS('SEANCE 1'!$B:$B, $B140, 'SEANCE 1'!$C:$C, AV$2, 'SEANCE 1'!$F:$F, AV$5))</f>
        <v/>
      </c>
      <c r="AW140" s="64" t="str">
        <f ca="1">IF(COUNTIFS('SEANCE 1'!$B:$B, $B140, 'SEANCE 1'!$C:$C, AW$2, 'SEANCE 1'!$F:$F, AW$5)=0, "", COUNTIFS('SEANCE 1'!$B:$B, $B140, 'SEANCE 1'!$C:$C, AW$2, 'SEANCE 1'!$F:$F, AW$5))</f>
        <v/>
      </c>
      <c r="AX140" s="64" t="str">
        <f ca="1">IF(COUNTIFS('SEANCE 1'!$B:$B, $B140, 'SEANCE 1'!$C:$C, AX$2, 'SEANCE 1'!$F:$F, AX$5)=0, "", COUNTIFS('SEANCE 1'!$B:$B, $B140, 'SEANCE 1'!$C:$C, AX$2, 'SEANCE 1'!$F:$F, AX$5))</f>
        <v/>
      </c>
      <c r="AY140" s="64" t="str">
        <f ca="1">IF(COUNTIFS('SEANCE 1'!$B:$B, $B140, 'SEANCE 1'!$C:$C, AY$2, 'SEANCE 1'!$F:$F, AY$5)=0, "", COUNTIFS('SEANCE 1'!$B:$B, $B140, 'SEANCE 1'!$C:$C, AY$2, 'SEANCE 1'!$F:$F, AY$5))</f>
        <v/>
      </c>
      <c r="AZ140" s="32">
        <f t="shared" ca="1" si="2"/>
        <v>0</v>
      </c>
    </row>
    <row r="141" spans="1:52">
      <c r="A141" s="44" t="str">
        <f>IF('SEANCE 1'!$B137&lt;&gt;"",'SEANCE 1'!$A137,"")</f>
        <v/>
      </c>
      <c r="B141" s="44" t="str">
        <f t="array" aca="1" ref="B141" ca="1">IF(ISNA(INDEX(ListeB,MATCH(0,COUNTIF($B$5:B140,ListeB),0))),"",INDEX(ListeB,MATCH(0,COUNTIF($B$5:B140,ListeB),0)))</f>
        <v/>
      </c>
      <c r="C141" s="64" t="str">
        <f ca="1">IF(COUNTIFS('SEANCE 1'!$B:$B, $B141, 'SEANCE 1'!$C:$C, C$2, 'SEANCE 1'!$F:$F, C$5)=0, "", COUNTIFS('SEANCE 1'!$B:$B, $B141, 'SEANCE 1'!$C:$C, C$2, 'SEANCE 1'!$F:$F, C$5))</f>
        <v/>
      </c>
      <c r="D141" s="64" t="str">
        <f ca="1">IF(COUNTIFS('SEANCE 1'!$B:$B, $B141, 'SEANCE 1'!$C:$C, D$2, 'SEANCE 1'!$F:$F, D$5)=0, "", COUNTIFS('SEANCE 1'!$B:$B, $B141, 'SEANCE 1'!$C:$C, D$2, 'SEANCE 1'!$F:$F, D$5))</f>
        <v/>
      </c>
      <c r="E141" s="64" t="str">
        <f ca="1">IF(COUNTIFS('SEANCE 1'!$B:$B, $B141, 'SEANCE 1'!$C:$C, E$2, 'SEANCE 1'!$F:$F, E$5)=0, "", COUNTIFS('SEANCE 1'!$B:$B, $B141, 'SEANCE 1'!$C:$C, E$2, 'SEANCE 1'!$F:$F, E$5))</f>
        <v/>
      </c>
      <c r="F141" s="64" t="str">
        <f ca="1">IF(COUNTIFS('SEANCE 1'!$B:$B, $B141, 'SEANCE 1'!$C:$C, F$2, 'SEANCE 1'!$F:$F, F$5)=0, "", COUNTIFS('SEANCE 1'!$B:$B, $B141, 'SEANCE 1'!$C:$C, F$2, 'SEANCE 1'!$F:$F, F$5))</f>
        <v/>
      </c>
      <c r="G141" s="64" t="str">
        <f ca="1">IF(COUNTIFS('SEANCE 1'!$B:$B, $B141, 'SEANCE 1'!$C:$C, G$2, 'SEANCE 1'!$F:$F, G$5)=0, "", COUNTIFS('SEANCE 1'!$B:$B, $B141, 'SEANCE 1'!$C:$C, G$2, 'SEANCE 1'!$F:$F, G$5))</f>
        <v/>
      </c>
      <c r="H141" s="64" t="str">
        <f ca="1">IF(COUNTIFS('SEANCE 1'!$B:$B, $B141, 'SEANCE 1'!$C:$C, H$2, 'SEANCE 1'!$F:$F, H$5)=0, "", COUNTIFS('SEANCE 1'!$B:$B, $B141, 'SEANCE 1'!$C:$C, H$2, 'SEANCE 1'!$F:$F, H$5))</f>
        <v/>
      </c>
      <c r="I141" s="64" t="str">
        <f ca="1">IF(COUNTIFS('SEANCE 1'!$B:$B, $B141, 'SEANCE 1'!$C:$C, I$2, 'SEANCE 1'!$F:$F, I$5)=0, "", COUNTIFS('SEANCE 1'!$B:$B, $B141, 'SEANCE 1'!$C:$C, I$2, 'SEANCE 1'!$F:$F, I$5))</f>
        <v/>
      </c>
      <c r="J141" s="64" t="str">
        <f ca="1">IF(COUNTIFS('SEANCE 1'!$B:$B, $B141, 'SEANCE 1'!$C:$C, J$2, 'SEANCE 1'!$F:$F, J$5)=0, "", COUNTIFS('SEANCE 1'!$B:$B, $B141, 'SEANCE 1'!$C:$C, J$2, 'SEANCE 1'!$F:$F, J$5))</f>
        <v/>
      </c>
      <c r="K141" s="64" t="str">
        <f ca="1">IF(COUNTIFS('SEANCE 1'!$B:$B, $B141, 'SEANCE 1'!$C:$C, K$2, 'SEANCE 1'!$F:$F, K$5)=0, "", COUNTIFS('SEANCE 1'!$B:$B, $B141, 'SEANCE 1'!$C:$C, K$2, 'SEANCE 1'!$F:$F, K$5))</f>
        <v/>
      </c>
      <c r="L141" s="64" t="str">
        <f ca="1">IF(COUNTIFS('SEANCE 1'!$B:$B, $B141, 'SEANCE 1'!$C:$C, L$2, 'SEANCE 1'!$F:$F, L$5)=0, "", COUNTIFS('SEANCE 1'!$B:$B, $B141, 'SEANCE 1'!$C:$C, L$2, 'SEANCE 1'!$F:$F, L$5))</f>
        <v/>
      </c>
      <c r="M141" s="64" t="str">
        <f ca="1">IF(COUNTIFS('SEANCE 1'!$B:$B, $B141, 'SEANCE 1'!$C:$C, M$2, 'SEANCE 1'!$F:$F, M$5)=0, "", COUNTIFS('SEANCE 1'!$B:$B, $B141, 'SEANCE 1'!$C:$C, M$2, 'SEANCE 1'!$F:$F, M$5))</f>
        <v/>
      </c>
      <c r="N141" s="64" t="str">
        <f ca="1">IF(COUNTIFS('SEANCE 1'!$B:$B, $B141, 'SEANCE 1'!$C:$C, N$2, 'SEANCE 1'!$F:$F, N$5)=0, "", COUNTIFS('SEANCE 1'!$B:$B, $B141, 'SEANCE 1'!$C:$C, N$2, 'SEANCE 1'!$F:$F, N$5))</f>
        <v/>
      </c>
      <c r="O141" s="64" t="str">
        <f ca="1">IF(COUNTIFS('SEANCE 1'!$B:$B, $B141, 'SEANCE 1'!$C:$C, O$2, 'SEANCE 1'!$F:$F, O$5)=0, "", COUNTIFS('SEANCE 1'!$B:$B, $B141, 'SEANCE 1'!$C:$C, O$2, 'SEANCE 1'!$F:$F, O$5))</f>
        <v/>
      </c>
      <c r="P141" s="64" t="str">
        <f ca="1">IF(COUNTIFS('SEANCE 1'!$B:$B, $B141, 'SEANCE 1'!$C:$C, P$2, 'SEANCE 1'!$F:$F, P$5)=0, "", COUNTIFS('SEANCE 1'!$B:$B, $B141, 'SEANCE 1'!$C:$C, P$2, 'SEANCE 1'!$F:$F, P$5))</f>
        <v/>
      </c>
      <c r="Q141" s="64" t="str">
        <f ca="1">IF(COUNTIFS('SEANCE 1'!$B:$B, $B141, 'SEANCE 1'!$C:$C, Q$2, 'SEANCE 1'!$F:$F, Q$5)=0, "", COUNTIFS('SEANCE 1'!$B:$B, $B141, 'SEANCE 1'!$C:$C, Q$2, 'SEANCE 1'!$F:$F, Q$5))</f>
        <v/>
      </c>
      <c r="R141" s="64" t="str">
        <f ca="1">IF(COUNTIFS('SEANCE 1'!$B:$B, $B141, 'SEANCE 1'!$C:$C, R$2, 'SEANCE 1'!$F:$F, R$5)=0, "", COUNTIFS('SEANCE 1'!$B:$B, $B141, 'SEANCE 1'!$C:$C, R$2, 'SEANCE 1'!$F:$F, R$5))</f>
        <v/>
      </c>
      <c r="S141" s="64" t="str">
        <f ca="1">IF(COUNTIFS('SEANCE 1'!$B:$B, $B141, 'SEANCE 1'!$C:$C, S$2, 'SEANCE 1'!$F:$F, S$5)=0, "", COUNTIFS('SEANCE 1'!$B:$B, $B141, 'SEANCE 1'!$C:$C, S$2, 'SEANCE 1'!$F:$F, S$5))</f>
        <v/>
      </c>
      <c r="T141" s="64" t="str">
        <f ca="1">IF(COUNTIFS('SEANCE 1'!$B:$B, $B141, 'SEANCE 1'!$C:$C, T$2, 'SEANCE 1'!$F:$F, T$5)=0, "", COUNTIFS('SEANCE 1'!$B:$B, $B141, 'SEANCE 1'!$C:$C, T$2, 'SEANCE 1'!$F:$F, T$5))</f>
        <v/>
      </c>
      <c r="U141" s="64" t="str">
        <f ca="1">IF(COUNTIFS('SEANCE 1'!$B:$B, $B141, 'SEANCE 1'!$C:$C, U$2, 'SEANCE 1'!$F:$F, U$5)=0, "", COUNTIFS('SEANCE 1'!$B:$B, $B141, 'SEANCE 1'!$C:$C, U$2, 'SEANCE 1'!$F:$F, U$5))</f>
        <v/>
      </c>
      <c r="V141" s="64" t="str">
        <f ca="1">IF(COUNTIFS('SEANCE 1'!$B:$B, $B141, 'SEANCE 1'!$C:$C, V$2, 'SEANCE 1'!$F:$F, V$5)=0, "", COUNTIFS('SEANCE 1'!$B:$B, $B141, 'SEANCE 1'!$C:$C, V$2, 'SEANCE 1'!$F:$F, V$5))</f>
        <v/>
      </c>
      <c r="W141" s="64" t="str">
        <f ca="1">IF(COUNTIFS('SEANCE 1'!$B:$B, $B141, 'SEANCE 1'!$C:$C, W$2, 'SEANCE 1'!$F:$F, W$5)=0, "", COUNTIFS('SEANCE 1'!$B:$B, $B141, 'SEANCE 1'!$C:$C, W$2, 'SEANCE 1'!$F:$F, W$5))</f>
        <v/>
      </c>
      <c r="X141" s="64" t="str">
        <f ca="1">IF(COUNTIFS('SEANCE 1'!$B:$B, $B141, 'SEANCE 1'!$C:$C, X$2, 'SEANCE 1'!$F:$F, X$5)=0, "", COUNTIFS('SEANCE 1'!$B:$B, $B141, 'SEANCE 1'!$C:$C, X$2, 'SEANCE 1'!$F:$F, X$5))</f>
        <v/>
      </c>
      <c r="Y141" s="64" t="str">
        <f ca="1">IF(COUNTIFS('SEANCE 1'!$B:$B, $B141, 'SEANCE 1'!$C:$C, Y$2, 'SEANCE 1'!$F:$F, Y$5)=0, "", COUNTIFS('SEANCE 1'!$B:$B, $B141, 'SEANCE 1'!$C:$C, Y$2, 'SEANCE 1'!$F:$F, Y$5))</f>
        <v/>
      </c>
      <c r="Z141" s="64" t="str">
        <f ca="1">IF(COUNTIFS('SEANCE 1'!$B:$B, $B141, 'SEANCE 1'!$C:$C, Z$2, 'SEANCE 1'!$F:$F, Z$5)=0, "", COUNTIFS('SEANCE 1'!$B:$B, $B141, 'SEANCE 1'!$C:$C, Z$2, 'SEANCE 1'!$F:$F, Z$5))</f>
        <v/>
      </c>
      <c r="AA141" s="64" t="str">
        <f ca="1">IF(COUNTIFS('SEANCE 1'!$B:$B, $B141, 'SEANCE 1'!$C:$C, AA$2, 'SEANCE 1'!$F:$F, AA$5)=0, "", COUNTIFS('SEANCE 1'!$B:$B, $B141, 'SEANCE 1'!$C:$C, AA$2, 'SEANCE 1'!$F:$F, AA$5))</f>
        <v/>
      </c>
      <c r="AB141" s="64" t="str">
        <f ca="1">IF(COUNTIFS('SEANCE 1'!$B:$B, $B141, 'SEANCE 1'!$C:$C, AB$2, 'SEANCE 1'!$F:$F, AB$5)=0, "", COUNTIFS('SEANCE 1'!$B:$B, $B141, 'SEANCE 1'!$C:$C, AB$2, 'SEANCE 1'!$F:$F, AB$5))</f>
        <v/>
      </c>
      <c r="AC141" s="64" t="str">
        <f ca="1">IF(COUNTIFS('SEANCE 1'!$B:$B, $B141, 'SEANCE 1'!$C:$C, AC$2, 'SEANCE 1'!$F:$F, AC$5)=0, "", COUNTIFS('SEANCE 1'!$B:$B, $B141, 'SEANCE 1'!$C:$C, AC$2, 'SEANCE 1'!$F:$F, AC$5))</f>
        <v/>
      </c>
      <c r="AD141" s="64" t="str">
        <f ca="1">IF(COUNTIFS('SEANCE 1'!$B:$B, $B141, 'SEANCE 1'!$C:$C, AD$2, 'SEANCE 1'!$F:$F, AD$5)=0, "", COUNTIFS('SEANCE 1'!$B:$B, $B141, 'SEANCE 1'!$C:$C, AD$2, 'SEANCE 1'!$F:$F, AD$5))</f>
        <v/>
      </c>
      <c r="AE141" s="64" t="str">
        <f ca="1">IF(COUNTIFS('SEANCE 1'!$B:$B, $B141, 'SEANCE 1'!$C:$C, AE$2, 'SEANCE 1'!$F:$F, AE$5)=0, "", COUNTIFS('SEANCE 1'!$B:$B, $B141, 'SEANCE 1'!$C:$C, AE$2, 'SEANCE 1'!$F:$F, AE$5))</f>
        <v/>
      </c>
      <c r="AF141" s="64" t="str">
        <f ca="1">IF(COUNTIFS('SEANCE 1'!$B:$B, $B141, 'SEANCE 1'!$C:$C, AF$2, 'SEANCE 1'!$F:$F, AF$5)=0, "", COUNTIFS('SEANCE 1'!$B:$B, $B141, 'SEANCE 1'!$C:$C, AF$2, 'SEANCE 1'!$F:$F, AF$5))</f>
        <v/>
      </c>
      <c r="AG141" s="64" t="str">
        <f ca="1">IF(COUNTIFS('SEANCE 1'!$B:$B, $B141, 'SEANCE 1'!$C:$C, AG$2, 'SEANCE 1'!$F:$F, AG$5)=0, "", COUNTIFS('SEANCE 1'!$B:$B, $B141, 'SEANCE 1'!$C:$C, AG$2, 'SEANCE 1'!$F:$F, AG$5))</f>
        <v/>
      </c>
      <c r="AH141" s="64" t="str">
        <f ca="1">IF(COUNTIFS('SEANCE 1'!$B:$B, $B141, 'SEANCE 1'!$C:$C, AH$2, 'SEANCE 1'!$F:$F, AH$5)=0, "", COUNTIFS('SEANCE 1'!$B:$B, $B141, 'SEANCE 1'!$C:$C, AH$2, 'SEANCE 1'!$F:$F, AH$5))</f>
        <v/>
      </c>
      <c r="AI141" s="64" t="str">
        <f ca="1">IF(COUNTIFS('SEANCE 1'!$B:$B, $B141, 'SEANCE 1'!$C:$C, AI$2, 'SEANCE 1'!$F:$F, AI$5)=0, "", COUNTIFS('SEANCE 1'!$B:$B, $B141, 'SEANCE 1'!$C:$C, AI$2, 'SEANCE 1'!$F:$F, AI$5))</f>
        <v/>
      </c>
      <c r="AJ141" s="64" t="str">
        <f ca="1">IF(COUNTIFS('SEANCE 1'!$B:$B, $B141, 'SEANCE 1'!$C:$C, AJ$2, 'SEANCE 1'!$F:$F, AJ$5)=0, "", COUNTIFS('SEANCE 1'!$B:$B, $B141, 'SEANCE 1'!$C:$C, AJ$2, 'SEANCE 1'!$F:$F, AJ$5))</f>
        <v/>
      </c>
      <c r="AK141" s="64" t="str">
        <f ca="1">IF(COUNTIFS('SEANCE 1'!$B:$B, $B141, 'SEANCE 1'!$C:$C, AK$2, 'SEANCE 1'!$F:$F, AK$5)=0, "", COUNTIFS('SEANCE 1'!$B:$B, $B141, 'SEANCE 1'!$C:$C, AK$2, 'SEANCE 1'!$F:$F, AK$5))</f>
        <v/>
      </c>
      <c r="AL141" s="64" t="str">
        <f ca="1">IF(COUNTIFS('SEANCE 1'!$B:$B, $B141, 'SEANCE 1'!$C:$C, AL$2, 'SEANCE 1'!$F:$F, AL$5)=0, "", COUNTIFS('SEANCE 1'!$B:$B, $B141, 'SEANCE 1'!$C:$C, AL$2, 'SEANCE 1'!$F:$F, AL$5))</f>
        <v/>
      </c>
      <c r="AM141" s="64" t="str">
        <f ca="1">IF(COUNTIFS('SEANCE 1'!$B:$B, $B141, 'SEANCE 1'!$C:$C, AM$2, 'SEANCE 1'!$F:$F, AM$5)=0, "", COUNTIFS('SEANCE 1'!$B:$B, $B141, 'SEANCE 1'!$C:$C, AM$2, 'SEANCE 1'!$F:$F, AM$5))</f>
        <v/>
      </c>
      <c r="AN141" s="64" t="str">
        <f ca="1">IF(COUNTIFS('SEANCE 1'!$B:$B, $B141, 'SEANCE 1'!$C:$C, AN$2, 'SEANCE 1'!$F:$F, AN$5)=0, "", COUNTIFS('SEANCE 1'!$B:$B, $B141, 'SEANCE 1'!$C:$C, AN$2, 'SEANCE 1'!$F:$F, AN$5))</f>
        <v/>
      </c>
      <c r="AO141" s="64" t="str">
        <f ca="1">IF(COUNTIFS('SEANCE 1'!$B:$B, $B141, 'SEANCE 1'!$C:$C, AO$2, 'SEANCE 1'!$F:$F, AO$5)=0, "", COUNTIFS('SEANCE 1'!$B:$B, $B141, 'SEANCE 1'!$C:$C, AO$2, 'SEANCE 1'!$F:$F, AO$5))</f>
        <v/>
      </c>
      <c r="AP141" s="64" t="str">
        <f ca="1">IF(COUNTIFS('SEANCE 1'!$B:$B, $B141, 'SEANCE 1'!$C:$C, AP$2, 'SEANCE 1'!$F:$F, AP$5)=0, "", COUNTIFS('SEANCE 1'!$B:$B, $B141, 'SEANCE 1'!$C:$C, AP$2, 'SEANCE 1'!$F:$F, AP$5))</f>
        <v/>
      </c>
      <c r="AQ141" s="64" t="str">
        <f ca="1">IF(COUNTIFS('SEANCE 1'!$B:$B, $B141, 'SEANCE 1'!$C:$C, AQ$2, 'SEANCE 1'!$F:$F, AQ$5)=0, "", COUNTIFS('SEANCE 1'!$B:$B, $B141, 'SEANCE 1'!$C:$C, AQ$2, 'SEANCE 1'!$F:$F, AQ$5))</f>
        <v/>
      </c>
      <c r="AR141" s="64" t="str">
        <f ca="1">IF(COUNTIFS('SEANCE 1'!$B:$B, $B141, 'SEANCE 1'!$C:$C, AR$2, 'SEANCE 1'!$F:$F, AR$5)=0, "", COUNTIFS('SEANCE 1'!$B:$B, $B141, 'SEANCE 1'!$C:$C, AR$2, 'SEANCE 1'!$F:$F, AR$5))</f>
        <v/>
      </c>
      <c r="AS141" s="64" t="str">
        <f ca="1">IF(COUNTIFS('SEANCE 1'!$B:$B, $B141, 'SEANCE 1'!$C:$C, AS$2, 'SEANCE 1'!$F:$F, AS$5)=0, "", COUNTIFS('SEANCE 1'!$B:$B, $B141, 'SEANCE 1'!$C:$C, AS$2, 'SEANCE 1'!$F:$F, AS$5))</f>
        <v/>
      </c>
      <c r="AT141" s="64" t="str">
        <f ca="1">IF(COUNTIFS('SEANCE 1'!$B:$B, $B141, 'SEANCE 1'!$C:$C, AT$2, 'SEANCE 1'!$F:$F, AT$5)=0, "", COUNTIFS('SEANCE 1'!$B:$B, $B141, 'SEANCE 1'!$C:$C, AT$2, 'SEANCE 1'!$F:$F, AT$5))</f>
        <v/>
      </c>
      <c r="AU141" s="64" t="str">
        <f ca="1">IF(COUNTIFS('SEANCE 1'!$B:$B, $B141, 'SEANCE 1'!$C:$C, AU$2, 'SEANCE 1'!$F:$F, AU$5)=0, "", COUNTIFS('SEANCE 1'!$B:$B, $B141, 'SEANCE 1'!$C:$C, AU$2, 'SEANCE 1'!$F:$F, AU$5))</f>
        <v/>
      </c>
      <c r="AV141" s="64" t="str">
        <f ca="1">IF(COUNTIFS('SEANCE 1'!$B:$B, $B141, 'SEANCE 1'!$C:$C, AV$2, 'SEANCE 1'!$F:$F, AV$5)=0, "", COUNTIFS('SEANCE 1'!$B:$B, $B141, 'SEANCE 1'!$C:$C, AV$2, 'SEANCE 1'!$F:$F, AV$5))</f>
        <v/>
      </c>
      <c r="AW141" s="64" t="str">
        <f ca="1">IF(COUNTIFS('SEANCE 1'!$B:$B, $B141, 'SEANCE 1'!$C:$C, AW$2, 'SEANCE 1'!$F:$F, AW$5)=0, "", COUNTIFS('SEANCE 1'!$B:$B, $B141, 'SEANCE 1'!$C:$C, AW$2, 'SEANCE 1'!$F:$F, AW$5))</f>
        <v/>
      </c>
      <c r="AX141" s="64" t="str">
        <f ca="1">IF(COUNTIFS('SEANCE 1'!$B:$B, $B141, 'SEANCE 1'!$C:$C, AX$2, 'SEANCE 1'!$F:$F, AX$5)=0, "", COUNTIFS('SEANCE 1'!$B:$B, $B141, 'SEANCE 1'!$C:$C, AX$2, 'SEANCE 1'!$F:$F, AX$5))</f>
        <v/>
      </c>
      <c r="AY141" s="64" t="str">
        <f ca="1">IF(COUNTIFS('SEANCE 1'!$B:$B, $B141, 'SEANCE 1'!$C:$C, AY$2, 'SEANCE 1'!$F:$F, AY$5)=0, "", COUNTIFS('SEANCE 1'!$B:$B, $B141, 'SEANCE 1'!$C:$C, AY$2, 'SEANCE 1'!$F:$F, AY$5))</f>
        <v/>
      </c>
      <c r="AZ141" s="32">
        <f t="shared" ca="1" si="2"/>
        <v>0</v>
      </c>
    </row>
    <row r="142" spans="1:52">
      <c r="A142" s="44" t="str">
        <f>IF('SEANCE 1'!$B138&lt;&gt;"",'SEANCE 1'!$A138,"")</f>
        <v/>
      </c>
      <c r="B142" s="44" t="str">
        <f t="array" aca="1" ref="B142" ca="1">IF(ISNA(INDEX(ListeB,MATCH(0,COUNTIF($B$5:B141,ListeB),0))),"",INDEX(ListeB,MATCH(0,COUNTIF($B$5:B141,ListeB),0)))</f>
        <v/>
      </c>
      <c r="C142" s="64" t="str">
        <f ca="1">IF(COUNTIFS('SEANCE 1'!$B:$B, $B142, 'SEANCE 1'!$C:$C, C$2, 'SEANCE 1'!$F:$F, C$5)=0, "", COUNTIFS('SEANCE 1'!$B:$B, $B142, 'SEANCE 1'!$C:$C, C$2, 'SEANCE 1'!$F:$F, C$5))</f>
        <v/>
      </c>
      <c r="D142" s="64" t="str">
        <f ca="1">IF(COUNTIFS('SEANCE 1'!$B:$B, $B142, 'SEANCE 1'!$C:$C, D$2, 'SEANCE 1'!$F:$F, D$5)=0, "", COUNTIFS('SEANCE 1'!$B:$B, $B142, 'SEANCE 1'!$C:$C, D$2, 'SEANCE 1'!$F:$F, D$5))</f>
        <v/>
      </c>
      <c r="E142" s="64" t="str">
        <f ca="1">IF(COUNTIFS('SEANCE 1'!$B:$B, $B142, 'SEANCE 1'!$C:$C, E$2, 'SEANCE 1'!$F:$F, E$5)=0, "", COUNTIFS('SEANCE 1'!$B:$B, $B142, 'SEANCE 1'!$C:$C, E$2, 'SEANCE 1'!$F:$F, E$5))</f>
        <v/>
      </c>
      <c r="F142" s="64" t="str">
        <f ca="1">IF(COUNTIFS('SEANCE 1'!$B:$B, $B142, 'SEANCE 1'!$C:$C, F$2, 'SEANCE 1'!$F:$F, F$5)=0, "", COUNTIFS('SEANCE 1'!$B:$B, $B142, 'SEANCE 1'!$C:$C, F$2, 'SEANCE 1'!$F:$F, F$5))</f>
        <v/>
      </c>
      <c r="G142" s="64" t="str">
        <f ca="1">IF(COUNTIFS('SEANCE 1'!$B:$B, $B142, 'SEANCE 1'!$C:$C, G$2, 'SEANCE 1'!$F:$F, G$5)=0, "", COUNTIFS('SEANCE 1'!$B:$B, $B142, 'SEANCE 1'!$C:$C, G$2, 'SEANCE 1'!$F:$F, G$5))</f>
        <v/>
      </c>
      <c r="H142" s="64" t="str">
        <f ca="1">IF(COUNTIFS('SEANCE 1'!$B:$B, $B142, 'SEANCE 1'!$C:$C, H$2, 'SEANCE 1'!$F:$F, H$5)=0, "", COUNTIFS('SEANCE 1'!$B:$B, $B142, 'SEANCE 1'!$C:$C, H$2, 'SEANCE 1'!$F:$F, H$5))</f>
        <v/>
      </c>
      <c r="I142" s="64" t="str">
        <f ca="1">IF(COUNTIFS('SEANCE 1'!$B:$B, $B142, 'SEANCE 1'!$C:$C, I$2, 'SEANCE 1'!$F:$F, I$5)=0, "", COUNTIFS('SEANCE 1'!$B:$B, $B142, 'SEANCE 1'!$C:$C, I$2, 'SEANCE 1'!$F:$F, I$5))</f>
        <v/>
      </c>
      <c r="J142" s="64" t="str">
        <f ca="1">IF(COUNTIFS('SEANCE 1'!$B:$B, $B142, 'SEANCE 1'!$C:$C, J$2, 'SEANCE 1'!$F:$F, J$5)=0, "", COUNTIFS('SEANCE 1'!$B:$B, $B142, 'SEANCE 1'!$C:$C, J$2, 'SEANCE 1'!$F:$F, J$5))</f>
        <v/>
      </c>
      <c r="K142" s="64" t="str">
        <f ca="1">IF(COUNTIFS('SEANCE 1'!$B:$B, $B142, 'SEANCE 1'!$C:$C, K$2, 'SEANCE 1'!$F:$F, K$5)=0, "", COUNTIFS('SEANCE 1'!$B:$B, $B142, 'SEANCE 1'!$C:$C, K$2, 'SEANCE 1'!$F:$F, K$5))</f>
        <v/>
      </c>
      <c r="L142" s="64" t="str">
        <f ca="1">IF(COUNTIFS('SEANCE 1'!$B:$B, $B142, 'SEANCE 1'!$C:$C, L$2, 'SEANCE 1'!$F:$F, L$5)=0, "", COUNTIFS('SEANCE 1'!$B:$B, $B142, 'SEANCE 1'!$C:$C, L$2, 'SEANCE 1'!$F:$F, L$5))</f>
        <v/>
      </c>
      <c r="M142" s="64" t="str">
        <f ca="1">IF(COUNTIFS('SEANCE 1'!$B:$B, $B142, 'SEANCE 1'!$C:$C, M$2, 'SEANCE 1'!$F:$F, M$5)=0, "", COUNTIFS('SEANCE 1'!$B:$B, $B142, 'SEANCE 1'!$C:$C, M$2, 'SEANCE 1'!$F:$F, M$5))</f>
        <v/>
      </c>
      <c r="N142" s="64" t="str">
        <f ca="1">IF(COUNTIFS('SEANCE 1'!$B:$B, $B142, 'SEANCE 1'!$C:$C, N$2, 'SEANCE 1'!$F:$F, N$5)=0, "", COUNTIFS('SEANCE 1'!$B:$B, $B142, 'SEANCE 1'!$C:$C, N$2, 'SEANCE 1'!$F:$F, N$5))</f>
        <v/>
      </c>
      <c r="O142" s="64" t="str">
        <f ca="1">IF(COUNTIFS('SEANCE 1'!$B:$B, $B142, 'SEANCE 1'!$C:$C, O$2, 'SEANCE 1'!$F:$F, O$5)=0, "", COUNTIFS('SEANCE 1'!$B:$B, $B142, 'SEANCE 1'!$C:$C, O$2, 'SEANCE 1'!$F:$F, O$5))</f>
        <v/>
      </c>
      <c r="P142" s="64" t="str">
        <f ca="1">IF(COUNTIFS('SEANCE 1'!$B:$B, $B142, 'SEANCE 1'!$C:$C, P$2, 'SEANCE 1'!$F:$F, P$5)=0, "", COUNTIFS('SEANCE 1'!$B:$B, $B142, 'SEANCE 1'!$C:$C, P$2, 'SEANCE 1'!$F:$F, P$5))</f>
        <v/>
      </c>
      <c r="Q142" s="64" t="str">
        <f ca="1">IF(COUNTIFS('SEANCE 1'!$B:$B, $B142, 'SEANCE 1'!$C:$C, Q$2, 'SEANCE 1'!$F:$F, Q$5)=0, "", COUNTIFS('SEANCE 1'!$B:$B, $B142, 'SEANCE 1'!$C:$C, Q$2, 'SEANCE 1'!$F:$F, Q$5))</f>
        <v/>
      </c>
      <c r="R142" s="64" t="str">
        <f ca="1">IF(COUNTIFS('SEANCE 1'!$B:$B, $B142, 'SEANCE 1'!$C:$C, R$2, 'SEANCE 1'!$F:$F, R$5)=0, "", COUNTIFS('SEANCE 1'!$B:$B, $B142, 'SEANCE 1'!$C:$C, R$2, 'SEANCE 1'!$F:$F, R$5))</f>
        <v/>
      </c>
      <c r="S142" s="64" t="str">
        <f ca="1">IF(COUNTIFS('SEANCE 1'!$B:$B, $B142, 'SEANCE 1'!$C:$C, S$2, 'SEANCE 1'!$F:$F, S$5)=0, "", COUNTIFS('SEANCE 1'!$B:$B, $B142, 'SEANCE 1'!$C:$C, S$2, 'SEANCE 1'!$F:$F, S$5))</f>
        <v/>
      </c>
      <c r="T142" s="64" t="str">
        <f ca="1">IF(COUNTIFS('SEANCE 1'!$B:$B, $B142, 'SEANCE 1'!$C:$C, T$2, 'SEANCE 1'!$F:$F, T$5)=0, "", COUNTIFS('SEANCE 1'!$B:$B, $B142, 'SEANCE 1'!$C:$C, T$2, 'SEANCE 1'!$F:$F, T$5))</f>
        <v/>
      </c>
      <c r="U142" s="64" t="str">
        <f ca="1">IF(COUNTIFS('SEANCE 1'!$B:$B, $B142, 'SEANCE 1'!$C:$C, U$2, 'SEANCE 1'!$F:$F, U$5)=0, "", COUNTIFS('SEANCE 1'!$B:$B, $B142, 'SEANCE 1'!$C:$C, U$2, 'SEANCE 1'!$F:$F, U$5))</f>
        <v/>
      </c>
      <c r="V142" s="64" t="str">
        <f ca="1">IF(COUNTIFS('SEANCE 1'!$B:$B, $B142, 'SEANCE 1'!$C:$C, V$2, 'SEANCE 1'!$F:$F, V$5)=0, "", COUNTIFS('SEANCE 1'!$B:$B, $B142, 'SEANCE 1'!$C:$C, V$2, 'SEANCE 1'!$F:$F, V$5))</f>
        <v/>
      </c>
      <c r="W142" s="64" t="str">
        <f ca="1">IF(COUNTIFS('SEANCE 1'!$B:$B, $B142, 'SEANCE 1'!$C:$C, W$2, 'SEANCE 1'!$F:$F, W$5)=0, "", COUNTIFS('SEANCE 1'!$B:$B, $B142, 'SEANCE 1'!$C:$C, W$2, 'SEANCE 1'!$F:$F, W$5))</f>
        <v/>
      </c>
      <c r="X142" s="64" t="str">
        <f ca="1">IF(COUNTIFS('SEANCE 1'!$B:$B, $B142, 'SEANCE 1'!$C:$C, X$2, 'SEANCE 1'!$F:$F, X$5)=0, "", COUNTIFS('SEANCE 1'!$B:$B, $B142, 'SEANCE 1'!$C:$C, X$2, 'SEANCE 1'!$F:$F, X$5))</f>
        <v/>
      </c>
      <c r="Y142" s="64" t="str">
        <f ca="1">IF(COUNTIFS('SEANCE 1'!$B:$B, $B142, 'SEANCE 1'!$C:$C, Y$2, 'SEANCE 1'!$F:$F, Y$5)=0, "", COUNTIFS('SEANCE 1'!$B:$B, $B142, 'SEANCE 1'!$C:$C, Y$2, 'SEANCE 1'!$F:$F, Y$5))</f>
        <v/>
      </c>
      <c r="Z142" s="64" t="str">
        <f ca="1">IF(COUNTIFS('SEANCE 1'!$B:$B, $B142, 'SEANCE 1'!$C:$C, Z$2, 'SEANCE 1'!$F:$F, Z$5)=0, "", COUNTIFS('SEANCE 1'!$B:$B, $B142, 'SEANCE 1'!$C:$C, Z$2, 'SEANCE 1'!$F:$F, Z$5))</f>
        <v/>
      </c>
      <c r="AA142" s="64" t="str">
        <f ca="1">IF(COUNTIFS('SEANCE 1'!$B:$B, $B142, 'SEANCE 1'!$C:$C, AA$2, 'SEANCE 1'!$F:$F, AA$5)=0, "", COUNTIFS('SEANCE 1'!$B:$B, $B142, 'SEANCE 1'!$C:$C, AA$2, 'SEANCE 1'!$F:$F, AA$5))</f>
        <v/>
      </c>
      <c r="AB142" s="64" t="str">
        <f ca="1">IF(COUNTIFS('SEANCE 1'!$B:$B, $B142, 'SEANCE 1'!$C:$C, AB$2, 'SEANCE 1'!$F:$F, AB$5)=0, "", COUNTIFS('SEANCE 1'!$B:$B, $B142, 'SEANCE 1'!$C:$C, AB$2, 'SEANCE 1'!$F:$F, AB$5))</f>
        <v/>
      </c>
      <c r="AC142" s="64" t="str">
        <f ca="1">IF(COUNTIFS('SEANCE 1'!$B:$B, $B142, 'SEANCE 1'!$C:$C, AC$2, 'SEANCE 1'!$F:$F, AC$5)=0, "", COUNTIFS('SEANCE 1'!$B:$B, $B142, 'SEANCE 1'!$C:$C, AC$2, 'SEANCE 1'!$F:$F, AC$5))</f>
        <v/>
      </c>
      <c r="AD142" s="64" t="str">
        <f ca="1">IF(COUNTIFS('SEANCE 1'!$B:$B, $B142, 'SEANCE 1'!$C:$C, AD$2, 'SEANCE 1'!$F:$F, AD$5)=0, "", COUNTIFS('SEANCE 1'!$B:$B, $B142, 'SEANCE 1'!$C:$C, AD$2, 'SEANCE 1'!$F:$F, AD$5))</f>
        <v/>
      </c>
      <c r="AE142" s="64" t="str">
        <f ca="1">IF(COUNTIFS('SEANCE 1'!$B:$B, $B142, 'SEANCE 1'!$C:$C, AE$2, 'SEANCE 1'!$F:$F, AE$5)=0, "", COUNTIFS('SEANCE 1'!$B:$B, $B142, 'SEANCE 1'!$C:$C, AE$2, 'SEANCE 1'!$F:$F, AE$5))</f>
        <v/>
      </c>
      <c r="AF142" s="64" t="str">
        <f ca="1">IF(COUNTIFS('SEANCE 1'!$B:$B, $B142, 'SEANCE 1'!$C:$C, AF$2, 'SEANCE 1'!$F:$F, AF$5)=0, "", COUNTIFS('SEANCE 1'!$B:$B, $B142, 'SEANCE 1'!$C:$C, AF$2, 'SEANCE 1'!$F:$F, AF$5))</f>
        <v/>
      </c>
      <c r="AG142" s="64" t="str">
        <f ca="1">IF(COUNTIFS('SEANCE 1'!$B:$B, $B142, 'SEANCE 1'!$C:$C, AG$2, 'SEANCE 1'!$F:$F, AG$5)=0, "", COUNTIFS('SEANCE 1'!$B:$B, $B142, 'SEANCE 1'!$C:$C, AG$2, 'SEANCE 1'!$F:$F, AG$5))</f>
        <v/>
      </c>
      <c r="AH142" s="64" t="str">
        <f ca="1">IF(COUNTIFS('SEANCE 1'!$B:$B, $B142, 'SEANCE 1'!$C:$C, AH$2, 'SEANCE 1'!$F:$F, AH$5)=0, "", COUNTIFS('SEANCE 1'!$B:$B, $B142, 'SEANCE 1'!$C:$C, AH$2, 'SEANCE 1'!$F:$F, AH$5))</f>
        <v/>
      </c>
      <c r="AI142" s="64" t="str">
        <f ca="1">IF(COUNTIFS('SEANCE 1'!$B:$B, $B142, 'SEANCE 1'!$C:$C, AI$2, 'SEANCE 1'!$F:$F, AI$5)=0, "", COUNTIFS('SEANCE 1'!$B:$B, $B142, 'SEANCE 1'!$C:$C, AI$2, 'SEANCE 1'!$F:$F, AI$5))</f>
        <v/>
      </c>
      <c r="AJ142" s="64" t="str">
        <f ca="1">IF(COUNTIFS('SEANCE 1'!$B:$B, $B142, 'SEANCE 1'!$C:$C, AJ$2, 'SEANCE 1'!$F:$F, AJ$5)=0, "", COUNTIFS('SEANCE 1'!$B:$B, $B142, 'SEANCE 1'!$C:$C, AJ$2, 'SEANCE 1'!$F:$F, AJ$5))</f>
        <v/>
      </c>
      <c r="AK142" s="64" t="str">
        <f ca="1">IF(COUNTIFS('SEANCE 1'!$B:$B, $B142, 'SEANCE 1'!$C:$C, AK$2, 'SEANCE 1'!$F:$F, AK$5)=0, "", COUNTIFS('SEANCE 1'!$B:$B, $B142, 'SEANCE 1'!$C:$C, AK$2, 'SEANCE 1'!$F:$F, AK$5))</f>
        <v/>
      </c>
      <c r="AL142" s="64" t="str">
        <f ca="1">IF(COUNTIFS('SEANCE 1'!$B:$B, $B142, 'SEANCE 1'!$C:$C, AL$2, 'SEANCE 1'!$F:$F, AL$5)=0, "", COUNTIFS('SEANCE 1'!$B:$B, $B142, 'SEANCE 1'!$C:$C, AL$2, 'SEANCE 1'!$F:$F, AL$5))</f>
        <v/>
      </c>
      <c r="AM142" s="64" t="str">
        <f ca="1">IF(COUNTIFS('SEANCE 1'!$B:$B, $B142, 'SEANCE 1'!$C:$C, AM$2, 'SEANCE 1'!$F:$F, AM$5)=0, "", COUNTIFS('SEANCE 1'!$B:$B, $B142, 'SEANCE 1'!$C:$C, AM$2, 'SEANCE 1'!$F:$F, AM$5))</f>
        <v/>
      </c>
      <c r="AN142" s="64" t="str">
        <f ca="1">IF(COUNTIFS('SEANCE 1'!$B:$B, $B142, 'SEANCE 1'!$C:$C, AN$2, 'SEANCE 1'!$F:$F, AN$5)=0, "", COUNTIFS('SEANCE 1'!$B:$B, $B142, 'SEANCE 1'!$C:$C, AN$2, 'SEANCE 1'!$F:$F, AN$5))</f>
        <v/>
      </c>
      <c r="AO142" s="64" t="str">
        <f ca="1">IF(COUNTIFS('SEANCE 1'!$B:$B, $B142, 'SEANCE 1'!$C:$C, AO$2, 'SEANCE 1'!$F:$F, AO$5)=0, "", COUNTIFS('SEANCE 1'!$B:$B, $B142, 'SEANCE 1'!$C:$C, AO$2, 'SEANCE 1'!$F:$F, AO$5))</f>
        <v/>
      </c>
      <c r="AP142" s="64" t="str">
        <f ca="1">IF(COUNTIFS('SEANCE 1'!$B:$B, $B142, 'SEANCE 1'!$C:$C, AP$2, 'SEANCE 1'!$F:$F, AP$5)=0, "", COUNTIFS('SEANCE 1'!$B:$B, $B142, 'SEANCE 1'!$C:$C, AP$2, 'SEANCE 1'!$F:$F, AP$5))</f>
        <v/>
      </c>
      <c r="AQ142" s="64" t="str">
        <f ca="1">IF(COUNTIFS('SEANCE 1'!$B:$B, $B142, 'SEANCE 1'!$C:$C, AQ$2, 'SEANCE 1'!$F:$F, AQ$5)=0, "", COUNTIFS('SEANCE 1'!$B:$B, $B142, 'SEANCE 1'!$C:$C, AQ$2, 'SEANCE 1'!$F:$F, AQ$5))</f>
        <v/>
      </c>
      <c r="AR142" s="64" t="str">
        <f ca="1">IF(COUNTIFS('SEANCE 1'!$B:$B, $B142, 'SEANCE 1'!$C:$C, AR$2, 'SEANCE 1'!$F:$F, AR$5)=0, "", COUNTIFS('SEANCE 1'!$B:$B, $B142, 'SEANCE 1'!$C:$C, AR$2, 'SEANCE 1'!$F:$F, AR$5))</f>
        <v/>
      </c>
      <c r="AS142" s="64" t="str">
        <f ca="1">IF(COUNTIFS('SEANCE 1'!$B:$B, $B142, 'SEANCE 1'!$C:$C, AS$2, 'SEANCE 1'!$F:$F, AS$5)=0, "", COUNTIFS('SEANCE 1'!$B:$B, $B142, 'SEANCE 1'!$C:$C, AS$2, 'SEANCE 1'!$F:$F, AS$5))</f>
        <v/>
      </c>
      <c r="AT142" s="64" t="str">
        <f ca="1">IF(COUNTIFS('SEANCE 1'!$B:$B, $B142, 'SEANCE 1'!$C:$C, AT$2, 'SEANCE 1'!$F:$F, AT$5)=0, "", COUNTIFS('SEANCE 1'!$B:$B, $B142, 'SEANCE 1'!$C:$C, AT$2, 'SEANCE 1'!$F:$F, AT$5))</f>
        <v/>
      </c>
      <c r="AU142" s="64" t="str">
        <f ca="1">IF(COUNTIFS('SEANCE 1'!$B:$B, $B142, 'SEANCE 1'!$C:$C, AU$2, 'SEANCE 1'!$F:$F, AU$5)=0, "", COUNTIFS('SEANCE 1'!$B:$B, $B142, 'SEANCE 1'!$C:$C, AU$2, 'SEANCE 1'!$F:$F, AU$5))</f>
        <v/>
      </c>
      <c r="AV142" s="64" t="str">
        <f ca="1">IF(COUNTIFS('SEANCE 1'!$B:$B, $B142, 'SEANCE 1'!$C:$C, AV$2, 'SEANCE 1'!$F:$F, AV$5)=0, "", COUNTIFS('SEANCE 1'!$B:$B, $B142, 'SEANCE 1'!$C:$C, AV$2, 'SEANCE 1'!$F:$F, AV$5))</f>
        <v/>
      </c>
      <c r="AW142" s="64" t="str">
        <f ca="1">IF(COUNTIFS('SEANCE 1'!$B:$B, $B142, 'SEANCE 1'!$C:$C, AW$2, 'SEANCE 1'!$F:$F, AW$5)=0, "", COUNTIFS('SEANCE 1'!$B:$B, $B142, 'SEANCE 1'!$C:$C, AW$2, 'SEANCE 1'!$F:$F, AW$5))</f>
        <v/>
      </c>
      <c r="AX142" s="64" t="str">
        <f ca="1">IF(COUNTIFS('SEANCE 1'!$B:$B, $B142, 'SEANCE 1'!$C:$C, AX$2, 'SEANCE 1'!$F:$F, AX$5)=0, "", COUNTIFS('SEANCE 1'!$B:$B, $B142, 'SEANCE 1'!$C:$C, AX$2, 'SEANCE 1'!$F:$F, AX$5))</f>
        <v/>
      </c>
      <c r="AY142" s="64" t="str">
        <f ca="1">IF(COUNTIFS('SEANCE 1'!$B:$B, $B142, 'SEANCE 1'!$C:$C, AY$2, 'SEANCE 1'!$F:$F, AY$5)=0, "", COUNTIFS('SEANCE 1'!$B:$B, $B142, 'SEANCE 1'!$C:$C, AY$2, 'SEANCE 1'!$F:$F, AY$5))</f>
        <v/>
      </c>
      <c r="AZ142" s="32">
        <f t="shared" ca="1" si="2"/>
        <v>0</v>
      </c>
    </row>
    <row r="143" spans="1:52">
      <c r="A143" s="44" t="str">
        <f>IF('SEANCE 1'!$B139&lt;&gt;"",'SEANCE 1'!$A139,"")</f>
        <v/>
      </c>
      <c r="B143" s="44" t="str">
        <f t="array" aca="1" ref="B143" ca="1">IF(ISNA(INDEX(ListeB,MATCH(0,COUNTIF($B$5:B142,ListeB),0))),"",INDEX(ListeB,MATCH(0,COUNTIF($B$5:B142,ListeB),0)))</f>
        <v/>
      </c>
      <c r="C143" s="64" t="str">
        <f ca="1">IF(COUNTIFS('SEANCE 1'!$B:$B, $B143, 'SEANCE 1'!$C:$C, C$2, 'SEANCE 1'!$F:$F, C$5)=0, "", COUNTIFS('SEANCE 1'!$B:$B, $B143, 'SEANCE 1'!$C:$C, C$2, 'SEANCE 1'!$F:$F, C$5))</f>
        <v/>
      </c>
      <c r="D143" s="64" t="str">
        <f ca="1">IF(COUNTIFS('SEANCE 1'!$B:$B, $B143, 'SEANCE 1'!$C:$C, D$2, 'SEANCE 1'!$F:$F, D$5)=0, "", COUNTIFS('SEANCE 1'!$B:$B, $B143, 'SEANCE 1'!$C:$C, D$2, 'SEANCE 1'!$F:$F, D$5))</f>
        <v/>
      </c>
      <c r="E143" s="64" t="str">
        <f ca="1">IF(COUNTIFS('SEANCE 1'!$B:$B, $B143, 'SEANCE 1'!$C:$C, E$2, 'SEANCE 1'!$F:$F, E$5)=0, "", COUNTIFS('SEANCE 1'!$B:$B, $B143, 'SEANCE 1'!$C:$C, E$2, 'SEANCE 1'!$F:$F, E$5))</f>
        <v/>
      </c>
      <c r="F143" s="64" t="str">
        <f ca="1">IF(COUNTIFS('SEANCE 1'!$B:$B, $B143, 'SEANCE 1'!$C:$C, F$2, 'SEANCE 1'!$F:$F, F$5)=0, "", COUNTIFS('SEANCE 1'!$B:$B, $B143, 'SEANCE 1'!$C:$C, F$2, 'SEANCE 1'!$F:$F, F$5))</f>
        <v/>
      </c>
      <c r="G143" s="64" t="str">
        <f ca="1">IF(COUNTIFS('SEANCE 1'!$B:$B, $B143, 'SEANCE 1'!$C:$C, G$2, 'SEANCE 1'!$F:$F, G$5)=0, "", COUNTIFS('SEANCE 1'!$B:$B, $B143, 'SEANCE 1'!$C:$C, G$2, 'SEANCE 1'!$F:$F, G$5))</f>
        <v/>
      </c>
      <c r="H143" s="64" t="str">
        <f ca="1">IF(COUNTIFS('SEANCE 1'!$B:$B, $B143, 'SEANCE 1'!$C:$C, H$2, 'SEANCE 1'!$F:$F, H$5)=0, "", COUNTIFS('SEANCE 1'!$B:$B, $B143, 'SEANCE 1'!$C:$C, H$2, 'SEANCE 1'!$F:$F, H$5))</f>
        <v/>
      </c>
      <c r="I143" s="64" t="str">
        <f ca="1">IF(COUNTIFS('SEANCE 1'!$B:$B, $B143, 'SEANCE 1'!$C:$C, I$2, 'SEANCE 1'!$F:$F, I$5)=0, "", COUNTIFS('SEANCE 1'!$B:$B, $B143, 'SEANCE 1'!$C:$C, I$2, 'SEANCE 1'!$F:$F, I$5))</f>
        <v/>
      </c>
      <c r="J143" s="64" t="str">
        <f ca="1">IF(COUNTIFS('SEANCE 1'!$B:$B, $B143, 'SEANCE 1'!$C:$C, J$2, 'SEANCE 1'!$F:$F, J$5)=0, "", COUNTIFS('SEANCE 1'!$B:$B, $B143, 'SEANCE 1'!$C:$C, J$2, 'SEANCE 1'!$F:$F, J$5))</f>
        <v/>
      </c>
      <c r="K143" s="64" t="str">
        <f ca="1">IF(COUNTIFS('SEANCE 1'!$B:$B, $B143, 'SEANCE 1'!$C:$C, K$2, 'SEANCE 1'!$F:$F, K$5)=0, "", COUNTIFS('SEANCE 1'!$B:$B, $B143, 'SEANCE 1'!$C:$C, K$2, 'SEANCE 1'!$F:$F, K$5))</f>
        <v/>
      </c>
      <c r="L143" s="64" t="str">
        <f ca="1">IF(COUNTIFS('SEANCE 1'!$B:$B, $B143, 'SEANCE 1'!$C:$C, L$2, 'SEANCE 1'!$F:$F, L$5)=0, "", COUNTIFS('SEANCE 1'!$B:$B, $B143, 'SEANCE 1'!$C:$C, L$2, 'SEANCE 1'!$F:$F, L$5))</f>
        <v/>
      </c>
      <c r="M143" s="64" t="str">
        <f ca="1">IF(COUNTIFS('SEANCE 1'!$B:$B, $B143, 'SEANCE 1'!$C:$C, M$2, 'SEANCE 1'!$F:$F, M$5)=0, "", COUNTIFS('SEANCE 1'!$B:$B, $B143, 'SEANCE 1'!$C:$C, M$2, 'SEANCE 1'!$F:$F, M$5))</f>
        <v/>
      </c>
      <c r="N143" s="64" t="str">
        <f ca="1">IF(COUNTIFS('SEANCE 1'!$B:$B, $B143, 'SEANCE 1'!$C:$C, N$2, 'SEANCE 1'!$F:$F, N$5)=0, "", COUNTIFS('SEANCE 1'!$B:$B, $B143, 'SEANCE 1'!$C:$C, N$2, 'SEANCE 1'!$F:$F, N$5))</f>
        <v/>
      </c>
      <c r="O143" s="64" t="str">
        <f ca="1">IF(COUNTIFS('SEANCE 1'!$B:$B, $B143, 'SEANCE 1'!$C:$C, O$2, 'SEANCE 1'!$F:$F, O$5)=0, "", COUNTIFS('SEANCE 1'!$B:$B, $B143, 'SEANCE 1'!$C:$C, O$2, 'SEANCE 1'!$F:$F, O$5))</f>
        <v/>
      </c>
      <c r="P143" s="64" t="str">
        <f ca="1">IF(COUNTIFS('SEANCE 1'!$B:$B, $B143, 'SEANCE 1'!$C:$C, P$2, 'SEANCE 1'!$F:$F, P$5)=0, "", COUNTIFS('SEANCE 1'!$B:$B, $B143, 'SEANCE 1'!$C:$C, P$2, 'SEANCE 1'!$F:$F, P$5))</f>
        <v/>
      </c>
      <c r="Q143" s="64" t="str">
        <f ca="1">IF(COUNTIFS('SEANCE 1'!$B:$B, $B143, 'SEANCE 1'!$C:$C, Q$2, 'SEANCE 1'!$F:$F, Q$5)=0, "", COUNTIFS('SEANCE 1'!$B:$B, $B143, 'SEANCE 1'!$C:$C, Q$2, 'SEANCE 1'!$F:$F, Q$5))</f>
        <v/>
      </c>
      <c r="R143" s="64" t="str">
        <f ca="1">IF(COUNTIFS('SEANCE 1'!$B:$B, $B143, 'SEANCE 1'!$C:$C, R$2, 'SEANCE 1'!$F:$F, R$5)=0, "", COUNTIFS('SEANCE 1'!$B:$B, $B143, 'SEANCE 1'!$C:$C, R$2, 'SEANCE 1'!$F:$F, R$5))</f>
        <v/>
      </c>
      <c r="S143" s="64" t="str">
        <f ca="1">IF(COUNTIFS('SEANCE 1'!$B:$B, $B143, 'SEANCE 1'!$C:$C, S$2, 'SEANCE 1'!$F:$F, S$5)=0, "", COUNTIFS('SEANCE 1'!$B:$B, $B143, 'SEANCE 1'!$C:$C, S$2, 'SEANCE 1'!$F:$F, S$5))</f>
        <v/>
      </c>
      <c r="T143" s="64" t="str">
        <f ca="1">IF(COUNTIFS('SEANCE 1'!$B:$B, $B143, 'SEANCE 1'!$C:$C, T$2, 'SEANCE 1'!$F:$F, T$5)=0, "", COUNTIFS('SEANCE 1'!$B:$B, $B143, 'SEANCE 1'!$C:$C, T$2, 'SEANCE 1'!$F:$F, T$5))</f>
        <v/>
      </c>
      <c r="U143" s="64" t="str">
        <f ca="1">IF(COUNTIFS('SEANCE 1'!$B:$B, $B143, 'SEANCE 1'!$C:$C, U$2, 'SEANCE 1'!$F:$F, U$5)=0, "", COUNTIFS('SEANCE 1'!$B:$B, $B143, 'SEANCE 1'!$C:$C, U$2, 'SEANCE 1'!$F:$F, U$5))</f>
        <v/>
      </c>
      <c r="V143" s="64" t="str">
        <f ca="1">IF(COUNTIFS('SEANCE 1'!$B:$B, $B143, 'SEANCE 1'!$C:$C, V$2, 'SEANCE 1'!$F:$F, V$5)=0, "", COUNTIFS('SEANCE 1'!$B:$B, $B143, 'SEANCE 1'!$C:$C, V$2, 'SEANCE 1'!$F:$F, V$5))</f>
        <v/>
      </c>
      <c r="W143" s="64" t="str">
        <f ca="1">IF(COUNTIFS('SEANCE 1'!$B:$B, $B143, 'SEANCE 1'!$C:$C, W$2, 'SEANCE 1'!$F:$F, W$5)=0, "", COUNTIFS('SEANCE 1'!$B:$B, $B143, 'SEANCE 1'!$C:$C, W$2, 'SEANCE 1'!$F:$F, W$5))</f>
        <v/>
      </c>
      <c r="X143" s="64" t="str">
        <f ca="1">IF(COUNTIFS('SEANCE 1'!$B:$B, $B143, 'SEANCE 1'!$C:$C, X$2, 'SEANCE 1'!$F:$F, X$5)=0, "", COUNTIFS('SEANCE 1'!$B:$B, $B143, 'SEANCE 1'!$C:$C, X$2, 'SEANCE 1'!$F:$F, X$5))</f>
        <v/>
      </c>
      <c r="Y143" s="64" t="str">
        <f ca="1">IF(COUNTIFS('SEANCE 1'!$B:$B, $B143, 'SEANCE 1'!$C:$C, Y$2, 'SEANCE 1'!$F:$F, Y$5)=0, "", COUNTIFS('SEANCE 1'!$B:$B, $B143, 'SEANCE 1'!$C:$C, Y$2, 'SEANCE 1'!$F:$F, Y$5))</f>
        <v/>
      </c>
      <c r="Z143" s="64" t="str">
        <f ca="1">IF(COUNTIFS('SEANCE 1'!$B:$B, $B143, 'SEANCE 1'!$C:$C, Z$2, 'SEANCE 1'!$F:$F, Z$5)=0, "", COUNTIFS('SEANCE 1'!$B:$B, $B143, 'SEANCE 1'!$C:$C, Z$2, 'SEANCE 1'!$F:$F, Z$5))</f>
        <v/>
      </c>
      <c r="AA143" s="64" t="str">
        <f ca="1">IF(COUNTIFS('SEANCE 1'!$B:$B, $B143, 'SEANCE 1'!$C:$C, AA$2, 'SEANCE 1'!$F:$F, AA$5)=0, "", COUNTIFS('SEANCE 1'!$B:$B, $B143, 'SEANCE 1'!$C:$C, AA$2, 'SEANCE 1'!$F:$F, AA$5))</f>
        <v/>
      </c>
      <c r="AB143" s="64" t="str">
        <f ca="1">IF(COUNTIFS('SEANCE 1'!$B:$B, $B143, 'SEANCE 1'!$C:$C, AB$2, 'SEANCE 1'!$F:$F, AB$5)=0, "", COUNTIFS('SEANCE 1'!$B:$B, $B143, 'SEANCE 1'!$C:$C, AB$2, 'SEANCE 1'!$F:$F, AB$5))</f>
        <v/>
      </c>
      <c r="AC143" s="64" t="str">
        <f ca="1">IF(COUNTIFS('SEANCE 1'!$B:$B, $B143, 'SEANCE 1'!$C:$C, AC$2, 'SEANCE 1'!$F:$F, AC$5)=0, "", COUNTIFS('SEANCE 1'!$B:$B, $B143, 'SEANCE 1'!$C:$C, AC$2, 'SEANCE 1'!$F:$F, AC$5))</f>
        <v/>
      </c>
      <c r="AD143" s="64" t="str">
        <f ca="1">IF(COUNTIFS('SEANCE 1'!$B:$B, $B143, 'SEANCE 1'!$C:$C, AD$2, 'SEANCE 1'!$F:$F, AD$5)=0, "", COUNTIFS('SEANCE 1'!$B:$B, $B143, 'SEANCE 1'!$C:$C, AD$2, 'SEANCE 1'!$F:$F, AD$5))</f>
        <v/>
      </c>
      <c r="AE143" s="64" t="str">
        <f ca="1">IF(COUNTIFS('SEANCE 1'!$B:$B, $B143, 'SEANCE 1'!$C:$C, AE$2, 'SEANCE 1'!$F:$F, AE$5)=0, "", COUNTIFS('SEANCE 1'!$B:$B, $B143, 'SEANCE 1'!$C:$C, AE$2, 'SEANCE 1'!$F:$F, AE$5))</f>
        <v/>
      </c>
      <c r="AF143" s="64" t="str">
        <f ca="1">IF(COUNTIFS('SEANCE 1'!$B:$B, $B143, 'SEANCE 1'!$C:$C, AF$2, 'SEANCE 1'!$F:$F, AF$5)=0, "", COUNTIFS('SEANCE 1'!$B:$B, $B143, 'SEANCE 1'!$C:$C, AF$2, 'SEANCE 1'!$F:$F, AF$5))</f>
        <v/>
      </c>
      <c r="AG143" s="64" t="str">
        <f ca="1">IF(COUNTIFS('SEANCE 1'!$B:$B, $B143, 'SEANCE 1'!$C:$C, AG$2, 'SEANCE 1'!$F:$F, AG$5)=0, "", COUNTIFS('SEANCE 1'!$B:$B, $B143, 'SEANCE 1'!$C:$C, AG$2, 'SEANCE 1'!$F:$F, AG$5))</f>
        <v/>
      </c>
      <c r="AH143" s="64" t="str">
        <f ca="1">IF(COUNTIFS('SEANCE 1'!$B:$B, $B143, 'SEANCE 1'!$C:$C, AH$2, 'SEANCE 1'!$F:$F, AH$5)=0, "", COUNTIFS('SEANCE 1'!$B:$B, $B143, 'SEANCE 1'!$C:$C, AH$2, 'SEANCE 1'!$F:$F, AH$5))</f>
        <v/>
      </c>
      <c r="AI143" s="64" t="str">
        <f ca="1">IF(COUNTIFS('SEANCE 1'!$B:$B, $B143, 'SEANCE 1'!$C:$C, AI$2, 'SEANCE 1'!$F:$F, AI$5)=0, "", COUNTIFS('SEANCE 1'!$B:$B, $B143, 'SEANCE 1'!$C:$C, AI$2, 'SEANCE 1'!$F:$F, AI$5))</f>
        <v/>
      </c>
      <c r="AJ143" s="64" t="str">
        <f ca="1">IF(COUNTIFS('SEANCE 1'!$B:$B, $B143, 'SEANCE 1'!$C:$C, AJ$2, 'SEANCE 1'!$F:$F, AJ$5)=0, "", COUNTIFS('SEANCE 1'!$B:$B, $B143, 'SEANCE 1'!$C:$C, AJ$2, 'SEANCE 1'!$F:$F, AJ$5))</f>
        <v/>
      </c>
      <c r="AK143" s="64" t="str">
        <f ca="1">IF(COUNTIFS('SEANCE 1'!$B:$B, $B143, 'SEANCE 1'!$C:$C, AK$2, 'SEANCE 1'!$F:$F, AK$5)=0, "", COUNTIFS('SEANCE 1'!$B:$B, $B143, 'SEANCE 1'!$C:$C, AK$2, 'SEANCE 1'!$F:$F, AK$5))</f>
        <v/>
      </c>
      <c r="AL143" s="64" t="str">
        <f ca="1">IF(COUNTIFS('SEANCE 1'!$B:$B, $B143, 'SEANCE 1'!$C:$C, AL$2, 'SEANCE 1'!$F:$F, AL$5)=0, "", COUNTIFS('SEANCE 1'!$B:$B, $B143, 'SEANCE 1'!$C:$C, AL$2, 'SEANCE 1'!$F:$F, AL$5))</f>
        <v/>
      </c>
      <c r="AM143" s="64" t="str">
        <f ca="1">IF(COUNTIFS('SEANCE 1'!$B:$B, $B143, 'SEANCE 1'!$C:$C, AM$2, 'SEANCE 1'!$F:$F, AM$5)=0, "", COUNTIFS('SEANCE 1'!$B:$B, $B143, 'SEANCE 1'!$C:$C, AM$2, 'SEANCE 1'!$F:$F, AM$5))</f>
        <v/>
      </c>
      <c r="AN143" s="64" t="str">
        <f ca="1">IF(COUNTIFS('SEANCE 1'!$B:$B, $B143, 'SEANCE 1'!$C:$C, AN$2, 'SEANCE 1'!$F:$F, AN$5)=0, "", COUNTIFS('SEANCE 1'!$B:$B, $B143, 'SEANCE 1'!$C:$C, AN$2, 'SEANCE 1'!$F:$F, AN$5))</f>
        <v/>
      </c>
      <c r="AO143" s="64" t="str">
        <f ca="1">IF(COUNTIFS('SEANCE 1'!$B:$B, $B143, 'SEANCE 1'!$C:$C, AO$2, 'SEANCE 1'!$F:$F, AO$5)=0, "", COUNTIFS('SEANCE 1'!$B:$B, $B143, 'SEANCE 1'!$C:$C, AO$2, 'SEANCE 1'!$F:$F, AO$5))</f>
        <v/>
      </c>
      <c r="AP143" s="64" t="str">
        <f ca="1">IF(COUNTIFS('SEANCE 1'!$B:$B, $B143, 'SEANCE 1'!$C:$C, AP$2, 'SEANCE 1'!$F:$F, AP$5)=0, "", COUNTIFS('SEANCE 1'!$B:$B, $B143, 'SEANCE 1'!$C:$C, AP$2, 'SEANCE 1'!$F:$F, AP$5))</f>
        <v/>
      </c>
      <c r="AQ143" s="64" t="str">
        <f ca="1">IF(COUNTIFS('SEANCE 1'!$B:$B, $B143, 'SEANCE 1'!$C:$C, AQ$2, 'SEANCE 1'!$F:$F, AQ$5)=0, "", COUNTIFS('SEANCE 1'!$B:$B, $B143, 'SEANCE 1'!$C:$C, AQ$2, 'SEANCE 1'!$F:$F, AQ$5))</f>
        <v/>
      </c>
      <c r="AR143" s="64" t="str">
        <f ca="1">IF(COUNTIFS('SEANCE 1'!$B:$B, $B143, 'SEANCE 1'!$C:$C, AR$2, 'SEANCE 1'!$F:$F, AR$5)=0, "", COUNTIFS('SEANCE 1'!$B:$B, $B143, 'SEANCE 1'!$C:$C, AR$2, 'SEANCE 1'!$F:$F, AR$5))</f>
        <v/>
      </c>
      <c r="AS143" s="64" t="str">
        <f ca="1">IF(COUNTIFS('SEANCE 1'!$B:$B, $B143, 'SEANCE 1'!$C:$C, AS$2, 'SEANCE 1'!$F:$F, AS$5)=0, "", COUNTIFS('SEANCE 1'!$B:$B, $B143, 'SEANCE 1'!$C:$C, AS$2, 'SEANCE 1'!$F:$F, AS$5))</f>
        <v/>
      </c>
      <c r="AT143" s="64" t="str">
        <f ca="1">IF(COUNTIFS('SEANCE 1'!$B:$B, $B143, 'SEANCE 1'!$C:$C, AT$2, 'SEANCE 1'!$F:$F, AT$5)=0, "", COUNTIFS('SEANCE 1'!$B:$B, $B143, 'SEANCE 1'!$C:$C, AT$2, 'SEANCE 1'!$F:$F, AT$5))</f>
        <v/>
      </c>
      <c r="AU143" s="64" t="str">
        <f ca="1">IF(COUNTIFS('SEANCE 1'!$B:$B, $B143, 'SEANCE 1'!$C:$C, AU$2, 'SEANCE 1'!$F:$F, AU$5)=0, "", COUNTIFS('SEANCE 1'!$B:$B, $B143, 'SEANCE 1'!$C:$C, AU$2, 'SEANCE 1'!$F:$F, AU$5))</f>
        <v/>
      </c>
      <c r="AV143" s="64" t="str">
        <f ca="1">IF(COUNTIFS('SEANCE 1'!$B:$B, $B143, 'SEANCE 1'!$C:$C, AV$2, 'SEANCE 1'!$F:$F, AV$5)=0, "", COUNTIFS('SEANCE 1'!$B:$B, $B143, 'SEANCE 1'!$C:$C, AV$2, 'SEANCE 1'!$F:$F, AV$5))</f>
        <v/>
      </c>
      <c r="AW143" s="64" t="str">
        <f ca="1">IF(COUNTIFS('SEANCE 1'!$B:$B, $B143, 'SEANCE 1'!$C:$C, AW$2, 'SEANCE 1'!$F:$F, AW$5)=0, "", COUNTIFS('SEANCE 1'!$B:$B, $B143, 'SEANCE 1'!$C:$C, AW$2, 'SEANCE 1'!$F:$F, AW$5))</f>
        <v/>
      </c>
      <c r="AX143" s="64" t="str">
        <f ca="1">IF(COUNTIFS('SEANCE 1'!$B:$B, $B143, 'SEANCE 1'!$C:$C, AX$2, 'SEANCE 1'!$F:$F, AX$5)=0, "", COUNTIFS('SEANCE 1'!$B:$B, $B143, 'SEANCE 1'!$C:$C, AX$2, 'SEANCE 1'!$F:$F, AX$5))</f>
        <v/>
      </c>
      <c r="AY143" s="64" t="str">
        <f ca="1">IF(COUNTIFS('SEANCE 1'!$B:$B, $B143, 'SEANCE 1'!$C:$C, AY$2, 'SEANCE 1'!$F:$F, AY$5)=0, "", COUNTIFS('SEANCE 1'!$B:$B, $B143, 'SEANCE 1'!$C:$C, AY$2, 'SEANCE 1'!$F:$F, AY$5))</f>
        <v/>
      </c>
      <c r="AZ143" s="32">
        <f t="shared" ca="1" si="2"/>
        <v>0</v>
      </c>
    </row>
    <row r="144" spans="1:52">
      <c r="A144" s="44" t="str">
        <f>IF('SEANCE 1'!$B140&lt;&gt;"",'SEANCE 1'!$A140,"")</f>
        <v/>
      </c>
      <c r="B144" s="44" t="str">
        <f t="array" aca="1" ref="B144" ca="1">IF(ISNA(INDEX(ListeB,MATCH(0,COUNTIF($B$5:B143,ListeB),0))),"",INDEX(ListeB,MATCH(0,COUNTIF($B$5:B143,ListeB),0)))</f>
        <v/>
      </c>
      <c r="C144" s="64" t="str">
        <f ca="1">IF(COUNTIFS('SEANCE 1'!$B:$B, $B144, 'SEANCE 1'!$C:$C, C$2, 'SEANCE 1'!$F:$F, C$5)=0, "", COUNTIFS('SEANCE 1'!$B:$B, $B144, 'SEANCE 1'!$C:$C, C$2, 'SEANCE 1'!$F:$F, C$5))</f>
        <v/>
      </c>
      <c r="D144" s="64" t="str">
        <f ca="1">IF(COUNTIFS('SEANCE 1'!$B:$B, $B144, 'SEANCE 1'!$C:$C, D$2, 'SEANCE 1'!$F:$F, D$5)=0, "", COUNTIFS('SEANCE 1'!$B:$B, $B144, 'SEANCE 1'!$C:$C, D$2, 'SEANCE 1'!$F:$F, D$5))</f>
        <v/>
      </c>
      <c r="E144" s="64" t="str">
        <f ca="1">IF(COUNTIFS('SEANCE 1'!$B:$B, $B144, 'SEANCE 1'!$C:$C, E$2, 'SEANCE 1'!$F:$F, E$5)=0, "", COUNTIFS('SEANCE 1'!$B:$B, $B144, 'SEANCE 1'!$C:$C, E$2, 'SEANCE 1'!$F:$F, E$5))</f>
        <v/>
      </c>
      <c r="F144" s="64" t="str">
        <f ca="1">IF(COUNTIFS('SEANCE 1'!$B:$B, $B144, 'SEANCE 1'!$C:$C, F$2, 'SEANCE 1'!$F:$F, F$5)=0, "", COUNTIFS('SEANCE 1'!$B:$B, $B144, 'SEANCE 1'!$C:$C, F$2, 'SEANCE 1'!$F:$F, F$5))</f>
        <v/>
      </c>
      <c r="G144" s="64" t="str">
        <f ca="1">IF(COUNTIFS('SEANCE 1'!$B:$B, $B144, 'SEANCE 1'!$C:$C, G$2, 'SEANCE 1'!$F:$F, G$5)=0, "", COUNTIFS('SEANCE 1'!$B:$B, $B144, 'SEANCE 1'!$C:$C, G$2, 'SEANCE 1'!$F:$F, G$5))</f>
        <v/>
      </c>
      <c r="H144" s="64" t="str">
        <f ca="1">IF(COUNTIFS('SEANCE 1'!$B:$B, $B144, 'SEANCE 1'!$C:$C, H$2, 'SEANCE 1'!$F:$F, H$5)=0, "", COUNTIFS('SEANCE 1'!$B:$B, $B144, 'SEANCE 1'!$C:$C, H$2, 'SEANCE 1'!$F:$F, H$5))</f>
        <v/>
      </c>
      <c r="I144" s="64" t="str">
        <f ca="1">IF(COUNTIFS('SEANCE 1'!$B:$B, $B144, 'SEANCE 1'!$C:$C, I$2, 'SEANCE 1'!$F:$F, I$5)=0, "", COUNTIFS('SEANCE 1'!$B:$B, $B144, 'SEANCE 1'!$C:$C, I$2, 'SEANCE 1'!$F:$F, I$5))</f>
        <v/>
      </c>
      <c r="J144" s="64" t="str">
        <f ca="1">IF(COUNTIFS('SEANCE 1'!$B:$B, $B144, 'SEANCE 1'!$C:$C, J$2, 'SEANCE 1'!$F:$F, J$5)=0, "", COUNTIFS('SEANCE 1'!$B:$B, $B144, 'SEANCE 1'!$C:$C, J$2, 'SEANCE 1'!$F:$F, J$5))</f>
        <v/>
      </c>
      <c r="K144" s="64" t="str">
        <f ca="1">IF(COUNTIFS('SEANCE 1'!$B:$B, $B144, 'SEANCE 1'!$C:$C, K$2, 'SEANCE 1'!$F:$F, K$5)=0, "", COUNTIFS('SEANCE 1'!$B:$B, $B144, 'SEANCE 1'!$C:$C, K$2, 'SEANCE 1'!$F:$F, K$5))</f>
        <v/>
      </c>
      <c r="L144" s="64" t="str">
        <f ca="1">IF(COUNTIFS('SEANCE 1'!$B:$B, $B144, 'SEANCE 1'!$C:$C, L$2, 'SEANCE 1'!$F:$F, L$5)=0, "", COUNTIFS('SEANCE 1'!$B:$B, $B144, 'SEANCE 1'!$C:$C, L$2, 'SEANCE 1'!$F:$F, L$5))</f>
        <v/>
      </c>
      <c r="M144" s="64" t="str">
        <f ca="1">IF(COUNTIFS('SEANCE 1'!$B:$B, $B144, 'SEANCE 1'!$C:$C, M$2, 'SEANCE 1'!$F:$F, M$5)=0, "", COUNTIFS('SEANCE 1'!$B:$B, $B144, 'SEANCE 1'!$C:$C, M$2, 'SEANCE 1'!$F:$F, M$5))</f>
        <v/>
      </c>
      <c r="N144" s="64" t="str">
        <f ca="1">IF(COUNTIFS('SEANCE 1'!$B:$B, $B144, 'SEANCE 1'!$C:$C, N$2, 'SEANCE 1'!$F:$F, N$5)=0, "", COUNTIFS('SEANCE 1'!$B:$B, $B144, 'SEANCE 1'!$C:$C, N$2, 'SEANCE 1'!$F:$F, N$5))</f>
        <v/>
      </c>
      <c r="O144" s="64" t="str">
        <f ca="1">IF(COUNTIFS('SEANCE 1'!$B:$B, $B144, 'SEANCE 1'!$C:$C, O$2, 'SEANCE 1'!$F:$F, O$5)=0, "", COUNTIFS('SEANCE 1'!$B:$B, $B144, 'SEANCE 1'!$C:$C, O$2, 'SEANCE 1'!$F:$F, O$5))</f>
        <v/>
      </c>
      <c r="P144" s="64" t="str">
        <f ca="1">IF(COUNTIFS('SEANCE 1'!$B:$B, $B144, 'SEANCE 1'!$C:$C, P$2, 'SEANCE 1'!$F:$F, P$5)=0, "", COUNTIFS('SEANCE 1'!$B:$B, $B144, 'SEANCE 1'!$C:$C, P$2, 'SEANCE 1'!$F:$F, P$5))</f>
        <v/>
      </c>
      <c r="Q144" s="64" t="str">
        <f ca="1">IF(COUNTIFS('SEANCE 1'!$B:$B, $B144, 'SEANCE 1'!$C:$C, Q$2, 'SEANCE 1'!$F:$F, Q$5)=0, "", COUNTIFS('SEANCE 1'!$B:$B, $B144, 'SEANCE 1'!$C:$C, Q$2, 'SEANCE 1'!$F:$F, Q$5))</f>
        <v/>
      </c>
      <c r="R144" s="64" t="str">
        <f ca="1">IF(COUNTIFS('SEANCE 1'!$B:$B, $B144, 'SEANCE 1'!$C:$C, R$2, 'SEANCE 1'!$F:$F, R$5)=0, "", COUNTIFS('SEANCE 1'!$B:$B, $B144, 'SEANCE 1'!$C:$C, R$2, 'SEANCE 1'!$F:$F, R$5))</f>
        <v/>
      </c>
      <c r="S144" s="64" t="str">
        <f ca="1">IF(COUNTIFS('SEANCE 1'!$B:$B, $B144, 'SEANCE 1'!$C:$C, S$2, 'SEANCE 1'!$F:$F, S$5)=0, "", COUNTIFS('SEANCE 1'!$B:$B, $B144, 'SEANCE 1'!$C:$C, S$2, 'SEANCE 1'!$F:$F, S$5))</f>
        <v/>
      </c>
      <c r="T144" s="64" t="str">
        <f ca="1">IF(COUNTIFS('SEANCE 1'!$B:$B, $B144, 'SEANCE 1'!$C:$C, T$2, 'SEANCE 1'!$F:$F, T$5)=0, "", COUNTIFS('SEANCE 1'!$B:$B, $B144, 'SEANCE 1'!$C:$C, T$2, 'SEANCE 1'!$F:$F, T$5))</f>
        <v/>
      </c>
      <c r="U144" s="64" t="str">
        <f ca="1">IF(COUNTIFS('SEANCE 1'!$B:$B, $B144, 'SEANCE 1'!$C:$C, U$2, 'SEANCE 1'!$F:$F, U$5)=0, "", COUNTIFS('SEANCE 1'!$B:$B, $B144, 'SEANCE 1'!$C:$C, U$2, 'SEANCE 1'!$F:$F, U$5))</f>
        <v/>
      </c>
      <c r="V144" s="64" t="str">
        <f ca="1">IF(COUNTIFS('SEANCE 1'!$B:$B, $B144, 'SEANCE 1'!$C:$C, V$2, 'SEANCE 1'!$F:$F, V$5)=0, "", COUNTIFS('SEANCE 1'!$B:$B, $B144, 'SEANCE 1'!$C:$C, V$2, 'SEANCE 1'!$F:$F, V$5))</f>
        <v/>
      </c>
      <c r="W144" s="64" t="str">
        <f ca="1">IF(COUNTIFS('SEANCE 1'!$B:$B, $B144, 'SEANCE 1'!$C:$C, W$2, 'SEANCE 1'!$F:$F, W$5)=0, "", COUNTIFS('SEANCE 1'!$B:$B, $B144, 'SEANCE 1'!$C:$C, W$2, 'SEANCE 1'!$F:$F, W$5))</f>
        <v/>
      </c>
      <c r="X144" s="64" t="str">
        <f ca="1">IF(COUNTIFS('SEANCE 1'!$B:$B, $B144, 'SEANCE 1'!$C:$C, X$2, 'SEANCE 1'!$F:$F, X$5)=0, "", COUNTIFS('SEANCE 1'!$B:$B, $B144, 'SEANCE 1'!$C:$C, X$2, 'SEANCE 1'!$F:$F, X$5))</f>
        <v/>
      </c>
      <c r="Y144" s="64" t="str">
        <f ca="1">IF(COUNTIFS('SEANCE 1'!$B:$B, $B144, 'SEANCE 1'!$C:$C, Y$2, 'SEANCE 1'!$F:$F, Y$5)=0, "", COUNTIFS('SEANCE 1'!$B:$B, $B144, 'SEANCE 1'!$C:$C, Y$2, 'SEANCE 1'!$F:$F, Y$5))</f>
        <v/>
      </c>
      <c r="Z144" s="64" t="str">
        <f ca="1">IF(COUNTIFS('SEANCE 1'!$B:$B, $B144, 'SEANCE 1'!$C:$C, Z$2, 'SEANCE 1'!$F:$F, Z$5)=0, "", COUNTIFS('SEANCE 1'!$B:$B, $B144, 'SEANCE 1'!$C:$C, Z$2, 'SEANCE 1'!$F:$F, Z$5))</f>
        <v/>
      </c>
      <c r="AA144" s="64" t="str">
        <f ca="1">IF(COUNTIFS('SEANCE 1'!$B:$B, $B144, 'SEANCE 1'!$C:$C, AA$2, 'SEANCE 1'!$F:$F, AA$5)=0, "", COUNTIFS('SEANCE 1'!$B:$B, $B144, 'SEANCE 1'!$C:$C, AA$2, 'SEANCE 1'!$F:$F, AA$5))</f>
        <v/>
      </c>
      <c r="AB144" s="64" t="str">
        <f ca="1">IF(COUNTIFS('SEANCE 1'!$B:$B, $B144, 'SEANCE 1'!$C:$C, AB$2, 'SEANCE 1'!$F:$F, AB$5)=0, "", COUNTIFS('SEANCE 1'!$B:$B, $B144, 'SEANCE 1'!$C:$C, AB$2, 'SEANCE 1'!$F:$F, AB$5))</f>
        <v/>
      </c>
      <c r="AC144" s="64" t="str">
        <f ca="1">IF(COUNTIFS('SEANCE 1'!$B:$B, $B144, 'SEANCE 1'!$C:$C, AC$2, 'SEANCE 1'!$F:$F, AC$5)=0, "", COUNTIFS('SEANCE 1'!$B:$B, $B144, 'SEANCE 1'!$C:$C, AC$2, 'SEANCE 1'!$F:$F, AC$5))</f>
        <v/>
      </c>
      <c r="AD144" s="64" t="str">
        <f ca="1">IF(COUNTIFS('SEANCE 1'!$B:$B, $B144, 'SEANCE 1'!$C:$C, AD$2, 'SEANCE 1'!$F:$F, AD$5)=0, "", COUNTIFS('SEANCE 1'!$B:$B, $B144, 'SEANCE 1'!$C:$C, AD$2, 'SEANCE 1'!$F:$F, AD$5))</f>
        <v/>
      </c>
      <c r="AE144" s="64" t="str">
        <f ca="1">IF(COUNTIFS('SEANCE 1'!$B:$B, $B144, 'SEANCE 1'!$C:$C, AE$2, 'SEANCE 1'!$F:$F, AE$5)=0, "", COUNTIFS('SEANCE 1'!$B:$B, $B144, 'SEANCE 1'!$C:$C, AE$2, 'SEANCE 1'!$F:$F, AE$5))</f>
        <v/>
      </c>
      <c r="AF144" s="64" t="str">
        <f ca="1">IF(COUNTIFS('SEANCE 1'!$B:$B, $B144, 'SEANCE 1'!$C:$C, AF$2, 'SEANCE 1'!$F:$F, AF$5)=0, "", COUNTIFS('SEANCE 1'!$B:$B, $B144, 'SEANCE 1'!$C:$C, AF$2, 'SEANCE 1'!$F:$F, AF$5))</f>
        <v/>
      </c>
      <c r="AG144" s="64" t="str">
        <f ca="1">IF(COUNTIFS('SEANCE 1'!$B:$B, $B144, 'SEANCE 1'!$C:$C, AG$2, 'SEANCE 1'!$F:$F, AG$5)=0, "", COUNTIFS('SEANCE 1'!$B:$B, $B144, 'SEANCE 1'!$C:$C, AG$2, 'SEANCE 1'!$F:$F, AG$5))</f>
        <v/>
      </c>
      <c r="AH144" s="64" t="str">
        <f ca="1">IF(COUNTIFS('SEANCE 1'!$B:$B, $B144, 'SEANCE 1'!$C:$C, AH$2, 'SEANCE 1'!$F:$F, AH$5)=0, "", COUNTIFS('SEANCE 1'!$B:$B, $B144, 'SEANCE 1'!$C:$C, AH$2, 'SEANCE 1'!$F:$F, AH$5))</f>
        <v/>
      </c>
      <c r="AI144" s="64" t="str">
        <f ca="1">IF(COUNTIFS('SEANCE 1'!$B:$B, $B144, 'SEANCE 1'!$C:$C, AI$2, 'SEANCE 1'!$F:$F, AI$5)=0, "", COUNTIFS('SEANCE 1'!$B:$B, $B144, 'SEANCE 1'!$C:$C, AI$2, 'SEANCE 1'!$F:$F, AI$5))</f>
        <v/>
      </c>
      <c r="AJ144" s="64" t="str">
        <f ca="1">IF(COUNTIFS('SEANCE 1'!$B:$B, $B144, 'SEANCE 1'!$C:$C, AJ$2, 'SEANCE 1'!$F:$F, AJ$5)=0, "", COUNTIFS('SEANCE 1'!$B:$B, $B144, 'SEANCE 1'!$C:$C, AJ$2, 'SEANCE 1'!$F:$F, AJ$5))</f>
        <v/>
      </c>
      <c r="AK144" s="64" t="str">
        <f ca="1">IF(COUNTIFS('SEANCE 1'!$B:$B, $B144, 'SEANCE 1'!$C:$C, AK$2, 'SEANCE 1'!$F:$F, AK$5)=0, "", COUNTIFS('SEANCE 1'!$B:$B, $B144, 'SEANCE 1'!$C:$C, AK$2, 'SEANCE 1'!$F:$F, AK$5))</f>
        <v/>
      </c>
      <c r="AL144" s="64" t="str">
        <f ca="1">IF(COUNTIFS('SEANCE 1'!$B:$B, $B144, 'SEANCE 1'!$C:$C, AL$2, 'SEANCE 1'!$F:$F, AL$5)=0, "", COUNTIFS('SEANCE 1'!$B:$B, $B144, 'SEANCE 1'!$C:$C, AL$2, 'SEANCE 1'!$F:$F, AL$5))</f>
        <v/>
      </c>
      <c r="AM144" s="64" t="str">
        <f ca="1">IF(COUNTIFS('SEANCE 1'!$B:$B, $B144, 'SEANCE 1'!$C:$C, AM$2, 'SEANCE 1'!$F:$F, AM$5)=0, "", COUNTIFS('SEANCE 1'!$B:$B, $B144, 'SEANCE 1'!$C:$C, AM$2, 'SEANCE 1'!$F:$F, AM$5))</f>
        <v/>
      </c>
      <c r="AN144" s="64" t="str">
        <f ca="1">IF(COUNTIFS('SEANCE 1'!$B:$B, $B144, 'SEANCE 1'!$C:$C, AN$2, 'SEANCE 1'!$F:$F, AN$5)=0, "", COUNTIFS('SEANCE 1'!$B:$B, $B144, 'SEANCE 1'!$C:$C, AN$2, 'SEANCE 1'!$F:$F, AN$5))</f>
        <v/>
      </c>
      <c r="AO144" s="64" t="str">
        <f ca="1">IF(COUNTIFS('SEANCE 1'!$B:$B, $B144, 'SEANCE 1'!$C:$C, AO$2, 'SEANCE 1'!$F:$F, AO$5)=0, "", COUNTIFS('SEANCE 1'!$B:$B, $B144, 'SEANCE 1'!$C:$C, AO$2, 'SEANCE 1'!$F:$F, AO$5))</f>
        <v/>
      </c>
      <c r="AP144" s="64" t="str">
        <f ca="1">IF(COUNTIFS('SEANCE 1'!$B:$B, $B144, 'SEANCE 1'!$C:$C, AP$2, 'SEANCE 1'!$F:$F, AP$5)=0, "", COUNTIFS('SEANCE 1'!$B:$B, $B144, 'SEANCE 1'!$C:$C, AP$2, 'SEANCE 1'!$F:$F, AP$5))</f>
        <v/>
      </c>
      <c r="AQ144" s="64" t="str">
        <f ca="1">IF(COUNTIFS('SEANCE 1'!$B:$B, $B144, 'SEANCE 1'!$C:$C, AQ$2, 'SEANCE 1'!$F:$F, AQ$5)=0, "", COUNTIFS('SEANCE 1'!$B:$B, $B144, 'SEANCE 1'!$C:$C, AQ$2, 'SEANCE 1'!$F:$F, AQ$5))</f>
        <v/>
      </c>
      <c r="AR144" s="64" t="str">
        <f ca="1">IF(COUNTIFS('SEANCE 1'!$B:$B, $B144, 'SEANCE 1'!$C:$C, AR$2, 'SEANCE 1'!$F:$F, AR$5)=0, "", COUNTIFS('SEANCE 1'!$B:$B, $B144, 'SEANCE 1'!$C:$C, AR$2, 'SEANCE 1'!$F:$F, AR$5))</f>
        <v/>
      </c>
      <c r="AS144" s="64" t="str">
        <f ca="1">IF(COUNTIFS('SEANCE 1'!$B:$B, $B144, 'SEANCE 1'!$C:$C, AS$2, 'SEANCE 1'!$F:$F, AS$5)=0, "", COUNTIFS('SEANCE 1'!$B:$B, $B144, 'SEANCE 1'!$C:$C, AS$2, 'SEANCE 1'!$F:$F, AS$5))</f>
        <v/>
      </c>
      <c r="AT144" s="64" t="str">
        <f ca="1">IF(COUNTIFS('SEANCE 1'!$B:$B, $B144, 'SEANCE 1'!$C:$C, AT$2, 'SEANCE 1'!$F:$F, AT$5)=0, "", COUNTIFS('SEANCE 1'!$B:$B, $B144, 'SEANCE 1'!$C:$C, AT$2, 'SEANCE 1'!$F:$F, AT$5))</f>
        <v/>
      </c>
      <c r="AU144" s="64" t="str">
        <f ca="1">IF(COUNTIFS('SEANCE 1'!$B:$B, $B144, 'SEANCE 1'!$C:$C, AU$2, 'SEANCE 1'!$F:$F, AU$5)=0, "", COUNTIFS('SEANCE 1'!$B:$B, $B144, 'SEANCE 1'!$C:$C, AU$2, 'SEANCE 1'!$F:$F, AU$5))</f>
        <v/>
      </c>
      <c r="AV144" s="64" t="str">
        <f ca="1">IF(COUNTIFS('SEANCE 1'!$B:$B, $B144, 'SEANCE 1'!$C:$C, AV$2, 'SEANCE 1'!$F:$F, AV$5)=0, "", COUNTIFS('SEANCE 1'!$B:$B, $B144, 'SEANCE 1'!$C:$C, AV$2, 'SEANCE 1'!$F:$F, AV$5))</f>
        <v/>
      </c>
      <c r="AW144" s="64" t="str">
        <f ca="1">IF(COUNTIFS('SEANCE 1'!$B:$B, $B144, 'SEANCE 1'!$C:$C, AW$2, 'SEANCE 1'!$F:$F, AW$5)=0, "", COUNTIFS('SEANCE 1'!$B:$B, $B144, 'SEANCE 1'!$C:$C, AW$2, 'SEANCE 1'!$F:$F, AW$5))</f>
        <v/>
      </c>
      <c r="AX144" s="64" t="str">
        <f ca="1">IF(COUNTIFS('SEANCE 1'!$B:$B, $B144, 'SEANCE 1'!$C:$C, AX$2, 'SEANCE 1'!$F:$F, AX$5)=0, "", COUNTIFS('SEANCE 1'!$B:$B, $B144, 'SEANCE 1'!$C:$C, AX$2, 'SEANCE 1'!$F:$F, AX$5))</f>
        <v/>
      </c>
      <c r="AY144" s="64" t="str">
        <f ca="1">IF(COUNTIFS('SEANCE 1'!$B:$B, $B144, 'SEANCE 1'!$C:$C, AY$2, 'SEANCE 1'!$F:$F, AY$5)=0, "", COUNTIFS('SEANCE 1'!$B:$B, $B144, 'SEANCE 1'!$C:$C, AY$2, 'SEANCE 1'!$F:$F, AY$5))</f>
        <v/>
      </c>
      <c r="AZ144" s="32">
        <f t="shared" ca="1" si="2"/>
        <v>0</v>
      </c>
    </row>
    <row r="145" spans="1:52">
      <c r="A145" s="44" t="str">
        <f>IF('SEANCE 1'!$B141&lt;&gt;"",'SEANCE 1'!$A141,"")</f>
        <v/>
      </c>
      <c r="B145" s="44" t="str">
        <f t="array" aca="1" ref="B145" ca="1">IF(ISNA(INDEX(ListeB,MATCH(0,COUNTIF($B$5:B144,ListeB),0))),"",INDEX(ListeB,MATCH(0,COUNTIF($B$5:B144,ListeB),0)))</f>
        <v/>
      </c>
      <c r="C145" s="64" t="str">
        <f ca="1">IF(COUNTIFS('SEANCE 1'!$B:$B, $B145, 'SEANCE 1'!$C:$C, C$2, 'SEANCE 1'!$F:$F, C$5)=0, "", COUNTIFS('SEANCE 1'!$B:$B, $B145, 'SEANCE 1'!$C:$C, C$2, 'SEANCE 1'!$F:$F, C$5))</f>
        <v/>
      </c>
      <c r="D145" s="64" t="str">
        <f ca="1">IF(COUNTIFS('SEANCE 1'!$B:$B, $B145, 'SEANCE 1'!$C:$C, D$2, 'SEANCE 1'!$F:$F, D$5)=0, "", COUNTIFS('SEANCE 1'!$B:$B, $B145, 'SEANCE 1'!$C:$C, D$2, 'SEANCE 1'!$F:$F, D$5))</f>
        <v/>
      </c>
      <c r="E145" s="64" t="str">
        <f ca="1">IF(COUNTIFS('SEANCE 1'!$B:$B, $B145, 'SEANCE 1'!$C:$C, E$2, 'SEANCE 1'!$F:$F, E$5)=0, "", COUNTIFS('SEANCE 1'!$B:$B, $B145, 'SEANCE 1'!$C:$C, E$2, 'SEANCE 1'!$F:$F, E$5))</f>
        <v/>
      </c>
      <c r="F145" s="64" t="str">
        <f ca="1">IF(COUNTIFS('SEANCE 1'!$B:$B, $B145, 'SEANCE 1'!$C:$C, F$2, 'SEANCE 1'!$F:$F, F$5)=0, "", COUNTIFS('SEANCE 1'!$B:$B, $B145, 'SEANCE 1'!$C:$C, F$2, 'SEANCE 1'!$F:$F, F$5))</f>
        <v/>
      </c>
      <c r="G145" s="64" t="str">
        <f ca="1">IF(COUNTIFS('SEANCE 1'!$B:$B, $B145, 'SEANCE 1'!$C:$C, G$2, 'SEANCE 1'!$F:$F, G$5)=0, "", COUNTIFS('SEANCE 1'!$B:$B, $B145, 'SEANCE 1'!$C:$C, G$2, 'SEANCE 1'!$F:$F, G$5))</f>
        <v/>
      </c>
      <c r="H145" s="64" t="str">
        <f ca="1">IF(COUNTIFS('SEANCE 1'!$B:$B, $B145, 'SEANCE 1'!$C:$C, H$2, 'SEANCE 1'!$F:$F, H$5)=0, "", COUNTIFS('SEANCE 1'!$B:$B, $B145, 'SEANCE 1'!$C:$C, H$2, 'SEANCE 1'!$F:$F, H$5))</f>
        <v/>
      </c>
      <c r="I145" s="64" t="str">
        <f ca="1">IF(COUNTIFS('SEANCE 1'!$B:$B, $B145, 'SEANCE 1'!$C:$C, I$2, 'SEANCE 1'!$F:$F, I$5)=0, "", COUNTIFS('SEANCE 1'!$B:$B, $B145, 'SEANCE 1'!$C:$C, I$2, 'SEANCE 1'!$F:$F, I$5))</f>
        <v/>
      </c>
      <c r="J145" s="64" t="str">
        <f ca="1">IF(COUNTIFS('SEANCE 1'!$B:$B, $B145, 'SEANCE 1'!$C:$C, J$2, 'SEANCE 1'!$F:$F, J$5)=0, "", COUNTIFS('SEANCE 1'!$B:$B, $B145, 'SEANCE 1'!$C:$C, J$2, 'SEANCE 1'!$F:$F, J$5))</f>
        <v/>
      </c>
      <c r="K145" s="64" t="str">
        <f ca="1">IF(COUNTIFS('SEANCE 1'!$B:$B, $B145, 'SEANCE 1'!$C:$C, K$2, 'SEANCE 1'!$F:$F, K$5)=0, "", COUNTIFS('SEANCE 1'!$B:$B, $B145, 'SEANCE 1'!$C:$C, K$2, 'SEANCE 1'!$F:$F, K$5))</f>
        <v/>
      </c>
      <c r="L145" s="64" t="str">
        <f ca="1">IF(COUNTIFS('SEANCE 1'!$B:$B, $B145, 'SEANCE 1'!$C:$C, L$2, 'SEANCE 1'!$F:$F, L$5)=0, "", COUNTIFS('SEANCE 1'!$B:$B, $B145, 'SEANCE 1'!$C:$C, L$2, 'SEANCE 1'!$F:$F, L$5))</f>
        <v/>
      </c>
      <c r="M145" s="64" t="str">
        <f ca="1">IF(COUNTIFS('SEANCE 1'!$B:$B, $B145, 'SEANCE 1'!$C:$C, M$2, 'SEANCE 1'!$F:$F, M$5)=0, "", COUNTIFS('SEANCE 1'!$B:$B, $B145, 'SEANCE 1'!$C:$C, M$2, 'SEANCE 1'!$F:$F, M$5))</f>
        <v/>
      </c>
      <c r="N145" s="64" t="str">
        <f ca="1">IF(COUNTIFS('SEANCE 1'!$B:$B, $B145, 'SEANCE 1'!$C:$C, N$2, 'SEANCE 1'!$F:$F, N$5)=0, "", COUNTIFS('SEANCE 1'!$B:$B, $B145, 'SEANCE 1'!$C:$C, N$2, 'SEANCE 1'!$F:$F, N$5))</f>
        <v/>
      </c>
      <c r="O145" s="64" t="str">
        <f ca="1">IF(COUNTIFS('SEANCE 1'!$B:$B, $B145, 'SEANCE 1'!$C:$C, O$2, 'SEANCE 1'!$F:$F, O$5)=0, "", COUNTIFS('SEANCE 1'!$B:$B, $B145, 'SEANCE 1'!$C:$C, O$2, 'SEANCE 1'!$F:$F, O$5))</f>
        <v/>
      </c>
      <c r="P145" s="64" t="str">
        <f ca="1">IF(COUNTIFS('SEANCE 1'!$B:$B, $B145, 'SEANCE 1'!$C:$C, P$2, 'SEANCE 1'!$F:$F, P$5)=0, "", COUNTIFS('SEANCE 1'!$B:$B, $B145, 'SEANCE 1'!$C:$C, P$2, 'SEANCE 1'!$F:$F, P$5))</f>
        <v/>
      </c>
      <c r="Q145" s="64" t="str">
        <f ca="1">IF(COUNTIFS('SEANCE 1'!$B:$B, $B145, 'SEANCE 1'!$C:$C, Q$2, 'SEANCE 1'!$F:$F, Q$5)=0, "", COUNTIFS('SEANCE 1'!$B:$B, $B145, 'SEANCE 1'!$C:$C, Q$2, 'SEANCE 1'!$F:$F, Q$5))</f>
        <v/>
      </c>
      <c r="R145" s="64" t="str">
        <f ca="1">IF(COUNTIFS('SEANCE 1'!$B:$B, $B145, 'SEANCE 1'!$C:$C, R$2, 'SEANCE 1'!$F:$F, R$5)=0, "", COUNTIFS('SEANCE 1'!$B:$B, $B145, 'SEANCE 1'!$C:$C, R$2, 'SEANCE 1'!$F:$F, R$5))</f>
        <v/>
      </c>
      <c r="S145" s="64" t="str">
        <f ca="1">IF(COUNTIFS('SEANCE 1'!$B:$B, $B145, 'SEANCE 1'!$C:$C, S$2, 'SEANCE 1'!$F:$F, S$5)=0, "", COUNTIFS('SEANCE 1'!$B:$B, $B145, 'SEANCE 1'!$C:$C, S$2, 'SEANCE 1'!$F:$F, S$5))</f>
        <v/>
      </c>
      <c r="T145" s="64" t="str">
        <f ca="1">IF(COUNTIFS('SEANCE 1'!$B:$B, $B145, 'SEANCE 1'!$C:$C, T$2, 'SEANCE 1'!$F:$F, T$5)=0, "", COUNTIFS('SEANCE 1'!$B:$B, $B145, 'SEANCE 1'!$C:$C, T$2, 'SEANCE 1'!$F:$F, T$5))</f>
        <v/>
      </c>
      <c r="U145" s="64" t="str">
        <f ca="1">IF(COUNTIFS('SEANCE 1'!$B:$B, $B145, 'SEANCE 1'!$C:$C, U$2, 'SEANCE 1'!$F:$F, U$5)=0, "", COUNTIFS('SEANCE 1'!$B:$B, $B145, 'SEANCE 1'!$C:$C, U$2, 'SEANCE 1'!$F:$F, U$5))</f>
        <v/>
      </c>
      <c r="V145" s="64" t="str">
        <f ca="1">IF(COUNTIFS('SEANCE 1'!$B:$B, $B145, 'SEANCE 1'!$C:$C, V$2, 'SEANCE 1'!$F:$F, V$5)=0, "", COUNTIFS('SEANCE 1'!$B:$B, $B145, 'SEANCE 1'!$C:$C, V$2, 'SEANCE 1'!$F:$F, V$5))</f>
        <v/>
      </c>
      <c r="W145" s="64" t="str">
        <f ca="1">IF(COUNTIFS('SEANCE 1'!$B:$B, $B145, 'SEANCE 1'!$C:$C, W$2, 'SEANCE 1'!$F:$F, W$5)=0, "", COUNTIFS('SEANCE 1'!$B:$B, $B145, 'SEANCE 1'!$C:$C, W$2, 'SEANCE 1'!$F:$F, W$5))</f>
        <v/>
      </c>
      <c r="X145" s="64" t="str">
        <f ca="1">IF(COUNTIFS('SEANCE 1'!$B:$B, $B145, 'SEANCE 1'!$C:$C, X$2, 'SEANCE 1'!$F:$F, X$5)=0, "", COUNTIFS('SEANCE 1'!$B:$B, $B145, 'SEANCE 1'!$C:$C, X$2, 'SEANCE 1'!$F:$F, X$5))</f>
        <v/>
      </c>
      <c r="Y145" s="64" t="str">
        <f ca="1">IF(COUNTIFS('SEANCE 1'!$B:$B, $B145, 'SEANCE 1'!$C:$C, Y$2, 'SEANCE 1'!$F:$F, Y$5)=0, "", COUNTIFS('SEANCE 1'!$B:$B, $B145, 'SEANCE 1'!$C:$C, Y$2, 'SEANCE 1'!$F:$F, Y$5))</f>
        <v/>
      </c>
      <c r="Z145" s="64" t="str">
        <f ca="1">IF(COUNTIFS('SEANCE 1'!$B:$B, $B145, 'SEANCE 1'!$C:$C, Z$2, 'SEANCE 1'!$F:$F, Z$5)=0, "", COUNTIFS('SEANCE 1'!$B:$B, $B145, 'SEANCE 1'!$C:$C, Z$2, 'SEANCE 1'!$F:$F, Z$5))</f>
        <v/>
      </c>
      <c r="AA145" s="64" t="str">
        <f ca="1">IF(COUNTIFS('SEANCE 1'!$B:$B, $B145, 'SEANCE 1'!$C:$C, AA$2, 'SEANCE 1'!$F:$F, AA$5)=0, "", COUNTIFS('SEANCE 1'!$B:$B, $B145, 'SEANCE 1'!$C:$C, AA$2, 'SEANCE 1'!$F:$F, AA$5))</f>
        <v/>
      </c>
      <c r="AB145" s="64" t="str">
        <f ca="1">IF(COUNTIFS('SEANCE 1'!$B:$B, $B145, 'SEANCE 1'!$C:$C, AB$2, 'SEANCE 1'!$F:$F, AB$5)=0, "", COUNTIFS('SEANCE 1'!$B:$B, $B145, 'SEANCE 1'!$C:$C, AB$2, 'SEANCE 1'!$F:$F, AB$5))</f>
        <v/>
      </c>
      <c r="AC145" s="64" t="str">
        <f ca="1">IF(COUNTIFS('SEANCE 1'!$B:$B, $B145, 'SEANCE 1'!$C:$C, AC$2, 'SEANCE 1'!$F:$F, AC$5)=0, "", COUNTIFS('SEANCE 1'!$B:$B, $B145, 'SEANCE 1'!$C:$C, AC$2, 'SEANCE 1'!$F:$F, AC$5))</f>
        <v/>
      </c>
      <c r="AD145" s="64" t="str">
        <f ca="1">IF(COUNTIFS('SEANCE 1'!$B:$B, $B145, 'SEANCE 1'!$C:$C, AD$2, 'SEANCE 1'!$F:$F, AD$5)=0, "", COUNTIFS('SEANCE 1'!$B:$B, $B145, 'SEANCE 1'!$C:$C, AD$2, 'SEANCE 1'!$F:$F, AD$5))</f>
        <v/>
      </c>
      <c r="AE145" s="64" t="str">
        <f ca="1">IF(COUNTIFS('SEANCE 1'!$B:$B, $B145, 'SEANCE 1'!$C:$C, AE$2, 'SEANCE 1'!$F:$F, AE$5)=0, "", COUNTIFS('SEANCE 1'!$B:$B, $B145, 'SEANCE 1'!$C:$C, AE$2, 'SEANCE 1'!$F:$F, AE$5))</f>
        <v/>
      </c>
      <c r="AF145" s="64" t="str">
        <f ca="1">IF(COUNTIFS('SEANCE 1'!$B:$B, $B145, 'SEANCE 1'!$C:$C, AF$2, 'SEANCE 1'!$F:$F, AF$5)=0, "", COUNTIFS('SEANCE 1'!$B:$B, $B145, 'SEANCE 1'!$C:$C, AF$2, 'SEANCE 1'!$F:$F, AF$5))</f>
        <v/>
      </c>
      <c r="AG145" s="64" t="str">
        <f ca="1">IF(COUNTIFS('SEANCE 1'!$B:$B, $B145, 'SEANCE 1'!$C:$C, AG$2, 'SEANCE 1'!$F:$F, AG$5)=0, "", COUNTIFS('SEANCE 1'!$B:$B, $B145, 'SEANCE 1'!$C:$C, AG$2, 'SEANCE 1'!$F:$F, AG$5))</f>
        <v/>
      </c>
      <c r="AH145" s="64" t="str">
        <f ca="1">IF(COUNTIFS('SEANCE 1'!$B:$B, $B145, 'SEANCE 1'!$C:$C, AH$2, 'SEANCE 1'!$F:$F, AH$5)=0, "", COUNTIFS('SEANCE 1'!$B:$B, $B145, 'SEANCE 1'!$C:$C, AH$2, 'SEANCE 1'!$F:$F, AH$5))</f>
        <v/>
      </c>
      <c r="AI145" s="64" t="str">
        <f ca="1">IF(COUNTIFS('SEANCE 1'!$B:$B, $B145, 'SEANCE 1'!$C:$C, AI$2, 'SEANCE 1'!$F:$F, AI$5)=0, "", COUNTIFS('SEANCE 1'!$B:$B, $B145, 'SEANCE 1'!$C:$C, AI$2, 'SEANCE 1'!$F:$F, AI$5))</f>
        <v/>
      </c>
      <c r="AJ145" s="64" t="str">
        <f ca="1">IF(COUNTIFS('SEANCE 1'!$B:$B, $B145, 'SEANCE 1'!$C:$C, AJ$2, 'SEANCE 1'!$F:$F, AJ$5)=0, "", COUNTIFS('SEANCE 1'!$B:$B, $B145, 'SEANCE 1'!$C:$C, AJ$2, 'SEANCE 1'!$F:$F, AJ$5))</f>
        <v/>
      </c>
      <c r="AK145" s="64" t="str">
        <f ca="1">IF(COUNTIFS('SEANCE 1'!$B:$B, $B145, 'SEANCE 1'!$C:$C, AK$2, 'SEANCE 1'!$F:$F, AK$5)=0, "", COUNTIFS('SEANCE 1'!$B:$B, $B145, 'SEANCE 1'!$C:$C, AK$2, 'SEANCE 1'!$F:$F, AK$5))</f>
        <v/>
      </c>
      <c r="AL145" s="64" t="str">
        <f ca="1">IF(COUNTIFS('SEANCE 1'!$B:$B, $B145, 'SEANCE 1'!$C:$C, AL$2, 'SEANCE 1'!$F:$F, AL$5)=0, "", COUNTIFS('SEANCE 1'!$B:$B, $B145, 'SEANCE 1'!$C:$C, AL$2, 'SEANCE 1'!$F:$F, AL$5))</f>
        <v/>
      </c>
      <c r="AM145" s="64" t="str">
        <f ca="1">IF(COUNTIFS('SEANCE 1'!$B:$B, $B145, 'SEANCE 1'!$C:$C, AM$2, 'SEANCE 1'!$F:$F, AM$5)=0, "", COUNTIFS('SEANCE 1'!$B:$B, $B145, 'SEANCE 1'!$C:$C, AM$2, 'SEANCE 1'!$F:$F, AM$5))</f>
        <v/>
      </c>
      <c r="AN145" s="64" t="str">
        <f ca="1">IF(COUNTIFS('SEANCE 1'!$B:$B, $B145, 'SEANCE 1'!$C:$C, AN$2, 'SEANCE 1'!$F:$F, AN$5)=0, "", COUNTIFS('SEANCE 1'!$B:$B, $B145, 'SEANCE 1'!$C:$C, AN$2, 'SEANCE 1'!$F:$F, AN$5))</f>
        <v/>
      </c>
      <c r="AO145" s="64" t="str">
        <f ca="1">IF(COUNTIFS('SEANCE 1'!$B:$B, $B145, 'SEANCE 1'!$C:$C, AO$2, 'SEANCE 1'!$F:$F, AO$5)=0, "", COUNTIFS('SEANCE 1'!$B:$B, $B145, 'SEANCE 1'!$C:$C, AO$2, 'SEANCE 1'!$F:$F, AO$5))</f>
        <v/>
      </c>
      <c r="AP145" s="64" t="str">
        <f ca="1">IF(COUNTIFS('SEANCE 1'!$B:$B, $B145, 'SEANCE 1'!$C:$C, AP$2, 'SEANCE 1'!$F:$F, AP$5)=0, "", COUNTIFS('SEANCE 1'!$B:$B, $B145, 'SEANCE 1'!$C:$C, AP$2, 'SEANCE 1'!$F:$F, AP$5))</f>
        <v/>
      </c>
      <c r="AQ145" s="64" t="str">
        <f ca="1">IF(COUNTIFS('SEANCE 1'!$B:$B, $B145, 'SEANCE 1'!$C:$C, AQ$2, 'SEANCE 1'!$F:$F, AQ$5)=0, "", COUNTIFS('SEANCE 1'!$B:$B, $B145, 'SEANCE 1'!$C:$C, AQ$2, 'SEANCE 1'!$F:$F, AQ$5))</f>
        <v/>
      </c>
      <c r="AR145" s="64" t="str">
        <f ca="1">IF(COUNTIFS('SEANCE 1'!$B:$B, $B145, 'SEANCE 1'!$C:$C, AR$2, 'SEANCE 1'!$F:$F, AR$5)=0, "", COUNTIFS('SEANCE 1'!$B:$B, $B145, 'SEANCE 1'!$C:$C, AR$2, 'SEANCE 1'!$F:$F, AR$5))</f>
        <v/>
      </c>
      <c r="AS145" s="64" t="str">
        <f ca="1">IF(COUNTIFS('SEANCE 1'!$B:$B, $B145, 'SEANCE 1'!$C:$C, AS$2, 'SEANCE 1'!$F:$F, AS$5)=0, "", COUNTIFS('SEANCE 1'!$B:$B, $B145, 'SEANCE 1'!$C:$C, AS$2, 'SEANCE 1'!$F:$F, AS$5))</f>
        <v/>
      </c>
      <c r="AT145" s="64" t="str">
        <f ca="1">IF(COUNTIFS('SEANCE 1'!$B:$B, $B145, 'SEANCE 1'!$C:$C, AT$2, 'SEANCE 1'!$F:$F, AT$5)=0, "", COUNTIFS('SEANCE 1'!$B:$B, $B145, 'SEANCE 1'!$C:$C, AT$2, 'SEANCE 1'!$F:$F, AT$5))</f>
        <v/>
      </c>
      <c r="AU145" s="64" t="str">
        <f ca="1">IF(COUNTIFS('SEANCE 1'!$B:$B, $B145, 'SEANCE 1'!$C:$C, AU$2, 'SEANCE 1'!$F:$F, AU$5)=0, "", COUNTIFS('SEANCE 1'!$B:$B, $B145, 'SEANCE 1'!$C:$C, AU$2, 'SEANCE 1'!$F:$F, AU$5))</f>
        <v/>
      </c>
      <c r="AV145" s="64" t="str">
        <f ca="1">IF(COUNTIFS('SEANCE 1'!$B:$B, $B145, 'SEANCE 1'!$C:$C, AV$2, 'SEANCE 1'!$F:$F, AV$5)=0, "", COUNTIFS('SEANCE 1'!$B:$B, $B145, 'SEANCE 1'!$C:$C, AV$2, 'SEANCE 1'!$F:$F, AV$5))</f>
        <v/>
      </c>
      <c r="AW145" s="64" t="str">
        <f ca="1">IF(COUNTIFS('SEANCE 1'!$B:$B, $B145, 'SEANCE 1'!$C:$C, AW$2, 'SEANCE 1'!$F:$F, AW$5)=0, "", COUNTIFS('SEANCE 1'!$B:$B, $B145, 'SEANCE 1'!$C:$C, AW$2, 'SEANCE 1'!$F:$F, AW$5))</f>
        <v/>
      </c>
      <c r="AX145" s="64" t="str">
        <f ca="1">IF(COUNTIFS('SEANCE 1'!$B:$B, $B145, 'SEANCE 1'!$C:$C, AX$2, 'SEANCE 1'!$F:$F, AX$5)=0, "", COUNTIFS('SEANCE 1'!$B:$B, $B145, 'SEANCE 1'!$C:$C, AX$2, 'SEANCE 1'!$F:$F, AX$5))</f>
        <v/>
      </c>
      <c r="AY145" s="64" t="str">
        <f ca="1">IF(COUNTIFS('SEANCE 1'!$B:$B, $B145, 'SEANCE 1'!$C:$C, AY$2, 'SEANCE 1'!$F:$F, AY$5)=0, "", COUNTIFS('SEANCE 1'!$B:$B, $B145, 'SEANCE 1'!$C:$C, AY$2, 'SEANCE 1'!$F:$F, AY$5))</f>
        <v/>
      </c>
      <c r="AZ145" s="32">
        <f t="shared" ca="1" si="2"/>
        <v>0</v>
      </c>
    </row>
  </sheetData>
  <sheetProtection selectLockedCells="1" selectUnlockedCells="1"/>
  <mergeCells count="16">
    <mergeCell ref="AN1:AP1"/>
    <mergeCell ref="AQ1:AR1"/>
    <mergeCell ref="AS1:AU1"/>
    <mergeCell ref="AV1:AY1"/>
    <mergeCell ref="W1:X1"/>
    <mergeCell ref="Y1:AB1"/>
    <mergeCell ref="AC1:AD1"/>
    <mergeCell ref="AE1:AG1"/>
    <mergeCell ref="AH1:AK1"/>
    <mergeCell ref="AL1:AM1"/>
    <mergeCell ref="S1:V1"/>
    <mergeCell ref="C1:E1"/>
    <mergeCell ref="F1:H1"/>
    <mergeCell ref="I1:L1"/>
    <mergeCell ref="M1:O1"/>
    <mergeCell ref="P1:R1"/>
  </mergeCells>
  <conditionalFormatting sqref="C6:AY145">
    <cfRule type="notContainsBlanks" dxfId="6" priority="4">
      <formula>LEN(TRIM(C6))&gt;0</formula>
    </cfRule>
  </conditionalFormatting>
  <conditionalFormatting sqref="AZ6:AZ27">
    <cfRule type="cellIs" dxfId="5" priority="1" operator="between">
      <formula>2.6</formula>
      <formula>3.4</formula>
    </cfRule>
    <cfRule type="cellIs" dxfId="4" priority="2" operator="greaterThan">
      <formula>3.5</formula>
    </cfRule>
    <cfRule type="cellIs" dxfId="3" priority="3" operator="lessThan">
      <formula>2.5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AX344"/>
  <sheetViews>
    <sheetView topLeftCell="J1" zoomScaleNormal="100" workbookViewId="0">
      <selection activeCell="W9" sqref="W9"/>
    </sheetView>
  </sheetViews>
  <sheetFormatPr baseColWidth="10" defaultColWidth="11.42578125" defaultRowHeight="15"/>
  <cols>
    <col min="1" max="8" width="11.42578125" style="75"/>
    <col min="9" max="10" width="13.7109375" style="75" customWidth="1"/>
    <col min="11" max="16" width="11.42578125" style="68"/>
    <col min="17" max="18" width="6.85546875" style="68" customWidth="1"/>
    <col min="19" max="19" width="8.140625" style="68" bestFit="1" customWidth="1"/>
    <col min="20" max="20" width="11.28515625" style="68" bestFit="1" customWidth="1"/>
    <col min="21" max="22" width="11.42578125" style="68"/>
    <col min="23" max="25" width="45.5703125" style="68" customWidth="1"/>
    <col min="26" max="26" width="57.28515625" style="68" customWidth="1"/>
    <col min="27" max="27" width="46.140625" style="68" customWidth="1"/>
    <col min="28" max="16384" width="11.42578125" style="68"/>
  </cols>
  <sheetData>
    <row r="1" spans="1:27" ht="39.75" customHeight="1">
      <c r="B1" s="143" t="s">
        <v>66</v>
      </c>
      <c r="C1" s="143"/>
      <c r="D1" s="143"/>
      <c r="E1" s="78"/>
      <c r="F1" s="78"/>
      <c r="G1" s="78"/>
      <c r="H1" s="89"/>
      <c r="I1" s="106"/>
      <c r="J1" s="101"/>
      <c r="L1" s="144" t="s">
        <v>68</v>
      </c>
      <c r="M1" s="144"/>
      <c r="N1" s="144"/>
      <c r="Q1" s="145" t="s">
        <v>83</v>
      </c>
      <c r="R1" s="145"/>
      <c r="S1" s="145"/>
      <c r="T1" s="145"/>
      <c r="U1" s="145"/>
    </row>
    <row r="2" spans="1:27" ht="22.5" customHeight="1">
      <c r="B2" s="146" t="s">
        <v>67</v>
      </c>
      <c r="C2" s="147"/>
      <c r="D2" s="147"/>
      <c r="E2" s="147"/>
      <c r="F2" s="147"/>
      <c r="G2" s="148"/>
      <c r="H2" s="90"/>
      <c r="I2" s="104"/>
      <c r="J2" s="101"/>
      <c r="L2" s="69" t="s">
        <v>79</v>
      </c>
      <c r="M2" s="68" t="s">
        <v>69</v>
      </c>
      <c r="N2" s="68" t="s">
        <v>70</v>
      </c>
      <c r="Q2" s="68" t="s">
        <v>84</v>
      </c>
      <c r="R2" s="68" t="s">
        <v>85</v>
      </c>
      <c r="S2" s="68" t="s">
        <v>86</v>
      </c>
      <c r="T2" s="68" t="s">
        <v>87</v>
      </c>
      <c r="U2" s="68" t="s">
        <v>88</v>
      </c>
      <c r="V2" s="68" t="s">
        <v>2</v>
      </c>
      <c r="W2" s="81"/>
    </row>
    <row r="3" spans="1:27" ht="21" customHeight="1" thickBot="1">
      <c r="A3" s="83" t="s">
        <v>171</v>
      </c>
      <c r="B3" s="76" t="s">
        <v>66</v>
      </c>
      <c r="C3" s="76" t="s">
        <v>65</v>
      </c>
      <c r="D3" s="76" t="s">
        <v>24</v>
      </c>
      <c r="E3" s="77" t="s">
        <v>3</v>
      </c>
      <c r="F3" s="77" t="s">
        <v>65</v>
      </c>
      <c r="G3" s="77" t="s">
        <v>24</v>
      </c>
      <c r="H3" s="103"/>
      <c r="I3" s="105"/>
      <c r="J3" s="85"/>
      <c r="M3" s="68">
        <v>4</v>
      </c>
      <c r="N3" s="68" t="s">
        <v>71</v>
      </c>
      <c r="Q3" s="68">
        <v>4</v>
      </c>
      <c r="S3" s="68" t="s">
        <v>81</v>
      </c>
      <c r="T3" s="68" t="s">
        <v>89</v>
      </c>
      <c r="U3" s="68">
        <v>1</v>
      </c>
      <c r="W3" s="80"/>
      <c r="X3" s="80"/>
      <c r="Y3" s="80"/>
      <c r="Z3" s="80"/>
      <c r="AA3" s="80"/>
    </row>
    <row r="4" spans="1:27" ht="15.75" thickBot="1">
      <c r="A4" s="84" t="str">
        <f>'LISTE A SAISIR'!A3</f>
        <v>élève 1</v>
      </c>
      <c r="B4" s="92">
        <v>8</v>
      </c>
      <c r="C4" s="85" t="s">
        <v>15</v>
      </c>
      <c r="D4" s="85" t="s">
        <v>82</v>
      </c>
      <c r="E4" s="85"/>
      <c r="F4" s="85"/>
      <c r="G4" s="85"/>
      <c r="H4" s="85"/>
      <c r="I4" s="105"/>
      <c r="J4" s="85"/>
      <c r="L4" s="70"/>
      <c r="M4" s="68">
        <v>5</v>
      </c>
      <c r="N4" s="68" t="s">
        <v>75</v>
      </c>
      <c r="Q4" s="68">
        <v>4</v>
      </c>
      <c r="R4" s="71" t="s">
        <v>90</v>
      </c>
      <c r="S4" s="68" t="s">
        <v>81</v>
      </c>
      <c r="T4" s="68" t="s">
        <v>91</v>
      </c>
      <c r="U4" s="68">
        <v>2</v>
      </c>
    </row>
    <row r="5" spans="1:27">
      <c r="A5" s="84" t="str">
        <f>'LISTE A SAISIR'!A4</f>
        <v>élève 2</v>
      </c>
      <c r="B5" s="85"/>
      <c r="C5" s="85"/>
      <c r="D5" s="85"/>
      <c r="E5" s="85"/>
      <c r="F5" s="85"/>
      <c r="G5" s="85"/>
      <c r="H5" s="85"/>
      <c r="I5" s="91"/>
      <c r="J5" s="85"/>
      <c r="M5" s="68">
        <v>6</v>
      </c>
      <c r="N5" s="68" t="s">
        <v>72</v>
      </c>
      <c r="Q5" s="68">
        <v>4</v>
      </c>
      <c r="R5" s="68" t="s">
        <v>71</v>
      </c>
      <c r="S5" s="68" t="s">
        <v>81</v>
      </c>
      <c r="T5" s="68" t="s">
        <v>92</v>
      </c>
      <c r="U5" s="68">
        <v>3</v>
      </c>
      <c r="W5" s="80"/>
      <c r="X5" s="80"/>
      <c r="Y5" s="80"/>
      <c r="Z5" s="80"/>
      <c r="AA5" s="80"/>
    </row>
    <row r="6" spans="1:27">
      <c r="A6" s="84" t="str">
        <f>'LISTE A SAISIR'!A5</f>
        <v>élève 3</v>
      </c>
      <c r="B6" s="85"/>
      <c r="C6" s="85"/>
      <c r="D6" s="85"/>
      <c r="E6" s="85"/>
      <c r="F6" s="85"/>
      <c r="G6" s="85"/>
      <c r="H6" s="85"/>
      <c r="I6" s="91"/>
      <c r="J6" s="85"/>
      <c r="L6" s="72"/>
      <c r="N6" s="68" t="s">
        <v>76</v>
      </c>
      <c r="Q6" s="68">
        <v>4</v>
      </c>
      <c r="R6" s="68" t="s">
        <v>75</v>
      </c>
      <c r="S6" s="68" t="s">
        <v>81</v>
      </c>
      <c r="T6" s="68" t="s">
        <v>93</v>
      </c>
      <c r="U6" s="68">
        <v>4</v>
      </c>
    </row>
    <row r="7" spans="1:27" ht="15.75" customHeight="1">
      <c r="A7" s="84" t="str">
        <f>'LISTE A SAISIR'!A6</f>
        <v>élève 4</v>
      </c>
      <c r="B7" s="85"/>
      <c r="C7" s="85"/>
      <c r="D7" s="85"/>
      <c r="E7" s="85"/>
      <c r="F7" s="85"/>
      <c r="G7" s="85"/>
      <c r="H7" s="85"/>
      <c r="I7" s="91"/>
      <c r="J7" s="85"/>
      <c r="N7" s="68" t="s">
        <v>73</v>
      </c>
      <c r="Q7" s="68">
        <v>4</v>
      </c>
      <c r="R7" s="68" t="s">
        <v>72</v>
      </c>
      <c r="S7" s="68" t="s">
        <v>81</v>
      </c>
      <c r="T7" s="68" t="s">
        <v>94</v>
      </c>
      <c r="U7" s="68">
        <v>5</v>
      </c>
      <c r="W7" s="80"/>
      <c r="X7" s="80"/>
      <c r="Y7" s="80"/>
      <c r="Z7" s="80"/>
      <c r="AA7" s="80"/>
    </row>
    <row r="8" spans="1:27">
      <c r="A8" s="84" t="str">
        <f>'LISTE A SAISIR'!A7</f>
        <v>élève 5</v>
      </c>
      <c r="B8" s="85"/>
      <c r="C8" s="85"/>
      <c r="D8" s="85"/>
      <c r="E8" s="85"/>
      <c r="F8" s="85"/>
      <c r="G8" s="85"/>
      <c r="H8" s="85"/>
      <c r="I8" s="91"/>
      <c r="J8" s="85"/>
      <c r="L8" s="73"/>
      <c r="N8" s="68" t="s">
        <v>77</v>
      </c>
      <c r="Q8" s="68">
        <v>4</v>
      </c>
      <c r="R8" s="68" t="s">
        <v>76</v>
      </c>
      <c r="S8" s="68" t="s">
        <v>81</v>
      </c>
      <c r="T8" s="68" t="s">
        <v>95</v>
      </c>
      <c r="U8" s="68">
        <v>6</v>
      </c>
    </row>
    <row r="9" spans="1:27">
      <c r="A9" s="84" t="str">
        <f>'LISTE A SAISIR'!A8</f>
        <v>élève 6</v>
      </c>
      <c r="B9" s="85"/>
      <c r="C9" s="85"/>
      <c r="D9" s="85"/>
      <c r="E9" s="85"/>
      <c r="F9" s="85"/>
      <c r="G9" s="85"/>
      <c r="H9" s="85"/>
      <c r="I9" s="91"/>
      <c r="J9" s="85"/>
      <c r="N9" s="68" t="s">
        <v>74</v>
      </c>
      <c r="Q9" s="68">
        <v>4</v>
      </c>
      <c r="R9" s="68" t="s">
        <v>73</v>
      </c>
      <c r="S9" s="68" t="s">
        <v>81</v>
      </c>
      <c r="T9" s="68" t="s">
        <v>96</v>
      </c>
      <c r="U9" s="68">
        <v>7</v>
      </c>
      <c r="W9"/>
    </row>
    <row r="10" spans="1:27">
      <c r="A10" s="84" t="str">
        <f>'LISTE A SAISIR'!A9</f>
        <v>élève 7</v>
      </c>
      <c r="B10" s="85"/>
      <c r="C10" s="85"/>
      <c r="D10" s="85"/>
      <c r="E10" s="85"/>
      <c r="F10" s="85"/>
      <c r="G10" s="85"/>
      <c r="H10" s="85"/>
      <c r="I10" s="91"/>
      <c r="J10" s="85"/>
      <c r="L10" s="74" t="s">
        <v>78</v>
      </c>
      <c r="Q10" s="68">
        <v>4</v>
      </c>
      <c r="R10" s="68" t="s">
        <v>77</v>
      </c>
      <c r="S10" s="68" t="s">
        <v>81</v>
      </c>
      <c r="T10" s="68" t="s">
        <v>97</v>
      </c>
      <c r="U10" s="68">
        <v>8</v>
      </c>
    </row>
    <row r="11" spans="1:27">
      <c r="A11" s="84" t="str">
        <f>'LISTE A SAISIR'!A10</f>
        <v>élève 8</v>
      </c>
      <c r="B11" s="85"/>
      <c r="C11" s="85"/>
      <c r="D11" s="85"/>
      <c r="E11" s="85"/>
      <c r="F11" s="85"/>
      <c r="G11" s="85"/>
      <c r="H11" s="85"/>
      <c r="I11" s="91"/>
      <c r="J11" s="85"/>
      <c r="Q11" s="68">
        <v>4</v>
      </c>
      <c r="R11" s="68" t="s">
        <v>74</v>
      </c>
      <c r="S11" s="68" t="s">
        <v>81</v>
      </c>
      <c r="T11" s="68" t="s">
        <v>98</v>
      </c>
      <c r="U11" s="68">
        <v>9</v>
      </c>
    </row>
    <row r="12" spans="1:27">
      <c r="A12" s="84" t="str">
        <f>'LISTE A SAISIR'!A11</f>
        <v>élève 9</v>
      </c>
      <c r="B12" s="85"/>
      <c r="C12" s="85"/>
      <c r="D12" s="85"/>
      <c r="E12" s="85"/>
      <c r="F12" s="85"/>
      <c r="G12" s="85"/>
      <c r="H12" s="85"/>
      <c r="I12" s="91"/>
      <c r="J12" s="85"/>
      <c r="Q12" s="68">
        <v>4</v>
      </c>
      <c r="S12" s="68" t="s">
        <v>80</v>
      </c>
      <c r="T12" s="68" t="s">
        <v>99</v>
      </c>
      <c r="U12" s="68">
        <v>10</v>
      </c>
    </row>
    <row r="13" spans="1:27">
      <c r="A13" s="84" t="str">
        <f>'LISTE A SAISIR'!A12</f>
        <v>élève 10</v>
      </c>
      <c r="B13" s="85"/>
      <c r="C13" s="85"/>
      <c r="D13" s="85"/>
      <c r="E13" s="85"/>
      <c r="F13" s="85"/>
      <c r="G13" s="85"/>
      <c r="H13" s="85"/>
      <c r="I13" s="91"/>
      <c r="J13" s="85"/>
      <c r="L13" s="82"/>
      <c r="M13" s="82"/>
      <c r="N13" s="82"/>
      <c r="Q13" s="68">
        <v>4</v>
      </c>
      <c r="R13" s="71" t="s">
        <v>90</v>
      </c>
      <c r="S13" s="68" t="s">
        <v>80</v>
      </c>
      <c r="T13" s="68" t="s">
        <v>100</v>
      </c>
      <c r="U13" s="68">
        <v>11</v>
      </c>
    </row>
    <row r="14" spans="1:27">
      <c r="A14" s="84" t="str">
        <f>'LISTE A SAISIR'!A13</f>
        <v>élève 11</v>
      </c>
      <c r="B14" s="85"/>
      <c r="C14" s="85"/>
      <c r="D14" s="85"/>
      <c r="E14" s="85"/>
      <c r="F14" s="85"/>
      <c r="G14" s="85"/>
      <c r="H14" s="85"/>
      <c r="I14" s="91"/>
      <c r="J14" s="85"/>
      <c r="L14" s="82"/>
      <c r="M14" s="82"/>
      <c r="N14" s="82"/>
      <c r="Q14" s="68">
        <v>4</v>
      </c>
      <c r="R14" s="68" t="s">
        <v>71</v>
      </c>
      <c r="S14" s="68" t="s">
        <v>80</v>
      </c>
      <c r="T14" s="68" t="s">
        <v>101</v>
      </c>
      <c r="U14" s="68">
        <v>12</v>
      </c>
    </row>
    <row r="15" spans="1:27">
      <c r="A15" s="84" t="str">
        <f>'LISTE A SAISIR'!A14</f>
        <v>élève 12</v>
      </c>
      <c r="B15" s="85"/>
      <c r="C15" s="85"/>
      <c r="D15" s="85"/>
      <c r="E15" s="85"/>
      <c r="F15" s="85"/>
      <c r="G15" s="85"/>
      <c r="H15" s="85"/>
      <c r="I15" s="91"/>
      <c r="J15" s="85"/>
      <c r="L15" s="82"/>
      <c r="M15" s="82"/>
      <c r="N15" s="82"/>
      <c r="Q15" s="68">
        <v>4</v>
      </c>
      <c r="R15" s="68" t="s">
        <v>75</v>
      </c>
      <c r="S15" s="68" t="s">
        <v>80</v>
      </c>
      <c r="T15" s="68" t="s">
        <v>102</v>
      </c>
      <c r="U15" s="68">
        <v>13</v>
      </c>
      <c r="W15"/>
    </row>
    <row r="16" spans="1:27">
      <c r="A16" s="84" t="str">
        <f>'LISTE A SAISIR'!A15</f>
        <v>élève 13</v>
      </c>
      <c r="B16" s="85"/>
      <c r="C16" s="85"/>
      <c r="D16" s="85"/>
      <c r="E16" s="85"/>
      <c r="F16" s="85"/>
      <c r="G16" s="85"/>
      <c r="H16" s="85"/>
      <c r="I16" s="91"/>
      <c r="J16" s="85"/>
      <c r="L16" s="82"/>
      <c r="M16" s="82"/>
      <c r="N16" s="82"/>
      <c r="Q16" s="68">
        <v>4</v>
      </c>
      <c r="R16" s="68" t="s">
        <v>72</v>
      </c>
      <c r="S16" s="68" t="s">
        <v>80</v>
      </c>
      <c r="T16" s="68" t="s">
        <v>103</v>
      </c>
      <c r="U16" s="68">
        <v>14</v>
      </c>
    </row>
    <row r="17" spans="1:21">
      <c r="A17" s="84" t="str">
        <f>'LISTE A SAISIR'!A16</f>
        <v>élève 14</v>
      </c>
      <c r="B17" s="85"/>
      <c r="C17" s="85"/>
      <c r="D17" s="85"/>
      <c r="E17" s="85"/>
      <c r="F17" s="85"/>
      <c r="G17" s="85"/>
      <c r="H17" s="85"/>
      <c r="I17" s="91"/>
      <c r="J17" s="85"/>
      <c r="L17" s="82"/>
      <c r="M17" s="82"/>
      <c r="N17" s="82"/>
      <c r="Q17" s="68">
        <v>4</v>
      </c>
      <c r="R17" s="68" t="s">
        <v>76</v>
      </c>
      <c r="S17" s="68" t="s">
        <v>80</v>
      </c>
      <c r="T17" s="68" t="s">
        <v>104</v>
      </c>
      <c r="U17" s="68">
        <v>15</v>
      </c>
    </row>
    <row r="18" spans="1:21">
      <c r="A18" s="84" t="str">
        <f>'LISTE A SAISIR'!A17</f>
        <v>élève 15</v>
      </c>
      <c r="B18" s="85"/>
      <c r="C18" s="85"/>
      <c r="D18" s="85"/>
      <c r="E18" s="85"/>
      <c r="F18" s="85"/>
      <c r="G18" s="85"/>
      <c r="H18" s="85"/>
      <c r="I18" s="91"/>
      <c r="J18" s="85"/>
      <c r="L18" s="82"/>
      <c r="M18" s="82"/>
      <c r="N18" s="82"/>
      <c r="Q18" s="68">
        <v>4</v>
      </c>
      <c r="R18" s="68" t="s">
        <v>73</v>
      </c>
      <c r="S18" s="68" t="s">
        <v>80</v>
      </c>
      <c r="T18" s="68" t="s">
        <v>105</v>
      </c>
      <c r="U18" s="68">
        <v>16</v>
      </c>
    </row>
    <row r="19" spans="1:21">
      <c r="A19" s="84" t="str">
        <f>'LISTE A SAISIR'!A18</f>
        <v>élève 16</v>
      </c>
      <c r="B19" s="85"/>
      <c r="C19" s="85"/>
      <c r="D19" s="85"/>
      <c r="E19" s="85"/>
      <c r="F19" s="85"/>
      <c r="G19" s="85"/>
      <c r="H19" s="85"/>
      <c r="I19" s="91"/>
      <c r="J19" s="85"/>
      <c r="Q19" s="68">
        <v>4</v>
      </c>
      <c r="R19" s="68" t="s">
        <v>77</v>
      </c>
      <c r="S19" s="68" t="s">
        <v>80</v>
      </c>
      <c r="T19" s="68" t="s">
        <v>106</v>
      </c>
      <c r="U19" s="68">
        <v>17</v>
      </c>
    </row>
    <row r="20" spans="1:21">
      <c r="A20" s="84" t="str">
        <f>'LISTE A SAISIR'!A19</f>
        <v>élève 17</v>
      </c>
      <c r="B20" s="85"/>
      <c r="C20" s="85"/>
      <c r="D20" s="85"/>
      <c r="E20" s="85"/>
      <c r="F20" s="85"/>
      <c r="G20" s="85"/>
      <c r="H20" s="85"/>
      <c r="I20" s="91"/>
      <c r="J20" s="85"/>
      <c r="Q20" s="68">
        <v>4</v>
      </c>
      <c r="R20" s="68" t="s">
        <v>74</v>
      </c>
      <c r="S20" s="68" t="s">
        <v>80</v>
      </c>
      <c r="T20" s="68" t="s">
        <v>107</v>
      </c>
      <c r="U20" s="68">
        <v>18</v>
      </c>
    </row>
    <row r="21" spans="1:21">
      <c r="A21" s="84" t="str">
        <f>'LISTE A SAISIR'!A20</f>
        <v>élève 18</v>
      </c>
      <c r="B21" s="85"/>
      <c r="C21" s="85"/>
      <c r="D21" s="85"/>
      <c r="E21" s="85"/>
      <c r="F21" s="85"/>
      <c r="G21" s="85"/>
      <c r="H21" s="85"/>
      <c r="I21" s="91"/>
      <c r="J21" s="85"/>
      <c r="Q21" s="68">
        <v>4</v>
      </c>
      <c r="S21" s="68" t="s">
        <v>82</v>
      </c>
      <c r="T21" s="68" t="s">
        <v>108</v>
      </c>
      <c r="U21" s="68">
        <v>19</v>
      </c>
    </row>
    <row r="22" spans="1:21">
      <c r="A22" s="84" t="str">
        <f>'LISTE A SAISIR'!A21</f>
        <v>élève 19</v>
      </c>
      <c r="B22" s="85"/>
      <c r="C22" s="85"/>
      <c r="D22" s="85"/>
      <c r="E22" s="85"/>
      <c r="F22" s="85"/>
      <c r="G22" s="85"/>
      <c r="H22" s="85"/>
      <c r="I22" s="91"/>
      <c r="J22" s="85"/>
      <c r="Q22" s="68">
        <v>4</v>
      </c>
      <c r="R22" s="71" t="s">
        <v>90</v>
      </c>
      <c r="S22" s="68" t="s">
        <v>82</v>
      </c>
      <c r="T22" s="68" t="s">
        <v>109</v>
      </c>
      <c r="U22" s="68">
        <v>20</v>
      </c>
    </row>
    <row r="23" spans="1:21">
      <c r="A23" s="84" t="str">
        <f>'LISTE A SAISIR'!A22</f>
        <v>élève 20</v>
      </c>
      <c r="B23" s="85"/>
      <c r="C23" s="85"/>
      <c r="D23" s="85"/>
      <c r="E23" s="85"/>
      <c r="F23" s="85"/>
      <c r="G23" s="85"/>
      <c r="H23" s="85"/>
      <c r="I23" s="91"/>
      <c r="J23" s="85"/>
      <c r="Q23" s="68">
        <v>4</v>
      </c>
      <c r="R23" s="68" t="s">
        <v>71</v>
      </c>
      <c r="S23" s="68" t="s">
        <v>82</v>
      </c>
      <c r="T23" s="68" t="s">
        <v>110</v>
      </c>
      <c r="U23" s="68">
        <v>21</v>
      </c>
    </row>
    <row r="24" spans="1:21">
      <c r="A24" s="84" t="str">
        <f>'LISTE A SAISIR'!A23</f>
        <v>élève 21</v>
      </c>
      <c r="B24" s="85"/>
      <c r="C24" s="85"/>
      <c r="D24" s="85"/>
      <c r="E24" s="85"/>
      <c r="F24" s="85"/>
      <c r="G24" s="85"/>
      <c r="H24" s="85"/>
      <c r="I24" s="91"/>
      <c r="J24" s="85"/>
      <c r="Q24" s="68">
        <v>4</v>
      </c>
      <c r="R24" s="68" t="s">
        <v>75</v>
      </c>
      <c r="S24" s="68" t="s">
        <v>82</v>
      </c>
      <c r="T24" s="68" t="s">
        <v>111</v>
      </c>
      <c r="U24" s="68">
        <v>22</v>
      </c>
    </row>
    <row r="25" spans="1:21" ht="15.75" thickBot="1">
      <c r="A25" s="84" t="str">
        <f>'LISTE A SAISIR'!A24</f>
        <v>élève 22</v>
      </c>
      <c r="B25" s="85"/>
      <c r="C25" s="85"/>
      <c r="D25" s="85"/>
      <c r="E25" s="85"/>
      <c r="F25" s="85"/>
      <c r="G25" s="85"/>
      <c r="H25" s="85"/>
      <c r="I25" s="91"/>
      <c r="J25" s="85"/>
      <c r="Q25" s="68">
        <v>4</v>
      </c>
      <c r="R25" s="68" t="s">
        <v>72</v>
      </c>
      <c r="S25" s="68" t="s">
        <v>82</v>
      </c>
      <c r="T25" s="68" t="s">
        <v>112</v>
      </c>
      <c r="U25" s="68">
        <v>23</v>
      </c>
    </row>
    <row r="26" spans="1:21" ht="15.75" thickBot="1">
      <c r="A26" s="84" t="str">
        <f>'LISTE A SAISIR'!A25</f>
        <v>élève 23</v>
      </c>
      <c r="B26" s="92">
        <v>11</v>
      </c>
      <c r="C26" s="85" t="s">
        <v>21</v>
      </c>
      <c r="D26" s="85" t="s">
        <v>82</v>
      </c>
      <c r="E26" s="85"/>
      <c r="F26" s="85"/>
      <c r="G26" s="85"/>
      <c r="H26" s="85"/>
      <c r="I26" s="91"/>
      <c r="J26" s="85"/>
      <c r="Q26" s="68">
        <v>4</v>
      </c>
      <c r="R26" s="68" t="s">
        <v>76</v>
      </c>
      <c r="S26" s="68" t="s">
        <v>82</v>
      </c>
      <c r="T26" s="68" t="s">
        <v>113</v>
      </c>
      <c r="U26" s="68">
        <v>24</v>
      </c>
    </row>
    <row r="27" spans="1:21" ht="15.75" thickBot="1">
      <c r="A27" s="84" t="str">
        <f>'LISTE A SAISIR'!A26</f>
        <v>élève 24</v>
      </c>
      <c r="B27" s="92">
        <v>1</v>
      </c>
      <c r="C27" s="85" t="s">
        <v>15</v>
      </c>
      <c r="D27" s="85" t="s">
        <v>80</v>
      </c>
      <c r="E27" s="92">
        <v>9</v>
      </c>
      <c r="F27" s="85" t="s">
        <v>18</v>
      </c>
      <c r="G27" s="85" t="s">
        <v>82</v>
      </c>
      <c r="H27" s="85"/>
      <c r="I27" s="91"/>
      <c r="J27" s="85"/>
      <c r="Q27" s="68">
        <v>4</v>
      </c>
      <c r="R27" s="68" t="s">
        <v>73</v>
      </c>
      <c r="S27" s="68" t="s">
        <v>82</v>
      </c>
      <c r="T27" s="68" t="s">
        <v>114</v>
      </c>
      <c r="U27" s="68">
        <v>25</v>
      </c>
    </row>
    <row r="28" spans="1:21" ht="15.75" thickBot="1">
      <c r="A28" s="84" t="str">
        <f>'LISTE A SAISIR'!A27</f>
        <v>élève 25</v>
      </c>
      <c r="B28" s="85"/>
      <c r="C28" s="85"/>
      <c r="D28" s="85"/>
      <c r="E28" s="85"/>
      <c r="F28" s="85"/>
      <c r="G28" s="85"/>
      <c r="H28" s="85"/>
      <c r="I28" s="91"/>
      <c r="J28" s="85"/>
      <c r="Q28" s="68">
        <v>4</v>
      </c>
      <c r="R28" s="68" t="s">
        <v>77</v>
      </c>
      <c r="S28" s="68" t="s">
        <v>82</v>
      </c>
      <c r="T28" s="68" t="s">
        <v>115</v>
      </c>
      <c r="U28" s="68">
        <v>26</v>
      </c>
    </row>
    <row r="29" spans="1:21" ht="15.75" thickBot="1">
      <c r="A29" s="84" t="str">
        <f>'LISTE A SAISIR'!A28</f>
        <v>élève 26</v>
      </c>
      <c r="B29" s="92">
        <v>11</v>
      </c>
      <c r="C29" s="85" t="s">
        <v>21</v>
      </c>
      <c r="D29" s="85" t="s">
        <v>82</v>
      </c>
      <c r="E29" s="85"/>
      <c r="F29" s="85"/>
      <c r="G29" s="85"/>
      <c r="H29" s="85"/>
      <c r="I29" s="91"/>
      <c r="J29" s="85"/>
      <c r="Q29" s="68">
        <v>4</v>
      </c>
      <c r="R29" s="68" t="s">
        <v>74</v>
      </c>
      <c r="S29" s="68" t="s">
        <v>82</v>
      </c>
      <c r="T29" s="68" t="s">
        <v>116</v>
      </c>
      <c r="U29" s="68">
        <v>27</v>
      </c>
    </row>
    <row r="30" spans="1:21">
      <c r="A30" s="84" t="str">
        <f>'LISTE A SAISIR'!A29</f>
        <v>élève 27</v>
      </c>
      <c r="B30" s="85"/>
      <c r="C30" s="85"/>
      <c r="D30" s="85"/>
      <c r="E30" s="85"/>
      <c r="F30" s="85"/>
      <c r="G30" s="85"/>
      <c r="H30" s="85"/>
      <c r="I30" s="91"/>
      <c r="J30" s="85"/>
      <c r="Q30" s="68">
        <v>5</v>
      </c>
      <c r="S30" s="68" t="s">
        <v>81</v>
      </c>
      <c r="T30" s="68" t="s">
        <v>117</v>
      </c>
      <c r="U30" s="68">
        <v>28</v>
      </c>
    </row>
    <row r="31" spans="1:21">
      <c r="A31" s="84" t="str">
        <f>'LISTE A SAISIR'!A30</f>
        <v>élève 28</v>
      </c>
      <c r="B31" s="85"/>
      <c r="C31" s="85"/>
      <c r="D31" s="85"/>
      <c r="E31" s="85"/>
      <c r="F31" s="85"/>
      <c r="G31" s="85"/>
      <c r="H31" s="85"/>
      <c r="I31" s="91"/>
      <c r="J31" s="85"/>
      <c r="Q31" s="68">
        <v>5</v>
      </c>
      <c r="R31" s="71" t="s">
        <v>90</v>
      </c>
      <c r="S31" s="68" t="s">
        <v>81</v>
      </c>
      <c r="T31" s="68" t="s">
        <v>118</v>
      </c>
      <c r="U31" s="68">
        <v>29</v>
      </c>
    </row>
    <row r="32" spans="1:21" ht="15.75" thickBot="1">
      <c r="A32" s="84" t="str">
        <f>'LISTE A SAISIR'!A31</f>
        <v>élève 29</v>
      </c>
      <c r="B32" s="85"/>
      <c r="C32" s="85"/>
      <c r="D32" s="85"/>
      <c r="E32" s="85"/>
      <c r="F32" s="85"/>
      <c r="G32" s="85"/>
      <c r="H32" s="85"/>
      <c r="I32" s="91"/>
      <c r="J32" s="85"/>
      <c r="Q32" s="68">
        <v>5</v>
      </c>
      <c r="R32" s="68" t="s">
        <v>71</v>
      </c>
      <c r="S32" s="68" t="s">
        <v>81</v>
      </c>
      <c r="T32" s="68" t="s">
        <v>119</v>
      </c>
      <c r="U32" s="68">
        <v>30</v>
      </c>
    </row>
    <row r="33" spans="1:21" ht="15.75" thickBot="1">
      <c r="A33" s="84" t="str">
        <f>'LISTE A SAISIR'!A32</f>
        <v>élève 30</v>
      </c>
      <c r="B33" s="92">
        <v>4</v>
      </c>
      <c r="C33" s="85" t="s">
        <v>16</v>
      </c>
      <c r="D33" s="85" t="s">
        <v>80</v>
      </c>
      <c r="E33" s="85"/>
      <c r="F33" s="85"/>
      <c r="G33" s="85"/>
      <c r="H33" s="85"/>
      <c r="I33" s="91"/>
      <c r="J33" s="85"/>
      <c r="Q33" s="68">
        <v>5</v>
      </c>
      <c r="R33" s="68" t="s">
        <v>75</v>
      </c>
      <c r="S33" s="68" t="s">
        <v>81</v>
      </c>
      <c r="T33" s="68" t="s">
        <v>120</v>
      </c>
      <c r="U33" s="68">
        <v>31</v>
      </c>
    </row>
    <row r="34" spans="1:21">
      <c r="A34" s="84" t="str">
        <f>'LISTE A SAISIR'!A33</f>
        <v>élève 31</v>
      </c>
      <c r="B34" s="85"/>
      <c r="C34" s="85"/>
      <c r="D34" s="85"/>
      <c r="E34" s="85"/>
      <c r="F34" s="85"/>
      <c r="G34" s="85"/>
      <c r="H34" s="85"/>
      <c r="I34" s="91"/>
      <c r="J34" s="85"/>
      <c r="Q34" s="68">
        <v>5</v>
      </c>
      <c r="R34" s="68" t="s">
        <v>72</v>
      </c>
      <c r="S34" s="68" t="s">
        <v>81</v>
      </c>
      <c r="T34" s="68" t="s">
        <v>121</v>
      </c>
      <c r="U34" s="68">
        <v>32</v>
      </c>
    </row>
    <row r="35" spans="1:21">
      <c r="A35" s="84">
        <f>'LISTE A SAISIR'!A34</f>
        <v>0</v>
      </c>
      <c r="B35" s="85"/>
      <c r="C35" s="85"/>
      <c r="D35" s="85"/>
      <c r="E35" s="85"/>
      <c r="F35" s="85"/>
      <c r="G35" s="85"/>
      <c r="H35" s="85"/>
      <c r="I35" s="91"/>
      <c r="J35" s="85"/>
      <c r="Q35" s="68">
        <v>5</v>
      </c>
      <c r="R35" s="68" t="s">
        <v>76</v>
      </c>
      <c r="S35" s="68" t="s">
        <v>81</v>
      </c>
      <c r="T35" s="68" t="s">
        <v>122</v>
      </c>
      <c r="U35" s="68">
        <v>33</v>
      </c>
    </row>
    <row r="36" spans="1:21">
      <c r="A36" s="84">
        <f>'LISTE A SAISIR'!A35</f>
        <v>0</v>
      </c>
      <c r="B36" s="85"/>
      <c r="C36" s="85"/>
      <c r="D36" s="85"/>
      <c r="E36" s="85"/>
      <c r="F36" s="85"/>
      <c r="G36" s="85"/>
      <c r="H36" s="85"/>
      <c r="I36" s="91"/>
      <c r="J36" s="85"/>
      <c r="Q36" s="68">
        <v>5</v>
      </c>
      <c r="R36" s="68" t="s">
        <v>73</v>
      </c>
      <c r="S36" s="68" t="s">
        <v>81</v>
      </c>
      <c r="T36" s="68" t="s">
        <v>123</v>
      </c>
      <c r="U36" s="68">
        <v>34</v>
      </c>
    </row>
    <row r="37" spans="1:21">
      <c r="A37" s="84">
        <f>'LISTE A SAISIR'!A36</f>
        <v>0</v>
      </c>
      <c r="B37" s="85"/>
      <c r="C37" s="85"/>
      <c r="D37" s="85"/>
      <c r="E37" s="85"/>
      <c r="F37" s="85"/>
      <c r="G37" s="85"/>
      <c r="H37" s="85"/>
      <c r="I37" s="91"/>
      <c r="J37" s="85"/>
      <c r="Q37" s="68">
        <v>5</v>
      </c>
      <c r="R37" s="68" t="s">
        <v>77</v>
      </c>
      <c r="S37" s="68" t="s">
        <v>81</v>
      </c>
      <c r="T37" s="68" t="s">
        <v>124</v>
      </c>
      <c r="U37" s="68">
        <v>35</v>
      </c>
    </row>
    <row r="38" spans="1:21">
      <c r="A38" s="84">
        <f>'LISTE A SAISIR'!A37</f>
        <v>0</v>
      </c>
      <c r="B38" s="85"/>
      <c r="C38" s="85"/>
      <c r="D38" s="85"/>
      <c r="E38" s="85"/>
      <c r="F38" s="85"/>
      <c r="G38" s="85"/>
      <c r="H38" s="85"/>
      <c r="I38" s="91"/>
      <c r="J38" s="85"/>
      <c r="Q38" s="68">
        <v>5</v>
      </c>
      <c r="R38" s="68" t="s">
        <v>74</v>
      </c>
      <c r="S38" s="68" t="s">
        <v>81</v>
      </c>
      <c r="T38" s="68" t="s">
        <v>125</v>
      </c>
      <c r="U38" s="68">
        <v>36</v>
      </c>
    </row>
    <row r="39" spans="1:21">
      <c r="A39" s="79"/>
      <c r="I39" s="100"/>
      <c r="J39" s="100"/>
      <c r="Q39" s="68">
        <v>5</v>
      </c>
      <c r="S39" s="68" t="s">
        <v>80</v>
      </c>
      <c r="T39" s="68" t="s">
        <v>126</v>
      </c>
      <c r="U39" s="68">
        <v>37</v>
      </c>
    </row>
    <row r="40" spans="1:21">
      <c r="Q40" s="68">
        <v>5</v>
      </c>
      <c r="R40" s="71" t="s">
        <v>90</v>
      </c>
      <c r="S40" s="68" t="s">
        <v>80</v>
      </c>
      <c r="T40" s="68" t="s">
        <v>127</v>
      </c>
      <c r="U40" s="68">
        <v>38</v>
      </c>
    </row>
    <row r="41" spans="1:21">
      <c r="Q41" s="68">
        <v>5</v>
      </c>
      <c r="R41" s="68" t="s">
        <v>71</v>
      </c>
      <c r="S41" s="68" t="s">
        <v>80</v>
      </c>
      <c r="T41" s="68" t="s">
        <v>128</v>
      </c>
      <c r="U41" s="68">
        <v>39</v>
      </c>
    </row>
    <row r="42" spans="1:21">
      <c r="I42" s="78" t="s">
        <v>9</v>
      </c>
      <c r="J42" s="102"/>
      <c r="Q42" s="68">
        <v>5</v>
      </c>
      <c r="R42" s="68" t="s">
        <v>75</v>
      </c>
      <c r="S42" s="68" t="s">
        <v>80</v>
      </c>
      <c r="T42" s="68" t="s">
        <v>129</v>
      </c>
      <c r="U42" s="68">
        <v>40</v>
      </c>
    </row>
    <row r="43" spans="1:21">
      <c r="I43" s="78" t="s">
        <v>8</v>
      </c>
      <c r="J43" s="102"/>
      <c r="Q43" s="68">
        <v>5</v>
      </c>
      <c r="R43" s="68" t="s">
        <v>72</v>
      </c>
      <c r="S43" s="68" t="s">
        <v>80</v>
      </c>
      <c r="T43" s="68" t="s">
        <v>130</v>
      </c>
      <c r="U43" s="68">
        <v>41</v>
      </c>
    </row>
    <row r="44" spans="1:21">
      <c r="I44" s="78" t="s">
        <v>7</v>
      </c>
      <c r="J44" s="102"/>
      <c r="Q44" s="68">
        <v>5</v>
      </c>
      <c r="R44" s="68" t="s">
        <v>76</v>
      </c>
      <c r="S44" s="68" t="s">
        <v>80</v>
      </c>
      <c r="T44" s="68" t="s">
        <v>131</v>
      </c>
      <c r="U44" s="68">
        <v>42</v>
      </c>
    </row>
    <row r="45" spans="1:21">
      <c r="Q45" s="68">
        <v>5</v>
      </c>
      <c r="R45" s="68" t="s">
        <v>73</v>
      </c>
      <c r="S45" s="68" t="s">
        <v>80</v>
      </c>
      <c r="T45" s="68" t="s">
        <v>132</v>
      </c>
      <c r="U45" s="68">
        <v>43</v>
      </c>
    </row>
    <row r="46" spans="1:21">
      <c r="Q46" s="68">
        <v>5</v>
      </c>
      <c r="R46" s="68" t="s">
        <v>77</v>
      </c>
      <c r="S46" s="68" t="s">
        <v>80</v>
      </c>
      <c r="T46" s="68" t="s">
        <v>133</v>
      </c>
      <c r="U46" s="68">
        <v>44</v>
      </c>
    </row>
    <row r="47" spans="1:21">
      <c r="Q47" s="68">
        <v>5</v>
      </c>
      <c r="R47" s="68" t="s">
        <v>74</v>
      </c>
      <c r="S47" s="68" t="s">
        <v>80</v>
      </c>
      <c r="T47" s="68" t="s">
        <v>134</v>
      </c>
      <c r="U47" s="68">
        <v>45</v>
      </c>
    </row>
    <row r="48" spans="1:21">
      <c r="Q48" s="68">
        <v>5</v>
      </c>
      <c r="S48" s="68" t="s">
        <v>82</v>
      </c>
      <c r="T48" s="68" t="s">
        <v>135</v>
      </c>
      <c r="U48" s="68">
        <v>46</v>
      </c>
    </row>
    <row r="49" spans="17:21">
      <c r="Q49" s="68">
        <v>5</v>
      </c>
      <c r="R49" s="71" t="s">
        <v>90</v>
      </c>
      <c r="S49" s="68" t="s">
        <v>82</v>
      </c>
      <c r="T49" s="68" t="s">
        <v>136</v>
      </c>
      <c r="U49" s="68">
        <v>47</v>
      </c>
    </row>
    <row r="50" spans="17:21">
      <c r="Q50" s="68">
        <v>5</v>
      </c>
      <c r="R50" s="68" t="s">
        <v>71</v>
      </c>
      <c r="S50" s="68" t="s">
        <v>82</v>
      </c>
      <c r="T50" s="68" t="s">
        <v>137</v>
      </c>
      <c r="U50" s="68">
        <v>48</v>
      </c>
    </row>
    <row r="51" spans="17:21">
      <c r="Q51" s="68">
        <v>5</v>
      </c>
      <c r="R51" s="68" t="s">
        <v>75</v>
      </c>
      <c r="S51" s="68" t="s">
        <v>82</v>
      </c>
      <c r="T51" s="68" t="s">
        <v>138</v>
      </c>
      <c r="U51" s="68">
        <v>49</v>
      </c>
    </row>
    <row r="52" spans="17:21">
      <c r="Q52" s="68">
        <v>5</v>
      </c>
      <c r="R52" s="68" t="s">
        <v>72</v>
      </c>
      <c r="S52" s="68" t="s">
        <v>82</v>
      </c>
      <c r="T52" s="68" t="s">
        <v>139</v>
      </c>
      <c r="U52" s="68">
        <v>50</v>
      </c>
    </row>
    <row r="53" spans="17:21">
      <c r="Q53" s="68">
        <v>5</v>
      </c>
      <c r="R53" s="68" t="s">
        <v>76</v>
      </c>
      <c r="S53" s="68" t="s">
        <v>82</v>
      </c>
      <c r="T53" s="68" t="s">
        <v>140</v>
      </c>
      <c r="U53" s="68">
        <v>51</v>
      </c>
    </row>
    <row r="54" spans="17:21">
      <c r="Q54" s="68">
        <v>5</v>
      </c>
      <c r="R54" s="68" t="s">
        <v>73</v>
      </c>
      <c r="S54" s="68" t="s">
        <v>82</v>
      </c>
      <c r="T54" s="68" t="s">
        <v>141</v>
      </c>
      <c r="U54" s="68">
        <v>52</v>
      </c>
    </row>
    <row r="55" spans="17:21">
      <c r="Q55" s="68">
        <v>5</v>
      </c>
      <c r="R55" s="68" t="s">
        <v>77</v>
      </c>
      <c r="S55" s="68" t="s">
        <v>82</v>
      </c>
      <c r="T55" s="68" t="s">
        <v>142</v>
      </c>
      <c r="U55" s="68">
        <v>53</v>
      </c>
    </row>
    <row r="56" spans="17:21">
      <c r="Q56" s="68">
        <v>5</v>
      </c>
      <c r="R56" s="68" t="s">
        <v>74</v>
      </c>
      <c r="S56" s="68" t="s">
        <v>82</v>
      </c>
      <c r="T56" s="68" t="s">
        <v>143</v>
      </c>
      <c r="U56" s="68">
        <v>54</v>
      </c>
    </row>
    <row r="57" spans="17:21">
      <c r="Q57" s="68">
        <v>6</v>
      </c>
      <c r="S57" s="68" t="s">
        <v>81</v>
      </c>
      <c r="T57" s="68" t="s">
        <v>144</v>
      </c>
      <c r="U57" s="68">
        <v>55</v>
      </c>
    </row>
    <row r="58" spans="17:21">
      <c r="Q58" s="68">
        <v>6</v>
      </c>
      <c r="R58" s="71" t="s">
        <v>90</v>
      </c>
      <c r="S58" s="68" t="s">
        <v>81</v>
      </c>
      <c r="T58" s="68" t="s">
        <v>145</v>
      </c>
      <c r="U58" s="68">
        <v>56</v>
      </c>
    </row>
    <row r="59" spans="17:21">
      <c r="Q59" s="68">
        <v>6</v>
      </c>
      <c r="R59" s="68" t="s">
        <v>71</v>
      </c>
      <c r="S59" s="68" t="s">
        <v>81</v>
      </c>
      <c r="T59" s="68" t="s">
        <v>146</v>
      </c>
      <c r="U59" s="68">
        <v>57</v>
      </c>
    </row>
    <row r="60" spans="17:21">
      <c r="Q60" s="68">
        <v>6</v>
      </c>
      <c r="R60" s="68" t="s">
        <v>75</v>
      </c>
      <c r="S60" s="68" t="s">
        <v>81</v>
      </c>
      <c r="T60" s="68" t="s">
        <v>147</v>
      </c>
      <c r="U60" s="68">
        <v>58</v>
      </c>
    </row>
    <row r="61" spans="17:21">
      <c r="Q61" s="68">
        <v>6</v>
      </c>
      <c r="R61" s="68" t="s">
        <v>72</v>
      </c>
      <c r="S61" s="68" t="s">
        <v>81</v>
      </c>
      <c r="T61" s="68" t="s">
        <v>148</v>
      </c>
      <c r="U61" s="68">
        <v>59</v>
      </c>
    </row>
    <row r="62" spans="17:21">
      <c r="Q62" s="68">
        <v>6</v>
      </c>
      <c r="R62" s="68" t="s">
        <v>76</v>
      </c>
      <c r="S62" s="68" t="s">
        <v>81</v>
      </c>
      <c r="T62" s="68" t="s">
        <v>149</v>
      </c>
      <c r="U62" s="68">
        <v>60</v>
      </c>
    </row>
    <row r="63" spans="17:21">
      <c r="Q63" s="68">
        <v>6</v>
      </c>
      <c r="R63" s="68" t="s">
        <v>73</v>
      </c>
      <c r="S63" s="68" t="s">
        <v>81</v>
      </c>
      <c r="T63" s="68" t="s">
        <v>150</v>
      </c>
      <c r="U63" s="68">
        <v>61</v>
      </c>
    </row>
    <row r="64" spans="17:21">
      <c r="Q64" s="68">
        <v>6</v>
      </c>
      <c r="R64" s="68" t="s">
        <v>77</v>
      </c>
      <c r="S64" s="68" t="s">
        <v>81</v>
      </c>
      <c r="T64" s="68" t="s">
        <v>151</v>
      </c>
      <c r="U64" s="68">
        <v>62</v>
      </c>
    </row>
    <row r="65" spans="17:21">
      <c r="Q65" s="68">
        <v>6</v>
      </c>
      <c r="R65" s="68" t="s">
        <v>74</v>
      </c>
      <c r="S65" s="68" t="s">
        <v>81</v>
      </c>
      <c r="T65" s="68" t="s">
        <v>152</v>
      </c>
      <c r="U65" s="68">
        <v>63</v>
      </c>
    </row>
    <row r="66" spans="17:21">
      <c r="Q66" s="68">
        <v>6</v>
      </c>
      <c r="S66" s="68" t="s">
        <v>80</v>
      </c>
      <c r="T66" s="68" t="s">
        <v>153</v>
      </c>
      <c r="U66" s="68">
        <v>64</v>
      </c>
    </row>
    <row r="67" spans="17:21">
      <c r="Q67" s="68">
        <v>6</v>
      </c>
      <c r="R67" s="71" t="s">
        <v>90</v>
      </c>
      <c r="S67" s="68" t="s">
        <v>80</v>
      </c>
      <c r="T67" s="68" t="s">
        <v>154</v>
      </c>
      <c r="U67" s="68">
        <v>65</v>
      </c>
    </row>
    <row r="68" spans="17:21">
      <c r="Q68" s="68">
        <v>6</v>
      </c>
      <c r="R68" s="68" t="s">
        <v>71</v>
      </c>
      <c r="S68" s="68" t="s">
        <v>80</v>
      </c>
      <c r="T68" s="68" t="s">
        <v>155</v>
      </c>
      <c r="U68" s="68">
        <v>66</v>
      </c>
    </row>
    <row r="69" spans="17:21">
      <c r="Q69" s="68">
        <v>6</v>
      </c>
      <c r="R69" s="68" t="s">
        <v>75</v>
      </c>
      <c r="S69" s="68" t="s">
        <v>80</v>
      </c>
      <c r="T69" s="68" t="s">
        <v>156</v>
      </c>
      <c r="U69" s="68">
        <v>67</v>
      </c>
    </row>
    <row r="70" spans="17:21">
      <c r="Q70" s="68">
        <v>6</v>
      </c>
      <c r="R70" s="68" t="s">
        <v>72</v>
      </c>
      <c r="S70" s="68" t="s">
        <v>80</v>
      </c>
      <c r="T70" s="68" t="s">
        <v>157</v>
      </c>
      <c r="U70" s="68">
        <v>68</v>
      </c>
    </row>
    <row r="71" spans="17:21">
      <c r="Q71" s="68">
        <v>6</v>
      </c>
      <c r="R71" s="68" t="s">
        <v>76</v>
      </c>
      <c r="S71" s="68" t="s">
        <v>80</v>
      </c>
      <c r="T71" s="68" t="s">
        <v>158</v>
      </c>
      <c r="U71" s="68">
        <v>69</v>
      </c>
    </row>
    <row r="72" spans="17:21">
      <c r="Q72" s="68">
        <v>6</v>
      </c>
      <c r="R72" s="68" t="s">
        <v>73</v>
      </c>
      <c r="S72" s="68" t="s">
        <v>80</v>
      </c>
      <c r="T72" s="68" t="s">
        <v>159</v>
      </c>
      <c r="U72" s="68">
        <v>70</v>
      </c>
    </row>
    <row r="73" spans="17:21">
      <c r="Q73" s="68">
        <v>6</v>
      </c>
      <c r="R73" s="68" t="s">
        <v>77</v>
      </c>
      <c r="S73" s="68" t="s">
        <v>80</v>
      </c>
      <c r="T73" s="68" t="s">
        <v>160</v>
      </c>
      <c r="U73" s="68">
        <v>71</v>
      </c>
    </row>
    <row r="74" spans="17:21">
      <c r="Q74" s="68">
        <v>6</v>
      </c>
      <c r="R74" s="68" t="s">
        <v>74</v>
      </c>
      <c r="S74" s="68" t="s">
        <v>80</v>
      </c>
      <c r="T74" s="68" t="s">
        <v>161</v>
      </c>
      <c r="U74" s="68">
        <v>72</v>
      </c>
    </row>
    <row r="75" spans="17:21">
      <c r="Q75" s="68">
        <v>6</v>
      </c>
      <c r="S75" s="68" t="s">
        <v>82</v>
      </c>
      <c r="T75" s="68" t="s">
        <v>162</v>
      </c>
      <c r="U75" s="68">
        <v>73</v>
      </c>
    </row>
    <row r="76" spans="17:21">
      <c r="Q76" s="68">
        <v>6</v>
      </c>
      <c r="R76" s="71" t="s">
        <v>90</v>
      </c>
      <c r="S76" s="68" t="s">
        <v>82</v>
      </c>
      <c r="T76" s="68" t="s">
        <v>163</v>
      </c>
      <c r="U76" s="68">
        <v>74</v>
      </c>
    </row>
    <row r="77" spans="17:21">
      <c r="Q77" s="68">
        <v>6</v>
      </c>
      <c r="R77" s="68" t="s">
        <v>71</v>
      </c>
      <c r="S77" s="68" t="s">
        <v>82</v>
      </c>
      <c r="T77" s="68" t="s">
        <v>164</v>
      </c>
      <c r="U77" s="68">
        <v>75</v>
      </c>
    </row>
    <row r="78" spans="17:21">
      <c r="Q78" s="68">
        <v>6</v>
      </c>
      <c r="R78" s="68" t="s">
        <v>75</v>
      </c>
      <c r="S78" s="68" t="s">
        <v>82</v>
      </c>
      <c r="T78" s="68" t="s">
        <v>165</v>
      </c>
      <c r="U78" s="68">
        <v>76</v>
      </c>
    </row>
    <row r="79" spans="17:21">
      <c r="Q79" s="68">
        <v>6</v>
      </c>
      <c r="R79" s="68" t="s">
        <v>72</v>
      </c>
      <c r="S79" s="68" t="s">
        <v>82</v>
      </c>
      <c r="T79" s="68" t="s">
        <v>166</v>
      </c>
      <c r="U79" s="68">
        <v>77</v>
      </c>
    </row>
    <row r="80" spans="17:21">
      <c r="Q80" s="68">
        <v>6</v>
      </c>
      <c r="R80" s="68" t="s">
        <v>76</v>
      </c>
      <c r="S80" s="68" t="s">
        <v>82</v>
      </c>
      <c r="T80" s="68" t="s">
        <v>167</v>
      </c>
      <c r="U80" s="68">
        <v>78</v>
      </c>
    </row>
    <row r="81" spans="17:27">
      <c r="Q81" s="68">
        <v>6</v>
      </c>
      <c r="R81" s="68" t="s">
        <v>73</v>
      </c>
      <c r="S81" s="68" t="s">
        <v>82</v>
      </c>
      <c r="T81" s="68" t="s">
        <v>168</v>
      </c>
      <c r="U81" s="68">
        <v>79</v>
      </c>
    </row>
    <row r="82" spans="17:27">
      <c r="Q82" s="68">
        <v>6</v>
      </c>
      <c r="R82" s="68" t="s">
        <v>77</v>
      </c>
      <c r="S82" s="68" t="s">
        <v>82</v>
      </c>
      <c r="T82" s="68" t="s">
        <v>169</v>
      </c>
      <c r="U82" s="68">
        <v>80</v>
      </c>
    </row>
    <row r="83" spans="17:27">
      <c r="Q83" s="68">
        <v>6</v>
      </c>
      <c r="R83" s="68" t="s">
        <v>74</v>
      </c>
      <c r="S83" s="68" t="s">
        <v>82</v>
      </c>
      <c r="T83" s="68" t="s">
        <v>170</v>
      </c>
      <c r="U83" s="68">
        <v>81</v>
      </c>
    </row>
    <row r="87" spans="17:27" ht="17.25">
      <c r="W87" s="107"/>
      <c r="X87"/>
      <c r="Y87"/>
      <c r="Z87"/>
      <c r="AA87"/>
    </row>
    <row r="88" spans="17:27" ht="15.75" thickBot="1">
      <c r="W88"/>
      <c r="X88"/>
      <c r="Y88"/>
      <c r="Z88"/>
      <c r="AA88"/>
    </row>
    <row r="89" spans="17:27" ht="15.75" thickBot="1">
      <c r="W89" s="108"/>
      <c r="X89" s="108"/>
      <c r="Y89" s="108"/>
      <c r="Z89" s="108"/>
      <c r="AA89" s="108"/>
    </row>
    <row r="90" spans="17:27">
      <c r="W90" s="109"/>
      <c r="X90" s="113"/>
      <c r="Y90" s="113"/>
      <c r="Z90" s="113"/>
      <c r="AA90" s="113"/>
    </row>
    <row r="91" spans="17:27">
      <c r="W91" s="110"/>
      <c r="X91" s="110"/>
      <c r="Y91" s="110"/>
      <c r="Z91" s="110"/>
      <c r="AA91" s="110"/>
    </row>
    <row r="92" spans="17:27">
      <c r="W92" s="111"/>
      <c r="X92" s="114"/>
      <c r="Y92" s="114"/>
      <c r="Z92" s="114"/>
      <c r="AA92" s="114"/>
    </row>
    <row r="93" spans="17:27">
      <c r="W93" s="110"/>
      <c r="X93" s="110"/>
      <c r="Y93" s="110"/>
      <c r="Z93" s="110"/>
      <c r="AA93" s="110"/>
    </row>
    <row r="94" spans="17:27" ht="15.75" thickBot="1">
      <c r="W94" s="112"/>
      <c r="X94" s="115"/>
      <c r="Y94" s="112"/>
      <c r="Z94" s="112"/>
      <c r="AA94" s="112"/>
    </row>
    <row r="95" spans="17:27">
      <c r="W95" s="109"/>
      <c r="X95" s="113"/>
      <c r="Y95" s="113"/>
      <c r="Z95" s="113"/>
      <c r="AA95" s="113"/>
    </row>
    <row r="96" spans="17:27">
      <c r="W96" s="110"/>
      <c r="X96" s="110"/>
      <c r="Y96" s="110"/>
      <c r="Z96" s="110"/>
      <c r="AA96" s="110"/>
    </row>
    <row r="97" spans="23:27">
      <c r="W97" s="111"/>
      <c r="X97" s="114"/>
      <c r="Y97" s="114"/>
      <c r="Z97" s="114"/>
      <c r="AA97" s="114"/>
    </row>
    <row r="98" spans="23:27">
      <c r="W98" s="110"/>
      <c r="X98" s="110"/>
      <c r="Y98" s="110"/>
      <c r="Z98" s="110"/>
      <c r="AA98" s="110"/>
    </row>
    <row r="99" spans="23:27" ht="15.75" thickBot="1">
      <c r="W99" s="112"/>
      <c r="X99" s="115"/>
      <c r="Y99" s="112"/>
      <c r="Z99" s="112"/>
      <c r="AA99" s="112"/>
    </row>
    <row r="100" spans="23:27">
      <c r="W100" s="109"/>
      <c r="X100" s="113"/>
      <c r="Y100" s="140"/>
      <c r="Z100" s="113"/>
      <c r="AA100" s="113"/>
    </row>
    <row r="101" spans="23:27">
      <c r="W101" s="110"/>
      <c r="X101" s="110"/>
      <c r="Y101" s="141"/>
      <c r="Z101" s="110"/>
      <c r="AA101" s="110"/>
    </row>
    <row r="102" spans="23:27" ht="15.75" thickBot="1">
      <c r="W102" s="116"/>
      <c r="X102" s="115"/>
      <c r="Y102" s="142"/>
      <c r="Z102" s="115"/>
      <c r="AA102" s="115"/>
    </row>
    <row r="103" spans="23:27">
      <c r="W103" s="109"/>
      <c r="X103" s="113"/>
      <c r="Y103" s="117"/>
      <c r="Z103" s="113"/>
      <c r="AA103" s="113"/>
    </row>
    <row r="104" spans="23:27">
      <c r="W104" s="110"/>
      <c r="X104" s="110"/>
      <c r="Y104" s="118"/>
      <c r="Z104" s="110"/>
      <c r="AA104" s="110"/>
    </row>
    <row r="105" spans="23:27">
      <c r="W105" s="120"/>
      <c r="X105" s="120"/>
      <c r="Y105" s="121"/>
      <c r="Z105" s="120"/>
      <c r="AA105" s="120"/>
    </row>
    <row r="106" spans="23:27" ht="15.75" thickBot="1">
      <c r="W106" s="116"/>
      <c r="X106" s="115"/>
      <c r="Y106" s="119"/>
      <c r="Z106" s="115"/>
      <c r="AA106" s="115"/>
    </row>
    <row r="274" spans="9:50">
      <c r="I274" s="93"/>
      <c r="J274" s="93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  <c r="AX274" s="94"/>
    </row>
    <row r="275" spans="9:50">
      <c r="I275" s="93"/>
      <c r="J275" s="93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  <c r="AX275" s="94"/>
    </row>
    <row r="276" spans="9:50">
      <c r="I276" s="93"/>
      <c r="J276" s="93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  <c r="AX276" s="94"/>
    </row>
    <row r="277" spans="9:50">
      <c r="I277" s="93"/>
      <c r="J277" s="93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  <c r="AX277" s="94"/>
    </row>
    <row r="278" spans="9:50">
      <c r="I278" s="93"/>
      <c r="J278" s="93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  <c r="AX278" s="94"/>
    </row>
    <row r="279" spans="9:50">
      <c r="I279" s="93"/>
      <c r="J279" s="93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  <c r="AX279" s="94"/>
    </row>
    <row r="280" spans="9:50">
      <c r="I280" s="93"/>
      <c r="J280" s="93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</row>
    <row r="281" spans="9:50">
      <c r="I281" s="93"/>
      <c r="J281" s="93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  <c r="AX281" s="94"/>
    </row>
    <row r="282" spans="9:50">
      <c r="I282" s="93"/>
      <c r="J282" s="93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  <c r="AX282" s="94"/>
    </row>
    <row r="283" spans="9:50">
      <c r="I283" s="93"/>
      <c r="J283" s="93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  <c r="AX283" s="94"/>
    </row>
    <row r="284" spans="9:50">
      <c r="I284" s="93"/>
      <c r="J284" s="93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  <c r="AX284" s="94"/>
    </row>
    <row r="285" spans="9:50">
      <c r="I285" s="93"/>
      <c r="J285" s="93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  <c r="AX285" s="94"/>
    </row>
    <row r="286" spans="9:50">
      <c r="I286" s="93"/>
      <c r="J286" s="93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  <c r="AX286" s="94"/>
    </row>
    <row r="287" spans="9:50">
      <c r="I287" s="93"/>
      <c r="J287" s="93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  <c r="AX287" s="94"/>
    </row>
    <row r="288" spans="9:50">
      <c r="I288" s="93"/>
      <c r="J288" s="93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  <c r="AX288" s="94"/>
    </row>
    <row r="289" spans="9:50">
      <c r="I289" s="93"/>
      <c r="J289" s="93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  <c r="AX289" s="94"/>
    </row>
    <row r="290" spans="9:50">
      <c r="I290" s="93"/>
      <c r="J290" s="93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  <c r="AX290" s="94"/>
    </row>
    <row r="291" spans="9:50">
      <c r="I291" s="93"/>
      <c r="J291" s="93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  <c r="AX291" s="94"/>
    </row>
    <row r="292" spans="9:50">
      <c r="I292" s="93"/>
      <c r="J292" s="93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  <c r="AX292" s="94"/>
    </row>
    <row r="293" spans="9:50">
      <c r="I293" s="93"/>
      <c r="J293" s="93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  <c r="AX293" s="94"/>
    </row>
    <row r="294" spans="9:50">
      <c r="I294" s="93"/>
      <c r="J294" s="93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</row>
    <row r="295" spans="9:50">
      <c r="I295" s="93"/>
      <c r="J295" s="93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</row>
    <row r="296" spans="9:50">
      <c r="I296" s="93"/>
      <c r="J296" s="93"/>
      <c r="K296" s="95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  <c r="AX296" s="94"/>
    </row>
    <row r="297" spans="9:50">
      <c r="I297" s="93"/>
      <c r="J297" s="93"/>
      <c r="K297" s="97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6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  <c r="AX297" s="94"/>
    </row>
    <row r="298" spans="9:50">
      <c r="I298" s="93"/>
      <c r="J298" s="93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6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  <c r="AX298" s="94"/>
    </row>
    <row r="299" spans="9:50">
      <c r="I299" s="93"/>
      <c r="J299" s="93"/>
      <c r="K299" s="96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6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  <c r="AX299" s="94"/>
    </row>
    <row r="300" spans="9:50">
      <c r="I300" s="93"/>
      <c r="J300" s="93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  <c r="AX300" s="94"/>
    </row>
    <row r="301" spans="9:50">
      <c r="I301" s="93"/>
      <c r="J301" s="93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</row>
    <row r="302" spans="9:50">
      <c r="I302" s="93"/>
      <c r="J302" s="93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  <c r="AX302" s="94"/>
    </row>
    <row r="303" spans="9:50">
      <c r="I303" s="93"/>
      <c r="J303" s="93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</row>
    <row r="304" spans="9:50">
      <c r="I304" s="93"/>
      <c r="J304" s="93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8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  <c r="AX304" s="94"/>
    </row>
    <row r="305" spans="9:50">
      <c r="I305" s="93"/>
      <c r="J305" s="93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  <c r="AX305" s="94"/>
    </row>
    <row r="306" spans="9:50">
      <c r="I306" s="93"/>
      <c r="J306" s="93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  <c r="AX306" s="94"/>
    </row>
    <row r="307" spans="9:50">
      <c r="I307" s="93"/>
      <c r="J307" s="93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  <c r="AX307" s="94"/>
    </row>
    <row r="308" spans="9:50">
      <c r="I308" s="93"/>
      <c r="J308" s="93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  <c r="AX308" s="94"/>
    </row>
    <row r="309" spans="9:50">
      <c r="I309" s="93"/>
      <c r="J309" s="93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  <c r="AX309" s="94"/>
    </row>
    <row r="310" spans="9:50">
      <c r="I310" s="93"/>
      <c r="J310" s="93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  <c r="AX310" s="94"/>
    </row>
    <row r="311" spans="9:50">
      <c r="I311" s="93"/>
      <c r="J311" s="93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  <c r="AX311" s="94"/>
    </row>
    <row r="312" spans="9:50">
      <c r="I312" s="93"/>
      <c r="J312" s="93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  <c r="AX312" s="94"/>
    </row>
    <row r="313" spans="9:50">
      <c r="I313" s="93"/>
      <c r="J313" s="93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  <c r="AX313" s="94"/>
    </row>
    <row r="314" spans="9:50">
      <c r="I314" s="93"/>
      <c r="J314" s="93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  <c r="AX314" s="94"/>
    </row>
    <row r="315" spans="9:50">
      <c r="I315" s="93"/>
      <c r="J315" s="93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9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  <c r="AX315" s="94"/>
    </row>
    <row r="316" spans="9:50">
      <c r="I316" s="93"/>
      <c r="J316" s="93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6"/>
      <c r="X316" s="96"/>
      <c r="Y316" s="96"/>
      <c r="Z316" s="96"/>
      <c r="AA316" s="96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  <c r="AX316" s="94"/>
    </row>
    <row r="317" spans="9:50">
      <c r="I317" s="93"/>
      <c r="J317" s="93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6"/>
      <c r="X317" s="96"/>
      <c r="Y317" s="96"/>
      <c r="Z317" s="96"/>
      <c r="AA317" s="96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  <c r="AX317" s="94"/>
    </row>
    <row r="318" spans="9:50">
      <c r="I318" s="93"/>
      <c r="J318" s="93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  <c r="AX318" s="94"/>
    </row>
    <row r="319" spans="9:50">
      <c r="I319" s="93"/>
      <c r="J319" s="93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  <c r="AX319" s="94"/>
    </row>
    <row r="320" spans="9:50">
      <c r="I320" s="93"/>
      <c r="J320" s="93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  <c r="AX320" s="94"/>
    </row>
    <row r="321" spans="9:50">
      <c r="I321" s="93"/>
      <c r="J321" s="93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  <c r="AX321" s="94"/>
    </row>
    <row r="322" spans="9:50">
      <c r="I322" s="93"/>
      <c r="J322" s="93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  <c r="AX322" s="94"/>
    </row>
    <row r="323" spans="9:50">
      <c r="I323" s="93"/>
      <c r="J323" s="93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  <c r="AX323" s="94"/>
    </row>
    <row r="324" spans="9:50">
      <c r="I324" s="93"/>
      <c r="J324" s="93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  <c r="AX324" s="94"/>
    </row>
    <row r="325" spans="9:50">
      <c r="I325" s="93"/>
      <c r="J325" s="93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  <c r="AX325" s="94"/>
    </row>
    <row r="326" spans="9:50">
      <c r="I326" s="93"/>
      <c r="J326" s="93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  <c r="AA326" s="94"/>
      <c r="AB326" s="94"/>
      <c r="AC326" s="94"/>
      <c r="AD326" s="94"/>
      <c r="AE326" s="94"/>
      <c r="AF326" s="94"/>
      <c r="AG326" s="94"/>
      <c r="AH326" s="94"/>
      <c r="AI326" s="94"/>
      <c r="AJ326" s="94"/>
      <c r="AK326" s="94"/>
      <c r="AL326" s="94"/>
      <c r="AM326" s="94"/>
      <c r="AN326" s="94"/>
      <c r="AO326" s="94"/>
      <c r="AP326" s="94"/>
      <c r="AQ326" s="94"/>
      <c r="AR326" s="94"/>
      <c r="AS326" s="94"/>
      <c r="AT326" s="94"/>
      <c r="AU326" s="94"/>
      <c r="AV326" s="94"/>
      <c r="AW326" s="94"/>
      <c r="AX326" s="94"/>
    </row>
    <row r="327" spans="9:50">
      <c r="I327" s="93"/>
      <c r="J327" s="93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  <c r="AA327" s="94"/>
      <c r="AB327" s="94"/>
      <c r="AC327" s="94"/>
      <c r="AD327" s="94"/>
      <c r="AE327" s="94"/>
      <c r="AF327" s="94"/>
      <c r="AG327" s="94"/>
      <c r="AH327" s="94"/>
      <c r="AI327" s="94"/>
      <c r="AJ327" s="94"/>
      <c r="AK327" s="94"/>
      <c r="AL327" s="94"/>
      <c r="AM327" s="94"/>
      <c r="AN327" s="94"/>
      <c r="AO327" s="94"/>
      <c r="AP327" s="94"/>
      <c r="AQ327" s="94"/>
      <c r="AR327" s="94"/>
      <c r="AS327" s="94"/>
      <c r="AT327" s="94"/>
      <c r="AU327" s="94"/>
      <c r="AV327" s="94"/>
      <c r="AW327" s="94"/>
      <c r="AX327" s="94"/>
    </row>
    <row r="328" spans="9:50">
      <c r="I328" s="93"/>
      <c r="J328" s="93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  <c r="AX328" s="94"/>
    </row>
    <row r="329" spans="9:50">
      <c r="I329" s="93"/>
      <c r="J329" s="93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  <c r="AX329" s="94"/>
    </row>
    <row r="330" spans="9:50">
      <c r="I330" s="93"/>
      <c r="J330" s="93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  <c r="AX330" s="94"/>
    </row>
    <row r="331" spans="9:50">
      <c r="I331" s="93"/>
      <c r="J331" s="93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  <c r="AX331" s="94"/>
    </row>
    <row r="332" spans="9:50">
      <c r="I332" s="93"/>
      <c r="J332" s="93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  <c r="AX332" s="94"/>
    </row>
    <row r="333" spans="9:50">
      <c r="I333" s="93"/>
      <c r="J333" s="93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  <c r="AX333" s="94"/>
    </row>
    <row r="334" spans="9:50">
      <c r="I334" s="93"/>
      <c r="J334" s="93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  <c r="AX334" s="94"/>
    </row>
    <row r="335" spans="9:50">
      <c r="I335" s="93"/>
      <c r="J335" s="93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  <c r="AX335" s="94"/>
    </row>
    <row r="336" spans="9:50">
      <c r="I336" s="93"/>
      <c r="J336" s="93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  <c r="AX336" s="94"/>
    </row>
    <row r="337" spans="9:50">
      <c r="I337" s="93"/>
      <c r="J337" s="93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  <c r="AX337" s="94"/>
    </row>
    <row r="338" spans="9:50">
      <c r="I338" s="93"/>
      <c r="J338" s="93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  <c r="AX338" s="94"/>
    </row>
    <row r="339" spans="9:50">
      <c r="I339" s="93"/>
      <c r="J339" s="93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  <c r="AX339" s="94"/>
    </row>
    <row r="340" spans="9:50">
      <c r="I340" s="93"/>
      <c r="J340" s="93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  <c r="AX340" s="94"/>
    </row>
    <row r="341" spans="9:50">
      <c r="I341" s="93"/>
      <c r="J341" s="93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  <c r="AX341" s="94"/>
    </row>
    <row r="342" spans="9:50">
      <c r="I342" s="93"/>
      <c r="J342" s="93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  <c r="AX342" s="94"/>
    </row>
    <row r="343" spans="9:50">
      <c r="I343" s="93"/>
      <c r="J343" s="93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  <c r="AA343" s="94"/>
      <c r="AB343" s="94"/>
      <c r="AC343" s="94"/>
      <c r="AD343" s="94"/>
      <c r="AE343" s="94"/>
      <c r="AF343" s="94"/>
      <c r="AG343" s="94"/>
      <c r="AH343" s="94"/>
      <c r="AI343" s="94"/>
      <c r="AJ343" s="94"/>
      <c r="AK343" s="94"/>
      <c r="AL343" s="94"/>
      <c r="AM343" s="94"/>
      <c r="AN343" s="94"/>
      <c r="AO343" s="94"/>
      <c r="AP343" s="94"/>
      <c r="AQ343" s="94"/>
      <c r="AR343" s="94"/>
      <c r="AS343" s="94"/>
      <c r="AT343" s="94"/>
      <c r="AU343" s="94"/>
      <c r="AV343" s="94"/>
      <c r="AW343" s="94"/>
      <c r="AX343" s="94"/>
    </row>
    <row r="344" spans="9:50">
      <c r="I344" s="93"/>
      <c r="J344" s="93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  <c r="AA344" s="94"/>
      <c r="AB344" s="94"/>
      <c r="AC344" s="94"/>
      <c r="AD344" s="94"/>
      <c r="AE344" s="94"/>
      <c r="AF344" s="94"/>
      <c r="AG344" s="94"/>
      <c r="AH344" s="94"/>
      <c r="AI344" s="94"/>
      <c r="AJ344" s="94"/>
      <c r="AK344" s="94"/>
      <c r="AL344" s="94"/>
      <c r="AM344" s="94"/>
      <c r="AN344" s="94"/>
      <c r="AO344" s="94"/>
      <c r="AP344" s="94"/>
      <c r="AQ344" s="94"/>
      <c r="AR344" s="94"/>
      <c r="AS344" s="94"/>
      <c r="AT344" s="94"/>
      <c r="AU344" s="94"/>
      <c r="AV344" s="94"/>
      <c r="AW344" s="94"/>
      <c r="AX344" s="94"/>
    </row>
  </sheetData>
  <sheetProtection selectLockedCells="1"/>
  <mergeCells count="5">
    <mergeCell ref="B1:D1"/>
    <mergeCell ref="L1:N1"/>
    <mergeCell ref="Q1:U1"/>
    <mergeCell ref="B2:G2"/>
    <mergeCell ref="Y100:Y102"/>
  </mergeCells>
  <phoneticPr fontId="8" type="noConversion"/>
  <conditionalFormatting sqref="K296">
    <cfRule type="containsText" dxfId="2" priority="17" operator="containsText" text="x">
      <formula>NOT(ISERROR(SEARCH("x",K296)))</formula>
    </cfRule>
  </conditionalFormatting>
  <conditionalFormatting sqref="K297">
    <cfRule type="containsText" dxfId="1" priority="3" operator="containsText" text="x">
      <formula>NOT(ISERROR(SEARCH("x",K297)))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3">
    <tabColor theme="7" tint="0.39997558519241921"/>
  </sheetPr>
  <dimension ref="A1:AZ143"/>
  <sheetViews>
    <sheetView topLeftCell="A2" workbookViewId="0">
      <selection activeCell="A2" sqref="A1:XFD1048576"/>
    </sheetView>
  </sheetViews>
  <sheetFormatPr baseColWidth="10" defaultColWidth="11.42578125" defaultRowHeight="15"/>
  <cols>
    <col min="1" max="1" width="4.28515625" style="3" customWidth="1"/>
    <col min="2" max="2" width="11.42578125" style="3"/>
    <col min="3" max="18" width="3.7109375" style="3" customWidth="1"/>
    <col min="19" max="19" width="4.28515625" style="3" customWidth="1"/>
    <col min="20" max="22" width="3.7109375" style="3" customWidth="1"/>
    <col min="23" max="23" width="4.28515625" style="3" customWidth="1"/>
    <col min="24" max="24" width="4.5703125" style="3" customWidth="1"/>
    <col min="25" max="37" width="3.7109375" style="3" customWidth="1"/>
    <col min="38" max="38" width="4" style="3" customWidth="1"/>
    <col min="39" max="39" width="4.28515625" style="3" customWidth="1"/>
    <col min="40" max="42" width="3.7109375" style="3" customWidth="1"/>
    <col min="43" max="43" width="4.140625" style="3" customWidth="1"/>
    <col min="44" max="44" width="4.28515625" style="3" customWidth="1"/>
    <col min="45" max="51" width="3.7109375" style="3" customWidth="1"/>
    <col min="52" max="52" width="9.140625" style="3" customWidth="1"/>
    <col min="53" max="16384" width="11.42578125" style="3"/>
  </cols>
  <sheetData>
    <row r="1" spans="1:52" ht="45.75" customHeight="1" thickBot="1">
      <c r="C1" s="127" t="s">
        <v>49</v>
      </c>
      <c r="D1" s="128"/>
      <c r="E1" s="129"/>
      <c r="F1" s="130" t="s">
        <v>50</v>
      </c>
      <c r="G1" s="131"/>
      <c r="H1" s="132"/>
      <c r="I1" s="130" t="s">
        <v>51</v>
      </c>
      <c r="J1" s="131"/>
      <c r="K1" s="131"/>
      <c r="L1" s="132"/>
      <c r="M1" s="133" t="s">
        <v>52</v>
      </c>
      <c r="N1" s="134"/>
      <c r="O1" s="135"/>
      <c r="P1" s="133" t="s">
        <v>53</v>
      </c>
      <c r="Q1" s="134"/>
      <c r="R1" s="134"/>
      <c r="S1" s="126" t="s">
        <v>54</v>
      </c>
      <c r="T1" s="126"/>
      <c r="U1" s="126"/>
      <c r="V1" s="126"/>
      <c r="W1" s="138" t="s">
        <v>55</v>
      </c>
      <c r="X1" s="138"/>
      <c r="Y1" s="136" t="s">
        <v>56</v>
      </c>
      <c r="Z1" s="136"/>
      <c r="AA1" s="136"/>
      <c r="AB1" s="136"/>
      <c r="AC1" s="137" t="s">
        <v>57</v>
      </c>
      <c r="AD1" s="137"/>
      <c r="AE1" s="139" t="s">
        <v>58</v>
      </c>
      <c r="AF1" s="139"/>
      <c r="AG1" s="139"/>
      <c r="AH1" s="136" t="s">
        <v>62</v>
      </c>
      <c r="AI1" s="136"/>
      <c r="AJ1" s="136"/>
      <c r="AK1" s="136"/>
      <c r="AL1" s="137" t="s">
        <v>59</v>
      </c>
      <c r="AM1" s="137"/>
      <c r="AN1" s="136" t="s">
        <v>61</v>
      </c>
      <c r="AO1" s="136"/>
      <c r="AP1" s="136"/>
      <c r="AQ1" s="137" t="s">
        <v>63</v>
      </c>
      <c r="AR1" s="137"/>
      <c r="AS1" s="134" t="s">
        <v>60</v>
      </c>
      <c r="AT1" s="134"/>
      <c r="AU1" s="134"/>
      <c r="AV1" s="126" t="s">
        <v>64</v>
      </c>
      <c r="AW1" s="126"/>
      <c r="AX1" s="126"/>
      <c r="AY1" s="126"/>
      <c r="AZ1" s="32" t="s">
        <v>47</v>
      </c>
    </row>
    <row r="2" spans="1:52" ht="21.75" customHeight="1" thickBot="1">
      <c r="C2" s="13">
        <v>1</v>
      </c>
      <c r="D2" s="3">
        <v>1</v>
      </c>
      <c r="E2" s="3">
        <v>1</v>
      </c>
      <c r="F2" s="12">
        <v>2</v>
      </c>
      <c r="G2" s="12">
        <v>2</v>
      </c>
      <c r="H2" s="12">
        <v>2</v>
      </c>
      <c r="I2" s="3">
        <v>3</v>
      </c>
      <c r="J2" s="3">
        <v>3</v>
      </c>
      <c r="K2" s="3">
        <v>3</v>
      </c>
      <c r="L2" s="3">
        <v>3</v>
      </c>
      <c r="M2" s="12">
        <v>4</v>
      </c>
      <c r="N2" s="12">
        <v>4</v>
      </c>
      <c r="O2" s="12">
        <v>4</v>
      </c>
      <c r="P2" s="3">
        <v>5</v>
      </c>
      <c r="Q2" s="14">
        <v>5</v>
      </c>
      <c r="R2" s="42">
        <v>5</v>
      </c>
      <c r="S2" s="12">
        <v>6</v>
      </c>
      <c r="T2" s="12">
        <v>6</v>
      </c>
      <c r="U2" s="12">
        <v>6</v>
      </c>
      <c r="V2" s="12">
        <v>6</v>
      </c>
      <c r="W2" s="3">
        <v>7</v>
      </c>
      <c r="X2" s="3">
        <v>7</v>
      </c>
      <c r="Y2" s="12">
        <v>8</v>
      </c>
      <c r="Z2" s="12">
        <v>8</v>
      </c>
      <c r="AA2" s="12">
        <v>8</v>
      </c>
      <c r="AB2" s="12">
        <v>8</v>
      </c>
      <c r="AC2" s="14">
        <v>9</v>
      </c>
      <c r="AD2" s="42">
        <v>9</v>
      </c>
      <c r="AE2" s="12">
        <v>10</v>
      </c>
      <c r="AF2" s="12">
        <v>10</v>
      </c>
      <c r="AG2" s="12">
        <v>10</v>
      </c>
      <c r="AH2" s="3">
        <v>11</v>
      </c>
      <c r="AI2" s="3">
        <v>11</v>
      </c>
      <c r="AJ2" s="14">
        <v>11</v>
      </c>
      <c r="AK2" s="42">
        <v>11</v>
      </c>
      <c r="AL2" s="15">
        <v>12</v>
      </c>
      <c r="AM2" s="42">
        <v>12</v>
      </c>
      <c r="AN2" s="3">
        <v>13</v>
      </c>
      <c r="AO2" s="3">
        <v>13</v>
      </c>
      <c r="AP2" s="3">
        <v>13</v>
      </c>
      <c r="AQ2" s="12">
        <v>14</v>
      </c>
      <c r="AR2" s="12">
        <v>14</v>
      </c>
      <c r="AS2" s="14">
        <v>15</v>
      </c>
      <c r="AT2" s="3">
        <v>15</v>
      </c>
      <c r="AU2" s="3">
        <v>15</v>
      </c>
      <c r="AV2" s="12">
        <v>16</v>
      </c>
      <c r="AW2" s="12">
        <v>16</v>
      </c>
      <c r="AX2" s="12">
        <v>16</v>
      </c>
      <c r="AY2" s="12">
        <v>16</v>
      </c>
      <c r="AZ2" s="32"/>
    </row>
    <row r="3" spans="1:52" ht="30" customHeight="1">
      <c r="A3" s="16" t="s">
        <v>43</v>
      </c>
      <c r="B3" s="16" t="s">
        <v>44</v>
      </c>
      <c r="C3" s="17" t="s">
        <v>39</v>
      </c>
      <c r="D3" s="18" t="s">
        <v>15</v>
      </c>
      <c r="E3" s="35">
        <v>4</v>
      </c>
      <c r="F3" s="19" t="s">
        <v>4</v>
      </c>
      <c r="G3" s="20" t="s">
        <v>16</v>
      </c>
      <c r="H3" s="35" t="s">
        <v>35</v>
      </c>
      <c r="I3" s="17" t="s">
        <v>40</v>
      </c>
      <c r="J3" s="21" t="s">
        <v>17</v>
      </c>
      <c r="K3" s="22" t="s">
        <v>15</v>
      </c>
      <c r="L3" s="39">
        <v>4</v>
      </c>
      <c r="M3" s="19" t="s">
        <v>18</v>
      </c>
      <c r="N3" s="20" t="s">
        <v>16</v>
      </c>
      <c r="O3" s="35" t="s">
        <v>35</v>
      </c>
      <c r="P3" s="17" t="s">
        <v>39</v>
      </c>
      <c r="Q3" s="18" t="s">
        <v>15</v>
      </c>
      <c r="R3" s="35" t="s">
        <v>19</v>
      </c>
      <c r="S3" s="19" t="s">
        <v>35</v>
      </c>
      <c r="T3" s="21" t="s">
        <v>15</v>
      </c>
      <c r="U3" s="22" t="s">
        <v>21</v>
      </c>
      <c r="V3" s="40" t="s">
        <v>20</v>
      </c>
      <c r="W3" s="23" t="s">
        <v>39</v>
      </c>
      <c r="X3" s="36" t="s">
        <v>19</v>
      </c>
      <c r="Y3" s="24" t="s">
        <v>16</v>
      </c>
      <c r="Z3" s="21" t="s">
        <v>15</v>
      </c>
      <c r="AA3" s="25" t="s">
        <v>22</v>
      </c>
      <c r="AB3" s="40" t="s">
        <v>18</v>
      </c>
      <c r="AC3" s="26" t="s">
        <v>18</v>
      </c>
      <c r="AD3" s="36" t="s">
        <v>4</v>
      </c>
      <c r="AE3" s="24" t="s">
        <v>23</v>
      </c>
      <c r="AF3" s="27" t="s">
        <v>45</v>
      </c>
      <c r="AG3" s="35" t="s">
        <v>16</v>
      </c>
      <c r="AH3" s="19" t="s">
        <v>18</v>
      </c>
      <c r="AI3" s="21" t="s">
        <v>15</v>
      </c>
      <c r="AJ3" s="22" t="s">
        <v>21</v>
      </c>
      <c r="AK3" s="40" t="s">
        <v>4</v>
      </c>
      <c r="AL3" s="28" t="s">
        <v>23</v>
      </c>
      <c r="AM3" s="36" t="s">
        <v>16</v>
      </c>
      <c r="AN3" s="19" t="s">
        <v>18</v>
      </c>
      <c r="AO3" s="18" t="s">
        <v>15</v>
      </c>
      <c r="AP3" s="37" t="s">
        <v>4</v>
      </c>
      <c r="AQ3" s="23" t="s">
        <v>42</v>
      </c>
      <c r="AR3" s="36" t="s">
        <v>19</v>
      </c>
      <c r="AS3" s="24" t="s">
        <v>16</v>
      </c>
      <c r="AT3" s="29" t="s">
        <v>17</v>
      </c>
      <c r="AU3" s="39" t="s">
        <v>18</v>
      </c>
      <c r="AV3" s="30" t="s">
        <v>39</v>
      </c>
      <c r="AW3" s="31" t="s">
        <v>4</v>
      </c>
      <c r="AX3" s="33" t="s">
        <v>15</v>
      </c>
      <c r="AY3" s="38">
        <v>4</v>
      </c>
      <c r="AZ3" s="32"/>
    </row>
    <row r="4" spans="1:52" ht="21" customHeight="1">
      <c r="A4" s="41">
        <f>IF('SEANCE 1'!$B2&lt;&gt;"",'SEANCE 1'!$A2,"")</f>
        <v>1</v>
      </c>
      <c r="B4" s="41" t="str">
        <f t="array" aca="1" ref="B4" ca="1">IF(ISNA(INDEX(ListeB,MATCH(0,COUNTIF($B$3:B3,ListeB),0))),"",INDEX(ListeB,MATCH(0,COUNTIF($B$3:B3,ListeB),0)))</f>
        <v>exemple</v>
      </c>
      <c r="C4" s="32" t="str">
        <f ca="1">IF(SUMPRODUCT((ListeB='recap S1'!$B4)*(OFFSET(ListeB,,4)='recap S1'!C$3)*(OFFSET(ListeB,,1)='recap S1'!C$2))&gt;0,SUMPRODUCT((ListeB='recap S1'!$B4)*(OFFSET(ListeB,,4)='recap S1'!C$3)*(OFFSET(ListeB,,1)='recap S1'!C$2)),"")</f>
        <v/>
      </c>
      <c r="D4" s="32" t="str">
        <f ca="1">IF(SUMPRODUCT((ListeB='recap S1'!$B4)*(OFFSET(ListeB,,4)='recap S1'!D$3)*(OFFSET(ListeB,,1)='recap S1'!D$2))&gt;0,SUMPRODUCT((ListeB='recap S1'!$B4)*(OFFSET(ListeB,,4)='recap S1'!D$3)*(OFFSET(ListeB,,1)='recap S1'!D$2)),"")</f>
        <v/>
      </c>
      <c r="E4" s="32" t="str">
        <f ca="1">IF(SUMPRODUCT((ListeB='recap S1'!$B4)*(OFFSET(ListeB,,4)='recap S1'!E$3)*(OFFSET(ListeB,,1)='recap S1'!E$2))&gt;0,SUMPRODUCT((ListeB='recap S1'!$B4)*(OFFSET(ListeB,,4)='recap S1'!E$3)*(OFFSET(ListeB,,1)='recap S1'!E$2)),"")</f>
        <v/>
      </c>
      <c r="F4" s="32" t="str">
        <f ca="1">IF(SUMPRODUCT((ListeB='recap S1'!$B4)*(OFFSET(ListeB,,4)='recap S1'!F$3)*(OFFSET(ListeB,,1)='recap S1'!F$2))&gt;0,SUMPRODUCT((ListeB='recap S1'!$B4)*(OFFSET(ListeB,,4)='recap S1'!F$3)*(OFFSET(ListeB,,1)='recap S1'!F$2)),"")</f>
        <v/>
      </c>
      <c r="G4" s="32" t="str">
        <f ca="1">IF(SUMPRODUCT((ListeB='recap S1'!$B4)*(OFFSET(ListeB,,4)='recap S1'!G$3)*(OFFSET(ListeB,,1)='recap S1'!G$2))&gt;0,SUMPRODUCT((ListeB='recap S1'!$B4)*(OFFSET(ListeB,,4)='recap S1'!G$3)*(OFFSET(ListeB,,1)='recap S1'!G$2)),"")</f>
        <v/>
      </c>
      <c r="H4" s="32" t="str">
        <f ca="1">IF(SUMPRODUCT((ListeB='recap S1'!$B4)*(OFFSET(ListeB,,4)='recap S1'!H$3)*(OFFSET(ListeB,,1)='recap S1'!H$2))&gt;0,SUMPRODUCT((ListeB='recap S1'!$B4)*(OFFSET(ListeB,,4)='recap S1'!H$3)*(OFFSET(ListeB,,1)='recap S1'!H$2)),"")</f>
        <v/>
      </c>
      <c r="I4" s="32" t="str">
        <f ca="1">IF(SUMPRODUCT((ListeB='recap S1'!$B4)*(OFFSET(ListeB,,4)='recap S1'!I$3)*(OFFSET(ListeB,,1)='recap S1'!I$2))&gt;0,SUMPRODUCT((ListeB='recap S1'!$B4)*(OFFSET(ListeB,,4)='recap S1'!I$3)*(OFFSET(ListeB,,1)='recap S1'!I$2)),"")</f>
        <v/>
      </c>
      <c r="J4" s="32" t="str">
        <f ca="1">IF(SUMPRODUCT((ListeB='recap S1'!$B4)*(OFFSET(ListeB,,4)='recap S1'!J$3)*(OFFSET(ListeB,,1)='recap S1'!J$2))&gt;0,SUMPRODUCT((ListeB='recap S1'!$B4)*(OFFSET(ListeB,,4)='recap S1'!J$3)*(OFFSET(ListeB,,1)='recap S1'!J$2)),"")</f>
        <v/>
      </c>
      <c r="K4" s="32" t="str">
        <f ca="1">IF(SUMPRODUCT((ListeB='recap S1'!$B4)*(OFFSET(ListeB,,4)='recap S1'!K$3)*(OFFSET(ListeB,,1)='recap S1'!K$2))&gt;0,SUMPRODUCT((ListeB='recap S1'!$B4)*(OFFSET(ListeB,,4)='recap S1'!K$3)*(OFFSET(ListeB,,1)='recap S1'!K$2)),"")</f>
        <v/>
      </c>
      <c r="L4" s="32" t="str">
        <f ca="1">IF(SUMPRODUCT((ListeB='recap S1'!$B4)*(OFFSET(ListeB,,4)='recap S1'!L$3)*(OFFSET(ListeB,,1)='recap S1'!L$2))&gt;0,SUMPRODUCT((ListeB='recap S1'!$B4)*(OFFSET(ListeB,,4)='recap S1'!L$3)*(OFFSET(ListeB,,1)='recap S1'!L$2)),"")</f>
        <v/>
      </c>
      <c r="M4" s="32" t="str">
        <f ca="1">IF(SUMPRODUCT((ListeB='recap S1'!$B4)*(OFFSET(ListeB,,4)='recap S1'!M$3)*(OFFSET(ListeB,,1)='recap S1'!M$2))&gt;0,SUMPRODUCT((ListeB='recap S1'!$B4)*(OFFSET(ListeB,,4)='recap S1'!M$3)*(OFFSET(ListeB,,1)='recap S1'!M$2)),"")</f>
        <v/>
      </c>
      <c r="N4" s="32" t="str">
        <f ca="1">IF(SUMPRODUCT((ListeB='recap S1'!$B4)*(OFFSET(ListeB,,4)='recap S1'!N$3)*(OFFSET(ListeB,,1)='recap S1'!N$2))&gt;0,SUMPRODUCT((ListeB='recap S1'!$B4)*(OFFSET(ListeB,,4)='recap S1'!N$3)*(OFFSET(ListeB,,1)='recap S1'!N$2)),"")</f>
        <v/>
      </c>
      <c r="O4" s="32" t="str">
        <f ca="1">IF(SUMPRODUCT((ListeB='recap S1'!$B4)*(OFFSET(ListeB,,4)='recap S1'!O$3)*(OFFSET(ListeB,,1)='recap S1'!O$2))&gt;0,SUMPRODUCT((ListeB='recap S1'!$B4)*(OFFSET(ListeB,,4)='recap S1'!O$3)*(OFFSET(ListeB,,1)='recap S1'!O$2)),"")</f>
        <v/>
      </c>
      <c r="P4" s="32" t="str">
        <f ca="1">IF(SUMPRODUCT((ListeB='recap S1'!$B4)*(OFFSET(ListeB,,4)='recap S1'!P$3)*(OFFSET(ListeB,,1)='recap S1'!P$2))&gt;0,SUMPRODUCT((ListeB='recap S1'!$B4)*(OFFSET(ListeB,,4)='recap S1'!P$3)*(OFFSET(ListeB,,1)='recap S1'!P$2)),"")</f>
        <v/>
      </c>
      <c r="Q4" s="32" t="str">
        <f ca="1">IF(SUMPRODUCT((ListeB='recap S1'!$B4)*(OFFSET(ListeB,,4)='recap S1'!Q$3)*(OFFSET(ListeB,,1)='recap S1'!Q$2))&gt;0,SUMPRODUCT((ListeB='recap S1'!$B4)*(OFFSET(ListeB,,4)='recap S1'!Q$3)*(OFFSET(ListeB,,1)='recap S1'!Q$2)),"")</f>
        <v/>
      </c>
      <c r="R4" s="32" t="str">
        <f ca="1">IF(SUMPRODUCT((ListeB='recap S1'!$B4)*(OFFSET(ListeB,,4)='recap S1'!R$3)*(OFFSET(ListeB,,1)='recap S1'!R$2))&gt;0,SUMPRODUCT((ListeB='recap S1'!$B4)*(OFFSET(ListeB,,4)='recap S1'!R$3)*(OFFSET(ListeB,,1)='recap S1'!R$2)),"")</f>
        <v/>
      </c>
      <c r="S4" s="32" t="str">
        <f ca="1">IF(SUMPRODUCT((ListeB='recap S1'!$B4)*(OFFSET(ListeB,,4)='recap S1'!S$3)*(OFFSET(ListeB,,1)='recap S1'!S$2))&gt;0,SUMPRODUCT((ListeB='recap S1'!$B4)*(OFFSET(ListeB,,4)='recap S1'!S$3)*(OFFSET(ListeB,,1)='recap S1'!S$2)),"")</f>
        <v/>
      </c>
      <c r="T4" s="32" t="str">
        <f ca="1">IF(SUMPRODUCT((ListeB='recap S1'!$B4)*(OFFSET(ListeB,,4)='recap S1'!T$3)*(OFFSET(ListeB,,1)='recap S1'!T$2))&gt;0,SUMPRODUCT((ListeB='recap S1'!$B4)*(OFFSET(ListeB,,4)='recap S1'!T$3)*(OFFSET(ListeB,,1)='recap S1'!T$2)),"")</f>
        <v/>
      </c>
      <c r="U4" s="32" t="str">
        <f ca="1">IF(SUMPRODUCT((ListeB='recap S1'!$B4)*(OFFSET(ListeB,,4)='recap S1'!U$3)*(OFFSET(ListeB,,1)='recap S1'!U$2))&gt;0,SUMPRODUCT((ListeB='recap S1'!$B4)*(OFFSET(ListeB,,4)='recap S1'!U$3)*(OFFSET(ListeB,,1)='recap S1'!U$2)),"")</f>
        <v/>
      </c>
      <c r="V4" s="32" t="str">
        <f ca="1">IF(SUMPRODUCT((ListeB='recap S1'!$B4)*(OFFSET(ListeB,,4)='recap S1'!V$3)*(OFFSET(ListeB,,1)='recap S1'!V$2))&gt;0,SUMPRODUCT((ListeB='recap S1'!$B4)*(OFFSET(ListeB,,4)='recap S1'!V$3)*(OFFSET(ListeB,,1)='recap S1'!V$2)),"")</f>
        <v/>
      </c>
      <c r="W4" s="32" t="str">
        <f ca="1">IF(SUMPRODUCT((ListeB='recap S1'!$B4)*(OFFSET(ListeB,,4)='recap S1'!W$3)*(OFFSET(ListeB,,1)='recap S1'!W$2))&gt;0,SUMPRODUCT((ListeB='recap S1'!$B4)*(OFFSET(ListeB,,4)='recap S1'!W$3)*(OFFSET(ListeB,,1)='recap S1'!W$2)),"")</f>
        <v/>
      </c>
      <c r="X4" s="32" t="str">
        <f ca="1">IF(SUMPRODUCT((ListeB='recap S1'!$B4)*(OFFSET(ListeB,,4)='recap S1'!X$3)*(OFFSET(ListeB,,1)='recap S1'!X$2))&gt;0,SUMPRODUCT((ListeB='recap S1'!$B4)*(OFFSET(ListeB,,4)='recap S1'!X$3)*(OFFSET(ListeB,,1)='recap S1'!X$2)),"")</f>
        <v/>
      </c>
      <c r="Y4" s="32" t="str">
        <f ca="1">IF(SUMPRODUCT((ListeB='recap S1'!$B4)*(OFFSET(ListeB,,4)='recap S1'!Y$3)*(OFFSET(ListeB,,1)='recap S1'!Y$2))&gt;0,SUMPRODUCT((ListeB='recap S1'!$B4)*(OFFSET(ListeB,,4)='recap S1'!Y$3)*(OFFSET(ListeB,,1)='recap S1'!Y$2)),"")</f>
        <v/>
      </c>
      <c r="Z4" s="32" t="str">
        <f ca="1">IF(SUMPRODUCT((ListeB='recap S1'!$B4)*(OFFSET(ListeB,,4)='recap S1'!Z$3)*(OFFSET(ListeB,,1)='recap S1'!Z$2))&gt;0,SUMPRODUCT((ListeB='recap S1'!$B4)*(OFFSET(ListeB,,4)='recap S1'!Z$3)*(OFFSET(ListeB,,1)='recap S1'!Z$2)),"")</f>
        <v/>
      </c>
      <c r="AA4" s="32" t="str">
        <f ca="1">IF(SUMPRODUCT((ListeB='recap S1'!$B4)*(OFFSET(ListeB,,4)='recap S1'!AA$3)*(OFFSET(ListeB,,1)='recap S1'!AA$2))&gt;0,SUMPRODUCT((ListeB='recap S1'!$B4)*(OFFSET(ListeB,,4)='recap S1'!AA$3)*(OFFSET(ListeB,,1)='recap S1'!AA$2)),"")</f>
        <v/>
      </c>
      <c r="AB4" s="32" t="str">
        <f ca="1">IF(SUMPRODUCT((ListeB='recap S1'!$B4)*(OFFSET(ListeB,,4)='recap S1'!AB$3)*(OFFSET(ListeB,,1)='recap S1'!AB$2))&gt;0,SUMPRODUCT((ListeB='recap S1'!$B4)*(OFFSET(ListeB,,4)='recap S1'!AB$3)*(OFFSET(ListeB,,1)='recap S1'!AB$2)),"")</f>
        <v/>
      </c>
      <c r="AC4" s="32" t="str">
        <f ca="1">IF(SUMPRODUCT((ListeB='recap S1'!$B4)*(OFFSET(ListeB,,4)='recap S1'!AC$3)*(OFFSET(ListeB,,1)='recap S1'!AC$2))&gt;0,SUMPRODUCT((ListeB='recap S1'!$B4)*(OFFSET(ListeB,,4)='recap S1'!AC$3)*(OFFSET(ListeB,,1)='recap S1'!AC$2)),"")</f>
        <v/>
      </c>
      <c r="AD4" s="32" t="str">
        <f ca="1">IF(SUMPRODUCT((ListeB='recap S1'!$B4)*(OFFSET(ListeB,,4)='recap S1'!AD$3)*(OFFSET(ListeB,,1)='recap S1'!AD$2))&gt;0,SUMPRODUCT((ListeB='recap S1'!$B4)*(OFFSET(ListeB,,4)='recap S1'!AD$3)*(OFFSET(ListeB,,1)='recap S1'!AD$2)),"")</f>
        <v/>
      </c>
      <c r="AE4" s="32" t="str">
        <f ca="1">IF(SUMPRODUCT((ListeB='recap S1'!$B4)*(OFFSET(ListeB,,4)='recap S1'!AE$3)*(OFFSET(ListeB,,1)='recap S1'!AE$2))&gt;0,SUMPRODUCT((ListeB='recap S1'!$B4)*(OFFSET(ListeB,,4)='recap S1'!AE$3)*(OFFSET(ListeB,,1)='recap S1'!AE$2)),"")</f>
        <v/>
      </c>
      <c r="AF4" s="32" t="str">
        <f ca="1">IF(SUMPRODUCT((ListeB='recap S1'!$B4)*(OFFSET(ListeB,,4)='recap S1'!AF$3)*(OFFSET(ListeB,,1)='recap S1'!AF$2))&gt;0,SUMPRODUCT((ListeB='recap S1'!$B4)*(OFFSET(ListeB,,4)='recap S1'!AF$3)*(OFFSET(ListeB,,1)='recap S1'!AF$2)),"")</f>
        <v/>
      </c>
      <c r="AG4" s="32" t="str">
        <f ca="1">IF(SUMPRODUCT((ListeB='recap S1'!$B4)*(OFFSET(ListeB,,4)='recap S1'!AG$3)*(OFFSET(ListeB,,1)='recap S1'!AG$2))&gt;0,SUMPRODUCT((ListeB='recap S1'!$B4)*(OFFSET(ListeB,,4)='recap S1'!AG$3)*(OFFSET(ListeB,,1)='recap S1'!AG$2)),"")</f>
        <v/>
      </c>
      <c r="AH4" s="32" t="str">
        <f ca="1">IF(SUMPRODUCT((ListeB='recap S1'!$B4)*(OFFSET(ListeB,,4)='recap S1'!AH$3)*(OFFSET(ListeB,,1)='recap S1'!AH$2))&gt;0,SUMPRODUCT((ListeB='recap S1'!$B4)*(OFFSET(ListeB,,4)='recap S1'!AH$3)*(OFFSET(ListeB,,1)='recap S1'!AH$2)),"")</f>
        <v/>
      </c>
      <c r="AI4" s="32" t="str">
        <f ca="1">IF(SUMPRODUCT((ListeB='recap S1'!$B4)*(OFFSET(ListeB,,4)='recap S1'!AI$3)*(OFFSET(ListeB,,1)='recap S1'!AI$2))&gt;0,SUMPRODUCT((ListeB='recap S1'!$B4)*(OFFSET(ListeB,,4)='recap S1'!AI$3)*(OFFSET(ListeB,,1)='recap S1'!AI$2)),"")</f>
        <v/>
      </c>
      <c r="AJ4" s="32" t="str">
        <f ca="1">IF(SUMPRODUCT((ListeB='recap S1'!$B4)*(OFFSET(ListeB,,4)='recap S1'!AJ$3)*(OFFSET(ListeB,,1)='recap S1'!AJ$2))&gt;0,SUMPRODUCT((ListeB='recap S1'!$B4)*(OFFSET(ListeB,,4)='recap S1'!AJ$3)*(OFFSET(ListeB,,1)='recap S1'!AJ$2)),"")</f>
        <v/>
      </c>
      <c r="AK4" s="32" t="str">
        <f ca="1">IF(SUMPRODUCT((ListeB='recap S1'!$B4)*(OFFSET(ListeB,,4)='recap S1'!AK$3)*(OFFSET(ListeB,,1)='recap S1'!AK$2))&gt;0,SUMPRODUCT((ListeB='recap S1'!$B4)*(OFFSET(ListeB,,4)='recap S1'!AK$3)*(OFFSET(ListeB,,1)='recap S1'!AK$2)),"")</f>
        <v/>
      </c>
      <c r="AL4" s="32" t="str">
        <f ca="1">IF(SUMPRODUCT((ListeB='recap S1'!$B4)*(OFFSET(ListeB,,4)='recap S1'!AL$3)*(OFFSET(ListeB,,1)='recap S1'!AL$2))&gt;0,SUMPRODUCT((ListeB='recap S1'!$B4)*(OFFSET(ListeB,,4)='recap S1'!AL$3)*(OFFSET(ListeB,,1)='recap S1'!AL$2)),"")</f>
        <v/>
      </c>
      <c r="AM4" s="32">
        <f ca="1">IF(SUMPRODUCT((ListeB='recap S1'!$B4)*(OFFSET(ListeB,,4)='recap S1'!AM$3)*(OFFSET(ListeB,,1)='recap S1'!AM$2))&gt;0,SUMPRODUCT((ListeB='recap S1'!$B4)*(OFFSET(ListeB,,4)='recap S1'!AM$3)*(OFFSET(ListeB,,1)='recap S1'!AM$2)),"")</f>
        <v>1</v>
      </c>
      <c r="AN4" s="32" t="str">
        <f ca="1">IF(SUMPRODUCT((ListeB='recap S1'!$B4)*(OFFSET(ListeB,,4)='recap S1'!AN$3)*(OFFSET(ListeB,,1)='recap S1'!AN$2))&gt;0,SUMPRODUCT((ListeB='recap S1'!$B4)*(OFFSET(ListeB,,4)='recap S1'!AN$3)*(OFFSET(ListeB,,1)='recap S1'!AN$2)),"")</f>
        <v/>
      </c>
      <c r="AO4" s="32" t="str">
        <f ca="1">IF(SUMPRODUCT((ListeB='recap S1'!$B4)*(OFFSET(ListeB,,4)='recap S1'!AO$3)*(OFFSET(ListeB,,1)='recap S1'!AO$2))&gt;0,SUMPRODUCT((ListeB='recap S1'!$B4)*(OFFSET(ListeB,,4)='recap S1'!AO$3)*(OFFSET(ListeB,,1)='recap S1'!AO$2)),"")</f>
        <v/>
      </c>
      <c r="AP4" s="32" t="str">
        <f ca="1">IF(SUMPRODUCT((ListeB='recap S1'!$B4)*(OFFSET(ListeB,,4)='recap S1'!AP$3)*(OFFSET(ListeB,,1)='recap S1'!AP$2))&gt;0,SUMPRODUCT((ListeB='recap S1'!$B4)*(OFFSET(ListeB,,4)='recap S1'!AP$3)*(OFFSET(ListeB,,1)='recap S1'!AP$2)),"")</f>
        <v/>
      </c>
      <c r="AQ4" s="32" t="str">
        <f ca="1">IF(SUMPRODUCT((ListeB='recap S1'!$B4)*(OFFSET(ListeB,,4)='recap S1'!AQ$3)*(OFFSET(ListeB,,1)='recap S1'!AQ$2))&gt;0,SUMPRODUCT((ListeB='recap S1'!$B4)*(OFFSET(ListeB,,4)='recap S1'!AQ$3)*(OFFSET(ListeB,,1)='recap S1'!AQ$2)),"")</f>
        <v/>
      </c>
      <c r="AR4" s="32" t="str">
        <f ca="1">IF(SUMPRODUCT((ListeB='recap S1'!$B4)*(OFFSET(ListeB,,4)='recap S1'!AR$3)*(OFFSET(ListeB,,1)='recap S1'!AR$2))&gt;0,SUMPRODUCT((ListeB='recap S1'!$B4)*(OFFSET(ListeB,,4)='recap S1'!AR$3)*(OFFSET(ListeB,,1)='recap S1'!AR$2)),"")</f>
        <v/>
      </c>
      <c r="AS4" s="32" t="str">
        <f ca="1">IF(SUMPRODUCT((ListeB='recap S1'!$B4)*(OFFSET(ListeB,,4)='recap S1'!AS$3)*(OFFSET(ListeB,,1)='recap S1'!AS$2))&gt;0,SUMPRODUCT((ListeB='recap S1'!$B4)*(OFFSET(ListeB,,4)='recap S1'!AS$3)*(OFFSET(ListeB,,1)='recap S1'!AS$2)),"")</f>
        <v/>
      </c>
      <c r="AT4" s="32" t="str">
        <f ca="1">IF(SUMPRODUCT((ListeB='recap S1'!$B4)*(OFFSET(ListeB,,4)='recap S1'!AT$3)*(OFFSET(ListeB,,1)='recap S1'!AT$2))&gt;0,SUMPRODUCT((ListeB='recap S1'!$B4)*(OFFSET(ListeB,,4)='recap S1'!AT$3)*(OFFSET(ListeB,,1)='recap S1'!AT$2)),"")</f>
        <v/>
      </c>
      <c r="AU4" s="32" t="str">
        <f ca="1">IF(SUMPRODUCT((ListeB='recap S1'!$B4)*(OFFSET(ListeB,,4)='recap S1'!AU$3)*(OFFSET(ListeB,,1)='recap S1'!AU$2))&gt;0,SUMPRODUCT((ListeB='recap S1'!$B4)*(OFFSET(ListeB,,4)='recap S1'!AU$3)*(OFFSET(ListeB,,1)='recap S1'!AU$2)),"")</f>
        <v/>
      </c>
      <c r="AV4" s="32" t="str">
        <f ca="1">IF(SUMPRODUCT((ListeB='recap S1'!$B4)*(OFFSET(ListeB,,4)='recap S1'!AV$3)*(OFFSET(ListeB,,1)='recap S1'!AV$2))&gt;0,SUMPRODUCT((ListeB='recap S1'!$B4)*(OFFSET(ListeB,,4)='recap S1'!AV$3)*(OFFSET(ListeB,,1)='recap S1'!AV$2)),"")</f>
        <v/>
      </c>
      <c r="AW4" s="32" t="str">
        <f ca="1">IF(SUMPRODUCT((ListeB='recap S1'!$B4)*(OFFSET(ListeB,,4)='recap S1'!AW$3)*(OFFSET(ListeB,,1)='recap S1'!AW$2))&gt;0,SUMPRODUCT((ListeB='recap S1'!$B4)*(OFFSET(ListeB,,4)='recap S1'!AW$3)*(OFFSET(ListeB,,1)='recap S1'!AW$2)),"")</f>
        <v/>
      </c>
      <c r="AX4" s="32" t="str">
        <f ca="1">IF(SUMPRODUCT((ListeB='recap S1'!$B4)*(OFFSET(ListeB,,4)='recap S1'!AX$3)*(OFFSET(ListeB,,1)='recap S1'!AX$2))&gt;0,SUMPRODUCT((ListeB='recap S1'!$B4)*(OFFSET(ListeB,,4)='recap S1'!AX$3)*(OFFSET(ListeB,,1)='recap S1'!AX$2)),"")</f>
        <v/>
      </c>
      <c r="AY4" s="32" t="str">
        <f ca="1">IF(SUMPRODUCT((ListeB='recap S1'!$B4)*(OFFSET(ListeB,,4)='recap S1'!AY$3)*(OFFSET(ListeB,,1)='recap S1'!AY$2))&gt;0,SUMPRODUCT((ListeB='recap S1'!$B4)*(OFFSET(ListeB,,4)='recap S1'!AY$3)*(OFFSET(ListeB,,1)='recap S1'!AY$2)),"")</f>
        <v/>
      </c>
      <c r="AZ4" s="32">
        <f t="shared" ref="AZ4:AZ35" ca="1" si="0">SUMPRODUCT(C4:AX4)</f>
        <v>1</v>
      </c>
    </row>
    <row r="5" spans="1:52">
      <c r="A5" s="41">
        <f>IF('SEANCE 1'!$B3&lt;&gt;"",'SEANCE 1'!$A3,"")</f>
        <v>2</v>
      </c>
      <c r="B5" s="41" t="str">
        <f t="array" aca="1" ref="B5" ca="1">IF(ISNA(INDEX(ListeB,MATCH(0,COUNTIF($B$3:B4,ListeB),0))),"",INDEX(ListeB,MATCH(0,COUNTIF($B$3:B4,ListeB),0)))</f>
        <v>élève 23</v>
      </c>
      <c r="C5" s="32" t="str">
        <f ca="1">IF(SUMPRODUCT((ListeB='recap S1'!$B5)*(OFFSET(ListeB,,4)='recap S1'!C$3)*(OFFSET(ListeB,,1)='recap S1'!C$2))&gt;0,SUMPRODUCT((ListeB='recap S1'!$B5)*(OFFSET(ListeB,,4)='recap S1'!C$3)*(OFFSET(ListeB,,1)='recap S1'!C$2)),"")</f>
        <v/>
      </c>
      <c r="D5" s="32" t="str">
        <f ca="1">IF(SUMPRODUCT((ListeB='recap S1'!$B5)*(OFFSET(ListeB,,4)='recap S1'!D$3)*(OFFSET(ListeB,,1)='recap S1'!D$2))&gt;0,SUMPRODUCT((ListeB='recap S1'!$B5)*(OFFSET(ListeB,,4)='recap S1'!D$3)*(OFFSET(ListeB,,1)='recap S1'!D$2)),"")</f>
        <v/>
      </c>
      <c r="E5" s="32" t="str">
        <f ca="1">IF(SUMPRODUCT((ListeB='recap S1'!$B5)*(OFFSET(ListeB,,4)='recap S1'!E$3)*(OFFSET(ListeB,,1)='recap S1'!E$2))&gt;0,SUMPRODUCT((ListeB='recap S1'!$B5)*(OFFSET(ListeB,,4)='recap S1'!E$3)*(OFFSET(ListeB,,1)='recap S1'!E$2)),"")</f>
        <v/>
      </c>
      <c r="F5" s="32" t="str">
        <f ca="1">IF(SUMPRODUCT((ListeB='recap S1'!$B5)*(OFFSET(ListeB,,4)='recap S1'!F$3)*(OFFSET(ListeB,,1)='recap S1'!F$2))&gt;0,SUMPRODUCT((ListeB='recap S1'!$B5)*(OFFSET(ListeB,,4)='recap S1'!F$3)*(OFFSET(ListeB,,1)='recap S1'!F$2)),"")</f>
        <v/>
      </c>
      <c r="G5" s="32" t="str">
        <f ca="1">IF(SUMPRODUCT((ListeB='recap S1'!$B5)*(OFFSET(ListeB,,4)='recap S1'!G$3)*(OFFSET(ListeB,,1)='recap S1'!G$2))&gt;0,SUMPRODUCT((ListeB='recap S1'!$B5)*(OFFSET(ListeB,,4)='recap S1'!G$3)*(OFFSET(ListeB,,1)='recap S1'!G$2)),"")</f>
        <v/>
      </c>
      <c r="H5" s="32" t="str">
        <f ca="1">IF(SUMPRODUCT((ListeB='recap S1'!$B5)*(OFFSET(ListeB,,4)='recap S1'!H$3)*(OFFSET(ListeB,,1)='recap S1'!H$2))&gt;0,SUMPRODUCT((ListeB='recap S1'!$B5)*(OFFSET(ListeB,,4)='recap S1'!H$3)*(OFFSET(ListeB,,1)='recap S1'!H$2)),"")</f>
        <v/>
      </c>
      <c r="I5" s="32" t="str">
        <f ca="1">IF(SUMPRODUCT((ListeB='recap S1'!$B5)*(OFFSET(ListeB,,4)='recap S1'!I$3)*(OFFSET(ListeB,,1)='recap S1'!I$2))&gt;0,SUMPRODUCT((ListeB='recap S1'!$B5)*(OFFSET(ListeB,,4)='recap S1'!I$3)*(OFFSET(ListeB,,1)='recap S1'!I$2)),"")</f>
        <v/>
      </c>
      <c r="J5" s="32" t="str">
        <f ca="1">IF(SUMPRODUCT((ListeB='recap S1'!$B5)*(OFFSET(ListeB,,4)='recap S1'!J$3)*(OFFSET(ListeB,,1)='recap S1'!J$2))&gt;0,SUMPRODUCT((ListeB='recap S1'!$B5)*(OFFSET(ListeB,,4)='recap S1'!J$3)*(OFFSET(ListeB,,1)='recap S1'!J$2)),"")</f>
        <v/>
      </c>
      <c r="K5" s="32" t="str">
        <f ca="1">IF(SUMPRODUCT((ListeB='recap S1'!$B5)*(OFFSET(ListeB,,4)='recap S1'!K$3)*(OFFSET(ListeB,,1)='recap S1'!K$2))&gt;0,SUMPRODUCT((ListeB='recap S1'!$B5)*(OFFSET(ListeB,,4)='recap S1'!K$3)*(OFFSET(ListeB,,1)='recap S1'!K$2)),"")</f>
        <v/>
      </c>
      <c r="L5" s="32" t="str">
        <f ca="1">IF(SUMPRODUCT((ListeB='recap S1'!$B5)*(OFFSET(ListeB,,4)='recap S1'!L$3)*(OFFSET(ListeB,,1)='recap S1'!L$2))&gt;0,SUMPRODUCT((ListeB='recap S1'!$B5)*(OFFSET(ListeB,,4)='recap S1'!L$3)*(OFFSET(ListeB,,1)='recap S1'!L$2)),"")</f>
        <v/>
      </c>
      <c r="M5" s="32" t="str">
        <f ca="1">IF(SUMPRODUCT((ListeB='recap S1'!$B5)*(OFFSET(ListeB,,4)='recap S1'!M$3)*(OFFSET(ListeB,,1)='recap S1'!M$2))&gt;0,SUMPRODUCT((ListeB='recap S1'!$B5)*(OFFSET(ListeB,,4)='recap S1'!M$3)*(OFFSET(ListeB,,1)='recap S1'!M$2)),"")</f>
        <v/>
      </c>
      <c r="N5" s="32" t="str">
        <f ca="1">IF(SUMPRODUCT((ListeB='recap S1'!$B5)*(OFFSET(ListeB,,4)='recap S1'!N$3)*(OFFSET(ListeB,,1)='recap S1'!N$2))&gt;0,SUMPRODUCT((ListeB='recap S1'!$B5)*(OFFSET(ListeB,,4)='recap S1'!N$3)*(OFFSET(ListeB,,1)='recap S1'!N$2)),"")</f>
        <v/>
      </c>
      <c r="O5" s="32" t="str">
        <f ca="1">IF(SUMPRODUCT((ListeB='recap S1'!$B5)*(OFFSET(ListeB,,4)='recap S1'!O$3)*(OFFSET(ListeB,,1)='recap S1'!O$2))&gt;0,SUMPRODUCT((ListeB='recap S1'!$B5)*(OFFSET(ListeB,,4)='recap S1'!O$3)*(OFFSET(ListeB,,1)='recap S1'!O$2)),"")</f>
        <v/>
      </c>
      <c r="P5" s="32" t="str">
        <f ca="1">IF(SUMPRODUCT((ListeB='recap S1'!$B5)*(OFFSET(ListeB,,4)='recap S1'!P$3)*(OFFSET(ListeB,,1)='recap S1'!P$2))&gt;0,SUMPRODUCT((ListeB='recap S1'!$B5)*(OFFSET(ListeB,,4)='recap S1'!P$3)*(OFFSET(ListeB,,1)='recap S1'!P$2)),"")</f>
        <v/>
      </c>
      <c r="Q5" s="32" t="str">
        <f ca="1">IF(SUMPRODUCT((ListeB='recap S1'!$B5)*(OFFSET(ListeB,,4)='recap S1'!Q$3)*(OFFSET(ListeB,,1)='recap S1'!Q$2))&gt;0,SUMPRODUCT((ListeB='recap S1'!$B5)*(OFFSET(ListeB,,4)='recap S1'!Q$3)*(OFFSET(ListeB,,1)='recap S1'!Q$2)),"")</f>
        <v/>
      </c>
      <c r="R5" s="32" t="str">
        <f ca="1">IF(SUMPRODUCT((ListeB='recap S1'!$B5)*(OFFSET(ListeB,,4)='recap S1'!R$3)*(OFFSET(ListeB,,1)='recap S1'!R$2))&gt;0,SUMPRODUCT((ListeB='recap S1'!$B5)*(OFFSET(ListeB,,4)='recap S1'!R$3)*(OFFSET(ListeB,,1)='recap S1'!R$2)),"")</f>
        <v/>
      </c>
      <c r="S5" s="32" t="str">
        <f ca="1">IF(SUMPRODUCT((ListeB='recap S1'!$B5)*(OFFSET(ListeB,,4)='recap S1'!S$3)*(OFFSET(ListeB,,1)='recap S1'!S$2))&gt;0,SUMPRODUCT((ListeB='recap S1'!$B5)*(OFFSET(ListeB,,4)='recap S1'!S$3)*(OFFSET(ListeB,,1)='recap S1'!S$2)),"")</f>
        <v/>
      </c>
      <c r="T5" s="32" t="str">
        <f ca="1">IF(SUMPRODUCT((ListeB='recap S1'!$B5)*(OFFSET(ListeB,,4)='recap S1'!T$3)*(OFFSET(ListeB,,1)='recap S1'!T$2))&gt;0,SUMPRODUCT((ListeB='recap S1'!$B5)*(OFFSET(ListeB,,4)='recap S1'!T$3)*(OFFSET(ListeB,,1)='recap S1'!T$2)),"")</f>
        <v/>
      </c>
      <c r="U5" s="32" t="str">
        <f ca="1">IF(SUMPRODUCT((ListeB='recap S1'!$B5)*(OFFSET(ListeB,,4)='recap S1'!U$3)*(OFFSET(ListeB,,1)='recap S1'!U$2))&gt;0,SUMPRODUCT((ListeB='recap S1'!$B5)*(OFFSET(ListeB,,4)='recap S1'!U$3)*(OFFSET(ListeB,,1)='recap S1'!U$2)),"")</f>
        <v/>
      </c>
      <c r="V5" s="32" t="str">
        <f ca="1">IF(SUMPRODUCT((ListeB='recap S1'!$B5)*(OFFSET(ListeB,,4)='recap S1'!V$3)*(OFFSET(ListeB,,1)='recap S1'!V$2))&gt;0,SUMPRODUCT((ListeB='recap S1'!$B5)*(OFFSET(ListeB,,4)='recap S1'!V$3)*(OFFSET(ListeB,,1)='recap S1'!V$2)),"")</f>
        <v/>
      </c>
      <c r="W5" s="32" t="str">
        <f ca="1">IF(SUMPRODUCT((ListeB='recap S1'!$B5)*(OFFSET(ListeB,,4)='recap S1'!W$3)*(OFFSET(ListeB,,1)='recap S1'!W$2))&gt;0,SUMPRODUCT((ListeB='recap S1'!$B5)*(OFFSET(ListeB,,4)='recap S1'!W$3)*(OFFSET(ListeB,,1)='recap S1'!W$2)),"")</f>
        <v/>
      </c>
      <c r="X5" s="32" t="str">
        <f ca="1">IF(SUMPRODUCT((ListeB='recap S1'!$B5)*(OFFSET(ListeB,,4)='recap S1'!X$3)*(OFFSET(ListeB,,1)='recap S1'!X$2))&gt;0,SUMPRODUCT((ListeB='recap S1'!$B5)*(OFFSET(ListeB,,4)='recap S1'!X$3)*(OFFSET(ListeB,,1)='recap S1'!X$2)),"")</f>
        <v/>
      </c>
      <c r="Y5" s="32" t="str">
        <f ca="1">IF(SUMPRODUCT((ListeB='recap S1'!$B5)*(OFFSET(ListeB,,4)='recap S1'!Y$3)*(OFFSET(ListeB,,1)='recap S1'!Y$2))&gt;0,SUMPRODUCT((ListeB='recap S1'!$B5)*(OFFSET(ListeB,,4)='recap S1'!Y$3)*(OFFSET(ListeB,,1)='recap S1'!Y$2)),"")</f>
        <v/>
      </c>
      <c r="Z5" s="32" t="str">
        <f ca="1">IF(SUMPRODUCT((ListeB='recap S1'!$B5)*(OFFSET(ListeB,,4)='recap S1'!Z$3)*(OFFSET(ListeB,,1)='recap S1'!Z$2))&gt;0,SUMPRODUCT((ListeB='recap S1'!$B5)*(OFFSET(ListeB,,4)='recap S1'!Z$3)*(OFFSET(ListeB,,1)='recap S1'!Z$2)),"")</f>
        <v/>
      </c>
      <c r="AA5" s="32" t="str">
        <f ca="1">IF(SUMPRODUCT((ListeB='recap S1'!$B5)*(OFFSET(ListeB,,4)='recap S1'!AA$3)*(OFFSET(ListeB,,1)='recap S1'!AA$2))&gt;0,SUMPRODUCT((ListeB='recap S1'!$B5)*(OFFSET(ListeB,,4)='recap S1'!AA$3)*(OFFSET(ListeB,,1)='recap S1'!AA$2)),"")</f>
        <v/>
      </c>
      <c r="AB5" s="32" t="str">
        <f ca="1">IF(SUMPRODUCT((ListeB='recap S1'!$B5)*(OFFSET(ListeB,,4)='recap S1'!AB$3)*(OFFSET(ListeB,,1)='recap S1'!AB$2))&gt;0,SUMPRODUCT((ListeB='recap S1'!$B5)*(OFFSET(ListeB,,4)='recap S1'!AB$3)*(OFFSET(ListeB,,1)='recap S1'!AB$2)),"")</f>
        <v/>
      </c>
      <c r="AC5" s="32" t="str">
        <f ca="1">IF(SUMPRODUCT((ListeB='recap S1'!$B5)*(OFFSET(ListeB,,4)='recap S1'!AC$3)*(OFFSET(ListeB,,1)='recap S1'!AC$2))&gt;0,SUMPRODUCT((ListeB='recap S1'!$B5)*(OFFSET(ListeB,,4)='recap S1'!AC$3)*(OFFSET(ListeB,,1)='recap S1'!AC$2)),"")</f>
        <v/>
      </c>
      <c r="AD5" s="32" t="str">
        <f ca="1">IF(SUMPRODUCT((ListeB='recap S1'!$B5)*(OFFSET(ListeB,,4)='recap S1'!AD$3)*(OFFSET(ListeB,,1)='recap S1'!AD$2))&gt;0,SUMPRODUCT((ListeB='recap S1'!$B5)*(OFFSET(ListeB,,4)='recap S1'!AD$3)*(OFFSET(ListeB,,1)='recap S1'!AD$2)),"")</f>
        <v/>
      </c>
      <c r="AE5" s="32" t="str">
        <f ca="1">IF(SUMPRODUCT((ListeB='recap S1'!$B5)*(OFFSET(ListeB,,4)='recap S1'!AE$3)*(OFFSET(ListeB,,1)='recap S1'!AE$2))&gt;0,SUMPRODUCT((ListeB='recap S1'!$B5)*(OFFSET(ListeB,,4)='recap S1'!AE$3)*(OFFSET(ListeB,,1)='recap S1'!AE$2)),"")</f>
        <v/>
      </c>
      <c r="AF5" s="32" t="str">
        <f ca="1">IF(SUMPRODUCT((ListeB='recap S1'!$B5)*(OFFSET(ListeB,,4)='recap S1'!AF$3)*(OFFSET(ListeB,,1)='recap S1'!AF$2))&gt;0,SUMPRODUCT((ListeB='recap S1'!$B5)*(OFFSET(ListeB,,4)='recap S1'!AF$3)*(OFFSET(ListeB,,1)='recap S1'!AF$2)),"")</f>
        <v/>
      </c>
      <c r="AG5" s="32" t="str">
        <f ca="1">IF(SUMPRODUCT((ListeB='recap S1'!$B5)*(OFFSET(ListeB,,4)='recap S1'!AG$3)*(OFFSET(ListeB,,1)='recap S1'!AG$2))&gt;0,SUMPRODUCT((ListeB='recap S1'!$B5)*(OFFSET(ListeB,,4)='recap S1'!AG$3)*(OFFSET(ListeB,,1)='recap S1'!AG$2)),"")</f>
        <v/>
      </c>
      <c r="AH5" s="32" t="str">
        <f ca="1">IF(SUMPRODUCT((ListeB='recap S1'!$B5)*(OFFSET(ListeB,,4)='recap S1'!AH$3)*(OFFSET(ListeB,,1)='recap S1'!AH$2))&gt;0,SUMPRODUCT((ListeB='recap S1'!$B5)*(OFFSET(ListeB,,4)='recap S1'!AH$3)*(OFFSET(ListeB,,1)='recap S1'!AH$2)),"")</f>
        <v/>
      </c>
      <c r="AI5" s="32" t="str">
        <f ca="1">IF(SUMPRODUCT((ListeB='recap S1'!$B5)*(OFFSET(ListeB,,4)='recap S1'!AI$3)*(OFFSET(ListeB,,1)='recap S1'!AI$2))&gt;0,SUMPRODUCT((ListeB='recap S1'!$B5)*(OFFSET(ListeB,,4)='recap S1'!AI$3)*(OFFSET(ListeB,,1)='recap S1'!AI$2)),"")</f>
        <v/>
      </c>
      <c r="AJ5" s="32">
        <f ca="1">IF(SUMPRODUCT((ListeB='recap S1'!$B5)*(OFFSET(ListeB,,4)='recap S1'!AJ$3)*(OFFSET(ListeB,,1)='recap S1'!AJ$2))&gt;0,SUMPRODUCT((ListeB='recap S1'!$B5)*(OFFSET(ListeB,,4)='recap S1'!AJ$3)*(OFFSET(ListeB,,1)='recap S1'!AJ$2)),"")</f>
        <v>1</v>
      </c>
      <c r="AK5" s="32" t="str">
        <f ca="1">IF(SUMPRODUCT((ListeB='recap S1'!$B5)*(OFFSET(ListeB,,4)='recap S1'!AK$3)*(OFFSET(ListeB,,1)='recap S1'!AK$2))&gt;0,SUMPRODUCT((ListeB='recap S1'!$B5)*(OFFSET(ListeB,,4)='recap S1'!AK$3)*(OFFSET(ListeB,,1)='recap S1'!AK$2)),"")</f>
        <v/>
      </c>
      <c r="AL5" s="32" t="str">
        <f ca="1">IF(SUMPRODUCT((ListeB='recap S1'!$B5)*(OFFSET(ListeB,,4)='recap S1'!AL$3)*(OFFSET(ListeB,,1)='recap S1'!AL$2))&gt;0,SUMPRODUCT((ListeB='recap S1'!$B5)*(OFFSET(ListeB,,4)='recap S1'!AL$3)*(OFFSET(ListeB,,1)='recap S1'!AL$2)),"")</f>
        <v/>
      </c>
      <c r="AM5" s="32" t="str">
        <f ca="1">IF(SUMPRODUCT((ListeB='recap S1'!$B5)*(OFFSET(ListeB,,4)='recap S1'!AM$3)*(OFFSET(ListeB,,1)='recap S1'!AM$2))&gt;0,SUMPRODUCT((ListeB='recap S1'!$B5)*(OFFSET(ListeB,,4)='recap S1'!AM$3)*(OFFSET(ListeB,,1)='recap S1'!AM$2)),"")</f>
        <v/>
      </c>
      <c r="AN5" s="32" t="str">
        <f ca="1">IF(SUMPRODUCT((ListeB='recap S1'!$B5)*(OFFSET(ListeB,,4)='recap S1'!AN$3)*(OFFSET(ListeB,,1)='recap S1'!AN$2))&gt;0,SUMPRODUCT((ListeB='recap S1'!$B5)*(OFFSET(ListeB,,4)='recap S1'!AN$3)*(OFFSET(ListeB,,1)='recap S1'!AN$2)),"")</f>
        <v/>
      </c>
      <c r="AO5" s="32" t="str">
        <f ca="1">IF(SUMPRODUCT((ListeB='recap S1'!$B5)*(OFFSET(ListeB,,4)='recap S1'!AO$3)*(OFFSET(ListeB,,1)='recap S1'!AO$2))&gt;0,SUMPRODUCT((ListeB='recap S1'!$B5)*(OFFSET(ListeB,,4)='recap S1'!AO$3)*(OFFSET(ListeB,,1)='recap S1'!AO$2)),"")</f>
        <v/>
      </c>
      <c r="AP5" s="32" t="str">
        <f ca="1">IF(SUMPRODUCT((ListeB='recap S1'!$B5)*(OFFSET(ListeB,,4)='recap S1'!AP$3)*(OFFSET(ListeB,,1)='recap S1'!AP$2))&gt;0,SUMPRODUCT((ListeB='recap S1'!$B5)*(OFFSET(ListeB,,4)='recap S1'!AP$3)*(OFFSET(ListeB,,1)='recap S1'!AP$2)),"")</f>
        <v/>
      </c>
      <c r="AQ5" s="32" t="str">
        <f ca="1">IF(SUMPRODUCT((ListeB='recap S1'!$B5)*(OFFSET(ListeB,,4)='recap S1'!AQ$3)*(OFFSET(ListeB,,1)='recap S1'!AQ$2))&gt;0,SUMPRODUCT((ListeB='recap S1'!$B5)*(OFFSET(ListeB,,4)='recap S1'!AQ$3)*(OFFSET(ListeB,,1)='recap S1'!AQ$2)),"")</f>
        <v/>
      </c>
      <c r="AR5" s="32" t="str">
        <f ca="1">IF(SUMPRODUCT((ListeB='recap S1'!$B5)*(OFFSET(ListeB,,4)='recap S1'!AR$3)*(OFFSET(ListeB,,1)='recap S1'!AR$2))&gt;0,SUMPRODUCT((ListeB='recap S1'!$B5)*(OFFSET(ListeB,,4)='recap S1'!AR$3)*(OFFSET(ListeB,,1)='recap S1'!AR$2)),"")</f>
        <v/>
      </c>
      <c r="AS5" s="32" t="str">
        <f ca="1">IF(SUMPRODUCT((ListeB='recap S1'!$B5)*(OFFSET(ListeB,,4)='recap S1'!AS$3)*(OFFSET(ListeB,,1)='recap S1'!AS$2))&gt;0,SUMPRODUCT((ListeB='recap S1'!$B5)*(OFFSET(ListeB,,4)='recap S1'!AS$3)*(OFFSET(ListeB,,1)='recap S1'!AS$2)),"")</f>
        <v/>
      </c>
      <c r="AT5" s="32" t="str">
        <f ca="1">IF(SUMPRODUCT((ListeB='recap S1'!$B5)*(OFFSET(ListeB,,4)='recap S1'!AT$3)*(OFFSET(ListeB,,1)='recap S1'!AT$2))&gt;0,SUMPRODUCT((ListeB='recap S1'!$B5)*(OFFSET(ListeB,,4)='recap S1'!AT$3)*(OFFSET(ListeB,,1)='recap S1'!AT$2)),"")</f>
        <v/>
      </c>
      <c r="AU5" s="32">
        <f ca="1">IF(SUMPRODUCT((ListeB='recap S1'!$B5)*(OFFSET(ListeB,,4)='recap S1'!AU$3)*(OFFSET(ListeB,,1)='recap S1'!AU$2))&gt;0,SUMPRODUCT((ListeB='recap S1'!$B5)*(OFFSET(ListeB,,4)='recap S1'!AU$3)*(OFFSET(ListeB,,1)='recap S1'!AU$2)),"")</f>
        <v>1</v>
      </c>
      <c r="AV5" s="32" t="str">
        <f ca="1">IF(SUMPRODUCT((ListeB='recap S1'!$B5)*(OFFSET(ListeB,,4)='recap S1'!AV$3)*(OFFSET(ListeB,,1)='recap S1'!AV$2))&gt;0,SUMPRODUCT((ListeB='recap S1'!$B5)*(OFFSET(ListeB,,4)='recap S1'!AV$3)*(OFFSET(ListeB,,1)='recap S1'!AV$2)),"")</f>
        <v/>
      </c>
      <c r="AW5" s="32" t="str">
        <f ca="1">IF(SUMPRODUCT((ListeB='recap S1'!$B5)*(OFFSET(ListeB,,4)='recap S1'!AW$3)*(OFFSET(ListeB,,1)='recap S1'!AW$2))&gt;0,SUMPRODUCT((ListeB='recap S1'!$B5)*(OFFSET(ListeB,,4)='recap S1'!AW$3)*(OFFSET(ListeB,,1)='recap S1'!AW$2)),"")</f>
        <v/>
      </c>
      <c r="AX5" s="32" t="str">
        <f ca="1">IF(SUMPRODUCT((ListeB='recap S1'!$B5)*(OFFSET(ListeB,,4)='recap S1'!AX$3)*(OFFSET(ListeB,,1)='recap S1'!AX$2))&gt;0,SUMPRODUCT((ListeB='recap S1'!$B5)*(OFFSET(ListeB,,4)='recap S1'!AX$3)*(OFFSET(ListeB,,1)='recap S1'!AX$2)),"")</f>
        <v/>
      </c>
      <c r="AY5" s="32" t="str">
        <f ca="1">IF(SUMPRODUCT((ListeB='recap S1'!$B5)*(OFFSET(ListeB,,4)='recap S1'!AY$3)*(OFFSET(ListeB,,1)='recap S1'!AY$2))&gt;0,SUMPRODUCT((ListeB='recap S1'!$B5)*(OFFSET(ListeB,,4)='recap S1'!AY$3)*(OFFSET(ListeB,,1)='recap S1'!AY$2)),"")</f>
        <v/>
      </c>
      <c r="AZ5" s="32">
        <f t="shared" ca="1" si="0"/>
        <v>2</v>
      </c>
    </row>
    <row r="6" spans="1:52">
      <c r="A6" s="41">
        <f>IF('SEANCE 1'!$B4&lt;&gt;"",'SEANCE 1'!$A4,"")</f>
        <v>3</v>
      </c>
      <c r="B6" s="41" t="str">
        <f t="array" aca="1" ref="B6" ca="1">IF(ISNA(INDEX(ListeB,MATCH(0,COUNTIF($B$3:B5,ListeB),0))),"",INDEX(ListeB,MATCH(0,COUNTIF($B$3:B5,ListeB),0)))</f>
        <v>élève 24</v>
      </c>
      <c r="C6" s="32" t="str">
        <f ca="1">IF(SUMPRODUCT((ListeB='recap S1'!$B6)*(OFFSET(ListeB,,4)='recap S1'!C$3)*(OFFSET(ListeB,,1)='recap S1'!C$2))&gt;0,SUMPRODUCT((ListeB='recap S1'!$B6)*(OFFSET(ListeB,,4)='recap S1'!C$3)*(OFFSET(ListeB,,1)='recap S1'!C$2)),"")</f>
        <v/>
      </c>
      <c r="D6" s="32">
        <f ca="1">IF(SUMPRODUCT((ListeB='recap S1'!$B6)*(OFFSET(ListeB,,4)='recap S1'!D$3)*(OFFSET(ListeB,,1)='recap S1'!D$2))&gt;0,SUMPRODUCT((ListeB='recap S1'!$B6)*(OFFSET(ListeB,,4)='recap S1'!D$3)*(OFFSET(ListeB,,1)='recap S1'!D$2)),"")</f>
        <v>1</v>
      </c>
      <c r="E6" s="32" t="str">
        <f ca="1">IF(SUMPRODUCT((ListeB='recap S1'!$B6)*(OFFSET(ListeB,,4)='recap S1'!E$3)*(OFFSET(ListeB,,1)='recap S1'!E$2))&gt;0,SUMPRODUCT((ListeB='recap S1'!$B6)*(OFFSET(ListeB,,4)='recap S1'!E$3)*(OFFSET(ListeB,,1)='recap S1'!E$2)),"")</f>
        <v/>
      </c>
      <c r="F6" s="32" t="str">
        <f ca="1">IF(SUMPRODUCT((ListeB='recap S1'!$B6)*(OFFSET(ListeB,,4)='recap S1'!F$3)*(OFFSET(ListeB,,1)='recap S1'!F$2))&gt;0,SUMPRODUCT((ListeB='recap S1'!$B6)*(OFFSET(ListeB,,4)='recap S1'!F$3)*(OFFSET(ListeB,,1)='recap S1'!F$2)),"")</f>
        <v/>
      </c>
      <c r="G6" s="32" t="str">
        <f ca="1">IF(SUMPRODUCT((ListeB='recap S1'!$B6)*(OFFSET(ListeB,,4)='recap S1'!G$3)*(OFFSET(ListeB,,1)='recap S1'!G$2))&gt;0,SUMPRODUCT((ListeB='recap S1'!$B6)*(OFFSET(ListeB,,4)='recap S1'!G$3)*(OFFSET(ListeB,,1)='recap S1'!G$2)),"")</f>
        <v/>
      </c>
      <c r="H6" s="32" t="str">
        <f ca="1">IF(SUMPRODUCT((ListeB='recap S1'!$B6)*(OFFSET(ListeB,,4)='recap S1'!H$3)*(OFFSET(ListeB,,1)='recap S1'!H$2))&gt;0,SUMPRODUCT((ListeB='recap S1'!$B6)*(OFFSET(ListeB,,4)='recap S1'!H$3)*(OFFSET(ListeB,,1)='recap S1'!H$2)),"")</f>
        <v/>
      </c>
      <c r="I6" s="32" t="str">
        <f ca="1">IF(SUMPRODUCT((ListeB='recap S1'!$B6)*(OFFSET(ListeB,,4)='recap S1'!I$3)*(OFFSET(ListeB,,1)='recap S1'!I$2))&gt;0,SUMPRODUCT((ListeB='recap S1'!$B6)*(OFFSET(ListeB,,4)='recap S1'!I$3)*(OFFSET(ListeB,,1)='recap S1'!I$2)),"")</f>
        <v/>
      </c>
      <c r="J6" s="32" t="str">
        <f ca="1">IF(SUMPRODUCT((ListeB='recap S1'!$B6)*(OFFSET(ListeB,,4)='recap S1'!J$3)*(OFFSET(ListeB,,1)='recap S1'!J$2))&gt;0,SUMPRODUCT((ListeB='recap S1'!$B6)*(OFFSET(ListeB,,4)='recap S1'!J$3)*(OFFSET(ListeB,,1)='recap S1'!J$2)),"")</f>
        <v/>
      </c>
      <c r="K6" s="32" t="str">
        <f ca="1">IF(SUMPRODUCT((ListeB='recap S1'!$B6)*(OFFSET(ListeB,,4)='recap S1'!K$3)*(OFFSET(ListeB,,1)='recap S1'!K$2))&gt;0,SUMPRODUCT((ListeB='recap S1'!$B6)*(OFFSET(ListeB,,4)='recap S1'!K$3)*(OFFSET(ListeB,,1)='recap S1'!K$2)),"")</f>
        <v/>
      </c>
      <c r="L6" s="32" t="str">
        <f ca="1">IF(SUMPRODUCT((ListeB='recap S1'!$B6)*(OFFSET(ListeB,,4)='recap S1'!L$3)*(OFFSET(ListeB,,1)='recap S1'!L$2))&gt;0,SUMPRODUCT((ListeB='recap S1'!$B6)*(OFFSET(ListeB,,4)='recap S1'!L$3)*(OFFSET(ListeB,,1)='recap S1'!L$2)),"")</f>
        <v/>
      </c>
      <c r="M6" s="32" t="str">
        <f ca="1">IF(SUMPRODUCT((ListeB='recap S1'!$B6)*(OFFSET(ListeB,,4)='recap S1'!M$3)*(OFFSET(ListeB,,1)='recap S1'!M$2))&gt;0,SUMPRODUCT((ListeB='recap S1'!$B6)*(OFFSET(ListeB,,4)='recap S1'!M$3)*(OFFSET(ListeB,,1)='recap S1'!M$2)),"")</f>
        <v/>
      </c>
      <c r="N6" s="32" t="str">
        <f ca="1">IF(SUMPRODUCT((ListeB='recap S1'!$B6)*(OFFSET(ListeB,,4)='recap S1'!N$3)*(OFFSET(ListeB,,1)='recap S1'!N$2))&gt;0,SUMPRODUCT((ListeB='recap S1'!$B6)*(OFFSET(ListeB,,4)='recap S1'!N$3)*(OFFSET(ListeB,,1)='recap S1'!N$2)),"")</f>
        <v/>
      </c>
      <c r="O6" s="32" t="str">
        <f ca="1">IF(SUMPRODUCT((ListeB='recap S1'!$B6)*(OFFSET(ListeB,,4)='recap S1'!O$3)*(OFFSET(ListeB,,1)='recap S1'!O$2))&gt;0,SUMPRODUCT((ListeB='recap S1'!$B6)*(OFFSET(ListeB,,4)='recap S1'!O$3)*(OFFSET(ListeB,,1)='recap S1'!O$2)),"")</f>
        <v/>
      </c>
      <c r="P6" s="32" t="str">
        <f ca="1">IF(SUMPRODUCT((ListeB='recap S1'!$B6)*(OFFSET(ListeB,,4)='recap S1'!P$3)*(OFFSET(ListeB,,1)='recap S1'!P$2))&gt;0,SUMPRODUCT((ListeB='recap S1'!$B6)*(OFFSET(ListeB,,4)='recap S1'!P$3)*(OFFSET(ListeB,,1)='recap S1'!P$2)),"")</f>
        <v/>
      </c>
      <c r="Q6" s="32" t="str">
        <f ca="1">IF(SUMPRODUCT((ListeB='recap S1'!$B6)*(OFFSET(ListeB,,4)='recap S1'!Q$3)*(OFFSET(ListeB,,1)='recap S1'!Q$2))&gt;0,SUMPRODUCT((ListeB='recap S1'!$B6)*(OFFSET(ListeB,,4)='recap S1'!Q$3)*(OFFSET(ListeB,,1)='recap S1'!Q$2)),"")</f>
        <v/>
      </c>
      <c r="R6" s="32" t="str">
        <f ca="1">IF(SUMPRODUCT((ListeB='recap S1'!$B6)*(OFFSET(ListeB,,4)='recap S1'!R$3)*(OFFSET(ListeB,,1)='recap S1'!R$2))&gt;0,SUMPRODUCT((ListeB='recap S1'!$B6)*(OFFSET(ListeB,,4)='recap S1'!R$3)*(OFFSET(ListeB,,1)='recap S1'!R$2)),"")</f>
        <v/>
      </c>
      <c r="S6" s="32" t="str">
        <f ca="1">IF(SUMPRODUCT((ListeB='recap S1'!$B6)*(OFFSET(ListeB,,4)='recap S1'!S$3)*(OFFSET(ListeB,,1)='recap S1'!S$2))&gt;0,SUMPRODUCT((ListeB='recap S1'!$B6)*(OFFSET(ListeB,,4)='recap S1'!S$3)*(OFFSET(ListeB,,1)='recap S1'!S$2)),"")</f>
        <v/>
      </c>
      <c r="T6" s="32" t="str">
        <f ca="1">IF(SUMPRODUCT((ListeB='recap S1'!$B6)*(OFFSET(ListeB,,4)='recap S1'!T$3)*(OFFSET(ListeB,,1)='recap S1'!T$2))&gt;0,SUMPRODUCT((ListeB='recap S1'!$B6)*(OFFSET(ListeB,,4)='recap S1'!T$3)*(OFFSET(ListeB,,1)='recap S1'!T$2)),"")</f>
        <v/>
      </c>
      <c r="U6" s="32" t="str">
        <f ca="1">IF(SUMPRODUCT((ListeB='recap S1'!$B6)*(OFFSET(ListeB,,4)='recap S1'!U$3)*(OFFSET(ListeB,,1)='recap S1'!U$2))&gt;0,SUMPRODUCT((ListeB='recap S1'!$B6)*(OFFSET(ListeB,,4)='recap S1'!U$3)*(OFFSET(ListeB,,1)='recap S1'!U$2)),"")</f>
        <v/>
      </c>
      <c r="V6" s="32" t="str">
        <f ca="1">IF(SUMPRODUCT((ListeB='recap S1'!$B6)*(OFFSET(ListeB,,4)='recap S1'!V$3)*(OFFSET(ListeB,,1)='recap S1'!V$2))&gt;0,SUMPRODUCT((ListeB='recap S1'!$B6)*(OFFSET(ListeB,,4)='recap S1'!V$3)*(OFFSET(ListeB,,1)='recap S1'!V$2)),"")</f>
        <v/>
      </c>
      <c r="W6" s="32" t="str">
        <f ca="1">IF(SUMPRODUCT((ListeB='recap S1'!$B6)*(OFFSET(ListeB,,4)='recap S1'!W$3)*(OFFSET(ListeB,,1)='recap S1'!W$2))&gt;0,SUMPRODUCT((ListeB='recap S1'!$B6)*(OFFSET(ListeB,,4)='recap S1'!W$3)*(OFFSET(ListeB,,1)='recap S1'!W$2)),"")</f>
        <v/>
      </c>
      <c r="X6" s="32" t="str">
        <f ca="1">IF(SUMPRODUCT((ListeB='recap S1'!$B6)*(OFFSET(ListeB,,4)='recap S1'!X$3)*(OFFSET(ListeB,,1)='recap S1'!X$2))&gt;0,SUMPRODUCT((ListeB='recap S1'!$B6)*(OFFSET(ListeB,,4)='recap S1'!X$3)*(OFFSET(ListeB,,1)='recap S1'!X$2)),"")</f>
        <v/>
      </c>
      <c r="Y6" s="32" t="str">
        <f ca="1">IF(SUMPRODUCT((ListeB='recap S1'!$B6)*(OFFSET(ListeB,,4)='recap S1'!Y$3)*(OFFSET(ListeB,,1)='recap S1'!Y$2))&gt;0,SUMPRODUCT((ListeB='recap S1'!$B6)*(OFFSET(ListeB,,4)='recap S1'!Y$3)*(OFFSET(ListeB,,1)='recap S1'!Y$2)),"")</f>
        <v/>
      </c>
      <c r="Z6" s="32" t="str">
        <f ca="1">IF(SUMPRODUCT((ListeB='recap S1'!$B6)*(OFFSET(ListeB,,4)='recap S1'!Z$3)*(OFFSET(ListeB,,1)='recap S1'!Z$2))&gt;0,SUMPRODUCT((ListeB='recap S1'!$B6)*(OFFSET(ListeB,,4)='recap S1'!Z$3)*(OFFSET(ListeB,,1)='recap S1'!Z$2)),"")</f>
        <v/>
      </c>
      <c r="AA6" s="32" t="str">
        <f ca="1">IF(SUMPRODUCT((ListeB='recap S1'!$B6)*(OFFSET(ListeB,,4)='recap S1'!AA$3)*(OFFSET(ListeB,,1)='recap S1'!AA$2))&gt;0,SUMPRODUCT((ListeB='recap S1'!$B6)*(OFFSET(ListeB,,4)='recap S1'!AA$3)*(OFFSET(ListeB,,1)='recap S1'!AA$2)),"")</f>
        <v/>
      </c>
      <c r="AB6" s="32" t="str">
        <f ca="1">IF(SUMPRODUCT((ListeB='recap S1'!$B6)*(OFFSET(ListeB,,4)='recap S1'!AB$3)*(OFFSET(ListeB,,1)='recap S1'!AB$2))&gt;0,SUMPRODUCT((ListeB='recap S1'!$B6)*(OFFSET(ListeB,,4)='recap S1'!AB$3)*(OFFSET(ListeB,,1)='recap S1'!AB$2)),"")</f>
        <v/>
      </c>
      <c r="AC6" s="32">
        <f ca="1">IF(SUMPRODUCT((ListeB='recap S1'!$B6)*(OFFSET(ListeB,,4)='recap S1'!AC$3)*(OFFSET(ListeB,,1)='recap S1'!AC$2))&gt;0,SUMPRODUCT((ListeB='recap S1'!$B6)*(OFFSET(ListeB,,4)='recap S1'!AC$3)*(OFFSET(ListeB,,1)='recap S1'!AC$2)),"")</f>
        <v>1</v>
      </c>
      <c r="AD6" s="32" t="str">
        <f ca="1">IF(SUMPRODUCT((ListeB='recap S1'!$B6)*(OFFSET(ListeB,,4)='recap S1'!AD$3)*(OFFSET(ListeB,,1)='recap S1'!AD$2))&gt;0,SUMPRODUCT((ListeB='recap S1'!$B6)*(OFFSET(ListeB,,4)='recap S1'!AD$3)*(OFFSET(ListeB,,1)='recap S1'!AD$2)),"")</f>
        <v/>
      </c>
      <c r="AE6" s="32" t="str">
        <f ca="1">IF(SUMPRODUCT((ListeB='recap S1'!$B6)*(OFFSET(ListeB,,4)='recap S1'!AE$3)*(OFFSET(ListeB,,1)='recap S1'!AE$2))&gt;0,SUMPRODUCT((ListeB='recap S1'!$B6)*(OFFSET(ListeB,,4)='recap S1'!AE$3)*(OFFSET(ListeB,,1)='recap S1'!AE$2)),"")</f>
        <v/>
      </c>
      <c r="AF6" s="32" t="str">
        <f ca="1">IF(SUMPRODUCT((ListeB='recap S1'!$B6)*(OFFSET(ListeB,,4)='recap S1'!AF$3)*(OFFSET(ListeB,,1)='recap S1'!AF$2))&gt;0,SUMPRODUCT((ListeB='recap S1'!$B6)*(OFFSET(ListeB,,4)='recap S1'!AF$3)*(OFFSET(ListeB,,1)='recap S1'!AF$2)),"")</f>
        <v/>
      </c>
      <c r="AG6" s="32" t="str">
        <f ca="1">IF(SUMPRODUCT((ListeB='recap S1'!$B6)*(OFFSET(ListeB,,4)='recap S1'!AG$3)*(OFFSET(ListeB,,1)='recap S1'!AG$2))&gt;0,SUMPRODUCT((ListeB='recap S1'!$B6)*(OFFSET(ListeB,,4)='recap S1'!AG$3)*(OFFSET(ListeB,,1)='recap S1'!AG$2)),"")</f>
        <v/>
      </c>
      <c r="AH6" s="32" t="str">
        <f ca="1">IF(SUMPRODUCT((ListeB='recap S1'!$B6)*(OFFSET(ListeB,,4)='recap S1'!AH$3)*(OFFSET(ListeB,,1)='recap S1'!AH$2))&gt;0,SUMPRODUCT((ListeB='recap S1'!$B6)*(OFFSET(ListeB,,4)='recap S1'!AH$3)*(OFFSET(ListeB,,1)='recap S1'!AH$2)),"")</f>
        <v/>
      </c>
      <c r="AI6" s="32" t="str">
        <f ca="1">IF(SUMPRODUCT((ListeB='recap S1'!$B6)*(OFFSET(ListeB,,4)='recap S1'!AI$3)*(OFFSET(ListeB,,1)='recap S1'!AI$2))&gt;0,SUMPRODUCT((ListeB='recap S1'!$B6)*(OFFSET(ListeB,,4)='recap S1'!AI$3)*(OFFSET(ListeB,,1)='recap S1'!AI$2)),"")</f>
        <v/>
      </c>
      <c r="AJ6" s="32" t="str">
        <f ca="1">IF(SUMPRODUCT((ListeB='recap S1'!$B6)*(OFFSET(ListeB,,4)='recap S1'!AJ$3)*(OFFSET(ListeB,,1)='recap S1'!AJ$2))&gt;0,SUMPRODUCT((ListeB='recap S1'!$B6)*(OFFSET(ListeB,,4)='recap S1'!AJ$3)*(OFFSET(ListeB,,1)='recap S1'!AJ$2)),"")</f>
        <v/>
      </c>
      <c r="AK6" s="32" t="str">
        <f ca="1">IF(SUMPRODUCT((ListeB='recap S1'!$B6)*(OFFSET(ListeB,,4)='recap S1'!AK$3)*(OFFSET(ListeB,,1)='recap S1'!AK$2))&gt;0,SUMPRODUCT((ListeB='recap S1'!$B6)*(OFFSET(ListeB,,4)='recap S1'!AK$3)*(OFFSET(ListeB,,1)='recap S1'!AK$2)),"")</f>
        <v/>
      </c>
      <c r="AL6" s="32" t="str">
        <f ca="1">IF(SUMPRODUCT((ListeB='recap S1'!$B6)*(OFFSET(ListeB,,4)='recap S1'!AL$3)*(OFFSET(ListeB,,1)='recap S1'!AL$2))&gt;0,SUMPRODUCT((ListeB='recap S1'!$B6)*(OFFSET(ListeB,,4)='recap S1'!AL$3)*(OFFSET(ListeB,,1)='recap S1'!AL$2)),"")</f>
        <v/>
      </c>
      <c r="AM6" s="32" t="str">
        <f ca="1">IF(SUMPRODUCT((ListeB='recap S1'!$B6)*(OFFSET(ListeB,,4)='recap S1'!AM$3)*(OFFSET(ListeB,,1)='recap S1'!AM$2))&gt;0,SUMPRODUCT((ListeB='recap S1'!$B6)*(OFFSET(ListeB,,4)='recap S1'!AM$3)*(OFFSET(ListeB,,1)='recap S1'!AM$2)),"")</f>
        <v/>
      </c>
      <c r="AN6" s="32" t="str">
        <f ca="1">IF(SUMPRODUCT((ListeB='recap S1'!$B6)*(OFFSET(ListeB,,4)='recap S1'!AN$3)*(OFFSET(ListeB,,1)='recap S1'!AN$2))&gt;0,SUMPRODUCT((ListeB='recap S1'!$B6)*(OFFSET(ListeB,,4)='recap S1'!AN$3)*(OFFSET(ListeB,,1)='recap S1'!AN$2)),"")</f>
        <v/>
      </c>
      <c r="AO6" s="32" t="str">
        <f ca="1">IF(SUMPRODUCT((ListeB='recap S1'!$B6)*(OFFSET(ListeB,,4)='recap S1'!AO$3)*(OFFSET(ListeB,,1)='recap S1'!AO$2))&gt;0,SUMPRODUCT((ListeB='recap S1'!$B6)*(OFFSET(ListeB,,4)='recap S1'!AO$3)*(OFFSET(ListeB,,1)='recap S1'!AO$2)),"")</f>
        <v/>
      </c>
      <c r="AP6" s="32" t="str">
        <f ca="1">IF(SUMPRODUCT((ListeB='recap S1'!$B6)*(OFFSET(ListeB,,4)='recap S1'!AP$3)*(OFFSET(ListeB,,1)='recap S1'!AP$2))&gt;0,SUMPRODUCT((ListeB='recap S1'!$B6)*(OFFSET(ListeB,,4)='recap S1'!AP$3)*(OFFSET(ListeB,,1)='recap S1'!AP$2)),"")</f>
        <v/>
      </c>
      <c r="AQ6" s="32" t="str">
        <f ca="1">IF(SUMPRODUCT((ListeB='recap S1'!$B6)*(OFFSET(ListeB,,4)='recap S1'!AQ$3)*(OFFSET(ListeB,,1)='recap S1'!AQ$2))&gt;0,SUMPRODUCT((ListeB='recap S1'!$B6)*(OFFSET(ListeB,,4)='recap S1'!AQ$3)*(OFFSET(ListeB,,1)='recap S1'!AQ$2)),"")</f>
        <v/>
      </c>
      <c r="AR6" s="32" t="str">
        <f ca="1">IF(SUMPRODUCT((ListeB='recap S1'!$B6)*(OFFSET(ListeB,,4)='recap S1'!AR$3)*(OFFSET(ListeB,,1)='recap S1'!AR$2))&gt;0,SUMPRODUCT((ListeB='recap S1'!$B6)*(OFFSET(ListeB,,4)='recap S1'!AR$3)*(OFFSET(ListeB,,1)='recap S1'!AR$2)),"")</f>
        <v/>
      </c>
      <c r="AS6" s="32" t="str">
        <f ca="1">IF(SUMPRODUCT((ListeB='recap S1'!$B6)*(OFFSET(ListeB,,4)='recap S1'!AS$3)*(OFFSET(ListeB,,1)='recap S1'!AS$2))&gt;0,SUMPRODUCT((ListeB='recap S1'!$B6)*(OFFSET(ListeB,,4)='recap S1'!AS$3)*(OFFSET(ListeB,,1)='recap S1'!AS$2)),"")</f>
        <v/>
      </c>
      <c r="AT6" s="32" t="str">
        <f ca="1">IF(SUMPRODUCT((ListeB='recap S1'!$B6)*(OFFSET(ListeB,,4)='recap S1'!AT$3)*(OFFSET(ListeB,,1)='recap S1'!AT$2))&gt;0,SUMPRODUCT((ListeB='recap S1'!$B6)*(OFFSET(ListeB,,4)='recap S1'!AT$3)*(OFFSET(ListeB,,1)='recap S1'!AT$2)),"")</f>
        <v/>
      </c>
      <c r="AU6" s="32" t="str">
        <f ca="1">IF(SUMPRODUCT((ListeB='recap S1'!$B6)*(OFFSET(ListeB,,4)='recap S1'!AU$3)*(OFFSET(ListeB,,1)='recap S1'!AU$2))&gt;0,SUMPRODUCT((ListeB='recap S1'!$B6)*(OFFSET(ListeB,,4)='recap S1'!AU$3)*(OFFSET(ListeB,,1)='recap S1'!AU$2)),"")</f>
        <v/>
      </c>
      <c r="AV6" s="32" t="str">
        <f ca="1">IF(SUMPRODUCT((ListeB='recap S1'!$B6)*(OFFSET(ListeB,,4)='recap S1'!AV$3)*(OFFSET(ListeB,,1)='recap S1'!AV$2))&gt;0,SUMPRODUCT((ListeB='recap S1'!$B6)*(OFFSET(ListeB,,4)='recap S1'!AV$3)*(OFFSET(ListeB,,1)='recap S1'!AV$2)),"")</f>
        <v/>
      </c>
      <c r="AW6" s="32" t="str">
        <f ca="1">IF(SUMPRODUCT((ListeB='recap S1'!$B6)*(OFFSET(ListeB,,4)='recap S1'!AW$3)*(OFFSET(ListeB,,1)='recap S1'!AW$2))&gt;0,SUMPRODUCT((ListeB='recap S1'!$B6)*(OFFSET(ListeB,,4)='recap S1'!AW$3)*(OFFSET(ListeB,,1)='recap S1'!AW$2)),"")</f>
        <v/>
      </c>
      <c r="AX6" s="32" t="str">
        <f ca="1">IF(SUMPRODUCT((ListeB='recap S1'!$B6)*(OFFSET(ListeB,,4)='recap S1'!AX$3)*(OFFSET(ListeB,,1)='recap S1'!AX$2))&gt;0,SUMPRODUCT((ListeB='recap S1'!$B6)*(OFFSET(ListeB,,4)='recap S1'!AX$3)*(OFFSET(ListeB,,1)='recap S1'!AX$2)),"")</f>
        <v/>
      </c>
      <c r="AY6" s="32" t="str">
        <f ca="1">IF(SUMPRODUCT((ListeB='recap S1'!$B6)*(OFFSET(ListeB,,4)='recap S1'!AY$3)*(OFFSET(ListeB,,1)='recap S1'!AY$2))&gt;0,SUMPRODUCT((ListeB='recap S1'!$B6)*(OFFSET(ListeB,,4)='recap S1'!AY$3)*(OFFSET(ListeB,,1)='recap S1'!AY$2)),"")</f>
        <v/>
      </c>
      <c r="AZ6" s="32">
        <f t="shared" ca="1" si="0"/>
        <v>2</v>
      </c>
    </row>
    <row r="7" spans="1:52">
      <c r="A7" s="41">
        <f>IF('SEANCE 1'!$B5&lt;&gt;"",'SEANCE 1'!$A5,"")</f>
        <v>4</v>
      </c>
      <c r="B7" s="41" t="str">
        <f t="array" aca="1" ref="B7" ca="1">IF(ISNA(INDEX(ListeB,MATCH(0,COUNTIF($B$3:B6,ListeB),0))),"",INDEX(ListeB,MATCH(0,COUNTIF($B$3:B6,ListeB),0)))</f>
        <v>élève 26</v>
      </c>
      <c r="C7" s="32" t="str">
        <f ca="1">IF(SUMPRODUCT((ListeB='recap S1'!$B7)*(OFFSET(ListeB,,4)='recap S1'!C$3)*(OFFSET(ListeB,,1)='recap S1'!C$2))&gt;0,SUMPRODUCT((ListeB='recap S1'!$B7)*(OFFSET(ListeB,,4)='recap S1'!C$3)*(OFFSET(ListeB,,1)='recap S1'!C$2)),"")</f>
        <v/>
      </c>
      <c r="D7" s="32" t="str">
        <f ca="1">IF(SUMPRODUCT((ListeB='recap S1'!$B7)*(OFFSET(ListeB,,4)='recap S1'!D$3)*(OFFSET(ListeB,,1)='recap S1'!D$2))&gt;0,SUMPRODUCT((ListeB='recap S1'!$B7)*(OFFSET(ListeB,,4)='recap S1'!D$3)*(OFFSET(ListeB,,1)='recap S1'!D$2)),"")</f>
        <v/>
      </c>
      <c r="E7" s="32" t="str">
        <f ca="1">IF(SUMPRODUCT((ListeB='recap S1'!$B7)*(OFFSET(ListeB,,4)='recap S1'!E$3)*(OFFSET(ListeB,,1)='recap S1'!E$2))&gt;0,SUMPRODUCT((ListeB='recap S1'!$B7)*(OFFSET(ListeB,,4)='recap S1'!E$3)*(OFFSET(ListeB,,1)='recap S1'!E$2)),"")</f>
        <v/>
      </c>
      <c r="F7" s="32" t="str">
        <f ca="1">IF(SUMPRODUCT((ListeB='recap S1'!$B7)*(OFFSET(ListeB,,4)='recap S1'!F$3)*(OFFSET(ListeB,,1)='recap S1'!F$2))&gt;0,SUMPRODUCT((ListeB='recap S1'!$B7)*(OFFSET(ListeB,,4)='recap S1'!F$3)*(OFFSET(ListeB,,1)='recap S1'!F$2)),"")</f>
        <v/>
      </c>
      <c r="G7" s="32" t="str">
        <f ca="1">IF(SUMPRODUCT((ListeB='recap S1'!$B7)*(OFFSET(ListeB,,4)='recap S1'!G$3)*(OFFSET(ListeB,,1)='recap S1'!G$2))&gt;0,SUMPRODUCT((ListeB='recap S1'!$B7)*(OFFSET(ListeB,,4)='recap S1'!G$3)*(OFFSET(ListeB,,1)='recap S1'!G$2)),"")</f>
        <v/>
      </c>
      <c r="H7" s="32" t="str">
        <f ca="1">IF(SUMPRODUCT((ListeB='recap S1'!$B7)*(OFFSET(ListeB,,4)='recap S1'!H$3)*(OFFSET(ListeB,,1)='recap S1'!H$2))&gt;0,SUMPRODUCT((ListeB='recap S1'!$B7)*(OFFSET(ListeB,,4)='recap S1'!H$3)*(OFFSET(ListeB,,1)='recap S1'!H$2)),"")</f>
        <v/>
      </c>
      <c r="I7" s="32" t="str">
        <f ca="1">IF(SUMPRODUCT((ListeB='recap S1'!$B7)*(OFFSET(ListeB,,4)='recap S1'!I$3)*(OFFSET(ListeB,,1)='recap S1'!I$2))&gt;0,SUMPRODUCT((ListeB='recap S1'!$B7)*(OFFSET(ListeB,,4)='recap S1'!I$3)*(OFFSET(ListeB,,1)='recap S1'!I$2)),"")</f>
        <v/>
      </c>
      <c r="J7" s="32" t="str">
        <f ca="1">IF(SUMPRODUCT((ListeB='recap S1'!$B7)*(OFFSET(ListeB,,4)='recap S1'!J$3)*(OFFSET(ListeB,,1)='recap S1'!J$2))&gt;0,SUMPRODUCT((ListeB='recap S1'!$B7)*(OFFSET(ListeB,,4)='recap S1'!J$3)*(OFFSET(ListeB,,1)='recap S1'!J$2)),"")</f>
        <v/>
      </c>
      <c r="K7" s="32" t="str">
        <f ca="1">IF(SUMPRODUCT((ListeB='recap S1'!$B7)*(OFFSET(ListeB,,4)='recap S1'!K$3)*(OFFSET(ListeB,,1)='recap S1'!K$2))&gt;0,SUMPRODUCT((ListeB='recap S1'!$B7)*(OFFSET(ListeB,,4)='recap S1'!K$3)*(OFFSET(ListeB,,1)='recap S1'!K$2)),"")</f>
        <v/>
      </c>
      <c r="L7" s="32" t="str">
        <f ca="1">IF(SUMPRODUCT((ListeB='recap S1'!$B7)*(OFFSET(ListeB,,4)='recap S1'!L$3)*(OFFSET(ListeB,,1)='recap S1'!L$2))&gt;0,SUMPRODUCT((ListeB='recap S1'!$B7)*(OFFSET(ListeB,,4)='recap S1'!L$3)*(OFFSET(ListeB,,1)='recap S1'!L$2)),"")</f>
        <v/>
      </c>
      <c r="M7" s="32" t="str">
        <f ca="1">IF(SUMPRODUCT((ListeB='recap S1'!$B7)*(OFFSET(ListeB,,4)='recap S1'!M$3)*(OFFSET(ListeB,,1)='recap S1'!M$2))&gt;0,SUMPRODUCT((ListeB='recap S1'!$B7)*(OFFSET(ListeB,,4)='recap S1'!M$3)*(OFFSET(ListeB,,1)='recap S1'!M$2)),"")</f>
        <v/>
      </c>
      <c r="N7" s="32" t="str">
        <f ca="1">IF(SUMPRODUCT((ListeB='recap S1'!$B7)*(OFFSET(ListeB,,4)='recap S1'!N$3)*(OFFSET(ListeB,,1)='recap S1'!N$2))&gt;0,SUMPRODUCT((ListeB='recap S1'!$B7)*(OFFSET(ListeB,,4)='recap S1'!N$3)*(OFFSET(ListeB,,1)='recap S1'!N$2)),"")</f>
        <v/>
      </c>
      <c r="O7" s="32" t="str">
        <f ca="1">IF(SUMPRODUCT((ListeB='recap S1'!$B7)*(OFFSET(ListeB,,4)='recap S1'!O$3)*(OFFSET(ListeB,,1)='recap S1'!O$2))&gt;0,SUMPRODUCT((ListeB='recap S1'!$B7)*(OFFSET(ListeB,,4)='recap S1'!O$3)*(OFFSET(ListeB,,1)='recap S1'!O$2)),"")</f>
        <v/>
      </c>
      <c r="P7" s="32" t="str">
        <f ca="1">IF(SUMPRODUCT((ListeB='recap S1'!$B7)*(OFFSET(ListeB,,4)='recap S1'!P$3)*(OFFSET(ListeB,,1)='recap S1'!P$2))&gt;0,SUMPRODUCT((ListeB='recap S1'!$B7)*(OFFSET(ListeB,,4)='recap S1'!P$3)*(OFFSET(ListeB,,1)='recap S1'!P$2)),"")</f>
        <v/>
      </c>
      <c r="Q7" s="32" t="str">
        <f ca="1">IF(SUMPRODUCT((ListeB='recap S1'!$B7)*(OFFSET(ListeB,,4)='recap S1'!Q$3)*(OFFSET(ListeB,,1)='recap S1'!Q$2))&gt;0,SUMPRODUCT((ListeB='recap S1'!$B7)*(OFFSET(ListeB,,4)='recap S1'!Q$3)*(OFFSET(ListeB,,1)='recap S1'!Q$2)),"")</f>
        <v/>
      </c>
      <c r="R7" s="32" t="str">
        <f ca="1">IF(SUMPRODUCT((ListeB='recap S1'!$B7)*(OFFSET(ListeB,,4)='recap S1'!R$3)*(OFFSET(ListeB,,1)='recap S1'!R$2))&gt;0,SUMPRODUCT((ListeB='recap S1'!$B7)*(OFFSET(ListeB,,4)='recap S1'!R$3)*(OFFSET(ListeB,,1)='recap S1'!R$2)),"")</f>
        <v/>
      </c>
      <c r="S7" s="32" t="str">
        <f ca="1">IF(SUMPRODUCT((ListeB='recap S1'!$B7)*(OFFSET(ListeB,,4)='recap S1'!S$3)*(OFFSET(ListeB,,1)='recap S1'!S$2))&gt;0,SUMPRODUCT((ListeB='recap S1'!$B7)*(OFFSET(ListeB,,4)='recap S1'!S$3)*(OFFSET(ListeB,,1)='recap S1'!S$2)),"")</f>
        <v/>
      </c>
      <c r="T7" s="32" t="str">
        <f ca="1">IF(SUMPRODUCT((ListeB='recap S1'!$B7)*(OFFSET(ListeB,,4)='recap S1'!T$3)*(OFFSET(ListeB,,1)='recap S1'!T$2))&gt;0,SUMPRODUCT((ListeB='recap S1'!$B7)*(OFFSET(ListeB,,4)='recap S1'!T$3)*(OFFSET(ListeB,,1)='recap S1'!T$2)),"")</f>
        <v/>
      </c>
      <c r="U7" s="32" t="str">
        <f ca="1">IF(SUMPRODUCT((ListeB='recap S1'!$B7)*(OFFSET(ListeB,,4)='recap S1'!U$3)*(OFFSET(ListeB,,1)='recap S1'!U$2))&gt;0,SUMPRODUCT((ListeB='recap S1'!$B7)*(OFFSET(ListeB,,4)='recap S1'!U$3)*(OFFSET(ListeB,,1)='recap S1'!U$2)),"")</f>
        <v/>
      </c>
      <c r="V7" s="32" t="str">
        <f ca="1">IF(SUMPRODUCT((ListeB='recap S1'!$B7)*(OFFSET(ListeB,,4)='recap S1'!V$3)*(OFFSET(ListeB,,1)='recap S1'!V$2))&gt;0,SUMPRODUCT((ListeB='recap S1'!$B7)*(OFFSET(ListeB,,4)='recap S1'!V$3)*(OFFSET(ListeB,,1)='recap S1'!V$2)),"")</f>
        <v/>
      </c>
      <c r="W7" s="32" t="str">
        <f ca="1">IF(SUMPRODUCT((ListeB='recap S1'!$B7)*(OFFSET(ListeB,,4)='recap S1'!W$3)*(OFFSET(ListeB,,1)='recap S1'!W$2))&gt;0,SUMPRODUCT((ListeB='recap S1'!$B7)*(OFFSET(ListeB,,4)='recap S1'!W$3)*(OFFSET(ListeB,,1)='recap S1'!W$2)),"")</f>
        <v/>
      </c>
      <c r="X7" s="32" t="str">
        <f ca="1">IF(SUMPRODUCT((ListeB='recap S1'!$B7)*(OFFSET(ListeB,,4)='recap S1'!X$3)*(OFFSET(ListeB,,1)='recap S1'!X$2))&gt;0,SUMPRODUCT((ListeB='recap S1'!$B7)*(OFFSET(ListeB,,4)='recap S1'!X$3)*(OFFSET(ListeB,,1)='recap S1'!X$2)),"")</f>
        <v/>
      </c>
      <c r="Y7" s="32" t="str">
        <f ca="1">IF(SUMPRODUCT((ListeB='recap S1'!$B7)*(OFFSET(ListeB,,4)='recap S1'!Y$3)*(OFFSET(ListeB,,1)='recap S1'!Y$2))&gt;0,SUMPRODUCT((ListeB='recap S1'!$B7)*(OFFSET(ListeB,,4)='recap S1'!Y$3)*(OFFSET(ListeB,,1)='recap S1'!Y$2)),"")</f>
        <v/>
      </c>
      <c r="Z7" s="32" t="str">
        <f ca="1">IF(SUMPRODUCT((ListeB='recap S1'!$B7)*(OFFSET(ListeB,,4)='recap S1'!Z$3)*(OFFSET(ListeB,,1)='recap S1'!Z$2))&gt;0,SUMPRODUCT((ListeB='recap S1'!$B7)*(OFFSET(ListeB,,4)='recap S1'!Z$3)*(OFFSET(ListeB,,1)='recap S1'!Z$2)),"")</f>
        <v/>
      </c>
      <c r="AA7" s="32" t="str">
        <f ca="1">IF(SUMPRODUCT((ListeB='recap S1'!$B7)*(OFFSET(ListeB,,4)='recap S1'!AA$3)*(OFFSET(ListeB,,1)='recap S1'!AA$2))&gt;0,SUMPRODUCT((ListeB='recap S1'!$B7)*(OFFSET(ListeB,,4)='recap S1'!AA$3)*(OFFSET(ListeB,,1)='recap S1'!AA$2)),"")</f>
        <v/>
      </c>
      <c r="AB7" s="32" t="str">
        <f ca="1">IF(SUMPRODUCT((ListeB='recap S1'!$B7)*(OFFSET(ListeB,,4)='recap S1'!AB$3)*(OFFSET(ListeB,,1)='recap S1'!AB$2))&gt;0,SUMPRODUCT((ListeB='recap S1'!$B7)*(OFFSET(ListeB,,4)='recap S1'!AB$3)*(OFFSET(ListeB,,1)='recap S1'!AB$2)),"")</f>
        <v/>
      </c>
      <c r="AC7" s="32" t="str">
        <f ca="1">IF(SUMPRODUCT((ListeB='recap S1'!$B7)*(OFFSET(ListeB,,4)='recap S1'!AC$3)*(OFFSET(ListeB,,1)='recap S1'!AC$2))&gt;0,SUMPRODUCT((ListeB='recap S1'!$B7)*(OFFSET(ListeB,,4)='recap S1'!AC$3)*(OFFSET(ListeB,,1)='recap S1'!AC$2)),"")</f>
        <v/>
      </c>
      <c r="AD7" s="32" t="str">
        <f ca="1">IF(SUMPRODUCT((ListeB='recap S1'!$B7)*(OFFSET(ListeB,,4)='recap S1'!AD$3)*(OFFSET(ListeB,,1)='recap S1'!AD$2))&gt;0,SUMPRODUCT((ListeB='recap S1'!$B7)*(OFFSET(ListeB,,4)='recap S1'!AD$3)*(OFFSET(ListeB,,1)='recap S1'!AD$2)),"")</f>
        <v/>
      </c>
      <c r="AE7" s="32" t="str">
        <f ca="1">IF(SUMPRODUCT((ListeB='recap S1'!$B7)*(OFFSET(ListeB,,4)='recap S1'!AE$3)*(OFFSET(ListeB,,1)='recap S1'!AE$2))&gt;0,SUMPRODUCT((ListeB='recap S1'!$B7)*(OFFSET(ListeB,,4)='recap S1'!AE$3)*(OFFSET(ListeB,,1)='recap S1'!AE$2)),"")</f>
        <v/>
      </c>
      <c r="AF7" s="32" t="str">
        <f ca="1">IF(SUMPRODUCT((ListeB='recap S1'!$B7)*(OFFSET(ListeB,,4)='recap S1'!AF$3)*(OFFSET(ListeB,,1)='recap S1'!AF$2))&gt;0,SUMPRODUCT((ListeB='recap S1'!$B7)*(OFFSET(ListeB,,4)='recap S1'!AF$3)*(OFFSET(ListeB,,1)='recap S1'!AF$2)),"")</f>
        <v/>
      </c>
      <c r="AG7" s="32" t="str">
        <f ca="1">IF(SUMPRODUCT((ListeB='recap S1'!$B7)*(OFFSET(ListeB,,4)='recap S1'!AG$3)*(OFFSET(ListeB,,1)='recap S1'!AG$2))&gt;0,SUMPRODUCT((ListeB='recap S1'!$B7)*(OFFSET(ListeB,,4)='recap S1'!AG$3)*(OFFSET(ListeB,,1)='recap S1'!AG$2)),"")</f>
        <v/>
      </c>
      <c r="AH7" s="32" t="str">
        <f ca="1">IF(SUMPRODUCT((ListeB='recap S1'!$B7)*(OFFSET(ListeB,,4)='recap S1'!AH$3)*(OFFSET(ListeB,,1)='recap S1'!AH$2))&gt;0,SUMPRODUCT((ListeB='recap S1'!$B7)*(OFFSET(ListeB,,4)='recap S1'!AH$3)*(OFFSET(ListeB,,1)='recap S1'!AH$2)),"")</f>
        <v/>
      </c>
      <c r="AI7" s="32" t="str">
        <f ca="1">IF(SUMPRODUCT((ListeB='recap S1'!$B7)*(OFFSET(ListeB,,4)='recap S1'!AI$3)*(OFFSET(ListeB,,1)='recap S1'!AI$2))&gt;0,SUMPRODUCT((ListeB='recap S1'!$B7)*(OFFSET(ListeB,,4)='recap S1'!AI$3)*(OFFSET(ListeB,,1)='recap S1'!AI$2)),"")</f>
        <v/>
      </c>
      <c r="AJ7" s="32">
        <f ca="1">IF(SUMPRODUCT((ListeB='recap S1'!$B7)*(OFFSET(ListeB,,4)='recap S1'!AJ$3)*(OFFSET(ListeB,,1)='recap S1'!AJ$2))&gt;0,SUMPRODUCT((ListeB='recap S1'!$B7)*(OFFSET(ListeB,,4)='recap S1'!AJ$3)*(OFFSET(ListeB,,1)='recap S1'!AJ$2)),"")</f>
        <v>2</v>
      </c>
      <c r="AK7" s="32" t="str">
        <f ca="1">IF(SUMPRODUCT((ListeB='recap S1'!$B7)*(OFFSET(ListeB,,4)='recap S1'!AK$3)*(OFFSET(ListeB,,1)='recap S1'!AK$2))&gt;0,SUMPRODUCT((ListeB='recap S1'!$B7)*(OFFSET(ListeB,,4)='recap S1'!AK$3)*(OFFSET(ListeB,,1)='recap S1'!AK$2)),"")</f>
        <v/>
      </c>
      <c r="AL7" s="32" t="str">
        <f ca="1">IF(SUMPRODUCT((ListeB='recap S1'!$B7)*(OFFSET(ListeB,,4)='recap S1'!AL$3)*(OFFSET(ListeB,,1)='recap S1'!AL$2))&gt;0,SUMPRODUCT((ListeB='recap S1'!$B7)*(OFFSET(ListeB,,4)='recap S1'!AL$3)*(OFFSET(ListeB,,1)='recap S1'!AL$2)),"")</f>
        <v/>
      </c>
      <c r="AM7" s="32" t="str">
        <f ca="1">IF(SUMPRODUCT((ListeB='recap S1'!$B7)*(OFFSET(ListeB,,4)='recap S1'!AM$3)*(OFFSET(ListeB,,1)='recap S1'!AM$2))&gt;0,SUMPRODUCT((ListeB='recap S1'!$B7)*(OFFSET(ListeB,,4)='recap S1'!AM$3)*(OFFSET(ListeB,,1)='recap S1'!AM$2)),"")</f>
        <v/>
      </c>
      <c r="AN7" s="32" t="str">
        <f ca="1">IF(SUMPRODUCT((ListeB='recap S1'!$B7)*(OFFSET(ListeB,,4)='recap S1'!AN$3)*(OFFSET(ListeB,,1)='recap S1'!AN$2))&gt;0,SUMPRODUCT((ListeB='recap S1'!$B7)*(OFFSET(ListeB,,4)='recap S1'!AN$3)*(OFFSET(ListeB,,1)='recap S1'!AN$2)),"")</f>
        <v/>
      </c>
      <c r="AO7" s="32" t="str">
        <f ca="1">IF(SUMPRODUCT((ListeB='recap S1'!$B7)*(OFFSET(ListeB,,4)='recap S1'!AO$3)*(OFFSET(ListeB,,1)='recap S1'!AO$2))&gt;0,SUMPRODUCT((ListeB='recap S1'!$B7)*(OFFSET(ListeB,,4)='recap S1'!AO$3)*(OFFSET(ListeB,,1)='recap S1'!AO$2)),"")</f>
        <v/>
      </c>
      <c r="AP7" s="32">
        <f ca="1">IF(SUMPRODUCT((ListeB='recap S1'!$B7)*(OFFSET(ListeB,,4)='recap S1'!AP$3)*(OFFSET(ListeB,,1)='recap S1'!AP$2))&gt;0,SUMPRODUCT((ListeB='recap S1'!$B7)*(OFFSET(ListeB,,4)='recap S1'!AP$3)*(OFFSET(ListeB,,1)='recap S1'!AP$2)),"")</f>
        <v>1</v>
      </c>
      <c r="AQ7" s="32" t="str">
        <f ca="1">IF(SUMPRODUCT((ListeB='recap S1'!$B7)*(OFFSET(ListeB,,4)='recap S1'!AQ$3)*(OFFSET(ListeB,,1)='recap S1'!AQ$2))&gt;0,SUMPRODUCT((ListeB='recap S1'!$B7)*(OFFSET(ListeB,,4)='recap S1'!AQ$3)*(OFFSET(ListeB,,1)='recap S1'!AQ$2)),"")</f>
        <v/>
      </c>
      <c r="AR7" s="32" t="str">
        <f ca="1">IF(SUMPRODUCT((ListeB='recap S1'!$B7)*(OFFSET(ListeB,,4)='recap S1'!AR$3)*(OFFSET(ListeB,,1)='recap S1'!AR$2))&gt;0,SUMPRODUCT((ListeB='recap S1'!$B7)*(OFFSET(ListeB,,4)='recap S1'!AR$3)*(OFFSET(ListeB,,1)='recap S1'!AR$2)),"")</f>
        <v/>
      </c>
      <c r="AS7" s="32" t="str">
        <f ca="1">IF(SUMPRODUCT((ListeB='recap S1'!$B7)*(OFFSET(ListeB,,4)='recap S1'!AS$3)*(OFFSET(ListeB,,1)='recap S1'!AS$2))&gt;0,SUMPRODUCT((ListeB='recap S1'!$B7)*(OFFSET(ListeB,,4)='recap S1'!AS$3)*(OFFSET(ListeB,,1)='recap S1'!AS$2)),"")</f>
        <v/>
      </c>
      <c r="AT7" s="32" t="str">
        <f ca="1">IF(SUMPRODUCT((ListeB='recap S1'!$B7)*(OFFSET(ListeB,,4)='recap S1'!AT$3)*(OFFSET(ListeB,,1)='recap S1'!AT$2))&gt;0,SUMPRODUCT((ListeB='recap S1'!$B7)*(OFFSET(ListeB,,4)='recap S1'!AT$3)*(OFFSET(ListeB,,1)='recap S1'!AT$2)),"")</f>
        <v/>
      </c>
      <c r="AU7" s="32" t="str">
        <f ca="1">IF(SUMPRODUCT((ListeB='recap S1'!$B7)*(OFFSET(ListeB,,4)='recap S1'!AU$3)*(OFFSET(ListeB,,1)='recap S1'!AU$2))&gt;0,SUMPRODUCT((ListeB='recap S1'!$B7)*(OFFSET(ListeB,,4)='recap S1'!AU$3)*(OFFSET(ListeB,,1)='recap S1'!AU$2)),"")</f>
        <v/>
      </c>
      <c r="AV7" s="32" t="str">
        <f ca="1">IF(SUMPRODUCT((ListeB='recap S1'!$B7)*(OFFSET(ListeB,,4)='recap S1'!AV$3)*(OFFSET(ListeB,,1)='recap S1'!AV$2))&gt;0,SUMPRODUCT((ListeB='recap S1'!$B7)*(OFFSET(ListeB,,4)='recap S1'!AV$3)*(OFFSET(ListeB,,1)='recap S1'!AV$2)),"")</f>
        <v/>
      </c>
      <c r="AW7" s="32" t="str">
        <f ca="1">IF(SUMPRODUCT((ListeB='recap S1'!$B7)*(OFFSET(ListeB,,4)='recap S1'!AW$3)*(OFFSET(ListeB,,1)='recap S1'!AW$2))&gt;0,SUMPRODUCT((ListeB='recap S1'!$B7)*(OFFSET(ListeB,,4)='recap S1'!AW$3)*(OFFSET(ListeB,,1)='recap S1'!AW$2)),"")</f>
        <v/>
      </c>
      <c r="AX7" s="32" t="str">
        <f ca="1">IF(SUMPRODUCT((ListeB='recap S1'!$B7)*(OFFSET(ListeB,,4)='recap S1'!AX$3)*(OFFSET(ListeB,,1)='recap S1'!AX$2))&gt;0,SUMPRODUCT((ListeB='recap S1'!$B7)*(OFFSET(ListeB,,4)='recap S1'!AX$3)*(OFFSET(ListeB,,1)='recap S1'!AX$2)),"")</f>
        <v/>
      </c>
      <c r="AY7" s="32" t="str">
        <f ca="1">IF(SUMPRODUCT((ListeB='recap S1'!$B7)*(OFFSET(ListeB,,4)='recap S1'!AY$3)*(OFFSET(ListeB,,1)='recap S1'!AY$2))&gt;0,SUMPRODUCT((ListeB='recap S1'!$B7)*(OFFSET(ListeB,,4)='recap S1'!AY$3)*(OFFSET(ListeB,,1)='recap S1'!AY$2)),"")</f>
        <v/>
      </c>
      <c r="AZ7" s="32">
        <f t="shared" ca="1" si="0"/>
        <v>3</v>
      </c>
    </row>
    <row r="8" spans="1:52">
      <c r="A8" s="41">
        <f>IF('SEANCE 1'!$B6&lt;&gt;"",'SEANCE 1'!$A6,"")</f>
        <v>5</v>
      </c>
      <c r="B8" s="41" t="str">
        <f t="array" aca="1" ref="B8" ca="1">IF(ISNA(INDEX(ListeB,MATCH(0,COUNTIF($B$3:B7,ListeB),0))),"",INDEX(ListeB,MATCH(0,COUNTIF($B$3:B7,ListeB),0)))</f>
        <v>élève 1</v>
      </c>
      <c r="C8" s="32" t="str">
        <f ca="1">IF(SUMPRODUCT((ListeB='recap S1'!$B8)*(OFFSET(ListeB,,4)='recap S1'!C$3)*(OFFSET(ListeB,,1)='recap S1'!C$2))&gt;0,SUMPRODUCT((ListeB='recap S1'!$B8)*(OFFSET(ListeB,,4)='recap S1'!C$3)*(OFFSET(ListeB,,1)='recap S1'!C$2)),"")</f>
        <v/>
      </c>
      <c r="D8" s="32" t="str">
        <f ca="1">IF(SUMPRODUCT((ListeB='recap S1'!$B8)*(OFFSET(ListeB,,4)='recap S1'!D$3)*(OFFSET(ListeB,,1)='recap S1'!D$2))&gt;0,SUMPRODUCT((ListeB='recap S1'!$B8)*(OFFSET(ListeB,,4)='recap S1'!D$3)*(OFFSET(ListeB,,1)='recap S1'!D$2)),"")</f>
        <v/>
      </c>
      <c r="E8" s="32" t="str">
        <f ca="1">IF(SUMPRODUCT((ListeB='recap S1'!$B8)*(OFFSET(ListeB,,4)='recap S1'!E$3)*(OFFSET(ListeB,,1)='recap S1'!E$2))&gt;0,SUMPRODUCT((ListeB='recap S1'!$B8)*(OFFSET(ListeB,,4)='recap S1'!E$3)*(OFFSET(ListeB,,1)='recap S1'!E$2)),"")</f>
        <v/>
      </c>
      <c r="F8" s="32" t="str">
        <f ca="1">IF(SUMPRODUCT((ListeB='recap S1'!$B8)*(OFFSET(ListeB,,4)='recap S1'!F$3)*(OFFSET(ListeB,,1)='recap S1'!F$2))&gt;0,SUMPRODUCT((ListeB='recap S1'!$B8)*(OFFSET(ListeB,,4)='recap S1'!F$3)*(OFFSET(ListeB,,1)='recap S1'!F$2)),"")</f>
        <v/>
      </c>
      <c r="G8" s="32" t="str">
        <f ca="1">IF(SUMPRODUCT((ListeB='recap S1'!$B8)*(OFFSET(ListeB,,4)='recap S1'!G$3)*(OFFSET(ListeB,,1)='recap S1'!G$2))&gt;0,SUMPRODUCT((ListeB='recap S1'!$B8)*(OFFSET(ListeB,,4)='recap S1'!G$3)*(OFFSET(ListeB,,1)='recap S1'!G$2)),"")</f>
        <v/>
      </c>
      <c r="H8" s="32" t="str">
        <f ca="1">IF(SUMPRODUCT((ListeB='recap S1'!$B8)*(OFFSET(ListeB,,4)='recap S1'!H$3)*(OFFSET(ListeB,,1)='recap S1'!H$2))&gt;0,SUMPRODUCT((ListeB='recap S1'!$B8)*(OFFSET(ListeB,,4)='recap S1'!H$3)*(OFFSET(ListeB,,1)='recap S1'!H$2)),"")</f>
        <v/>
      </c>
      <c r="I8" s="32" t="str">
        <f ca="1">IF(SUMPRODUCT((ListeB='recap S1'!$B8)*(OFFSET(ListeB,,4)='recap S1'!I$3)*(OFFSET(ListeB,,1)='recap S1'!I$2))&gt;0,SUMPRODUCT((ListeB='recap S1'!$B8)*(OFFSET(ListeB,,4)='recap S1'!I$3)*(OFFSET(ListeB,,1)='recap S1'!I$2)),"")</f>
        <v/>
      </c>
      <c r="J8" s="32" t="str">
        <f ca="1">IF(SUMPRODUCT((ListeB='recap S1'!$B8)*(OFFSET(ListeB,,4)='recap S1'!J$3)*(OFFSET(ListeB,,1)='recap S1'!J$2))&gt;0,SUMPRODUCT((ListeB='recap S1'!$B8)*(OFFSET(ListeB,,4)='recap S1'!J$3)*(OFFSET(ListeB,,1)='recap S1'!J$2)),"")</f>
        <v/>
      </c>
      <c r="K8" s="32" t="str">
        <f ca="1">IF(SUMPRODUCT((ListeB='recap S1'!$B8)*(OFFSET(ListeB,,4)='recap S1'!K$3)*(OFFSET(ListeB,,1)='recap S1'!K$2))&gt;0,SUMPRODUCT((ListeB='recap S1'!$B8)*(OFFSET(ListeB,,4)='recap S1'!K$3)*(OFFSET(ListeB,,1)='recap S1'!K$2)),"")</f>
        <v/>
      </c>
      <c r="L8" s="32" t="str">
        <f ca="1">IF(SUMPRODUCT((ListeB='recap S1'!$B8)*(OFFSET(ListeB,,4)='recap S1'!L$3)*(OFFSET(ListeB,,1)='recap S1'!L$2))&gt;0,SUMPRODUCT((ListeB='recap S1'!$B8)*(OFFSET(ListeB,,4)='recap S1'!L$3)*(OFFSET(ListeB,,1)='recap S1'!L$2)),"")</f>
        <v/>
      </c>
      <c r="M8" s="32" t="str">
        <f ca="1">IF(SUMPRODUCT((ListeB='recap S1'!$B8)*(OFFSET(ListeB,,4)='recap S1'!M$3)*(OFFSET(ListeB,,1)='recap S1'!M$2))&gt;0,SUMPRODUCT((ListeB='recap S1'!$B8)*(OFFSET(ListeB,,4)='recap S1'!M$3)*(OFFSET(ListeB,,1)='recap S1'!M$2)),"")</f>
        <v/>
      </c>
      <c r="N8" s="32" t="str">
        <f ca="1">IF(SUMPRODUCT((ListeB='recap S1'!$B8)*(OFFSET(ListeB,,4)='recap S1'!N$3)*(OFFSET(ListeB,,1)='recap S1'!N$2))&gt;0,SUMPRODUCT((ListeB='recap S1'!$B8)*(OFFSET(ListeB,,4)='recap S1'!N$3)*(OFFSET(ListeB,,1)='recap S1'!N$2)),"")</f>
        <v/>
      </c>
      <c r="O8" s="32" t="str">
        <f ca="1">IF(SUMPRODUCT((ListeB='recap S1'!$B8)*(OFFSET(ListeB,,4)='recap S1'!O$3)*(OFFSET(ListeB,,1)='recap S1'!O$2))&gt;0,SUMPRODUCT((ListeB='recap S1'!$B8)*(OFFSET(ListeB,,4)='recap S1'!O$3)*(OFFSET(ListeB,,1)='recap S1'!O$2)),"")</f>
        <v/>
      </c>
      <c r="P8" s="32" t="str">
        <f ca="1">IF(SUMPRODUCT((ListeB='recap S1'!$B8)*(OFFSET(ListeB,,4)='recap S1'!P$3)*(OFFSET(ListeB,,1)='recap S1'!P$2))&gt;0,SUMPRODUCT((ListeB='recap S1'!$B8)*(OFFSET(ListeB,,4)='recap S1'!P$3)*(OFFSET(ListeB,,1)='recap S1'!P$2)),"")</f>
        <v/>
      </c>
      <c r="Q8" s="32" t="str">
        <f ca="1">IF(SUMPRODUCT((ListeB='recap S1'!$B8)*(OFFSET(ListeB,,4)='recap S1'!Q$3)*(OFFSET(ListeB,,1)='recap S1'!Q$2))&gt;0,SUMPRODUCT((ListeB='recap S1'!$B8)*(OFFSET(ListeB,,4)='recap S1'!Q$3)*(OFFSET(ListeB,,1)='recap S1'!Q$2)),"")</f>
        <v/>
      </c>
      <c r="R8" s="32" t="str">
        <f ca="1">IF(SUMPRODUCT((ListeB='recap S1'!$B8)*(OFFSET(ListeB,,4)='recap S1'!R$3)*(OFFSET(ListeB,,1)='recap S1'!R$2))&gt;0,SUMPRODUCT((ListeB='recap S1'!$B8)*(OFFSET(ListeB,,4)='recap S1'!R$3)*(OFFSET(ListeB,,1)='recap S1'!R$2)),"")</f>
        <v/>
      </c>
      <c r="S8" s="32" t="str">
        <f ca="1">IF(SUMPRODUCT((ListeB='recap S1'!$B8)*(OFFSET(ListeB,,4)='recap S1'!S$3)*(OFFSET(ListeB,,1)='recap S1'!S$2))&gt;0,SUMPRODUCT((ListeB='recap S1'!$B8)*(OFFSET(ListeB,,4)='recap S1'!S$3)*(OFFSET(ListeB,,1)='recap S1'!S$2)),"")</f>
        <v/>
      </c>
      <c r="T8" s="32" t="str">
        <f ca="1">IF(SUMPRODUCT((ListeB='recap S1'!$B8)*(OFFSET(ListeB,,4)='recap S1'!T$3)*(OFFSET(ListeB,,1)='recap S1'!T$2))&gt;0,SUMPRODUCT((ListeB='recap S1'!$B8)*(OFFSET(ListeB,,4)='recap S1'!T$3)*(OFFSET(ListeB,,1)='recap S1'!T$2)),"")</f>
        <v/>
      </c>
      <c r="U8" s="32" t="str">
        <f ca="1">IF(SUMPRODUCT((ListeB='recap S1'!$B8)*(OFFSET(ListeB,,4)='recap S1'!U$3)*(OFFSET(ListeB,,1)='recap S1'!U$2))&gt;0,SUMPRODUCT((ListeB='recap S1'!$B8)*(OFFSET(ListeB,,4)='recap S1'!U$3)*(OFFSET(ListeB,,1)='recap S1'!U$2)),"")</f>
        <v/>
      </c>
      <c r="V8" s="32" t="str">
        <f ca="1">IF(SUMPRODUCT((ListeB='recap S1'!$B8)*(OFFSET(ListeB,,4)='recap S1'!V$3)*(OFFSET(ListeB,,1)='recap S1'!V$2))&gt;0,SUMPRODUCT((ListeB='recap S1'!$B8)*(OFFSET(ListeB,,4)='recap S1'!V$3)*(OFFSET(ListeB,,1)='recap S1'!V$2)),"")</f>
        <v/>
      </c>
      <c r="W8" s="32" t="str">
        <f ca="1">IF(SUMPRODUCT((ListeB='recap S1'!$B8)*(OFFSET(ListeB,,4)='recap S1'!W$3)*(OFFSET(ListeB,,1)='recap S1'!W$2))&gt;0,SUMPRODUCT((ListeB='recap S1'!$B8)*(OFFSET(ListeB,,4)='recap S1'!W$3)*(OFFSET(ListeB,,1)='recap S1'!W$2)),"")</f>
        <v/>
      </c>
      <c r="X8" s="32" t="str">
        <f ca="1">IF(SUMPRODUCT((ListeB='recap S1'!$B8)*(OFFSET(ListeB,,4)='recap S1'!X$3)*(OFFSET(ListeB,,1)='recap S1'!X$2))&gt;0,SUMPRODUCT((ListeB='recap S1'!$B8)*(OFFSET(ListeB,,4)='recap S1'!X$3)*(OFFSET(ListeB,,1)='recap S1'!X$2)),"")</f>
        <v/>
      </c>
      <c r="Y8" s="32" t="str">
        <f ca="1">IF(SUMPRODUCT((ListeB='recap S1'!$B8)*(OFFSET(ListeB,,4)='recap S1'!Y$3)*(OFFSET(ListeB,,1)='recap S1'!Y$2))&gt;0,SUMPRODUCT((ListeB='recap S1'!$B8)*(OFFSET(ListeB,,4)='recap S1'!Y$3)*(OFFSET(ListeB,,1)='recap S1'!Y$2)),"")</f>
        <v/>
      </c>
      <c r="Z8" s="32">
        <f ca="1">IF(SUMPRODUCT((ListeB='recap S1'!$B8)*(OFFSET(ListeB,,4)='recap S1'!Z$3)*(OFFSET(ListeB,,1)='recap S1'!Z$2))&gt;0,SUMPRODUCT((ListeB='recap S1'!$B8)*(OFFSET(ListeB,,4)='recap S1'!Z$3)*(OFFSET(ListeB,,1)='recap S1'!Z$2)),"")</f>
        <v>1</v>
      </c>
      <c r="AA8" s="32" t="str">
        <f ca="1">IF(SUMPRODUCT((ListeB='recap S1'!$B8)*(OFFSET(ListeB,,4)='recap S1'!AA$3)*(OFFSET(ListeB,,1)='recap S1'!AA$2))&gt;0,SUMPRODUCT((ListeB='recap S1'!$B8)*(OFFSET(ListeB,,4)='recap S1'!AA$3)*(OFFSET(ListeB,,1)='recap S1'!AA$2)),"")</f>
        <v/>
      </c>
      <c r="AB8" s="32" t="str">
        <f ca="1">IF(SUMPRODUCT((ListeB='recap S1'!$B8)*(OFFSET(ListeB,,4)='recap S1'!AB$3)*(OFFSET(ListeB,,1)='recap S1'!AB$2))&gt;0,SUMPRODUCT((ListeB='recap S1'!$B8)*(OFFSET(ListeB,,4)='recap S1'!AB$3)*(OFFSET(ListeB,,1)='recap S1'!AB$2)),"")</f>
        <v/>
      </c>
      <c r="AC8" s="32" t="str">
        <f ca="1">IF(SUMPRODUCT((ListeB='recap S1'!$B8)*(OFFSET(ListeB,,4)='recap S1'!AC$3)*(OFFSET(ListeB,,1)='recap S1'!AC$2))&gt;0,SUMPRODUCT((ListeB='recap S1'!$B8)*(OFFSET(ListeB,,4)='recap S1'!AC$3)*(OFFSET(ListeB,,1)='recap S1'!AC$2)),"")</f>
        <v/>
      </c>
      <c r="AD8" s="32" t="str">
        <f ca="1">IF(SUMPRODUCT((ListeB='recap S1'!$B8)*(OFFSET(ListeB,,4)='recap S1'!AD$3)*(OFFSET(ListeB,,1)='recap S1'!AD$2))&gt;0,SUMPRODUCT((ListeB='recap S1'!$B8)*(OFFSET(ListeB,,4)='recap S1'!AD$3)*(OFFSET(ListeB,,1)='recap S1'!AD$2)),"")</f>
        <v/>
      </c>
      <c r="AE8" s="32" t="str">
        <f ca="1">IF(SUMPRODUCT((ListeB='recap S1'!$B8)*(OFFSET(ListeB,,4)='recap S1'!AE$3)*(OFFSET(ListeB,,1)='recap S1'!AE$2))&gt;0,SUMPRODUCT((ListeB='recap S1'!$B8)*(OFFSET(ListeB,,4)='recap S1'!AE$3)*(OFFSET(ListeB,,1)='recap S1'!AE$2)),"")</f>
        <v/>
      </c>
      <c r="AF8" s="32" t="str">
        <f ca="1">IF(SUMPRODUCT((ListeB='recap S1'!$B8)*(OFFSET(ListeB,,4)='recap S1'!AF$3)*(OFFSET(ListeB,,1)='recap S1'!AF$2))&gt;0,SUMPRODUCT((ListeB='recap S1'!$B8)*(OFFSET(ListeB,,4)='recap S1'!AF$3)*(OFFSET(ListeB,,1)='recap S1'!AF$2)),"")</f>
        <v/>
      </c>
      <c r="AG8" s="32" t="str">
        <f ca="1">IF(SUMPRODUCT((ListeB='recap S1'!$B8)*(OFFSET(ListeB,,4)='recap S1'!AG$3)*(OFFSET(ListeB,,1)='recap S1'!AG$2))&gt;0,SUMPRODUCT((ListeB='recap S1'!$B8)*(OFFSET(ListeB,,4)='recap S1'!AG$3)*(OFFSET(ListeB,,1)='recap S1'!AG$2)),"")</f>
        <v/>
      </c>
      <c r="AH8" s="32" t="str">
        <f ca="1">IF(SUMPRODUCT((ListeB='recap S1'!$B8)*(OFFSET(ListeB,,4)='recap S1'!AH$3)*(OFFSET(ListeB,,1)='recap S1'!AH$2))&gt;0,SUMPRODUCT((ListeB='recap S1'!$B8)*(OFFSET(ListeB,,4)='recap S1'!AH$3)*(OFFSET(ListeB,,1)='recap S1'!AH$2)),"")</f>
        <v/>
      </c>
      <c r="AI8" s="32" t="str">
        <f ca="1">IF(SUMPRODUCT((ListeB='recap S1'!$B8)*(OFFSET(ListeB,,4)='recap S1'!AI$3)*(OFFSET(ListeB,,1)='recap S1'!AI$2))&gt;0,SUMPRODUCT((ListeB='recap S1'!$B8)*(OFFSET(ListeB,,4)='recap S1'!AI$3)*(OFFSET(ListeB,,1)='recap S1'!AI$2)),"")</f>
        <v/>
      </c>
      <c r="AJ8" s="32" t="str">
        <f ca="1">IF(SUMPRODUCT((ListeB='recap S1'!$B8)*(OFFSET(ListeB,,4)='recap S1'!AJ$3)*(OFFSET(ListeB,,1)='recap S1'!AJ$2))&gt;0,SUMPRODUCT((ListeB='recap S1'!$B8)*(OFFSET(ListeB,,4)='recap S1'!AJ$3)*(OFFSET(ListeB,,1)='recap S1'!AJ$2)),"")</f>
        <v/>
      </c>
      <c r="AK8" s="32" t="str">
        <f ca="1">IF(SUMPRODUCT((ListeB='recap S1'!$B8)*(OFFSET(ListeB,,4)='recap S1'!AK$3)*(OFFSET(ListeB,,1)='recap S1'!AK$2))&gt;0,SUMPRODUCT((ListeB='recap S1'!$B8)*(OFFSET(ListeB,,4)='recap S1'!AK$3)*(OFFSET(ListeB,,1)='recap S1'!AK$2)),"")</f>
        <v/>
      </c>
      <c r="AL8" s="32" t="str">
        <f ca="1">IF(SUMPRODUCT((ListeB='recap S1'!$B8)*(OFFSET(ListeB,,4)='recap S1'!AL$3)*(OFFSET(ListeB,,1)='recap S1'!AL$2))&gt;0,SUMPRODUCT((ListeB='recap S1'!$B8)*(OFFSET(ListeB,,4)='recap S1'!AL$3)*(OFFSET(ListeB,,1)='recap S1'!AL$2)),"")</f>
        <v/>
      </c>
      <c r="AM8" s="32" t="str">
        <f ca="1">IF(SUMPRODUCT((ListeB='recap S1'!$B8)*(OFFSET(ListeB,,4)='recap S1'!AM$3)*(OFFSET(ListeB,,1)='recap S1'!AM$2))&gt;0,SUMPRODUCT((ListeB='recap S1'!$B8)*(OFFSET(ListeB,,4)='recap S1'!AM$3)*(OFFSET(ListeB,,1)='recap S1'!AM$2)),"")</f>
        <v/>
      </c>
      <c r="AN8" s="32" t="str">
        <f ca="1">IF(SUMPRODUCT((ListeB='recap S1'!$B8)*(OFFSET(ListeB,,4)='recap S1'!AN$3)*(OFFSET(ListeB,,1)='recap S1'!AN$2))&gt;0,SUMPRODUCT((ListeB='recap S1'!$B8)*(OFFSET(ListeB,,4)='recap S1'!AN$3)*(OFFSET(ListeB,,1)='recap S1'!AN$2)),"")</f>
        <v/>
      </c>
      <c r="AO8" s="32" t="str">
        <f ca="1">IF(SUMPRODUCT((ListeB='recap S1'!$B8)*(OFFSET(ListeB,,4)='recap S1'!AO$3)*(OFFSET(ListeB,,1)='recap S1'!AO$2))&gt;0,SUMPRODUCT((ListeB='recap S1'!$B8)*(OFFSET(ListeB,,4)='recap S1'!AO$3)*(OFFSET(ListeB,,1)='recap S1'!AO$2)),"")</f>
        <v/>
      </c>
      <c r="AP8" s="32" t="str">
        <f ca="1">IF(SUMPRODUCT((ListeB='recap S1'!$B8)*(OFFSET(ListeB,,4)='recap S1'!AP$3)*(OFFSET(ListeB,,1)='recap S1'!AP$2))&gt;0,SUMPRODUCT((ListeB='recap S1'!$B8)*(OFFSET(ListeB,,4)='recap S1'!AP$3)*(OFFSET(ListeB,,1)='recap S1'!AP$2)),"")</f>
        <v/>
      </c>
      <c r="AQ8" s="32" t="str">
        <f ca="1">IF(SUMPRODUCT((ListeB='recap S1'!$B8)*(OFFSET(ListeB,,4)='recap S1'!AQ$3)*(OFFSET(ListeB,,1)='recap S1'!AQ$2))&gt;0,SUMPRODUCT((ListeB='recap S1'!$B8)*(OFFSET(ListeB,,4)='recap S1'!AQ$3)*(OFFSET(ListeB,,1)='recap S1'!AQ$2)),"")</f>
        <v/>
      </c>
      <c r="AR8" s="32" t="str">
        <f ca="1">IF(SUMPRODUCT((ListeB='recap S1'!$B8)*(OFFSET(ListeB,,4)='recap S1'!AR$3)*(OFFSET(ListeB,,1)='recap S1'!AR$2))&gt;0,SUMPRODUCT((ListeB='recap S1'!$B8)*(OFFSET(ListeB,,4)='recap S1'!AR$3)*(OFFSET(ListeB,,1)='recap S1'!AR$2)),"")</f>
        <v/>
      </c>
      <c r="AS8" s="32" t="str">
        <f ca="1">IF(SUMPRODUCT((ListeB='recap S1'!$B8)*(OFFSET(ListeB,,4)='recap S1'!AS$3)*(OFFSET(ListeB,,1)='recap S1'!AS$2))&gt;0,SUMPRODUCT((ListeB='recap S1'!$B8)*(OFFSET(ListeB,,4)='recap S1'!AS$3)*(OFFSET(ListeB,,1)='recap S1'!AS$2)),"")</f>
        <v/>
      </c>
      <c r="AT8" s="32" t="str">
        <f ca="1">IF(SUMPRODUCT((ListeB='recap S1'!$B8)*(OFFSET(ListeB,,4)='recap S1'!AT$3)*(OFFSET(ListeB,,1)='recap S1'!AT$2))&gt;0,SUMPRODUCT((ListeB='recap S1'!$B8)*(OFFSET(ListeB,,4)='recap S1'!AT$3)*(OFFSET(ListeB,,1)='recap S1'!AT$2)),"")</f>
        <v/>
      </c>
      <c r="AU8" s="32" t="str">
        <f ca="1">IF(SUMPRODUCT((ListeB='recap S1'!$B8)*(OFFSET(ListeB,,4)='recap S1'!AU$3)*(OFFSET(ListeB,,1)='recap S1'!AU$2))&gt;0,SUMPRODUCT((ListeB='recap S1'!$B8)*(OFFSET(ListeB,,4)='recap S1'!AU$3)*(OFFSET(ListeB,,1)='recap S1'!AU$2)),"")</f>
        <v/>
      </c>
      <c r="AV8" s="32" t="str">
        <f ca="1">IF(SUMPRODUCT((ListeB='recap S1'!$B8)*(OFFSET(ListeB,,4)='recap S1'!AV$3)*(OFFSET(ListeB,,1)='recap S1'!AV$2))&gt;0,SUMPRODUCT((ListeB='recap S1'!$B8)*(OFFSET(ListeB,,4)='recap S1'!AV$3)*(OFFSET(ListeB,,1)='recap S1'!AV$2)),"")</f>
        <v/>
      </c>
      <c r="AW8" s="32" t="str">
        <f ca="1">IF(SUMPRODUCT((ListeB='recap S1'!$B8)*(OFFSET(ListeB,,4)='recap S1'!AW$3)*(OFFSET(ListeB,,1)='recap S1'!AW$2))&gt;0,SUMPRODUCT((ListeB='recap S1'!$B8)*(OFFSET(ListeB,,4)='recap S1'!AW$3)*(OFFSET(ListeB,,1)='recap S1'!AW$2)),"")</f>
        <v/>
      </c>
      <c r="AX8" s="32" t="str">
        <f ca="1">IF(SUMPRODUCT((ListeB='recap S1'!$B8)*(OFFSET(ListeB,,4)='recap S1'!AX$3)*(OFFSET(ListeB,,1)='recap S1'!AX$2))&gt;0,SUMPRODUCT((ListeB='recap S1'!$B8)*(OFFSET(ListeB,,4)='recap S1'!AX$3)*(OFFSET(ListeB,,1)='recap S1'!AX$2)),"")</f>
        <v/>
      </c>
      <c r="AY8" s="32" t="str">
        <f ca="1">IF(SUMPRODUCT((ListeB='recap S1'!$B8)*(OFFSET(ListeB,,4)='recap S1'!AY$3)*(OFFSET(ListeB,,1)='recap S1'!AY$2))&gt;0,SUMPRODUCT((ListeB='recap S1'!$B8)*(OFFSET(ListeB,,4)='recap S1'!AY$3)*(OFFSET(ListeB,,1)='recap S1'!AY$2)),"")</f>
        <v/>
      </c>
      <c r="AZ8" s="32">
        <f t="shared" ca="1" si="0"/>
        <v>1</v>
      </c>
    </row>
    <row r="9" spans="1:52">
      <c r="A9" s="41">
        <f>IF('SEANCE 1'!$B7&lt;&gt;"",'SEANCE 1'!$A7,"")</f>
        <v>6</v>
      </c>
      <c r="B9" s="41" t="str">
        <f t="array" aca="1" ref="B9" ca="1">IF(ISNA(INDEX(ListeB,MATCH(0,COUNTIF($B$3:B8,ListeB),0))),"",INDEX(ListeB,MATCH(0,COUNTIF($B$3:B8,ListeB),0)))</f>
        <v>élève 30</v>
      </c>
      <c r="C9" s="32" t="str">
        <f ca="1">IF(SUMPRODUCT((ListeB='recap S1'!$B9)*(OFFSET(ListeB,,4)='recap S1'!C$3)*(OFFSET(ListeB,,1)='recap S1'!C$2))&gt;0,SUMPRODUCT((ListeB='recap S1'!$B9)*(OFFSET(ListeB,,4)='recap S1'!C$3)*(OFFSET(ListeB,,1)='recap S1'!C$2)),"")</f>
        <v/>
      </c>
      <c r="D9" s="32" t="str">
        <f ca="1">IF(SUMPRODUCT((ListeB='recap S1'!$B9)*(OFFSET(ListeB,,4)='recap S1'!D$3)*(OFFSET(ListeB,,1)='recap S1'!D$2))&gt;0,SUMPRODUCT((ListeB='recap S1'!$B9)*(OFFSET(ListeB,,4)='recap S1'!D$3)*(OFFSET(ListeB,,1)='recap S1'!D$2)),"")</f>
        <v/>
      </c>
      <c r="E9" s="32" t="str">
        <f ca="1">IF(SUMPRODUCT((ListeB='recap S1'!$B9)*(OFFSET(ListeB,,4)='recap S1'!E$3)*(OFFSET(ListeB,,1)='recap S1'!E$2))&gt;0,SUMPRODUCT((ListeB='recap S1'!$B9)*(OFFSET(ListeB,,4)='recap S1'!E$3)*(OFFSET(ListeB,,1)='recap S1'!E$2)),"")</f>
        <v/>
      </c>
      <c r="F9" s="32" t="str">
        <f ca="1">IF(SUMPRODUCT((ListeB='recap S1'!$B9)*(OFFSET(ListeB,,4)='recap S1'!F$3)*(OFFSET(ListeB,,1)='recap S1'!F$2))&gt;0,SUMPRODUCT((ListeB='recap S1'!$B9)*(OFFSET(ListeB,,4)='recap S1'!F$3)*(OFFSET(ListeB,,1)='recap S1'!F$2)),"")</f>
        <v/>
      </c>
      <c r="G9" s="32" t="str">
        <f ca="1">IF(SUMPRODUCT((ListeB='recap S1'!$B9)*(OFFSET(ListeB,,4)='recap S1'!G$3)*(OFFSET(ListeB,,1)='recap S1'!G$2))&gt;0,SUMPRODUCT((ListeB='recap S1'!$B9)*(OFFSET(ListeB,,4)='recap S1'!G$3)*(OFFSET(ListeB,,1)='recap S1'!G$2)),"")</f>
        <v/>
      </c>
      <c r="H9" s="32" t="str">
        <f ca="1">IF(SUMPRODUCT((ListeB='recap S1'!$B9)*(OFFSET(ListeB,,4)='recap S1'!H$3)*(OFFSET(ListeB,,1)='recap S1'!H$2))&gt;0,SUMPRODUCT((ListeB='recap S1'!$B9)*(OFFSET(ListeB,,4)='recap S1'!H$3)*(OFFSET(ListeB,,1)='recap S1'!H$2)),"")</f>
        <v/>
      </c>
      <c r="I9" s="32" t="str">
        <f ca="1">IF(SUMPRODUCT((ListeB='recap S1'!$B9)*(OFFSET(ListeB,,4)='recap S1'!I$3)*(OFFSET(ListeB,,1)='recap S1'!I$2))&gt;0,SUMPRODUCT((ListeB='recap S1'!$B9)*(OFFSET(ListeB,,4)='recap S1'!I$3)*(OFFSET(ListeB,,1)='recap S1'!I$2)),"")</f>
        <v/>
      </c>
      <c r="J9" s="32" t="str">
        <f ca="1">IF(SUMPRODUCT((ListeB='recap S1'!$B9)*(OFFSET(ListeB,,4)='recap S1'!J$3)*(OFFSET(ListeB,,1)='recap S1'!J$2))&gt;0,SUMPRODUCT((ListeB='recap S1'!$B9)*(OFFSET(ListeB,,4)='recap S1'!J$3)*(OFFSET(ListeB,,1)='recap S1'!J$2)),"")</f>
        <v/>
      </c>
      <c r="K9" s="32" t="str">
        <f ca="1">IF(SUMPRODUCT((ListeB='recap S1'!$B9)*(OFFSET(ListeB,,4)='recap S1'!K$3)*(OFFSET(ListeB,,1)='recap S1'!K$2))&gt;0,SUMPRODUCT((ListeB='recap S1'!$B9)*(OFFSET(ListeB,,4)='recap S1'!K$3)*(OFFSET(ListeB,,1)='recap S1'!K$2)),"")</f>
        <v/>
      </c>
      <c r="L9" s="32" t="str">
        <f ca="1">IF(SUMPRODUCT((ListeB='recap S1'!$B9)*(OFFSET(ListeB,,4)='recap S1'!L$3)*(OFFSET(ListeB,,1)='recap S1'!L$2))&gt;0,SUMPRODUCT((ListeB='recap S1'!$B9)*(OFFSET(ListeB,,4)='recap S1'!L$3)*(OFFSET(ListeB,,1)='recap S1'!L$2)),"")</f>
        <v/>
      </c>
      <c r="M9" s="32" t="str">
        <f ca="1">IF(SUMPRODUCT((ListeB='recap S1'!$B9)*(OFFSET(ListeB,,4)='recap S1'!M$3)*(OFFSET(ListeB,,1)='recap S1'!M$2))&gt;0,SUMPRODUCT((ListeB='recap S1'!$B9)*(OFFSET(ListeB,,4)='recap S1'!M$3)*(OFFSET(ListeB,,1)='recap S1'!M$2)),"")</f>
        <v/>
      </c>
      <c r="N9" s="32">
        <f ca="1">IF(SUMPRODUCT((ListeB='recap S1'!$B9)*(OFFSET(ListeB,,4)='recap S1'!N$3)*(OFFSET(ListeB,,1)='recap S1'!N$2))&gt;0,SUMPRODUCT((ListeB='recap S1'!$B9)*(OFFSET(ListeB,,4)='recap S1'!N$3)*(OFFSET(ListeB,,1)='recap S1'!N$2)),"")</f>
        <v>1</v>
      </c>
      <c r="O9" s="32" t="str">
        <f ca="1">IF(SUMPRODUCT((ListeB='recap S1'!$B9)*(OFFSET(ListeB,,4)='recap S1'!O$3)*(OFFSET(ListeB,,1)='recap S1'!O$2))&gt;0,SUMPRODUCT((ListeB='recap S1'!$B9)*(OFFSET(ListeB,,4)='recap S1'!O$3)*(OFFSET(ListeB,,1)='recap S1'!O$2)),"")</f>
        <v/>
      </c>
      <c r="P9" s="32" t="str">
        <f ca="1">IF(SUMPRODUCT((ListeB='recap S1'!$B9)*(OFFSET(ListeB,,4)='recap S1'!P$3)*(OFFSET(ListeB,,1)='recap S1'!P$2))&gt;0,SUMPRODUCT((ListeB='recap S1'!$B9)*(OFFSET(ListeB,,4)='recap S1'!P$3)*(OFFSET(ListeB,,1)='recap S1'!P$2)),"")</f>
        <v/>
      </c>
      <c r="Q9" s="32" t="str">
        <f ca="1">IF(SUMPRODUCT((ListeB='recap S1'!$B9)*(OFFSET(ListeB,,4)='recap S1'!Q$3)*(OFFSET(ListeB,,1)='recap S1'!Q$2))&gt;0,SUMPRODUCT((ListeB='recap S1'!$B9)*(OFFSET(ListeB,,4)='recap S1'!Q$3)*(OFFSET(ListeB,,1)='recap S1'!Q$2)),"")</f>
        <v/>
      </c>
      <c r="R9" s="32" t="str">
        <f ca="1">IF(SUMPRODUCT((ListeB='recap S1'!$B9)*(OFFSET(ListeB,,4)='recap S1'!R$3)*(OFFSET(ListeB,,1)='recap S1'!R$2))&gt;0,SUMPRODUCT((ListeB='recap S1'!$B9)*(OFFSET(ListeB,,4)='recap S1'!R$3)*(OFFSET(ListeB,,1)='recap S1'!R$2)),"")</f>
        <v/>
      </c>
      <c r="S9" s="32" t="str">
        <f ca="1">IF(SUMPRODUCT((ListeB='recap S1'!$B9)*(OFFSET(ListeB,,4)='recap S1'!S$3)*(OFFSET(ListeB,,1)='recap S1'!S$2))&gt;0,SUMPRODUCT((ListeB='recap S1'!$B9)*(OFFSET(ListeB,,4)='recap S1'!S$3)*(OFFSET(ListeB,,1)='recap S1'!S$2)),"")</f>
        <v/>
      </c>
      <c r="T9" s="32" t="str">
        <f ca="1">IF(SUMPRODUCT((ListeB='recap S1'!$B9)*(OFFSET(ListeB,,4)='recap S1'!T$3)*(OFFSET(ListeB,,1)='recap S1'!T$2))&gt;0,SUMPRODUCT((ListeB='recap S1'!$B9)*(OFFSET(ListeB,,4)='recap S1'!T$3)*(OFFSET(ListeB,,1)='recap S1'!T$2)),"")</f>
        <v/>
      </c>
      <c r="U9" s="32" t="str">
        <f ca="1">IF(SUMPRODUCT((ListeB='recap S1'!$B9)*(OFFSET(ListeB,,4)='recap S1'!U$3)*(OFFSET(ListeB,,1)='recap S1'!U$2))&gt;0,SUMPRODUCT((ListeB='recap S1'!$B9)*(OFFSET(ListeB,,4)='recap S1'!U$3)*(OFFSET(ListeB,,1)='recap S1'!U$2)),"")</f>
        <v/>
      </c>
      <c r="V9" s="32" t="str">
        <f ca="1">IF(SUMPRODUCT((ListeB='recap S1'!$B9)*(OFFSET(ListeB,,4)='recap S1'!V$3)*(OFFSET(ListeB,,1)='recap S1'!V$2))&gt;0,SUMPRODUCT((ListeB='recap S1'!$B9)*(OFFSET(ListeB,,4)='recap S1'!V$3)*(OFFSET(ListeB,,1)='recap S1'!V$2)),"")</f>
        <v/>
      </c>
      <c r="W9" s="32" t="str">
        <f ca="1">IF(SUMPRODUCT((ListeB='recap S1'!$B9)*(OFFSET(ListeB,,4)='recap S1'!W$3)*(OFFSET(ListeB,,1)='recap S1'!W$2))&gt;0,SUMPRODUCT((ListeB='recap S1'!$B9)*(OFFSET(ListeB,,4)='recap S1'!W$3)*(OFFSET(ListeB,,1)='recap S1'!W$2)),"")</f>
        <v/>
      </c>
      <c r="X9" s="32" t="str">
        <f ca="1">IF(SUMPRODUCT((ListeB='recap S1'!$B9)*(OFFSET(ListeB,,4)='recap S1'!X$3)*(OFFSET(ListeB,,1)='recap S1'!X$2))&gt;0,SUMPRODUCT((ListeB='recap S1'!$B9)*(OFFSET(ListeB,,4)='recap S1'!X$3)*(OFFSET(ListeB,,1)='recap S1'!X$2)),"")</f>
        <v/>
      </c>
      <c r="Y9" s="32" t="str">
        <f ca="1">IF(SUMPRODUCT((ListeB='recap S1'!$B9)*(OFFSET(ListeB,,4)='recap S1'!Y$3)*(OFFSET(ListeB,,1)='recap S1'!Y$2))&gt;0,SUMPRODUCT((ListeB='recap S1'!$B9)*(OFFSET(ListeB,,4)='recap S1'!Y$3)*(OFFSET(ListeB,,1)='recap S1'!Y$2)),"")</f>
        <v/>
      </c>
      <c r="Z9" s="32" t="str">
        <f ca="1">IF(SUMPRODUCT((ListeB='recap S1'!$B9)*(OFFSET(ListeB,,4)='recap S1'!Z$3)*(OFFSET(ListeB,,1)='recap S1'!Z$2))&gt;0,SUMPRODUCT((ListeB='recap S1'!$B9)*(OFFSET(ListeB,,4)='recap S1'!Z$3)*(OFFSET(ListeB,,1)='recap S1'!Z$2)),"")</f>
        <v/>
      </c>
      <c r="AA9" s="32" t="str">
        <f ca="1">IF(SUMPRODUCT((ListeB='recap S1'!$B9)*(OFFSET(ListeB,,4)='recap S1'!AA$3)*(OFFSET(ListeB,,1)='recap S1'!AA$2))&gt;0,SUMPRODUCT((ListeB='recap S1'!$B9)*(OFFSET(ListeB,,4)='recap S1'!AA$3)*(OFFSET(ListeB,,1)='recap S1'!AA$2)),"")</f>
        <v/>
      </c>
      <c r="AB9" s="32" t="str">
        <f ca="1">IF(SUMPRODUCT((ListeB='recap S1'!$B9)*(OFFSET(ListeB,,4)='recap S1'!AB$3)*(OFFSET(ListeB,,1)='recap S1'!AB$2))&gt;0,SUMPRODUCT((ListeB='recap S1'!$B9)*(OFFSET(ListeB,,4)='recap S1'!AB$3)*(OFFSET(ListeB,,1)='recap S1'!AB$2)),"")</f>
        <v/>
      </c>
      <c r="AC9" s="32" t="str">
        <f ca="1">IF(SUMPRODUCT((ListeB='recap S1'!$B9)*(OFFSET(ListeB,,4)='recap S1'!AC$3)*(OFFSET(ListeB,,1)='recap S1'!AC$2))&gt;0,SUMPRODUCT((ListeB='recap S1'!$B9)*(OFFSET(ListeB,,4)='recap S1'!AC$3)*(OFFSET(ListeB,,1)='recap S1'!AC$2)),"")</f>
        <v/>
      </c>
      <c r="AD9" s="32" t="str">
        <f ca="1">IF(SUMPRODUCT((ListeB='recap S1'!$B9)*(OFFSET(ListeB,,4)='recap S1'!AD$3)*(OFFSET(ListeB,,1)='recap S1'!AD$2))&gt;0,SUMPRODUCT((ListeB='recap S1'!$B9)*(OFFSET(ListeB,,4)='recap S1'!AD$3)*(OFFSET(ListeB,,1)='recap S1'!AD$2)),"")</f>
        <v/>
      </c>
      <c r="AE9" s="32" t="str">
        <f ca="1">IF(SUMPRODUCT((ListeB='recap S1'!$B9)*(OFFSET(ListeB,,4)='recap S1'!AE$3)*(OFFSET(ListeB,,1)='recap S1'!AE$2))&gt;0,SUMPRODUCT((ListeB='recap S1'!$B9)*(OFFSET(ListeB,,4)='recap S1'!AE$3)*(OFFSET(ListeB,,1)='recap S1'!AE$2)),"")</f>
        <v/>
      </c>
      <c r="AF9" s="32" t="str">
        <f ca="1">IF(SUMPRODUCT((ListeB='recap S1'!$B9)*(OFFSET(ListeB,,4)='recap S1'!AF$3)*(OFFSET(ListeB,,1)='recap S1'!AF$2))&gt;0,SUMPRODUCT((ListeB='recap S1'!$B9)*(OFFSET(ListeB,,4)='recap S1'!AF$3)*(OFFSET(ListeB,,1)='recap S1'!AF$2)),"")</f>
        <v/>
      </c>
      <c r="AG9" s="32" t="str">
        <f ca="1">IF(SUMPRODUCT((ListeB='recap S1'!$B9)*(OFFSET(ListeB,,4)='recap S1'!AG$3)*(OFFSET(ListeB,,1)='recap S1'!AG$2))&gt;0,SUMPRODUCT((ListeB='recap S1'!$B9)*(OFFSET(ListeB,,4)='recap S1'!AG$3)*(OFFSET(ListeB,,1)='recap S1'!AG$2)),"")</f>
        <v/>
      </c>
      <c r="AH9" s="32" t="str">
        <f ca="1">IF(SUMPRODUCT((ListeB='recap S1'!$B9)*(OFFSET(ListeB,,4)='recap S1'!AH$3)*(OFFSET(ListeB,,1)='recap S1'!AH$2))&gt;0,SUMPRODUCT((ListeB='recap S1'!$B9)*(OFFSET(ListeB,,4)='recap S1'!AH$3)*(OFFSET(ListeB,,1)='recap S1'!AH$2)),"")</f>
        <v/>
      </c>
      <c r="AI9" s="32" t="str">
        <f ca="1">IF(SUMPRODUCT((ListeB='recap S1'!$B9)*(OFFSET(ListeB,,4)='recap S1'!AI$3)*(OFFSET(ListeB,,1)='recap S1'!AI$2))&gt;0,SUMPRODUCT((ListeB='recap S1'!$B9)*(OFFSET(ListeB,,4)='recap S1'!AI$3)*(OFFSET(ListeB,,1)='recap S1'!AI$2)),"")</f>
        <v/>
      </c>
      <c r="AJ9" s="32" t="str">
        <f ca="1">IF(SUMPRODUCT((ListeB='recap S1'!$B9)*(OFFSET(ListeB,,4)='recap S1'!AJ$3)*(OFFSET(ListeB,,1)='recap S1'!AJ$2))&gt;0,SUMPRODUCT((ListeB='recap S1'!$B9)*(OFFSET(ListeB,,4)='recap S1'!AJ$3)*(OFFSET(ListeB,,1)='recap S1'!AJ$2)),"")</f>
        <v/>
      </c>
      <c r="AK9" s="32" t="str">
        <f ca="1">IF(SUMPRODUCT((ListeB='recap S1'!$B9)*(OFFSET(ListeB,,4)='recap S1'!AK$3)*(OFFSET(ListeB,,1)='recap S1'!AK$2))&gt;0,SUMPRODUCT((ListeB='recap S1'!$B9)*(OFFSET(ListeB,,4)='recap S1'!AK$3)*(OFFSET(ListeB,,1)='recap S1'!AK$2)),"")</f>
        <v/>
      </c>
      <c r="AL9" s="32" t="str">
        <f ca="1">IF(SUMPRODUCT((ListeB='recap S1'!$B9)*(OFFSET(ListeB,,4)='recap S1'!AL$3)*(OFFSET(ListeB,,1)='recap S1'!AL$2))&gt;0,SUMPRODUCT((ListeB='recap S1'!$B9)*(OFFSET(ListeB,,4)='recap S1'!AL$3)*(OFFSET(ListeB,,1)='recap S1'!AL$2)),"")</f>
        <v/>
      </c>
      <c r="AM9" s="32" t="str">
        <f ca="1">IF(SUMPRODUCT((ListeB='recap S1'!$B9)*(OFFSET(ListeB,,4)='recap S1'!AM$3)*(OFFSET(ListeB,,1)='recap S1'!AM$2))&gt;0,SUMPRODUCT((ListeB='recap S1'!$B9)*(OFFSET(ListeB,,4)='recap S1'!AM$3)*(OFFSET(ListeB,,1)='recap S1'!AM$2)),"")</f>
        <v/>
      </c>
      <c r="AN9" s="32" t="str">
        <f ca="1">IF(SUMPRODUCT((ListeB='recap S1'!$B9)*(OFFSET(ListeB,,4)='recap S1'!AN$3)*(OFFSET(ListeB,,1)='recap S1'!AN$2))&gt;0,SUMPRODUCT((ListeB='recap S1'!$B9)*(OFFSET(ListeB,,4)='recap S1'!AN$3)*(OFFSET(ListeB,,1)='recap S1'!AN$2)),"")</f>
        <v/>
      </c>
      <c r="AO9" s="32" t="str">
        <f ca="1">IF(SUMPRODUCT((ListeB='recap S1'!$B9)*(OFFSET(ListeB,,4)='recap S1'!AO$3)*(OFFSET(ListeB,,1)='recap S1'!AO$2))&gt;0,SUMPRODUCT((ListeB='recap S1'!$B9)*(OFFSET(ListeB,,4)='recap S1'!AO$3)*(OFFSET(ListeB,,1)='recap S1'!AO$2)),"")</f>
        <v/>
      </c>
      <c r="AP9" s="32" t="str">
        <f ca="1">IF(SUMPRODUCT((ListeB='recap S1'!$B9)*(OFFSET(ListeB,,4)='recap S1'!AP$3)*(OFFSET(ListeB,,1)='recap S1'!AP$2))&gt;0,SUMPRODUCT((ListeB='recap S1'!$B9)*(OFFSET(ListeB,,4)='recap S1'!AP$3)*(OFFSET(ListeB,,1)='recap S1'!AP$2)),"")</f>
        <v/>
      </c>
      <c r="AQ9" s="32" t="str">
        <f ca="1">IF(SUMPRODUCT((ListeB='recap S1'!$B9)*(OFFSET(ListeB,,4)='recap S1'!AQ$3)*(OFFSET(ListeB,,1)='recap S1'!AQ$2))&gt;0,SUMPRODUCT((ListeB='recap S1'!$B9)*(OFFSET(ListeB,,4)='recap S1'!AQ$3)*(OFFSET(ListeB,,1)='recap S1'!AQ$2)),"")</f>
        <v/>
      </c>
      <c r="AR9" s="32" t="str">
        <f ca="1">IF(SUMPRODUCT((ListeB='recap S1'!$B9)*(OFFSET(ListeB,,4)='recap S1'!AR$3)*(OFFSET(ListeB,,1)='recap S1'!AR$2))&gt;0,SUMPRODUCT((ListeB='recap S1'!$B9)*(OFFSET(ListeB,,4)='recap S1'!AR$3)*(OFFSET(ListeB,,1)='recap S1'!AR$2)),"")</f>
        <v/>
      </c>
      <c r="AS9" s="32" t="str">
        <f ca="1">IF(SUMPRODUCT((ListeB='recap S1'!$B9)*(OFFSET(ListeB,,4)='recap S1'!AS$3)*(OFFSET(ListeB,,1)='recap S1'!AS$2))&gt;0,SUMPRODUCT((ListeB='recap S1'!$B9)*(OFFSET(ListeB,,4)='recap S1'!AS$3)*(OFFSET(ListeB,,1)='recap S1'!AS$2)),"")</f>
        <v/>
      </c>
      <c r="AT9" s="32" t="str">
        <f ca="1">IF(SUMPRODUCT((ListeB='recap S1'!$B9)*(OFFSET(ListeB,,4)='recap S1'!AT$3)*(OFFSET(ListeB,,1)='recap S1'!AT$2))&gt;0,SUMPRODUCT((ListeB='recap S1'!$B9)*(OFFSET(ListeB,,4)='recap S1'!AT$3)*(OFFSET(ListeB,,1)='recap S1'!AT$2)),"")</f>
        <v/>
      </c>
      <c r="AU9" s="32" t="str">
        <f ca="1">IF(SUMPRODUCT((ListeB='recap S1'!$B9)*(OFFSET(ListeB,,4)='recap S1'!AU$3)*(OFFSET(ListeB,,1)='recap S1'!AU$2))&gt;0,SUMPRODUCT((ListeB='recap S1'!$B9)*(OFFSET(ListeB,,4)='recap S1'!AU$3)*(OFFSET(ListeB,,1)='recap S1'!AU$2)),"")</f>
        <v/>
      </c>
      <c r="AV9" s="32" t="str">
        <f ca="1">IF(SUMPRODUCT((ListeB='recap S1'!$B9)*(OFFSET(ListeB,,4)='recap S1'!AV$3)*(OFFSET(ListeB,,1)='recap S1'!AV$2))&gt;0,SUMPRODUCT((ListeB='recap S1'!$B9)*(OFFSET(ListeB,,4)='recap S1'!AV$3)*(OFFSET(ListeB,,1)='recap S1'!AV$2)),"")</f>
        <v/>
      </c>
      <c r="AW9" s="32" t="str">
        <f ca="1">IF(SUMPRODUCT((ListeB='recap S1'!$B9)*(OFFSET(ListeB,,4)='recap S1'!AW$3)*(OFFSET(ListeB,,1)='recap S1'!AW$2))&gt;0,SUMPRODUCT((ListeB='recap S1'!$B9)*(OFFSET(ListeB,,4)='recap S1'!AW$3)*(OFFSET(ListeB,,1)='recap S1'!AW$2)),"")</f>
        <v/>
      </c>
      <c r="AX9" s="32" t="str">
        <f ca="1">IF(SUMPRODUCT((ListeB='recap S1'!$B9)*(OFFSET(ListeB,,4)='recap S1'!AX$3)*(OFFSET(ListeB,,1)='recap S1'!AX$2))&gt;0,SUMPRODUCT((ListeB='recap S1'!$B9)*(OFFSET(ListeB,,4)='recap S1'!AX$3)*(OFFSET(ListeB,,1)='recap S1'!AX$2)),"")</f>
        <v/>
      </c>
      <c r="AY9" s="32" t="str">
        <f ca="1">IF(SUMPRODUCT((ListeB='recap S1'!$B9)*(OFFSET(ListeB,,4)='recap S1'!AY$3)*(OFFSET(ListeB,,1)='recap S1'!AY$2))&gt;0,SUMPRODUCT((ListeB='recap S1'!$B9)*(OFFSET(ListeB,,4)='recap S1'!AY$3)*(OFFSET(ListeB,,1)='recap S1'!AY$2)),"")</f>
        <v/>
      </c>
      <c r="AZ9" s="32">
        <f t="shared" ca="1" si="0"/>
        <v>1</v>
      </c>
    </row>
    <row r="10" spans="1:52">
      <c r="A10" s="41">
        <f>IF('SEANCE 1'!$B8&lt;&gt;"",'SEANCE 1'!$A8,"")</f>
        <v>7</v>
      </c>
      <c r="B10" s="41" t="str">
        <f t="array" aca="1" ref="B10" ca="1">IF(ISNA(INDEX(ListeB,MATCH(0,COUNTIF($B$3:B9,ListeB),0))),"",INDEX(ListeB,MATCH(0,COUNTIF($B$3:B9,ListeB),0)))</f>
        <v/>
      </c>
      <c r="C10" s="32" t="str">
        <f ca="1">IF(SUMPRODUCT((ListeB='recap S1'!$B10)*(OFFSET(ListeB,,4)='recap S1'!C$3)*(OFFSET(ListeB,,1)='recap S1'!C$2))&gt;0,SUMPRODUCT((ListeB='recap S1'!$B10)*(OFFSET(ListeB,,4)='recap S1'!C$3)*(OFFSET(ListeB,,1)='recap S1'!C$2)),"")</f>
        <v/>
      </c>
      <c r="D10" s="32" t="str">
        <f ca="1">IF(SUMPRODUCT((ListeB='recap S1'!$B10)*(OFFSET(ListeB,,4)='recap S1'!D$3)*(OFFSET(ListeB,,1)='recap S1'!D$2))&gt;0,SUMPRODUCT((ListeB='recap S1'!$B10)*(OFFSET(ListeB,,4)='recap S1'!D$3)*(OFFSET(ListeB,,1)='recap S1'!D$2)),"")</f>
        <v/>
      </c>
      <c r="E10" s="32" t="str">
        <f ca="1">IF(SUMPRODUCT((ListeB='recap S1'!$B10)*(OFFSET(ListeB,,4)='recap S1'!E$3)*(OFFSET(ListeB,,1)='recap S1'!E$2))&gt;0,SUMPRODUCT((ListeB='recap S1'!$B10)*(OFFSET(ListeB,,4)='recap S1'!E$3)*(OFFSET(ListeB,,1)='recap S1'!E$2)),"")</f>
        <v/>
      </c>
      <c r="F10" s="32" t="str">
        <f ca="1">IF(SUMPRODUCT((ListeB='recap S1'!$B10)*(OFFSET(ListeB,,4)='recap S1'!F$3)*(OFFSET(ListeB,,1)='recap S1'!F$2))&gt;0,SUMPRODUCT((ListeB='recap S1'!$B10)*(OFFSET(ListeB,,4)='recap S1'!F$3)*(OFFSET(ListeB,,1)='recap S1'!F$2)),"")</f>
        <v/>
      </c>
      <c r="G10" s="32" t="str">
        <f ca="1">IF(SUMPRODUCT((ListeB='recap S1'!$B10)*(OFFSET(ListeB,,4)='recap S1'!G$3)*(OFFSET(ListeB,,1)='recap S1'!G$2))&gt;0,SUMPRODUCT((ListeB='recap S1'!$B10)*(OFFSET(ListeB,,4)='recap S1'!G$3)*(OFFSET(ListeB,,1)='recap S1'!G$2)),"")</f>
        <v/>
      </c>
      <c r="H10" s="32" t="str">
        <f ca="1">IF(SUMPRODUCT((ListeB='recap S1'!$B10)*(OFFSET(ListeB,,4)='recap S1'!H$3)*(OFFSET(ListeB,,1)='recap S1'!H$2))&gt;0,SUMPRODUCT((ListeB='recap S1'!$B10)*(OFFSET(ListeB,,4)='recap S1'!H$3)*(OFFSET(ListeB,,1)='recap S1'!H$2)),"")</f>
        <v/>
      </c>
      <c r="I10" s="32" t="str">
        <f ca="1">IF(SUMPRODUCT((ListeB='recap S1'!$B10)*(OFFSET(ListeB,,4)='recap S1'!I$3)*(OFFSET(ListeB,,1)='recap S1'!I$2))&gt;0,SUMPRODUCT((ListeB='recap S1'!$B10)*(OFFSET(ListeB,,4)='recap S1'!I$3)*(OFFSET(ListeB,,1)='recap S1'!I$2)),"")</f>
        <v/>
      </c>
      <c r="J10" s="32" t="str">
        <f ca="1">IF(SUMPRODUCT((ListeB='recap S1'!$B10)*(OFFSET(ListeB,,4)='recap S1'!J$3)*(OFFSET(ListeB,,1)='recap S1'!J$2))&gt;0,SUMPRODUCT((ListeB='recap S1'!$B10)*(OFFSET(ListeB,,4)='recap S1'!J$3)*(OFFSET(ListeB,,1)='recap S1'!J$2)),"")</f>
        <v/>
      </c>
      <c r="K10" s="32" t="str">
        <f ca="1">IF(SUMPRODUCT((ListeB='recap S1'!$B10)*(OFFSET(ListeB,,4)='recap S1'!K$3)*(OFFSET(ListeB,,1)='recap S1'!K$2))&gt;0,SUMPRODUCT((ListeB='recap S1'!$B10)*(OFFSET(ListeB,,4)='recap S1'!K$3)*(OFFSET(ListeB,,1)='recap S1'!K$2)),"")</f>
        <v/>
      </c>
      <c r="L10" s="32" t="str">
        <f ca="1">IF(SUMPRODUCT((ListeB='recap S1'!$B10)*(OFFSET(ListeB,,4)='recap S1'!L$3)*(OFFSET(ListeB,,1)='recap S1'!L$2))&gt;0,SUMPRODUCT((ListeB='recap S1'!$B10)*(OFFSET(ListeB,,4)='recap S1'!L$3)*(OFFSET(ListeB,,1)='recap S1'!L$2)),"")</f>
        <v/>
      </c>
      <c r="M10" s="32" t="str">
        <f ca="1">IF(SUMPRODUCT((ListeB='recap S1'!$B10)*(OFFSET(ListeB,,4)='recap S1'!M$3)*(OFFSET(ListeB,,1)='recap S1'!M$2))&gt;0,SUMPRODUCT((ListeB='recap S1'!$B10)*(OFFSET(ListeB,,4)='recap S1'!M$3)*(OFFSET(ListeB,,1)='recap S1'!M$2)),"")</f>
        <v/>
      </c>
      <c r="N10" s="32" t="str">
        <f ca="1">IF(SUMPRODUCT((ListeB='recap S1'!$B10)*(OFFSET(ListeB,,4)='recap S1'!N$3)*(OFFSET(ListeB,,1)='recap S1'!N$2))&gt;0,SUMPRODUCT((ListeB='recap S1'!$B10)*(OFFSET(ListeB,,4)='recap S1'!N$3)*(OFFSET(ListeB,,1)='recap S1'!N$2)),"")</f>
        <v/>
      </c>
      <c r="O10" s="32" t="str">
        <f ca="1">IF(SUMPRODUCT((ListeB='recap S1'!$B10)*(OFFSET(ListeB,,4)='recap S1'!O$3)*(OFFSET(ListeB,,1)='recap S1'!O$2))&gt;0,SUMPRODUCT((ListeB='recap S1'!$B10)*(OFFSET(ListeB,,4)='recap S1'!O$3)*(OFFSET(ListeB,,1)='recap S1'!O$2)),"")</f>
        <v/>
      </c>
      <c r="P10" s="32" t="str">
        <f ca="1">IF(SUMPRODUCT((ListeB='recap S1'!$B10)*(OFFSET(ListeB,,4)='recap S1'!P$3)*(OFFSET(ListeB,,1)='recap S1'!P$2))&gt;0,SUMPRODUCT((ListeB='recap S1'!$B10)*(OFFSET(ListeB,,4)='recap S1'!P$3)*(OFFSET(ListeB,,1)='recap S1'!P$2)),"")</f>
        <v/>
      </c>
      <c r="Q10" s="32" t="str">
        <f ca="1">IF(SUMPRODUCT((ListeB='recap S1'!$B10)*(OFFSET(ListeB,,4)='recap S1'!Q$3)*(OFFSET(ListeB,,1)='recap S1'!Q$2))&gt;0,SUMPRODUCT((ListeB='recap S1'!$B10)*(OFFSET(ListeB,,4)='recap S1'!Q$3)*(OFFSET(ListeB,,1)='recap S1'!Q$2)),"")</f>
        <v/>
      </c>
      <c r="R10" s="32" t="str">
        <f ca="1">IF(SUMPRODUCT((ListeB='recap S1'!$B10)*(OFFSET(ListeB,,4)='recap S1'!R$3)*(OFFSET(ListeB,,1)='recap S1'!R$2))&gt;0,SUMPRODUCT((ListeB='recap S1'!$B10)*(OFFSET(ListeB,,4)='recap S1'!R$3)*(OFFSET(ListeB,,1)='recap S1'!R$2)),"")</f>
        <v/>
      </c>
      <c r="S10" s="32" t="str">
        <f ca="1">IF(SUMPRODUCT((ListeB='recap S1'!$B10)*(OFFSET(ListeB,,4)='recap S1'!S$3)*(OFFSET(ListeB,,1)='recap S1'!S$2))&gt;0,SUMPRODUCT((ListeB='recap S1'!$B10)*(OFFSET(ListeB,,4)='recap S1'!S$3)*(OFFSET(ListeB,,1)='recap S1'!S$2)),"")</f>
        <v/>
      </c>
      <c r="T10" s="32" t="str">
        <f ca="1">IF(SUMPRODUCT((ListeB='recap S1'!$B10)*(OFFSET(ListeB,,4)='recap S1'!T$3)*(OFFSET(ListeB,,1)='recap S1'!T$2))&gt;0,SUMPRODUCT((ListeB='recap S1'!$B10)*(OFFSET(ListeB,,4)='recap S1'!T$3)*(OFFSET(ListeB,,1)='recap S1'!T$2)),"")</f>
        <v/>
      </c>
      <c r="U10" s="32" t="str">
        <f ca="1">IF(SUMPRODUCT((ListeB='recap S1'!$B10)*(OFFSET(ListeB,,4)='recap S1'!U$3)*(OFFSET(ListeB,,1)='recap S1'!U$2))&gt;0,SUMPRODUCT((ListeB='recap S1'!$B10)*(OFFSET(ListeB,,4)='recap S1'!U$3)*(OFFSET(ListeB,,1)='recap S1'!U$2)),"")</f>
        <v/>
      </c>
      <c r="V10" s="32" t="str">
        <f ca="1">IF(SUMPRODUCT((ListeB='recap S1'!$B10)*(OFFSET(ListeB,,4)='recap S1'!V$3)*(OFFSET(ListeB,,1)='recap S1'!V$2))&gt;0,SUMPRODUCT((ListeB='recap S1'!$B10)*(OFFSET(ListeB,,4)='recap S1'!V$3)*(OFFSET(ListeB,,1)='recap S1'!V$2)),"")</f>
        <v/>
      </c>
      <c r="W10" s="32" t="str">
        <f ca="1">IF(SUMPRODUCT((ListeB='recap S1'!$B10)*(OFFSET(ListeB,,4)='recap S1'!W$3)*(OFFSET(ListeB,,1)='recap S1'!W$2))&gt;0,SUMPRODUCT((ListeB='recap S1'!$B10)*(OFFSET(ListeB,,4)='recap S1'!W$3)*(OFFSET(ListeB,,1)='recap S1'!W$2)),"")</f>
        <v/>
      </c>
      <c r="X10" s="32" t="str">
        <f ca="1">IF(SUMPRODUCT((ListeB='recap S1'!$B10)*(OFFSET(ListeB,,4)='recap S1'!X$3)*(OFFSET(ListeB,,1)='recap S1'!X$2))&gt;0,SUMPRODUCT((ListeB='recap S1'!$B10)*(OFFSET(ListeB,,4)='recap S1'!X$3)*(OFFSET(ListeB,,1)='recap S1'!X$2)),"")</f>
        <v/>
      </c>
      <c r="Y10" s="32" t="str">
        <f ca="1">IF(SUMPRODUCT((ListeB='recap S1'!$B10)*(OFFSET(ListeB,,4)='recap S1'!Y$3)*(OFFSET(ListeB,,1)='recap S1'!Y$2))&gt;0,SUMPRODUCT((ListeB='recap S1'!$B10)*(OFFSET(ListeB,,4)='recap S1'!Y$3)*(OFFSET(ListeB,,1)='recap S1'!Y$2)),"")</f>
        <v/>
      </c>
      <c r="Z10" s="32" t="str">
        <f ca="1">IF(SUMPRODUCT((ListeB='recap S1'!$B10)*(OFFSET(ListeB,,4)='recap S1'!Z$3)*(OFFSET(ListeB,,1)='recap S1'!Z$2))&gt;0,SUMPRODUCT((ListeB='recap S1'!$B10)*(OFFSET(ListeB,,4)='recap S1'!Z$3)*(OFFSET(ListeB,,1)='recap S1'!Z$2)),"")</f>
        <v/>
      </c>
      <c r="AA10" s="32" t="str">
        <f ca="1">IF(SUMPRODUCT((ListeB='recap S1'!$B10)*(OFFSET(ListeB,,4)='recap S1'!AA$3)*(OFFSET(ListeB,,1)='recap S1'!AA$2))&gt;0,SUMPRODUCT((ListeB='recap S1'!$B10)*(OFFSET(ListeB,,4)='recap S1'!AA$3)*(OFFSET(ListeB,,1)='recap S1'!AA$2)),"")</f>
        <v/>
      </c>
      <c r="AB10" s="32" t="str">
        <f ca="1">IF(SUMPRODUCT((ListeB='recap S1'!$B10)*(OFFSET(ListeB,,4)='recap S1'!AB$3)*(OFFSET(ListeB,,1)='recap S1'!AB$2))&gt;0,SUMPRODUCT((ListeB='recap S1'!$B10)*(OFFSET(ListeB,,4)='recap S1'!AB$3)*(OFFSET(ListeB,,1)='recap S1'!AB$2)),"")</f>
        <v/>
      </c>
      <c r="AC10" s="32" t="str">
        <f ca="1">IF(SUMPRODUCT((ListeB='recap S1'!$B10)*(OFFSET(ListeB,,4)='recap S1'!AC$3)*(OFFSET(ListeB,,1)='recap S1'!AC$2))&gt;0,SUMPRODUCT((ListeB='recap S1'!$B10)*(OFFSET(ListeB,,4)='recap S1'!AC$3)*(OFFSET(ListeB,,1)='recap S1'!AC$2)),"")</f>
        <v/>
      </c>
      <c r="AD10" s="32" t="str">
        <f ca="1">IF(SUMPRODUCT((ListeB='recap S1'!$B10)*(OFFSET(ListeB,,4)='recap S1'!AD$3)*(OFFSET(ListeB,,1)='recap S1'!AD$2))&gt;0,SUMPRODUCT((ListeB='recap S1'!$B10)*(OFFSET(ListeB,,4)='recap S1'!AD$3)*(OFFSET(ListeB,,1)='recap S1'!AD$2)),"")</f>
        <v/>
      </c>
      <c r="AE10" s="32" t="str">
        <f ca="1">IF(SUMPRODUCT((ListeB='recap S1'!$B10)*(OFFSET(ListeB,,4)='recap S1'!AE$3)*(OFFSET(ListeB,,1)='recap S1'!AE$2))&gt;0,SUMPRODUCT((ListeB='recap S1'!$B10)*(OFFSET(ListeB,,4)='recap S1'!AE$3)*(OFFSET(ListeB,,1)='recap S1'!AE$2)),"")</f>
        <v/>
      </c>
      <c r="AF10" s="32" t="str">
        <f ca="1">IF(SUMPRODUCT((ListeB='recap S1'!$B10)*(OFFSET(ListeB,,4)='recap S1'!AF$3)*(OFFSET(ListeB,,1)='recap S1'!AF$2))&gt;0,SUMPRODUCT((ListeB='recap S1'!$B10)*(OFFSET(ListeB,,4)='recap S1'!AF$3)*(OFFSET(ListeB,,1)='recap S1'!AF$2)),"")</f>
        <v/>
      </c>
      <c r="AG10" s="32" t="str">
        <f ca="1">IF(SUMPRODUCT((ListeB='recap S1'!$B10)*(OFFSET(ListeB,,4)='recap S1'!AG$3)*(OFFSET(ListeB,,1)='recap S1'!AG$2))&gt;0,SUMPRODUCT((ListeB='recap S1'!$B10)*(OFFSET(ListeB,,4)='recap S1'!AG$3)*(OFFSET(ListeB,,1)='recap S1'!AG$2)),"")</f>
        <v/>
      </c>
      <c r="AH10" s="32" t="str">
        <f ca="1">IF(SUMPRODUCT((ListeB='recap S1'!$B10)*(OFFSET(ListeB,,4)='recap S1'!AH$3)*(OFFSET(ListeB,,1)='recap S1'!AH$2))&gt;0,SUMPRODUCT((ListeB='recap S1'!$B10)*(OFFSET(ListeB,,4)='recap S1'!AH$3)*(OFFSET(ListeB,,1)='recap S1'!AH$2)),"")</f>
        <v/>
      </c>
      <c r="AI10" s="32" t="str">
        <f ca="1">IF(SUMPRODUCT((ListeB='recap S1'!$B10)*(OFFSET(ListeB,,4)='recap S1'!AI$3)*(OFFSET(ListeB,,1)='recap S1'!AI$2))&gt;0,SUMPRODUCT((ListeB='recap S1'!$B10)*(OFFSET(ListeB,,4)='recap S1'!AI$3)*(OFFSET(ListeB,,1)='recap S1'!AI$2)),"")</f>
        <v/>
      </c>
      <c r="AJ10" s="32" t="str">
        <f ca="1">IF(SUMPRODUCT((ListeB='recap S1'!$B10)*(OFFSET(ListeB,,4)='recap S1'!AJ$3)*(OFFSET(ListeB,,1)='recap S1'!AJ$2))&gt;0,SUMPRODUCT((ListeB='recap S1'!$B10)*(OFFSET(ListeB,,4)='recap S1'!AJ$3)*(OFFSET(ListeB,,1)='recap S1'!AJ$2)),"")</f>
        <v/>
      </c>
      <c r="AK10" s="32" t="str">
        <f ca="1">IF(SUMPRODUCT((ListeB='recap S1'!$B10)*(OFFSET(ListeB,,4)='recap S1'!AK$3)*(OFFSET(ListeB,,1)='recap S1'!AK$2))&gt;0,SUMPRODUCT((ListeB='recap S1'!$B10)*(OFFSET(ListeB,,4)='recap S1'!AK$3)*(OFFSET(ListeB,,1)='recap S1'!AK$2)),"")</f>
        <v/>
      </c>
      <c r="AL10" s="32" t="str">
        <f ca="1">IF(SUMPRODUCT((ListeB='recap S1'!$B10)*(OFFSET(ListeB,,4)='recap S1'!AL$3)*(OFFSET(ListeB,,1)='recap S1'!AL$2))&gt;0,SUMPRODUCT((ListeB='recap S1'!$B10)*(OFFSET(ListeB,,4)='recap S1'!AL$3)*(OFFSET(ListeB,,1)='recap S1'!AL$2)),"")</f>
        <v/>
      </c>
      <c r="AM10" s="32" t="str">
        <f ca="1">IF(SUMPRODUCT((ListeB='recap S1'!$B10)*(OFFSET(ListeB,,4)='recap S1'!AM$3)*(OFFSET(ListeB,,1)='recap S1'!AM$2))&gt;0,SUMPRODUCT((ListeB='recap S1'!$B10)*(OFFSET(ListeB,,4)='recap S1'!AM$3)*(OFFSET(ListeB,,1)='recap S1'!AM$2)),"")</f>
        <v/>
      </c>
      <c r="AN10" s="32" t="str">
        <f ca="1">IF(SUMPRODUCT((ListeB='recap S1'!$B10)*(OFFSET(ListeB,,4)='recap S1'!AN$3)*(OFFSET(ListeB,,1)='recap S1'!AN$2))&gt;0,SUMPRODUCT((ListeB='recap S1'!$B10)*(OFFSET(ListeB,,4)='recap S1'!AN$3)*(OFFSET(ListeB,,1)='recap S1'!AN$2)),"")</f>
        <v/>
      </c>
      <c r="AO10" s="32" t="str">
        <f ca="1">IF(SUMPRODUCT((ListeB='recap S1'!$B10)*(OFFSET(ListeB,,4)='recap S1'!AO$3)*(OFFSET(ListeB,,1)='recap S1'!AO$2))&gt;0,SUMPRODUCT((ListeB='recap S1'!$B10)*(OFFSET(ListeB,,4)='recap S1'!AO$3)*(OFFSET(ListeB,,1)='recap S1'!AO$2)),"")</f>
        <v/>
      </c>
      <c r="AP10" s="32" t="str">
        <f ca="1">IF(SUMPRODUCT((ListeB='recap S1'!$B10)*(OFFSET(ListeB,,4)='recap S1'!AP$3)*(OFFSET(ListeB,,1)='recap S1'!AP$2))&gt;0,SUMPRODUCT((ListeB='recap S1'!$B10)*(OFFSET(ListeB,,4)='recap S1'!AP$3)*(OFFSET(ListeB,,1)='recap S1'!AP$2)),"")</f>
        <v/>
      </c>
      <c r="AQ10" s="32" t="str">
        <f ca="1">IF(SUMPRODUCT((ListeB='recap S1'!$B10)*(OFFSET(ListeB,,4)='recap S1'!AQ$3)*(OFFSET(ListeB,,1)='recap S1'!AQ$2))&gt;0,SUMPRODUCT((ListeB='recap S1'!$B10)*(OFFSET(ListeB,,4)='recap S1'!AQ$3)*(OFFSET(ListeB,,1)='recap S1'!AQ$2)),"")</f>
        <v/>
      </c>
      <c r="AR10" s="32" t="str">
        <f ca="1">IF(SUMPRODUCT((ListeB='recap S1'!$B10)*(OFFSET(ListeB,,4)='recap S1'!AR$3)*(OFFSET(ListeB,,1)='recap S1'!AR$2))&gt;0,SUMPRODUCT((ListeB='recap S1'!$B10)*(OFFSET(ListeB,,4)='recap S1'!AR$3)*(OFFSET(ListeB,,1)='recap S1'!AR$2)),"")</f>
        <v/>
      </c>
      <c r="AS10" s="32" t="str">
        <f ca="1">IF(SUMPRODUCT((ListeB='recap S1'!$B10)*(OFFSET(ListeB,,4)='recap S1'!AS$3)*(OFFSET(ListeB,,1)='recap S1'!AS$2))&gt;0,SUMPRODUCT((ListeB='recap S1'!$B10)*(OFFSET(ListeB,,4)='recap S1'!AS$3)*(OFFSET(ListeB,,1)='recap S1'!AS$2)),"")</f>
        <v/>
      </c>
      <c r="AT10" s="32" t="str">
        <f ca="1">IF(SUMPRODUCT((ListeB='recap S1'!$B10)*(OFFSET(ListeB,,4)='recap S1'!AT$3)*(OFFSET(ListeB,,1)='recap S1'!AT$2))&gt;0,SUMPRODUCT((ListeB='recap S1'!$B10)*(OFFSET(ListeB,,4)='recap S1'!AT$3)*(OFFSET(ListeB,,1)='recap S1'!AT$2)),"")</f>
        <v/>
      </c>
      <c r="AU10" s="32" t="str">
        <f ca="1">IF(SUMPRODUCT((ListeB='recap S1'!$B10)*(OFFSET(ListeB,,4)='recap S1'!AU$3)*(OFFSET(ListeB,,1)='recap S1'!AU$2))&gt;0,SUMPRODUCT((ListeB='recap S1'!$B10)*(OFFSET(ListeB,,4)='recap S1'!AU$3)*(OFFSET(ListeB,,1)='recap S1'!AU$2)),"")</f>
        <v/>
      </c>
      <c r="AV10" s="32" t="str">
        <f ca="1">IF(SUMPRODUCT((ListeB='recap S1'!$B10)*(OFFSET(ListeB,,4)='recap S1'!AV$3)*(OFFSET(ListeB,,1)='recap S1'!AV$2))&gt;0,SUMPRODUCT((ListeB='recap S1'!$B10)*(OFFSET(ListeB,,4)='recap S1'!AV$3)*(OFFSET(ListeB,,1)='recap S1'!AV$2)),"")</f>
        <v/>
      </c>
      <c r="AW10" s="32" t="str">
        <f ca="1">IF(SUMPRODUCT((ListeB='recap S1'!$B10)*(OFFSET(ListeB,,4)='recap S1'!AW$3)*(OFFSET(ListeB,,1)='recap S1'!AW$2))&gt;0,SUMPRODUCT((ListeB='recap S1'!$B10)*(OFFSET(ListeB,,4)='recap S1'!AW$3)*(OFFSET(ListeB,,1)='recap S1'!AW$2)),"")</f>
        <v/>
      </c>
      <c r="AX10" s="32" t="str">
        <f ca="1">IF(SUMPRODUCT((ListeB='recap S1'!$B10)*(OFFSET(ListeB,,4)='recap S1'!AX$3)*(OFFSET(ListeB,,1)='recap S1'!AX$2))&gt;0,SUMPRODUCT((ListeB='recap S1'!$B10)*(OFFSET(ListeB,,4)='recap S1'!AX$3)*(OFFSET(ListeB,,1)='recap S1'!AX$2)),"")</f>
        <v/>
      </c>
      <c r="AY10" s="32" t="str">
        <f ca="1">IF(SUMPRODUCT((ListeB='recap S1'!$B10)*(OFFSET(ListeB,,4)='recap S1'!AY$3)*(OFFSET(ListeB,,1)='recap S1'!AY$2))&gt;0,SUMPRODUCT((ListeB='recap S1'!$B10)*(OFFSET(ListeB,,4)='recap S1'!AY$3)*(OFFSET(ListeB,,1)='recap S1'!AY$2)),"")</f>
        <v/>
      </c>
      <c r="AZ10" s="32">
        <f t="shared" ca="1" si="0"/>
        <v>0</v>
      </c>
    </row>
    <row r="11" spans="1:52">
      <c r="A11" s="41">
        <f>IF('SEANCE 1'!$B9&lt;&gt;"",'SEANCE 1'!$A9,"")</f>
        <v>8</v>
      </c>
      <c r="B11" s="41" t="str">
        <f t="array" aca="1" ref="B11" ca="1">IF(ISNA(INDEX(ListeB,MATCH(0,COUNTIF($B$3:B10,ListeB),0))),"",INDEX(ListeB,MATCH(0,COUNTIF($B$3:B10,ListeB),0)))</f>
        <v/>
      </c>
      <c r="C11" s="32" t="str">
        <f ca="1">IF(SUMPRODUCT((ListeB='recap S1'!$B11)*(OFFSET(ListeB,,4)='recap S1'!C$3)*(OFFSET(ListeB,,1)='recap S1'!C$2))&gt;0,SUMPRODUCT((ListeB='recap S1'!$B11)*(OFFSET(ListeB,,4)='recap S1'!C$3)*(OFFSET(ListeB,,1)='recap S1'!C$2)),"")</f>
        <v/>
      </c>
      <c r="D11" s="32" t="str">
        <f ca="1">IF(SUMPRODUCT((ListeB='recap S1'!$B11)*(OFFSET(ListeB,,4)='recap S1'!D$3)*(OFFSET(ListeB,,1)='recap S1'!D$2))&gt;0,SUMPRODUCT((ListeB='recap S1'!$B11)*(OFFSET(ListeB,,4)='recap S1'!D$3)*(OFFSET(ListeB,,1)='recap S1'!D$2)),"")</f>
        <v/>
      </c>
      <c r="E11" s="32" t="str">
        <f ca="1">IF(SUMPRODUCT((ListeB='recap S1'!$B11)*(OFFSET(ListeB,,4)='recap S1'!E$3)*(OFFSET(ListeB,,1)='recap S1'!E$2))&gt;0,SUMPRODUCT((ListeB='recap S1'!$B11)*(OFFSET(ListeB,,4)='recap S1'!E$3)*(OFFSET(ListeB,,1)='recap S1'!E$2)),"")</f>
        <v/>
      </c>
      <c r="F11" s="32" t="str">
        <f ca="1">IF(SUMPRODUCT((ListeB='recap S1'!$B11)*(OFFSET(ListeB,,4)='recap S1'!F$3)*(OFFSET(ListeB,,1)='recap S1'!F$2))&gt;0,SUMPRODUCT((ListeB='recap S1'!$B11)*(OFFSET(ListeB,,4)='recap S1'!F$3)*(OFFSET(ListeB,,1)='recap S1'!F$2)),"")</f>
        <v/>
      </c>
      <c r="G11" s="32" t="str">
        <f ca="1">IF(SUMPRODUCT((ListeB='recap S1'!$B11)*(OFFSET(ListeB,,4)='recap S1'!G$3)*(OFFSET(ListeB,,1)='recap S1'!G$2))&gt;0,SUMPRODUCT((ListeB='recap S1'!$B11)*(OFFSET(ListeB,,4)='recap S1'!G$3)*(OFFSET(ListeB,,1)='recap S1'!G$2)),"")</f>
        <v/>
      </c>
      <c r="H11" s="32" t="str">
        <f ca="1">IF(SUMPRODUCT((ListeB='recap S1'!$B11)*(OFFSET(ListeB,,4)='recap S1'!H$3)*(OFFSET(ListeB,,1)='recap S1'!H$2))&gt;0,SUMPRODUCT((ListeB='recap S1'!$B11)*(OFFSET(ListeB,,4)='recap S1'!H$3)*(OFFSET(ListeB,,1)='recap S1'!H$2)),"")</f>
        <v/>
      </c>
      <c r="I11" s="32" t="str">
        <f ca="1">IF(SUMPRODUCT((ListeB='recap S1'!$B11)*(OFFSET(ListeB,,4)='recap S1'!I$3)*(OFFSET(ListeB,,1)='recap S1'!I$2))&gt;0,SUMPRODUCT((ListeB='recap S1'!$B11)*(OFFSET(ListeB,,4)='recap S1'!I$3)*(OFFSET(ListeB,,1)='recap S1'!I$2)),"")</f>
        <v/>
      </c>
      <c r="J11" s="32" t="str">
        <f ca="1">IF(SUMPRODUCT((ListeB='recap S1'!$B11)*(OFFSET(ListeB,,4)='recap S1'!J$3)*(OFFSET(ListeB,,1)='recap S1'!J$2))&gt;0,SUMPRODUCT((ListeB='recap S1'!$B11)*(OFFSET(ListeB,,4)='recap S1'!J$3)*(OFFSET(ListeB,,1)='recap S1'!J$2)),"")</f>
        <v/>
      </c>
      <c r="K11" s="32" t="str">
        <f ca="1">IF(SUMPRODUCT((ListeB='recap S1'!$B11)*(OFFSET(ListeB,,4)='recap S1'!K$3)*(OFFSET(ListeB,,1)='recap S1'!K$2))&gt;0,SUMPRODUCT((ListeB='recap S1'!$B11)*(OFFSET(ListeB,,4)='recap S1'!K$3)*(OFFSET(ListeB,,1)='recap S1'!K$2)),"")</f>
        <v/>
      </c>
      <c r="L11" s="32" t="str">
        <f ca="1">IF(SUMPRODUCT((ListeB='recap S1'!$B11)*(OFFSET(ListeB,,4)='recap S1'!L$3)*(OFFSET(ListeB,,1)='recap S1'!L$2))&gt;0,SUMPRODUCT((ListeB='recap S1'!$B11)*(OFFSET(ListeB,,4)='recap S1'!L$3)*(OFFSET(ListeB,,1)='recap S1'!L$2)),"")</f>
        <v/>
      </c>
      <c r="M11" s="32" t="str">
        <f ca="1">IF(SUMPRODUCT((ListeB='recap S1'!$B11)*(OFFSET(ListeB,,4)='recap S1'!M$3)*(OFFSET(ListeB,,1)='recap S1'!M$2))&gt;0,SUMPRODUCT((ListeB='recap S1'!$B11)*(OFFSET(ListeB,,4)='recap S1'!M$3)*(OFFSET(ListeB,,1)='recap S1'!M$2)),"")</f>
        <v/>
      </c>
      <c r="N11" s="32" t="str">
        <f ca="1">IF(SUMPRODUCT((ListeB='recap S1'!$B11)*(OFFSET(ListeB,,4)='recap S1'!N$3)*(OFFSET(ListeB,,1)='recap S1'!N$2))&gt;0,SUMPRODUCT((ListeB='recap S1'!$B11)*(OFFSET(ListeB,,4)='recap S1'!N$3)*(OFFSET(ListeB,,1)='recap S1'!N$2)),"")</f>
        <v/>
      </c>
      <c r="O11" s="32" t="str">
        <f ca="1">IF(SUMPRODUCT((ListeB='recap S1'!$B11)*(OFFSET(ListeB,,4)='recap S1'!O$3)*(OFFSET(ListeB,,1)='recap S1'!O$2))&gt;0,SUMPRODUCT((ListeB='recap S1'!$B11)*(OFFSET(ListeB,,4)='recap S1'!O$3)*(OFFSET(ListeB,,1)='recap S1'!O$2)),"")</f>
        <v/>
      </c>
      <c r="P11" s="32" t="str">
        <f ca="1">IF(SUMPRODUCT((ListeB='recap S1'!$B11)*(OFFSET(ListeB,,4)='recap S1'!P$3)*(OFFSET(ListeB,,1)='recap S1'!P$2))&gt;0,SUMPRODUCT((ListeB='recap S1'!$B11)*(OFFSET(ListeB,,4)='recap S1'!P$3)*(OFFSET(ListeB,,1)='recap S1'!P$2)),"")</f>
        <v/>
      </c>
      <c r="Q11" s="32" t="str">
        <f ca="1">IF(SUMPRODUCT((ListeB='recap S1'!$B11)*(OFFSET(ListeB,,4)='recap S1'!Q$3)*(OFFSET(ListeB,,1)='recap S1'!Q$2))&gt;0,SUMPRODUCT((ListeB='recap S1'!$B11)*(OFFSET(ListeB,,4)='recap S1'!Q$3)*(OFFSET(ListeB,,1)='recap S1'!Q$2)),"")</f>
        <v/>
      </c>
      <c r="R11" s="32" t="str">
        <f ca="1">IF(SUMPRODUCT((ListeB='recap S1'!$B11)*(OFFSET(ListeB,,4)='recap S1'!R$3)*(OFFSET(ListeB,,1)='recap S1'!R$2))&gt;0,SUMPRODUCT((ListeB='recap S1'!$B11)*(OFFSET(ListeB,,4)='recap S1'!R$3)*(OFFSET(ListeB,,1)='recap S1'!R$2)),"")</f>
        <v/>
      </c>
      <c r="S11" s="32" t="str">
        <f ca="1">IF(SUMPRODUCT((ListeB='recap S1'!$B11)*(OFFSET(ListeB,,4)='recap S1'!S$3)*(OFFSET(ListeB,,1)='recap S1'!S$2))&gt;0,SUMPRODUCT((ListeB='recap S1'!$B11)*(OFFSET(ListeB,,4)='recap S1'!S$3)*(OFFSET(ListeB,,1)='recap S1'!S$2)),"")</f>
        <v/>
      </c>
      <c r="T11" s="32" t="str">
        <f ca="1">IF(SUMPRODUCT((ListeB='recap S1'!$B11)*(OFFSET(ListeB,,4)='recap S1'!T$3)*(OFFSET(ListeB,,1)='recap S1'!T$2))&gt;0,SUMPRODUCT((ListeB='recap S1'!$B11)*(OFFSET(ListeB,,4)='recap S1'!T$3)*(OFFSET(ListeB,,1)='recap S1'!T$2)),"")</f>
        <v/>
      </c>
      <c r="U11" s="32" t="str">
        <f ca="1">IF(SUMPRODUCT((ListeB='recap S1'!$B11)*(OFFSET(ListeB,,4)='recap S1'!U$3)*(OFFSET(ListeB,,1)='recap S1'!U$2))&gt;0,SUMPRODUCT((ListeB='recap S1'!$B11)*(OFFSET(ListeB,,4)='recap S1'!U$3)*(OFFSET(ListeB,,1)='recap S1'!U$2)),"")</f>
        <v/>
      </c>
      <c r="V11" s="32" t="str">
        <f ca="1">IF(SUMPRODUCT((ListeB='recap S1'!$B11)*(OFFSET(ListeB,,4)='recap S1'!V$3)*(OFFSET(ListeB,,1)='recap S1'!V$2))&gt;0,SUMPRODUCT((ListeB='recap S1'!$B11)*(OFFSET(ListeB,,4)='recap S1'!V$3)*(OFFSET(ListeB,,1)='recap S1'!V$2)),"")</f>
        <v/>
      </c>
      <c r="W11" s="32" t="str">
        <f ca="1">IF(SUMPRODUCT((ListeB='recap S1'!$B11)*(OFFSET(ListeB,,4)='recap S1'!W$3)*(OFFSET(ListeB,,1)='recap S1'!W$2))&gt;0,SUMPRODUCT((ListeB='recap S1'!$B11)*(OFFSET(ListeB,,4)='recap S1'!W$3)*(OFFSET(ListeB,,1)='recap S1'!W$2)),"")</f>
        <v/>
      </c>
      <c r="X11" s="32" t="str">
        <f ca="1">IF(SUMPRODUCT((ListeB='recap S1'!$B11)*(OFFSET(ListeB,,4)='recap S1'!X$3)*(OFFSET(ListeB,,1)='recap S1'!X$2))&gt;0,SUMPRODUCT((ListeB='recap S1'!$B11)*(OFFSET(ListeB,,4)='recap S1'!X$3)*(OFFSET(ListeB,,1)='recap S1'!X$2)),"")</f>
        <v/>
      </c>
      <c r="Y11" s="32" t="str">
        <f ca="1">IF(SUMPRODUCT((ListeB='recap S1'!$B11)*(OFFSET(ListeB,,4)='recap S1'!Y$3)*(OFFSET(ListeB,,1)='recap S1'!Y$2))&gt;0,SUMPRODUCT((ListeB='recap S1'!$B11)*(OFFSET(ListeB,,4)='recap S1'!Y$3)*(OFFSET(ListeB,,1)='recap S1'!Y$2)),"")</f>
        <v/>
      </c>
      <c r="Z11" s="32" t="str">
        <f ca="1">IF(SUMPRODUCT((ListeB='recap S1'!$B11)*(OFFSET(ListeB,,4)='recap S1'!Z$3)*(OFFSET(ListeB,,1)='recap S1'!Z$2))&gt;0,SUMPRODUCT((ListeB='recap S1'!$B11)*(OFFSET(ListeB,,4)='recap S1'!Z$3)*(OFFSET(ListeB,,1)='recap S1'!Z$2)),"")</f>
        <v/>
      </c>
      <c r="AA11" s="32" t="str">
        <f ca="1">IF(SUMPRODUCT((ListeB='recap S1'!$B11)*(OFFSET(ListeB,,4)='recap S1'!AA$3)*(OFFSET(ListeB,,1)='recap S1'!AA$2))&gt;0,SUMPRODUCT((ListeB='recap S1'!$B11)*(OFFSET(ListeB,,4)='recap S1'!AA$3)*(OFFSET(ListeB,,1)='recap S1'!AA$2)),"")</f>
        <v/>
      </c>
      <c r="AB11" s="32" t="str">
        <f ca="1">IF(SUMPRODUCT((ListeB='recap S1'!$B11)*(OFFSET(ListeB,,4)='recap S1'!AB$3)*(OFFSET(ListeB,,1)='recap S1'!AB$2))&gt;0,SUMPRODUCT((ListeB='recap S1'!$B11)*(OFFSET(ListeB,,4)='recap S1'!AB$3)*(OFFSET(ListeB,,1)='recap S1'!AB$2)),"")</f>
        <v/>
      </c>
      <c r="AC11" s="32" t="str">
        <f ca="1">IF(SUMPRODUCT((ListeB='recap S1'!$B11)*(OFFSET(ListeB,,4)='recap S1'!AC$3)*(OFFSET(ListeB,,1)='recap S1'!AC$2))&gt;0,SUMPRODUCT((ListeB='recap S1'!$B11)*(OFFSET(ListeB,,4)='recap S1'!AC$3)*(OFFSET(ListeB,,1)='recap S1'!AC$2)),"")</f>
        <v/>
      </c>
      <c r="AD11" s="32" t="str">
        <f ca="1">IF(SUMPRODUCT((ListeB='recap S1'!$B11)*(OFFSET(ListeB,,4)='recap S1'!AD$3)*(OFFSET(ListeB,,1)='recap S1'!AD$2))&gt;0,SUMPRODUCT((ListeB='recap S1'!$B11)*(OFFSET(ListeB,,4)='recap S1'!AD$3)*(OFFSET(ListeB,,1)='recap S1'!AD$2)),"")</f>
        <v/>
      </c>
      <c r="AE11" s="32" t="str">
        <f ca="1">IF(SUMPRODUCT((ListeB='recap S1'!$B11)*(OFFSET(ListeB,,4)='recap S1'!AE$3)*(OFFSET(ListeB,,1)='recap S1'!AE$2))&gt;0,SUMPRODUCT((ListeB='recap S1'!$B11)*(OFFSET(ListeB,,4)='recap S1'!AE$3)*(OFFSET(ListeB,,1)='recap S1'!AE$2)),"")</f>
        <v/>
      </c>
      <c r="AF11" s="32" t="str">
        <f ca="1">IF(SUMPRODUCT((ListeB='recap S1'!$B11)*(OFFSET(ListeB,,4)='recap S1'!AF$3)*(OFFSET(ListeB,,1)='recap S1'!AF$2))&gt;0,SUMPRODUCT((ListeB='recap S1'!$B11)*(OFFSET(ListeB,,4)='recap S1'!AF$3)*(OFFSET(ListeB,,1)='recap S1'!AF$2)),"")</f>
        <v/>
      </c>
      <c r="AG11" s="32" t="str">
        <f ca="1">IF(SUMPRODUCT((ListeB='recap S1'!$B11)*(OFFSET(ListeB,,4)='recap S1'!AG$3)*(OFFSET(ListeB,,1)='recap S1'!AG$2))&gt;0,SUMPRODUCT((ListeB='recap S1'!$B11)*(OFFSET(ListeB,,4)='recap S1'!AG$3)*(OFFSET(ListeB,,1)='recap S1'!AG$2)),"")</f>
        <v/>
      </c>
      <c r="AH11" s="32" t="str">
        <f ca="1">IF(SUMPRODUCT((ListeB='recap S1'!$B11)*(OFFSET(ListeB,,4)='recap S1'!AH$3)*(OFFSET(ListeB,,1)='recap S1'!AH$2))&gt;0,SUMPRODUCT((ListeB='recap S1'!$B11)*(OFFSET(ListeB,,4)='recap S1'!AH$3)*(OFFSET(ListeB,,1)='recap S1'!AH$2)),"")</f>
        <v/>
      </c>
      <c r="AI11" s="32" t="str">
        <f ca="1">IF(SUMPRODUCT((ListeB='recap S1'!$B11)*(OFFSET(ListeB,,4)='recap S1'!AI$3)*(OFFSET(ListeB,,1)='recap S1'!AI$2))&gt;0,SUMPRODUCT((ListeB='recap S1'!$B11)*(OFFSET(ListeB,,4)='recap S1'!AI$3)*(OFFSET(ListeB,,1)='recap S1'!AI$2)),"")</f>
        <v/>
      </c>
      <c r="AJ11" s="32" t="str">
        <f ca="1">IF(SUMPRODUCT((ListeB='recap S1'!$B11)*(OFFSET(ListeB,,4)='recap S1'!AJ$3)*(OFFSET(ListeB,,1)='recap S1'!AJ$2))&gt;0,SUMPRODUCT((ListeB='recap S1'!$B11)*(OFFSET(ListeB,,4)='recap S1'!AJ$3)*(OFFSET(ListeB,,1)='recap S1'!AJ$2)),"")</f>
        <v/>
      </c>
      <c r="AK11" s="32" t="str">
        <f ca="1">IF(SUMPRODUCT((ListeB='recap S1'!$B11)*(OFFSET(ListeB,,4)='recap S1'!AK$3)*(OFFSET(ListeB,,1)='recap S1'!AK$2))&gt;0,SUMPRODUCT((ListeB='recap S1'!$B11)*(OFFSET(ListeB,,4)='recap S1'!AK$3)*(OFFSET(ListeB,,1)='recap S1'!AK$2)),"")</f>
        <v/>
      </c>
      <c r="AL11" s="32" t="str">
        <f ca="1">IF(SUMPRODUCT((ListeB='recap S1'!$B11)*(OFFSET(ListeB,,4)='recap S1'!AL$3)*(OFFSET(ListeB,,1)='recap S1'!AL$2))&gt;0,SUMPRODUCT((ListeB='recap S1'!$B11)*(OFFSET(ListeB,,4)='recap S1'!AL$3)*(OFFSET(ListeB,,1)='recap S1'!AL$2)),"")</f>
        <v/>
      </c>
      <c r="AM11" s="32" t="str">
        <f ca="1">IF(SUMPRODUCT((ListeB='recap S1'!$B11)*(OFFSET(ListeB,,4)='recap S1'!AM$3)*(OFFSET(ListeB,,1)='recap S1'!AM$2))&gt;0,SUMPRODUCT((ListeB='recap S1'!$B11)*(OFFSET(ListeB,,4)='recap S1'!AM$3)*(OFFSET(ListeB,,1)='recap S1'!AM$2)),"")</f>
        <v/>
      </c>
      <c r="AN11" s="32" t="str">
        <f ca="1">IF(SUMPRODUCT((ListeB='recap S1'!$B11)*(OFFSET(ListeB,,4)='recap S1'!AN$3)*(OFFSET(ListeB,,1)='recap S1'!AN$2))&gt;0,SUMPRODUCT((ListeB='recap S1'!$B11)*(OFFSET(ListeB,,4)='recap S1'!AN$3)*(OFFSET(ListeB,,1)='recap S1'!AN$2)),"")</f>
        <v/>
      </c>
      <c r="AO11" s="32" t="str">
        <f ca="1">IF(SUMPRODUCT((ListeB='recap S1'!$B11)*(OFFSET(ListeB,,4)='recap S1'!AO$3)*(OFFSET(ListeB,,1)='recap S1'!AO$2))&gt;0,SUMPRODUCT((ListeB='recap S1'!$B11)*(OFFSET(ListeB,,4)='recap S1'!AO$3)*(OFFSET(ListeB,,1)='recap S1'!AO$2)),"")</f>
        <v/>
      </c>
      <c r="AP11" s="32" t="str">
        <f ca="1">IF(SUMPRODUCT((ListeB='recap S1'!$B11)*(OFFSET(ListeB,,4)='recap S1'!AP$3)*(OFFSET(ListeB,,1)='recap S1'!AP$2))&gt;0,SUMPRODUCT((ListeB='recap S1'!$B11)*(OFFSET(ListeB,,4)='recap S1'!AP$3)*(OFFSET(ListeB,,1)='recap S1'!AP$2)),"")</f>
        <v/>
      </c>
      <c r="AQ11" s="32" t="str">
        <f ca="1">IF(SUMPRODUCT((ListeB='recap S1'!$B11)*(OFFSET(ListeB,,4)='recap S1'!AQ$3)*(OFFSET(ListeB,,1)='recap S1'!AQ$2))&gt;0,SUMPRODUCT((ListeB='recap S1'!$B11)*(OFFSET(ListeB,,4)='recap S1'!AQ$3)*(OFFSET(ListeB,,1)='recap S1'!AQ$2)),"")</f>
        <v/>
      </c>
      <c r="AR11" s="32" t="str">
        <f ca="1">IF(SUMPRODUCT((ListeB='recap S1'!$B11)*(OFFSET(ListeB,,4)='recap S1'!AR$3)*(OFFSET(ListeB,,1)='recap S1'!AR$2))&gt;0,SUMPRODUCT((ListeB='recap S1'!$B11)*(OFFSET(ListeB,,4)='recap S1'!AR$3)*(OFFSET(ListeB,,1)='recap S1'!AR$2)),"")</f>
        <v/>
      </c>
      <c r="AS11" s="32" t="str">
        <f ca="1">IF(SUMPRODUCT((ListeB='recap S1'!$B11)*(OFFSET(ListeB,,4)='recap S1'!AS$3)*(OFFSET(ListeB,,1)='recap S1'!AS$2))&gt;0,SUMPRODUCT((ListeB='recap S1'!$B11)*(OFFSET(ListeB,,4)='recap S1'!AS$3)*(OFFSET(ListeB,,1)='recap S1'!AS$2)),"")</f>
        <v/>
      </c>
      <c r="AT11" s="32" t="str">
        <f ca="1">IF(SUMPRODUCT((ListeB='recap S1'!$B11)*(OFFSET(ListeB,,4)='recap S1'!AT$3)*(OFFSET(ListeB,,1)='recap S1'!AT$2))&gt;0,SUMPRODUCT((ListeB='recap S1'!$B11)*(OFFSET(ListeB,,4)='recap S1'!AT$3)*(OFFSET(ListeB,,1)='recap S1'!AT$2)),"")</f>
        <v/>
      </c>
      <c r="AU11" s="32" t="str">
        <f ca="1">IF(SUMPRODUCT((ListeB='recap S1'!$B11)*(OFFSET(ListeB,,4)='recap S1'!AU$3)*(OFFSET(ListeB,,1)='recap S1'!AU$2))&gt;0,SUMPRODUCT((ListeB='recap S1'!$B11)*(OFFSET(ListeB,,4)='recap S1'!AU$3)*(OFFSET(ListeB,,1)='recap S1'!AU$2)),"")</f>
        <v/>
      </c>
      <c r="AV11" s="32" t="str">
        <f ca="1">IF(SUMPRODUCT((ListeB='recap S1'!$B11)*(OFFSET(ListeB,,4)='recap S1'!AV$3)*(OFFSET(ListeB,,1)='recap S1'!AV$2))&gt;0,SUMPRODUCT((ListeB='recap S1'!$B11)*(OFFSET(ListeB,,4)='recap S1'!AV$3)*(OFFSET(ListeB,,1)='recap S1'!AV$2)),"")</f>
        <v/>
      </c>
      <c r="AW11" s="32" t="str">
        <f ca="1">IF(SUMPRODUCT((ListeB='recap S1'!$B11)*(OFFSET(ListeB,,4)='recap S1'!AW$3)*(OFFSET(ListeB,,1)='recap S1'!AW$2))&gt;0,SUMPRODUCT((ListeB='recap S1'!$B11)*(OFFSET(ListeB,,4)='recap S1'!AW$3)*(OFFSET(ListeB,,1)='recap S1'!AW$2)),"")</f>
        <v/>
      </c>
      <c r="AX11" s="32" t="str">
        <f ca="1">IF(SUMPRODUCT((ListeB='recap S1'!$B11)*(OFFSET(ListeB,,4)='recap S1'!AX$3)*(OFFSET(ListeB,,1)='recap S1'!AX$2))&gt;0,SUMPRODUCT((ListeB='recap S1'!$B11)*(OFFSET(ListeB,,4)='recap S1'!AX$3)*(OFFSET(ListeB,,1)='recap S1'!AX$2)),"")</f>
        <v/>
      </c>
      <c r="AY11" s="32" t="str">
        <f ca="1">IF(SUMPRODUCT((ListeB='recap S1'!$B11)*(OFFSET(ListeB,,4)='recap S1'!AY$3)*(OFFSET(ListeB,,1)='recap S1'!AY$2))&gt;0,SUMPRODUCT((ListeB='recap S1'!$B11)*(OFFSET(ListeB,,4)='recap S1'!AY$3)*(OFFSET(ListeB,,1)='recap S1'!AY$2)),"")</f>
        <v/>
      </c>
      <c r="AZ11" s="32">
        <f t="shared" ca="1" si="0"/>
        <v>0</v>
      </c>
    </row>
    <row r="12" spans="1:52">
      <c r="A12" s="41">
        <f>IF('SEANCE 1'!$B10&lt;&gt;"",'SEANCE 1'!$A10,"")</f>
        <v>9</v>
      </c>
      <c r="B12" s="41" t="str">
        <f t="array" aca="1" ref="B12" ca="1">IF(ISNA(INDEX(ListeB,MATCH(0,COUNTIF($B$3:B11,ListeB),0))),"",INDEX(ListeB,MATCH(0,COUNTIF($B$3:B11,ListeB),0)))</f>
        <v/>
      </c>
      <c r="C12" s="32" t="str">
        <f ca="1">IF(SUMPRODUCT((ListeB='recap S1'!$B12)*(OFFSET(ListeB,,4)='recap S1'!C$3)*(OFFSET(ListeB,,1)='recap S1'!C$2))&gt;0,SUMPRODUCT((ListeB='recap S1'!$B12)*(OFFSET(ListeB,,4)='recap S1'!C$3)*(OFFSET(ListeB,,1)='recap S1'!C$2)),"")</f>
        <v/>
      </c>
      <c r="D12" s="32" t="str">
        <f ca="1">IF(SUMPRODUCT((ListeB='recap S1'!$B12)*(OFFSET(ListeB,,4)='recap S1'!D$3)*(OFFSET(ListeB,,1)='recap S1'!D$2))&gt;0,SUMPRODUCT((ListeB='recap S1'!$B12)*(OFFSET(ListeB,,4)='recap S1'!D$3)*(OFFSET(ListeB,,1)='recap S1'!D$2)),"")</f>
        <v/>
      </c>
      <c r="E12" s="32" t="str">
        <f ca="1">IF(SUMPRODUCT((ListeB='recap S1'!$B12)*(OFFSET(ListeB,,4)='recap S1'!E$3)*(OFFSET(ListeB,,1)='recap S1'!E$2))&gt;0,SUMPRODUCT((ListeB='recap S1'!$B12)*(OFFSET(ListeB,,4)='recap S1'!E$3)*(OFFSET(ListeB,,1)='recap S1'!E$2)),"")</f>
        <v/>
      </c>
      <c r="F12" s="32" t="str">
        <f ca="1">IF(SUMPRODUCT((ListeB='recap S1'!$B12)*(OFFSET(ListeB,,4)='recap S1'!F$3)*(OFFSET(ListeB,,1)='recap S1'!F$2))&gt;0,SUMPRODUCT((ListeB='recap S1'!$B12)*(OFFSET(ListeB,,4)='recap S1'!F$3)*(OFFSET(ListeB,,1)='recap S1'!F$2)),"")</f>
        <v/>
      </c>
      <c r="G12" s="32" t="str">
        <f ca="1">IF(SUMPRODUCT((ListeB='recap S1'!$B12)*(OFFSET(ListeB,,4)='recap S1'!G$3)*(OFFSET(ListeB,,1)='recap S1'!G$2))&gt;0,SUMPRODUCT((ListeB='recap S1'!$B12)*(OFFSET(ListeB,,4)='recap S1'!G$3)*(OFFSET(ListeB,,1)='recap S1'!G$2)),"")</f>
        <v/>
      </c>
      <c r="H12" s="32" t="str">
        <f ca="1">IF(SUMPRODUCT((ListeB='recap S1'!$B12)*(OFFSET(ListeB,,4)='recap S1'!H$3)*(OFFSET(ListeB,,1)='recap S1'!H$2))&gt;0,SUMPRODUCT((ListeB='recap S1'!$B12)*(OFFSET(ListeB,,4)='recap S1'!H$3)*(OFFSET(ListeB,,1)='recap S1'!H$2)),"")</f>
        <v/>
      </c>
      <c r="I12" s="32" t="str">
        <f ca="1">IF(SUMPRODUCT((ListeB='recap S1'!$B12)*(OFFSET(ListeB,,4)='recap S1'!I$3)*(OFFSET(ListeB,,1)='recap S1'!I$2))&gt;0,SUMPRODUCT((ListeB='recap S1'!$B12)*(OFFSET(ListeB,,4)='recap S1'!I$3)*(OFFSET(ListeB,,1)='recap S1'!I$2)),"")</f>
        <v/>
      </c>
      <c r="J12" s="32" t="str">
        <f ca="1">IF(SUMPRODUCT((ListeB='recap S1'!$B12)*(OFFSET(ListeB,,4)='recap S1'!J$3)*(OFFSET(ListeB,,1)='recap S1'!J$2))&gt;0,SUMPRODUCT((ListeB='recap S1'!$B12)*(OFFSET(ListeB,,4)='recap S1'!J$3)*(OFFSET(ListeB,,1)='recap S1'!J$2)),"")</f>
        <v/>
      </c>
      <c r="K12" s="32" t="str">
        <f ca="1">IF(SUMPRODUCT((ListeB='recap S1'!$B12)*(OFFSET(ListeB,,4)='recap S1'!K$3)*(OFFSET(ListeB,,1)='recap S1'!K$2))&gt;0,SUMPRODUCT((ListeB='recap S1'!$B12)*(OFFSET(ListeB,,4)='recap S1'!K$3)*(OFFSET(ListeB,,1)='recap S1'!K$2)),"")</f>
        <v/>
      </c>
      <c r="L12" s="32" t="str">
        <f ca="1">IF(SUMPRODUCT((ListeB='recap S1'!$B12)*(OFFSET(ListeB,,4)='recap S1'!L$3)*(OFFSET(ListeB,,1)='recap S1'!L$2))&gt;0,SUMPRODUCT((ListeB='recap S1'!$B12)*(OFFSET(ListeB,,4)='recap S1'!L$3)*(OFFSET(ListeB,,1)='recap S1'!L$2)),"")</f>
        <v/>
      </c>
      <c r="M12" s="32" t="str">
        <f ca="1">IF(SUMPRODUCT((ListeB='recap S1'!$B12)*(OFFSET(ListeB,,4)='recap S1'!M$3)*(OFFSET(ListeB,,1)='recap S1'!M$2))&gt;0,SUMPRODUCT((ListeB='recap S1'!$B12)*(OFFSET(ListeB,,4)='recap S1'!M$3)*(OFFSET(ListeB,,1)='recap S1'!M$2)),"")</f>
        <v/>
      </c>
      <c r="N12" s="32" t="str">
        <f ca="1">IF(SUMPRODUCT((ListeB='recap S1'!$B12)*(OFFSET(ListeB,,4)='recap S1'!N$3)*(OFFSET(ListeB,,1)='recap S1'!N$2))&gt;0,SUMPRODUCT((ListeB='recap S1'!$B12)*(OFFSET(ListeB,,4)='recap S1'!N$3)*(OFFSET(ListeB,,1)='recap S1'!N$2)),"")</f>
        <v/>
      </c>
      <c r="O12" s="32" t="str">
        <f ca="1">IF(SUMPRODUCT((ListeB='recap S1'!$B12)*(OFFSET(ListeB,,4)='recap S1'!O$3)*(OFFSET(ListeB,,1)='recap S1'!O$2))&gt;0,SUMPRODUCT((ListeB='recap S1'!$B12)*(OFFSET(ListeB,,4)='recap S1'!O$3)*(OFFSET(ListeB,,1)='recap S1'!O$2)),"")</f>
        <v/>
      </c>
      <c r="P12" s="32" t="str">
        <f ca="1">IF(SUMPRODUCT((ListeB='recap S1'!$B12)*(OFFSET(ListeB,,4)='recap S1'!P$3)*(OFFSET(ListeB,,1)='recap S1'!P$2))&gt;0,SUMPRODUCT((ListeB='recap S1'!$B12)*(OFFSET(ListeB,,4)='recap S1'!P$3)*(OFFSET(ListeB,,1)='recap S1'!P$2)),"")</f>
        <v/>
      </c>
      <c r="Q12" s="32" t="str">
        <f ca="1">IF(SUMPRODUCT((ListeB='recap S1'!$B12)*(OFFSET(ListeB,,4)='recap S1'!Q$3)*(OFFSET(ListeB,,1)='recap S1'!Q$2))&gt;0,SUMPRODUCT((ListeB='recap S1'!$B12)*(OFFSET(ListeB,,4)='recap S1'!Q$3)*(OFFSET(ListeB,,1)='recap S1'!Q$2)),"")</f>
        <v/>
      </c>
      <c r="R12" s="32" t="str">
        <f ca="1">IF(SUMPRODUCT((ListeB='recap S1'!$B12)*(OFFSET(ListeB,,4)='recap S1'!R$3)*(OFFSET(ListeB,,1)='recap S1'!R$2))&gt;0,SUMPRODUCT((ListeB='recap S1'!$B12)*(OFFSET(ListeB,,4)='recap S1'!R$3)*(OFFSET(ListeB,,1)='recap S1'!R$2)),"")</f>
        <v/>
      </c>
      <c r="S12" s="32" t="str">
        <f ca="1">IF(SUMPRODUCT((ListeB='recap S1'!$B12)*(OFFSET(ListeB,,4)='recap S1'!S$3)*(OFFSET(ListeB,,1)='recap S1'!S$2))&gt;0,SUMPRODUCT((ListeB='recap S1'!$B12)*(OFFSET(ListeB,,4)='recap S1'!S$3)*(OFFSET(ListeB,,1)='recap S1'!S$2)),"")</f>
        <v/>
      </c>
      <c r="T12" s="32" t="str">
        <f ca="1">IF(SUMPRODUCT((ListeB='recap S1'!$B12)*(OFFSET(ListeB,,4)='recap S1'!T$3)*(OFFSET(ListeB,,1)='recap S1'!T$2))&gt;0,SUMPRODUCT((ListeB='recap S1'!$B12)*(OFFSET(ListeB,,4)='recap S1'!T$3)*(OFFSET(ListeB,,1)='recap S1'!T$2)),"")</f>
        <v/>
      </c>
      <c r="U12" s="32" t="str">
        <f ca="1">IF(SUMPRODUCT((ListeB='recap S1'!$B12)*(OFFSET(ListeB,,4)='recap S1'!U$3)*(OFFSET(ListeB,,1)='recap S1'!U$2))&gt;0,SUMPRODUCT((ListeB='recap S1'!$B12)*(OFFSET(ListeB,,4)='recap S1'!U$3)*(OFFSET(ListeB,,1)='recap S1'!U$2)),"")</f>
        <v/>
      </c>
      <c r="V12" s="32" t="str">
        <f ca="1">IF(SUMPRODUCT((ListeB='recap S1'!$B12)*(OFFSET(ListeB,,4)='recap S1'!V$3)*(OFFSET(ListeB,,1)='recap S1'!V$2))&gt;0,SUMPRODUCT((ListeB='recap S1'!$B12)*(OFFSET(ListeB,,4)='recap S1'!V$3)*(OFFSET(ListeB,,1)='recap S1'!V$2)),"")</f>
        <v/>
      </c>
      <c r="W12" s="32" t="str">
        <f ca="1">IF(SUMPRODUCT((ListeB='recap S1'!$B12)*(OFFSET(ListeB,,4)='recap S1'!W$3)*(OFFSET(ListeB,,1)='recap S1'!W$2))&gt;0,SUMPRODUCT((ListeB='recap S1'!$B12)*(OFFSET(ListeB,,4)='recap S1'!W$3)*(OFFSET(ListeB,,1)='recap S1'!W$2)),"")</f>
        <v/>
      </c>
      <c r="X12" s="32" t="str">
        <f ca="1">IF(SUMPRODUCT((ListeB='recap S1'!$B12)*(OFFSET(ListeB,,4)='recap S1'!X$3)*(OFFSET(ListeB,,1)='recap S1'!X$2))&gt;0,SUMPRODUCT((ListeB='recap S1'!$B12)*(OFFSET(ListeB,,4)='recap S1'!X$3)*(OFFSET(ListeB,,1)='recap S1'!X$2)),"")</f>
        <v/>
      </c>
      <c r="Y12" s="32" t="str">
        <f ca="1">IF(SUMPRODUCT((ListeB='recap S1'!$B12)*(OFFSET(ListeB,,4)='recap S1'!Y$3)*(OFFSET(ListeB,,1)='recap S1'!Y$2))&gt;0,SUMPRODUCT((ListeB='recap S1'!$B12)*(OFFSET(ListeB,,4)='recap S1'!Y$3)*(OFFSET(ListeB,,1)='recap S1'!Y$2)),"")</f>
        <v/>
      </c>
      <c r="Z12" s="32" t="str">
        <f ca="1">IF(SUMPRODUCT((ListeB='recap S1'!$B12)*(OFFSET(ListeB,,4)='recap S1'!Z$3)*(OFFSET(ListeB,,1)='recap S1'!Z$2))&gt;0,SUMPRODUCT((ListeB='recap S1'!$B12)*(OFFSET(ListeB,,4)='recap S1'!Z$3)*(OFFSET(ListeB,,1)='recap S1'!Z$2)),"")</f>
        <v/>
      </c>
      <c r="AA12" s="32" t="str">
        <f ca="1">IF(SUMPRODUCT((ListeB='recap S1'!$B12)*(OFFSET(ListeB,,4)='recap S1'!AA$3)*(OFFSET(ListeB,,1)='recap S1'!AA$2))&gt;0,SUMPRODUCT((ListeB='recap S1'!$B12)*(OFFSET(ListeB,,4)='recap S1'!AA$3)*(OFFSET(ListeB,,1)='recap S1'!AA$2)),"")</f>
        <v/>
      </c>
      <c r="AB12" s="32" t="str">
        <f ca="1">IF(SUMPRODUCT((ListeB='recap S1'!$B12)*(OFFSET(ListeB,,4)='recap S1'!AB$3)*(OFFSET(ListeB,,1)='recap S1'!AB$2))&gt;0,SUMPRODUCT((ListeB='recap S1'!$B12)*(OFFSET(ListeB,,4)='recap S1'!AB$3)*(OFFSET(ListeB,,1)='recap S1'!AB$2)),"")</f>
        <v/>
      </c>
      <c r="AC12" s="32" t="str">
        <f ca="1">IF(SUMPRODUCT((ListeB='recap S1'!$B12)*(OFFSET(ListeB,,4)='recap S1'!AC$3)*(OFFSET(ListeB,,1)='recap S1'!AC$2))&gt;0,SUMPRODUCT((ListeB='recap S1'!$B12)*(OFFSET(ListeB,,4)='recap S1'!AC$3)*(OFFSET(ListeB,,1)='recap S1'!AC$2)),"")</f>
        <v/>
      </c>
      <c r="AD12" s="32" t="str">
        <f ca="1">IF(SUMPRODUCT((ListeB='recap S1'!$B12)*(OFFSET(ListeB,,4)='recap S1'!AD$3)*(OFFSET(ListeB,,1)='recap S1'!AD$2))&gt;0,SUMPRODUCT((ListeB='recap S1'!$B12)*(OFFSET(ListeB,,4)='recap S1'!AD$3)*(OFFSET(ListeB,,1)='recap S1'!AD$2)),"")</f>
        <v/>
      </c>
      <c r="AE12" s="32" t="str">
        <f ca="1">IF(SUMPRODUCT((ListeB='recap S1'!$B12)*(OFFSET(ListeB,,4)='recap S1'!AE$3)*(OFFSET(ListeB,,1)='recap S1'!AE$2))&gt;0,SUMPRODUCT((ListeB='recap S1'!$B12)*(OFFSET(ListeB,,4)='recap S1'!AE$3)*(OFFSET(ListeB,,1)='recap S1'!AE$2)),"")</f>
        <v/>
      </c>
      <c r="AF12" s="32" t="str">
        <f ca="1">IF(SUMPRODUCT((ListeB='recap S1'!$B12)*(OFFSET(ListeB,,4)='recap S1'!AF$3)*(OFFSET(ListeB,,1)='recap S1'!AF$2))&gt;0,SUMPRODUCT((ListeB='recap S1'!$B12)*(OFFSET(ListeB,,4)='recap S1'!AF$3)*(OFFSET(ListeB,,1)='recap S1'!AF$2)),"")</f>
        <v/>
      </c>
      <c r="AG12" s="32" t="str">
        <f ca="1">IF(SUMPRODUCT((ListeB='recap S1'!$B12)*(OFFSET(ListeB,,4)='recap S1'!AG$3)*(OFFSET(ListeB,,1)='recap S1'!AG$2))&gt;0,SUMPRODUCT((ListeB='recap S1'!$B12)*(OFFSET(ListeB,,4)='recap S1'!AG$3)*(OFFSET(ListeB,,1)='recap S1'!AG$2)),"")</f>
        <v/>
      </c>
      <c r="AH12" s="32" t="str">
        <f ca="1">IF(SUMPRODUCT((ListeB='recap S1'!$B12)*(OFFSET(ListeB,,4)='recap S1'!AH$3)*(OFFSET(ListeB,,1)='recap S1'!AH$2))&gt;0,SUMPRODUCT((ListeB='recap S1'!$B12)*(OFFSET(ListeB,,4)='recap S1'!AH$3)*(OFFSET(ListeB,,1)='recap S1'!AH$2)),"")</f>
        <v/>
      </c>
      <c r="AI12" s="32" t="str">
        <f ca="1">IF(SUMPRODUCT((ListeB='recap S1'!$B12)*(OFFSET(ListeB,,4)='recap S1'!AI$3)*(OFFSET(ListeB,,1)='recap S1'!AI$2))&gt;0,SUMPRODUCT((ListeB='recap S1'!$B12)*(OFFSET(ListeB,,4)='recap S1'!AI$3)*(OFFSET(ListeB,,1)='recap S1'!AI$2)),"")</f>
        <v/>
      </c>
      <c r="AJ12" s="32" t="str">
        <f ca="1">IF(SUMPRODUCT((ListeB='recap S1'!$B12)*(OFFSET(ListeB,,4)='recap S1'!AJ$3)*(OFFSET(ListeB,,1)='recap S1'!AJ$2))&gt;0,SUMPRODUCT((ListeB='recap S1'!$B12)*(OFFSET(ListeB,,4)='recap S1'!AJ$3)*(OFFSET(ListeB,,1)='recap S1'!AJ$2)),"")</f>
        <v/>
      </c>
      <c r="AK12" s="32" t="str">
        <f ca="1">IF(SUMPRODUCT((ListeB='recap S1'!$B12)*(OFFSET(ListeB,,4)='recap S1'!AK$3)*(OFFSET(ListeB,,1)='recap S1'!AK$2))&gt;0,SUMPRODUCT((ListeB='recap S1'!$B12)*(OFFSET(ListeB,,4)='recap S1'!AK$3)*(OFFSET(ListeB,,1)='recap S1'!AK$2)),"")</f>
        <v/>
      </c>
      <c r="AL12" s="32" t="str">
        <f ca="1">IF(SUMPRODUCT((ListeB='recap S1'!$B12)*(OFFSET(ListeB,,4)='recap S1'!AL$3)*(OFFSET(ListeB,,1)='recap S1'!AL$2))&gt;0,SUMPRODUCT((ListeB='recap S1'!$B12)*(OFFSET(ListeB,,4)='recap S1'!AL$3)*(OFFSET(ListeB,,1)='recap S1'!AL$2)),"")</f>
        <v/>
      </c>
      <c r="AM12" s="32" t="str">
        <f ca="1">IF(SUMPRODUCT((ListeB='recap S1'!$B12)*(OFFSET(ListeB,,4)='recap S1'!AM$3)*(OFFSET(ListeB,,1)='recap S1'!AM$2))&gt;0,SUMPRODUCT((ListeB='recap S1'!$B12)*(OFFSET(ListeB,,4)='recap S1'!AM$3)*(OFFSET(ListeB,,1)='recap S1'!AM$2)),"")</f>
        <v/>
      </c>
      <c r="AN12" s="32" t="str">
        <f ca="1">IF(SUMPRODUCT((ListeB='recap S1'!$B12)*(OFFSET(ListeB,,4)='recap S1'!AN$3)*(OFFSET(ListeB,,1)='recap S1'!AN$2))&gt;0,SUMPRODUCT((ListeB='recap S1'!$B12)*(OFFSET(ListeB,,4)='recap S1'!AN$3)*(OFFSET(ListeB,,1)='recap S1'!AN$2)),"")</f>
        <v/>
      </c>
      <c r="AO12" s="32" t="str">
        <f ca="1">IF(SUMPRODUCT((ListeB='recap S1'!$B12)*(OFFSET(ListeB,,4)='recap S1'!AO$3)*(OFFSET(ListeB,,1)='recap S1'!AO$2))&gt;0,SUMPRODUCT((ListeB='recap S1'!$B12)*(OFFSET(ListeB,,4)='recap S1'!AO$3)*(OFFSET(ListeB,,1)='recap S1'!AO$2)),"")</f>
        <v/>
      </c>
      <c r="AP12" s="32" t="str">
        <f ca="1">IF(SUMPRODUCT((ListeB='recap S1'!$B12)*(OFFSET(ListeB,,4)='recap S1'!AP$3)*(OFFSET(ListeB,,1)='recap S1'!AP$2))&gt;0,SUMPRODUCT((ListeB='recap S1'!$B12)*(OFFSET(ListeB,,4)='recap S1'!AP$3)*(OFFSET(ListeB,,1)='recap S1'!AP$2)),"")</f>
        <v/>
      </c>
      <c r="AQ12" s="32" t="str">
        <f ca="1">IF(SUMPRODUCT((ListeB='recap S1'!$B12)*(OFFSET(ListeB,,4)='recap S1'!AQ$3)*(OFFSET(ListeB,,1)='recap S1'!AQ$2))&gt;0,SUMPRODUCT((ListeB='recap S1'!$B12)*(OFFSET(ListeB,,4)='recap S1'!AQ$3)*(OFFSET(ListeB,,1)='recap S1'!AQ$2)),"")</f>
        <v/>
      </c>
      <c r="AR12" s="32" t="str">
        <f ca="1">IF(SUMPRODUCT((ListeB='recap S1'!$B12)*(OFFSET(ListeB,,4)='recap S1'!AR$3)*(OFFSET(ListeB,,1)='recap S1'!AR$2))&gt;0,SUMPRODUCT((ListeB='recap S1'!$B12)*(OFFSET(ListeB,,4)='recap S1'!AR$3)*(OFFSET(ListeB,,1)='recap S1'!AR$2)),"")</f>
        <v/>
      </c>
      <c r="AS12" s="32" t="str">
        <f ca="1">IF(SUMPRODUCT((ListeB='recap S1'!$B12)*(OFFSET(ListeB,,4)='recap S1'!AS$3)*(OFFSET(ListeB,,1)='recap S1'!AS$2))&gt;0,SUMPRODUCT((ListeB='recap S1'!$B12)*(OFFSET(ListeB,,4)='recap S1'!AS$3)*(OFFSET(ListeB,,1)='recap S1'!AS$2)),"")</f>
        <v/>
      </c>
      <c r="AT12" s="32" t="str">
        <f ca="1">IF(SUMPRODUCT((ListeB='recap S1'!$B12)*(OFFSET(ListeB,,4)='recap S1'!AT$3)*(OFFSET(ListeB,,1)='recap S1'!AT$2))&gt;0,SUMPRODUCT((ListeB='recap S1'!$B12)*(OFFSET(ListeB,,4)='recap S1'!AT$3)*(OFFSET(ListeB,,1)='recap S1'!AT$2)),"")</f>
        <v/>
      </c>
      <c r="AU12" s="32" t="str">
        <f ca="1">IF(SUMPRODUCT((ListeB='recap S1'!$B12)*(OFFSET(ListeB,,4)='recap S1'!AU$3)*(OFFSET(ListeB,,1)='recap S1'!AU$2))&gt;0,SUMPRODUCT((ListeB='recap S1'!$B12)*(OFFSET(ListeB,,4)='recap S1'!AU$3)*(OFFSET(ListeB,,1)='recap S1'!AU$2)),"")</f>
        <v/>
      </c>
      <c r="AV12" s="32" t="str">
        <f ca="1">IF(SUMPRODUCT((ListeB='recap S1'!$B12)*(OFFSET(ListeB,,4)='recap S1'!AV$3)*(OFFSET(ListeB,,1)='recap S1'!AV$2))&gt;0,SUMPRODUCT((ListeB='recap S1'!$B12)*(OFFSET(ListeB,,4)='recap S1'!AV$3)*(OFFSET(ListeB,,1)='recap S1'!AV$2)),"")</f>
        <v/>
      </c>
      <c r="AW12" s="32" t="str">
        <f ca="1">IF(SUMPRODUCT((ListeB='recap S1'!$B12)*(OFFSET(ListeB,,4)='recap S1'!AW$3)*(OFFSET(ListeB,,1)='recap S1'!AW$2))&gt;0,SUMPRODUCT((ListeB='recap S1'!$B12)*(OFFSET(ListeB,,4)='recap S1'!AW$3)*(OFFSET(ListeB,,1)='recap S1'!AW$2)),"")</f>
        <v/>
      </c>
      <c r="AX12" s="32" t="str">
        <f ca="1">IF(SUMPRODUCT((ListeB='recap S1'!$B12)*(OFFSET(ListeB,,4)='recap S1'!AX$3)*(OFFSET(ListeB,,1)='recap S1'!AX$2))&gt;0,SUMPRODUCT((ListeB='recap S1'!$B12)*(OFFSET(ListeB,,4)='recap S1'!AX$3)*(OFFSET(ListeB,,1)='recap S1'!AX$2)),"")</f>
        <v/>
      </c>
      <c r="AY12" s="32" t="str">
        <f ca="1">IF(SUMPRODUCT((ListeB='recap S1'!$B12)*(OFFSET(ListeB,,4)='recap S1'!AY$3)*(OFFSET(ListeB,,1)='recap S1'!AY$2))&gt;0,SUMPRODUCT((ListeB='recap S1'!$B12)*(OFFSET(ListeB,,4)='recap S1'!AY$3)*(OFFSET(ListeB,,1)='recap S1'!AY$2)),"")</f>
        <v/>
      </c>
      <c r="AZ12" s="32">
        <f t="shared" ca="1" si="0"/>
        <v>0</v>
      </c>
    </row>
    <row r="13" spans="1:52">
      <c r="A13" s="41">
        <f>IF('SEANCE 1'!$B11&lt;&gt;"",'SEANCE 1'!$A11,"")</f>
        <v>10</v>
      </c>
      <c r="B13" s="41" t="str">
        <f t="array" aca="1" ref="B13" ca="1">IF(ISNA(INDEX(ListeB,MATCH(0,COUNTIF($B$3:B12,ListeB),0))),"",INDEX(ListeB,MATCH(0,COUNTIF($B$3:B12,ListeB),0)))</f>
        <v/>
      </c>
      <c r="C13" s="32" t="str">
        <f ca="1">IF(SUMPRODUCT((ListeB='recap S1'!$B13)*(OFFSET(ListeB,,4)='recap S1'!C$3)*(OFFSET(ListeB,,1)='recap S1'!C$2))&gt;0,SUMPRODUCT((ListeB='recap S1'!$B13)*(OFFSET(ListeB,,4)='recap S1'!C$3)*(OFFSET(ListeB,,1)='recap S1'!C$2)),"")</f>
        <v/>
      </c>
      <c r="D13" s="32" t="str">
        <f ca="1">IF(SUMPRODUCT((ListeB='recap S1'!$B13)*(OFFSET(ListeB,,4)='recap S1'!D$3)*(OFFSET(ListeB,,1)='recap S1'!D$2))&gt;0,SUMPRODUCT((ListeB='recap S1'!$B13)*(OFFSET(ListeB,,4)='recap S1'!D$3)*(OFFSET(ListeB,,1)='recap S1'!D$2)),"")</f>
        <v/>
      </c>
      <c r="E13" s="32" t="str">
        <f ca="1">IF(SUMPRODUCT((ListeB='recap S1'!$B13)*(OFFSET(ListeB,,4)='recap S1'!E$3)*(OFFSET(ListeB,,1)='recap S1'!E$2))&gt;0,SUMPRODUCT((ListeB='recap S1'!$B13)*(OFFSET(ListeB,,4)='recap S1'!E$3)*(OFFSET(ListeB,,1)='recap S1'!E$2)),"")</f>
        <v/>
      </c>
      <c r="F13" s="32" t="str">
        <f ca="1">IF(SUMPRODUCT((ListeB='recap S1'!$B13)*(OFFSET(ListeB,,4)='recap S1'!F$3)*(OFFSET(ListeB,,1)='recap S1'!F$2))&gt;0,SUMPRODUCT((ListeB='recap S1'!$B13)*(OFFSET(ListeB,,4)='recap S1'!F$3)*(OFFSET(ListeB,,1)='recap S1'!F$2)),"")</f>
        <v/>
      </c>
      <c r="G13" s="32" t="str">
        <f ca="1">IF(SUMPRODUCT((ListeB='recap S1'!$B13)*(OFFSET(ListeB,,4)='recap S1'!G$3)*(OFFSET(ListeB,,1)='recap S1'!G$2))&gt;0,SUMPRODUCT((ListeB='recap S1'!$B13)*(OFFSET(ListeB,,4)='recap S1'!G$3)*(OFFSET(ListeB,,1)='recap S1'!G$2)),"")</f>
        <v/>
      </c>
      <c r="H13" s="32" t="str">
        <f ca="1">IF(SUMPRODUCT((ListeB='recap S1'!$B13)*(OFFSET(ListeB,,4)='recap S1'!H$3)*(OFFSET(ListeB,,1)='recap S1'!H$2))&gt;0,SUMPRODUCT((ListeB='recap S1'!$B13)*(OFFSET(ListeB,,4)='recap S1'!H$3)*(OFFSET(ListeB,,1)='recap S1'!H$2)),"")</f>
        <v/>
      </c>
      <c r="I13" s="32" t="str">
        <f ca="1">IF(SUMPRODUCT((ListeB='recap S1'!$B13)*(OFFSET(ListeB,,4)='recap S1'!I$3)*(OFFSET(ListeB,,1)='recap S1'!I$2))&gt;0,SUMPRODUCT((ListeB='recap S1'!$B13)*(OFFSET(ListeB,,4)='recap S1'!I$3)*(OFFSET(ListeB,,1)='recap S1'!I$2)),"")</f>
        <v/>
      </c>
      <c r="J13" s="32" t="str">
        <f ca="1">IF(SUMPRODUCT((ListeB='recap S1'!$B13)*(OFFSET(ListeB,,4)='recap S1'!J$3)*(OFFSET(ListeB,,1)='recap S1'!J$2))&gt;0,SUMPRODUCT((ListeB='recap S1'!$B13)*(OFFSET(ListeB,,4)='recap S1'!J$3)*(OFFSET(ListeB,,1)='recap S1'!J$2)),"")</f>
        <v/>
      </c>
      <c r="K13" s="32" t="str">
        <f ca="1">IF(SUMPRODUCT((ListeB='recap S1'!$B13)*(OFFSET(ListeB,,4)='recap S1'!K$3)*(OFFSET(ListeB,,1)='recap S1'!K$2))&gt;0,SUMPRODUCT((ListeB='recap S1'!$B13)*(OFFSET(ListeB,,4)='recap S1'!K$3)*(OFFSET(ListeB,,1)='recap S1'!K$2)),"")</f>
        <v/>
      </c>
      <c r="L13" s="32" t="str">
        <f ca="1">IF(SUMPRODUCT((ListeB='recap S1'!$B13)*(OFFSET(ListeB,,4)='recap S1'!L$3)*(OFFSET(ListeB,,1)='recap S1'!L$2))&gt;0,SUMPRODUCT((ListeB='recap S1'!$B13)*(OFFSET(ListeB,,4)='recap S1'!L$3)*(OFFSET(ListeB,,1)='recap S1'!L$2)),"")</f>
        <v/>
      </c>
      <c r="M13" s="32" t="str">
        <f ca="1">IF(SUMPRODUCT((ListeB='recap S1'!$B13)*(OFFSET(ListeB,,4)='recap S1'!M$3)*(OFFSET(ListeB,,1)='recap S1'!M$2))&gt;0,SUMPRODUCT((ListeB='recap S1'!$B13)*(OFFSET(ListeB,,4)='recap S1'!M$3)*(OFFSET(ListeB,,1)='recap S1'!M$2)),"")</f>
        <v/>
      </c>
      <c r="N13" s="32" t="str">
        <f ca="1">IF(SUMPRODUCT((ListeB='recap S1'!$B13)*(OFFSET(ListeB,,4)='recap S1'!N$3)*(OFFSET(ListeB,,1)='recap S1'!N$2))&gt;0,SUMPRODUCT((ListeB='recap S1'!$B13)*(OFFSET(ListeB,,4)='recap S1'!N$3)*(OFFSET(ListeB,,1)='recap S1'!N$2)),"")</f>
        <v/>
      </c>
      <c r="O13" s="32" t="str">
        <f ca="1">IF(SUMPRODUCT((ListeB='recap S1'!$B13)*(OFFSET(ListeB,,4)='recap S1'!O$3)*(OFFSET(ListeB,,1)='recap S1'!O$2))&gt;0,SUMPRODUCT((ListeB='recap S1'!$B13)*(OFFSET(ListeB,,4)='recap S1'!O$3)*(OFFSET(ListeB,,1)='recap S1'!O$2)),"")</f>
        <v/>
      </c>
      <c r="P13" s="32" t="str">
        <f ca="1">IF(SUMPRODUCT((ListeB='recap S1'!$B13)*(OFFSET(ListeB,,4)='recap S1'!P$3)*(OFFSET(ListeB,,1)='recap S1'!P$2))&gt;0,SUMPRODUCT((ListeB='recap S1'!$B13)*(OFFSET(ListeB,,4)='recap S1'!P$3)*(OFFSET(ListeB,,1)='recap S1'!P$2)),"")</f>
        <v/>
      </c>
      <c r="Q13" s="32" t="str">
        <f ca="1">IF(SUMPRODUCT((ListeB='recap S1'!$B13)*(OFFSET(ListeB,,4)='recap S1'!Q$3)*(OFFSET(ListeB,,1)='recap S1'!Q$2))&gt;0,SUMPRODUCT((ListeB='recap S1'!$B13)*(OFFSET(ListeB,,4)='recap S1'!Q$3)*(OFFSET(ListeB,,1)='recap S1'!Q$2)),"")</f>
        <v/>
      </c>
      <c r="R13" s="32" t="str">
        <f ca="1">IF(SUMPRODUCT((ListeB='recap S1'!$B13)*(OFFSET(ListeB,,4)='recap S1'!R$3)*(OFFSET(ListeB,,1)='recap S1'!R$2))&gt;0,SUMPRODUCT((ListeB='recap S1'!$B13)*(OFFSET(ListeB,,4)='recap S1'!R$3)*(OFFSET(ListeB,,1)='recap S1'!R$2)),"")</f>
        <v/>
      </c>
      <c r="S13" s="32" t="str">
        <f ca="1">IF(SUMPRODUCT((ListeB='recap S1'!$B13)*(OFFSET(ListeB,,4)='recap S1'!S$3)*(OFFSET(ListeB,,1)='recap S1'!S$2))&gt;0,SUMPRODUCT((ListeB='recap S1'!$B13)*(OFFSET(ListeB,,4)='recap S1'!S$3)*(OFFSET(ListeB,,1)='recap S1'!S$2)),"")</f>
        <v/>
      </c>
      <c r="T13" s="32" t="str">
        <f ca="1">IF(SUMPRODUCT((ListeB='recap S1'!$B13)*(OFFSET(ListeB,,4)='recap S1'!T$3)*(OFFSET(ListeB,,1)='recap S1'!T$2))&gt;0,SUMPRODUCT((ListeB='recap S1'!$B13)*(OFFSET(ListeB,,4)='recap S1'!T$3)*(OFFSET(ListeB,,1)='recap S1'!T$2)),"")</f>
        <v/>
      </c>
      <c r="U13" s="32" t="str">
        <f ca="1">IF(SUMPRODUCT((ListeB='recap S1'!$B13)*(OFFSET(ListeB,,4)='recap S1'!U$3)*(OFFSET(ListeB,,1)='recap S1'!U$2))&gt;0,SUMPRODUCT((ListeB='recap S1'!$B13)*(OFFSET(ListeB,,4)='recap S1'!U$3)*(OFFSET(ListeB,,1)='recap S1'!U$2)),"")</f>
        <v/>
      </c>
      <c r="V13" s="32" t="str">
        <f ca="1">IF(SUMPRODUCT((ListeB='recap S1'!$B13)*(OFFSET(ListeB,,4)='recap S1'!V$3)*(OFFSET(ListeB,,1)='recap S1'!V$2))&gt;0,SUMPRODUCT((ListeB='recap S1'!$B13)*(OFFSET(ListeB,,4)='recap S1'!V$3)*(OFFSET(ListeB,,1)='recap S1'!V$2)),"")</f>
        <v/>
      </c>
      <c r="W13" s="32" t="str">
        <f ca="1">IF(SUMPRODUCT((ListeB='recap S1'!$B13)*(OFFSET(ListeB,,4)='recap S1'!W$3)*(OFFSET(ListeB,,1)='recap S1'!W$2))&gt;0,SUMPRODUCT((ListeB='recap S1'!$B13)*(OFFSET(ListeB,,4)='recap S1'!W$3)*(OFFSET(ListeB,,1)='recap S1'!W$2)),"")</f>
        <v/>
      </c>
      <c r="X13" s="32" t="str">
        <f ca="1">IF(SUMPRODUCT((ListeB='recap S1'!$B13)*(OFFSET(ListeB,,4)='recap S1'!X$3)*(OFFSET(ListeB,,1)='recap S1'!X$2))&gt;0,SUMPRODUCT((ListeB='recap S1'!$B13)*(OFFSET(ListeB,,4)='recap S1'!X$3)*(OFFSET(ListeB,,1)='recap S1'!X$2)),"")</f>
        <v/>
      </c>
      <c r="Y13" s="32" t="str">
        <f ca="1">IF(SUMPRODUCT((ListeB='recap S1'!$B13)*(OFFSET(ListeB,,4)='recap S1'!Y$3)*(OFFSET(ListeB,,1)='recap S1'!Y$2))&gt;0,SUMPRODUCT((ListeB='recap S1'!$B13)*(OFFSET(ListeB,,4)='recap S1'!Y$3)*(OFFSET(ListeB,,1)='recap S1'!Y$2)),"")</f>
        <v/>
      </c>
      <c r="Z13" s="32" t="str">
        <f ca="1">IF(SUMPRODUCT((ListeB='recap S1'!$B13)*(OFFSET(ListeB,,4)='recap S1'!Z$3)*(OFFSET(ListeB,,1)='recap S1'!Z$2))&gt;0,SUMPRODUCT((ListeB='recap S1'!$B13)*(OFFSET(ListeB,,4)='recap S1'!Z$3)*(OFFSET(ListeB,,1)='recap S1'!Z$2)),"")</f>
        <v/>
      </c>
      <c r="AA13" s="32" t="str">
        <f ca="1">IF(SUMPRODUCT((ListeB='recap S1'!$B13)*(OFFSET(ListeB,,4)='recap S1'!AA$3)*(OFFSET(ListeB,,1)='recap S1'!AA$2))&gt;0,SUMPRODUCT((ListeB='recap S1'!$B13)*(OFFSET(ListeB,,4)='recap S1'!AA$3)*(OFFSET(ListeB,,1)='recap S1'!AA$2)),"")</f>
        <v/>
      </c>
      <c r="AB13" s="32" t="str">
        <f ca="1">IF(SUMPRODUCT((ListeB='recap S1'!$B13)*(OFFSET(ListeB,,4)='recap S1'!AB$3)*(OFFSET(ListeB,,1)='recap S1'!AB$2))&gt;0,SUMPRODUCT((ListeB='recap S1'!$B13)*(OFFSET(ListeB,,4)='recap S1'!AB$3)*(OFFSET(ListeB,,1)='recap S1'!AB$2)),"")</f>
        <v/>
      </c>
      <c r="AC13" s="32" t="str">
        <f ca="1">IF(SUMPRODUCT((ListeB='recap S1'!$B13)*(OFFSET(ListeB,,4)='recap S1'!AC$3)*(OFFSET(ListeB,,1)='recap S1'!AC$2))&gt;0,SUMPRODUCT((ListeB='recap S1'!$B13)*(OFFSET(ListeB,,4)='recap S1'!AC$3)*(OFFSET(ListeB,,1)='recap S1'!AC$2)),"")</f>
        <v/>
      </c>
      <c r="AD13" s="32" t="str">
        <f ca="1">IF(SUMPRODUCT((ListeB='recap S1'!$B13)*(OFFSET(ListeB,,4)='recap S1'!AD$3)*(OFFSET(ListeB,,1)='recap S1'!AD$2))&gt;0,SUMPRODUCT((ListeB='recap S1'!$B13)*(OFFSET(ListeB,,4)='recap S1'!AD$3)*(OFFSET(ListeB,,1)='recap S1'!AD$2)),"")</f>
        <v/>
      </c>
      <c r="AE13" s="32" t="str">
        <f ca="1">IF(SUMPRODUCT((ListeB='recap S1'!$B13)*(OFFSET(ListeB,,4)='recap S1'!AE$3)*(OFFSET(ListeB,,1)='recap S1'!AE$2))&gt;0,SUMPRODUCT((ListeB='recap S1'!$B13)*(OFFSET(ListeB,,4)='recap S1'!AE$3)*(OFFSET(ListeB,,1)='recap S1'!AE$2)),"")</f>
        <v/>
      </c>
      <c r="AF13" s="32" t="str">
        <f ca="1">IF(SUMPRODUCT((ListeB='recap S1'!$B13)*(OFFSET(ListeB,,4)='recap S1'!AF$3)*(OFFSET(ListeB,,1)='recap S1'!AF$2))&gt;0,SUMPRODUCT((ListeB='recap S1'!$B13)*(OFFSET(ListeB,,4)='recap S1'!AF$3)*(OFFSET(ListeB,,1)='recap S1'!AF$2)),"")</f>
        <v/>
      </c>
      <c r="AG13" s="32" t="str">
        <f ca="1">IF(SUMPRODUCT((ListeB='recap S1'!$B13)*(OFFSET(ListeB,,4)='recap S1'!AG$3)*(OFFSET(ListeB,,1)='recap S1'!AG$2))&gt;0,SUMPRODUCT((ListeB='recap S1'!$B13)*(OFFSET(ListeB,,4)='recap S1'!AG$3)*(OFFSET(ListeB,,1)='recap S1'!AG$2)),"")</f>
        <v/>
      </c>
      <c r="AH13" s="32" t="str">
        <f ca="1">IF(SUMPRODUCT((ListeB='recap S1'!$B13)*(OFFSET(ListeB,,4)='recap S1'!AH$3)*(OFFSET(ListeB,,1)='recap S1'!AH$2))&gt;0,SUMPRODUCT((ListeB='recap S1'!$B13)*(OFFSET(ListeB,,4)='recap S1'!AH$3)*(OFFSET(ListeB,,1)='recap S1'!AH$2)),"")</f>
        <v/>
      </c>
      <c r="AI13" s="32" t="str">
        <f ca="1">IF(SUMPRODUCT((ListeB='recap S1'!$B13)*(OFFSET(ListeB,,4)='recap S1'!AI$3)*(OFFSET(ListeB,,1)='recap S1'!AI$2))&gt;0,SUMPRODUCT((ListeB='recap S1'!$B13)*(OFFSET(ListeB,,4)='recap S1'!AI$3)*(OFFSET(ListeB,,1)='recap S1'!AI$2)),"")</f>
        <v/>
      </c>
      <c r="AJ13" s="32" t="str">
        <f ca="1">IF(SUMPRODUCT((ListeB='recap S1'!$B13)*(OFFSET(ListeB,,4)='recap S1'!AJ$3)*(OFFSET(ListeB,,1)='recap S1'!AJ$2))&gt;0,SUMPRODUCT((ListeB='recap S1'!$B13)*(OFFSET(ListeB,,4)='recap S1'!AJ$3)*(OFFSET(ListeB,,1)='recap S1'!AJ$2)),"")</f>
        <v/>
      </c>
      <c r="AK13" s="32" t="str">
        <f ca="1">IF(SUMPRODUCT((ListeB='recap S1'!$B13)*(OFFSET(ListeB,,4)='recap S1'!AK$3)*(OFFSET(ListeB,,1)='recap S1'!AK$2))&gt;0,SUMPRODUCT((ListeB='recap S1'!$B13)*(OFFSET(ListeB,,4)='recap S1'!AK$3)*(OFFSET(ListeB,,1)='recap S1'!AK$2)),"")</f>
        <v/>
      </c>
      <c r="AL13" s="32" t="str">
        <f ca="1">IF(SUMPRODUCT((ListeB='recap S1'!$B13)*(OFFSET(ListeB,,4)='recap S1'!AL$3)*(OFFSET(ListeB,,1)='recap S1'!AL$2))&gt;0,SUMPRODUCT((ListeB='recap S1'!$B13)*(OFFSET(ListeB,,4)='recap S1'!AL$3)*(OFFSET(ListeB,,1)='recap S1'!AL$2)),"")</f>
        <v/>
      </c>
      <c r="AM13" s="32" t="str">
        <f ca="1">IF(SUMPRODUCT((ListeB='recap S1'!$B13)*(OFFSET(ListeB,,4)='recap S1'!AM$3)*(OFFSET(ListeB,,1)='recap S1'!AM$2))&gt;0,SUMPRODUCT((ListeB='recap S1'!$B13)*(OFFSET(ListeB,,4)='recap S1'!AM$3)*(OFFSET(ListeB,,1)='recap S1'!AM$2)),"")</f>
        <v/>
      </c>
      <c r="AN13" s="32" t="str">
        <f ca="1">IF(SUMPRODUCT((ListeB='recap S1'!$B13)*(OFFSET(ListeB,,4)='recap S1'!AN$3)*(OFFSET(ListeB,,1)='recap S1'!AN$2))&gt;0,SUMPRODUCT((ListeB='recap S1'!$B13)*(OFFSET(ListeB,,4)='recap S1'!AN$3)*(OFFSET(ListeB,,1)='recap S1'!AN$2)),"")</f>
        <v/>
      </c>
      <c r="AO13" s="32" t="str">
        <f ca="1">IF(SUMPRODUCT((ListeB='recap S1'!$B13)*(OFFSET(ListeB,,4)='recap S1'!AO$3)*(OFFSET(ListeB,,1)='recap S1'!AO$2))&gt;0,SUMPRODUCT((ListeB='recap S1'!$B13)*(OFFSET(ListeB,,4)='recap S1'!AO$3)*(OFFSET(ListeB,,1)='recap S1'!AO$2)),"")</f>
        <v/>
      </c>
      <c r="AP13" s="32" t="str">
        <f ca="1">IF(SUMPRODUCT((ListeB='recap S1'!$B13)*(OFFSET(ListeB,,4)='recap S1'!AP$3)*(OFFSET(ListeB,,1)='recap S1'!AP$2))&gt;0,SUMPRODUCT((ListeB='recap S1'!$B13)*(OFFSET(ListeB,,4)='recap S1'!AP$3)*(OFFSET(ListeB,,1)='recap S1'!AP$2)),"")</f>
        <v/>
      </c>
      <c r="AQ13" s="32" t="str">
        <f ca="1">IF(SUMPRODUCT((ListeB='recap S1'!$B13)*(OFFSET(ListeB,,4)='recap S1'!AQ$3)*(OFFSET(ListeB,,1)='recap S1'!AQ$2))&gt;0,SUMPRODUCT((ListeB='recap S1'!$B13)*(OFFSET(ListeB,,4)='recap S1'!AQ$3)*(OFFSET(ListeB,,1)='recap S1'!AQ$2)),"")</f>
        <v/>
      </c>
      <c r="AR13" s="32" t="str">
        <f ca="1">IF(SUMPRODUCT((ListeB='recap S1'!$B13)*(OFFSET(ListeB,,4)='recap S1'!AR$3)*(OFFSET(ListeB,,1)='recap S1'!AR$2))&gt;0,SUMPRODUCT((ListeB='recap S1'!$B13)*(OFFSET(ListeB,,4)='recap S1'!AR$3)*(OFFSET(ListeB,,1)='recap S1'!AR$2)),"")</f>
        <v/>
      </c>
      <c r="AS13" s="32" t="str">
        <f ca="1">IF(SUMPRODUCT((ListeB='recap S1'!$B13)*(OFFSET(ListeB,,4)='recap S1'!AS$3)*(OFFSET(ListeB,,1)='recap S1'!AS$2))&gt;0,SUMPRODUCT((ListeB='recap S1'!$B13)*(OFFSET(ListeB,,4)='recap S1'!AS$3)*(OFFSET(ListeB,,1)='recap S1'!AS$2)),"")</f>
        <v/>
      </c>
      <c r="AT13" s="32" t="str">
        <f ca="1">IF(SUMPRODUCT((ListeB='recap S1'!$B13)*(OFFSET(ListeB,,4)='recap S1'!AT$3)*(OFFSET(ListeB,,1)='recap S1'!AT$2))&gt;0,SUMPRODUCT((ListeB='recap S1'!$B13)*(OFFSET(ListeB,,4)='recap S1'!AT$3)*(OFFSET(ListeB,,1)='recap S1'!AT$2)),"")</f>
        <v/>
      </c>
      <c r="AU13" s="32" t="str">
        <f ca="1">IF(SUMPRODUCT((ListeB='recap S1'!$B13)*(OFFSET(ListeB,,4)='recap S1'!AU$3)*(OFFSET(ListeB,,1)='recap S1'!AU$2))&gt;0,SUMPRODUCT((ListeB='recap S1'!$B13)*(OFFSET(ListeB,,4)='recap S1'!AU$3)*(OFFSET(ListeB,,1)='recap S1'!AU$2)),"")</f>
        <v/>
      </c>
      <c r="AV13" s="32" t="str">
        <f ca="1">IF(SUMPRODUCT((ListeB='recap S1'!$B13)*(OFFSET(ListeB,,4)='recap S1'!AV$3)*(OFFSET(ListeB,,1)='recap S1'!AV$2))&gt;0,SUMPRODUCT((ListeB='recap S1'!$B13)*(OFFSET(ListeB,,4)='recap S1'!AV$3)*(OFFSET(ListeB,,1)='recap S1'!AV$2)),"")</f>
        <v/>
      </c>
      <c r="AW13" s="32" t="str">
        <f ca="1">IF(SUMPRODUCT((ListeB='recap S1'!$B13)*(OFFSET(ListeB,,4)='recap S1'!AW$3)*(OFFSET(ListeB,,1)='recap S1'!AW$2))&gt;0,SUMPRODUCT((ListeB='recap S1'!$B13)*(OFFSET(ListeB,,4)='recap S1'!AW$3)*(OFFSET(ListeB,,1)='recap S1'!AW$2)),"")</f>
        <v/>
      </c>
      <c r="AX13" s="32" t="str">
        <f ca="1">IF(SUMPRODUCT((ListeB='recap S1'!$B13)*(OFFSET(ListeB,,4)='recap S1'!AX$3)*(OFFSET(ListeB,,1)='recap S1'!AX$2))&gt;0,SUMPRODUCT((ListeB='recap S1'!$B13)*(OFFSET(ListeB,,4)='recap S1'!AX$3)*(OFFSET(ListeB,,1)='recap S1'!AX$2)),"")</f>
        <v/>
      </c>
      <c r="AY13" s="32" t="str">
        <f ca="1">IF(SUMPRODUCT((ListeB='recap S1'!$B13)*(OFFSET(ListeB,,4)='recap S1'!AY$3)*(OFFSET(ListeB,,1)='recap S1'!AY$2))&gt;0,SUMPRODUCT((ListeB='recap S1'!$B13)*(OFFSET(ListeB,,4)='recap S1'!AY$3)*(OFFSET(ListeB,,1)='recap S1'!AY$2)),"")</f>
        <v/>
      </c>
      <c r="AZ13" s="32">
        <f t="shared" ca="1" si="0"/>
        <v>0</v>
      </c>
    </row>
    <row r="14" spans="1:52">
      <c r="A14" s="41" t="str">
        <f>IF('SEANCE 1'!$B12&lt;&gt;"",'SEANCE 1'!$A12,"")</f>
        <v/>
      </c>
      <c r="B14" s="41" t="str">
        <f t="array" aca="1" ref="B14" ca="1">IF(ISNA(INDEX(ListeB,MATCH(0,COUNTIF($B$3:B13,ListeB),0))),"",INDEX(ListeB,MATCH(0,COUNTIF($B$3:B13,ListeB),0)))</f>
        <v/>
      </c>
      <c r="C14" s="32" t="str">
        <f ca="1">IF(SUMPRODUCT((ListeB='recap S1'!$B14)*(OFFSET(ListeB,,4)='recap S1'!C$3)*(OFFSET(ListeB,,1)='recap S1'!C$2))&gt;0,SUMPRODUCT((ListeB='recap S1'!$B14)*(OFFSET(ListeB,,4)='recap S1'!C$3)*(OFFSET(ListeB,,1)='recap S1'!C$2)),"")</f>
        <v/>
      </c>
      <c r="D14" s="32" t="str">
        <f ca="1">IF(SUMPRODUCT((ListeB='recap S1'!$B14)*(OFFSET(ListeB,,4)='recap S1'!D$3)*(OFFSET(ListeB,,1)='recap S1'!D$2))&gt;0,SUMPRODUCT((ListeB='recap S1'!$B14)*(OFFSET(ListeB,,4)='recap S1'!D$3)*(OFFSET(ListeB,,1)='recap S1'!D$2)),"")</f>
        <v/>
      </c>
      <c r="E14" s="32" t="str">
        <f ca="1">IF(SUMPRODUCT((ListeB='recap S1'!$B14)*(OFFSET(ListeB,,4)='recap S1'!E$3)*(OFFSET(ListeB,,1)='recap S1'!E$2))&gt;0,SUMPRODUCT((ListeB='recap S1'!$B14)*(OFFSET(ListeB,,4)='recap S1'!E$3)*(OFFSET(ListeB,,1)='recap S1'!E$2)),"")</f>
        <v/>
      </c>
      <c r="F14" s="32" t="str">
        <f ca="1">IF(SUMPRODUCT((ListeB='recap S1'!$B14)*(OFFSET(ListeB,,4)='recap S1'!F$3)*(OFFSET(ListeB,,1)='recap S1'!F$2))&gt;0,SUMPRODUCT((ListeB='recap S1'!$B14)*(OFFSET(ListeB,,4)='recap S1'!F$3)*(OFFSET(ListeB,,1)='recap S1'!F$2)),"")</f>
        <v/>
      </c>
      <c r="G14" s="32" t="str">
        <f ca="1">IF(SUMPRODUCT((ListeB='recap S1'!$B14)*(OFFSET(ListeB,,4)='recap S1'!G$3)*(OFFSET(ListeB,,1)='recap S1'!G$2))&gt;0,SUMPRODUCT((ListeB='recap S1'!$B14)*(OFFSET(ListeB,,4)='recap S1'!G$3)*(OFFSET(ListeB,,1)='recap S1'!G$2)),"")</f>
        <v/>
      </c>
      <c r="H14" s="32" t="str">
        <f ca="1">IF(SUMPRODUCT((ListeB='recap S1'!$B14)*(OFFSET(ListeB,,4)='recap S1'!H$3)*(OFFSET(ListeB,,1)='recap S1'!H$2))&gt;0,SUMPRODUCT((ListeB='recap S1'!$B14)*(OFFSET(ListeB,,4)='recap S1'!H$3)*(OFFSET(ListeB,,1)='recap S1'!H$2)),"")</f>
        <v/>
      </c>
      <c r="I14" s="32" t="str">
        <f ca="1">IF(SUMPRODUCT((ListeB='recap S1'!$B14)*(OFFSET(ListeB,,4)='recap S1'!I$3)*(OFFSET(ListeB,,1)='recap S1'!I$2))&gt;0,SUMPRODUCT((ListeB='recap S1'!$B14)*(OFFSET(ListeB,,4)='recap S1'!I$3)*(OFFSET(ListeB,,1)='recap S1'!I$2)),"")</f>
        <v/>
      </c>
      <c r="J14" s="32" t="str">
        <f ca="1">IF(SUMPRODUCT((ListeB='recap S1'!$B14)*(OFFSET(ListeB,,4)='recap S1'!J$3)*(OFFSET(ListeB,,1)='recap S1'!J$2))&gt;0,SUMPRODUCT((ListeB='recap S1'!$B14)*(OFFSET(ListeB,,4)='recap S1'!J$3)*(OFFSET(ListeB,,1)='recap S1'!J$2)),"")</f>
        <v/>
      </c>
      <c r="K14" s="32" t="str">
        <f ca="1">IF(SUMPRODUCT((ListeB='recap S1'!$B14)*(OFFSET(ListeB,,4)='recap S1'!K$3)*(OFFSET(ListeB,,1)='recap S1'!K$2))&gt;0,SUMPRODUCT((ListeB='recap S1'!$B14)*(OFFSET(ListeB,,4)='recap S1'!K$3)*(OFFSET(ListeB,,1)='recap S1'!K$2)),"")</f>
        <v/>
      </c>
      <c r="L14" s="32" t="str">
        <f ca="1">IF(SUMPRODUCT((ListeB='recap S1'!$B14)*(OFFSET(ListeB,,4)='recap S1'!L$3)*(OFFSET(ListeB,,1)='recap S1'!L$2))&gt;0,SUMPRODUCT((ListeB='recap S1'!$B14)*(OFFSET(ListeB,,4)='recap S1'!L$3)*(OFFSET(ListeB,,1)='recap S1'!L$2)),"")</f>
        <v/>
      </c>
      <c r="M14" s="32" t="str">
        <f ca="1">IF(SUMPRODUCT((ListeB='recap S1'!$B14)*(OFFSET(ListeB,,4)='recap S1'!M$3)*(OFFSET(ListeB,,1)='recap S1'!M$2))&gt;0,SUMPRODUCT((ListeB='recap S1'!$B14)*(OFFSET(ListeB,,4)='recap S1'!M$3)*(OFFSET(ListeB,,1)='recap S1'!M$2)),"")</f>
        <v/>
      </c>
      <c r="N14" s="32" t="str">
        <f ca="1">IF(SUMPRODUCT((ListeB='recap S1'!$B14)*(OFFSET(ListeB,,4)='recap S1'!N$3)*(OFFSET(ListeB,,1)='recap S1'!N$2))&gt;0,SUMPRODUCT((ListeB='recap S1'!$B14)*(OFFSET(ListeB,,4)='recap S1'!N$3)*(OFFSET(ListeB,,1)='recap S1'!N$2)),"")</f>
        <v/>
      </c>
      <c r="O14" s="32" t="str">
        <f ca="1">IF(SUMPRODUCT((ListeB='recap S1'!$B14)*(OFFSET(ListeB,,4)='recap S1'!O$3)*(OFFSET(ListeB,,1)='recap S1'!O$2))&gt;0,SUMPRODUCT((ListeB='recap S1'!$B14)*(OFFSET(ListeB,,4)='recap S1'!O$3)*(OFFSET(ListeB,,1)='recap S1'!O$2)),"")</f>
        <v/>
      </c>
      <c r="P14" s="32" t="str">
        <f ca="1">IF(SUMPRODUCT((ListeB='recap S1'!$B14)*(OFFSET(ListeB,,4)='recap S1'!P$3)*(OFFSET(ListeB,,1)='recap S1'!P$2))&gt;0,SUMPRODUCT((ListeB='recap S1'!$B14)*(OFFSET(ListeB,,4)='recap S1'!P$3)*(OFFSET(ListeB,,1)='recap S1'!P$2)),"")</f>
        <v/>
      </c>
      <c r="Q14" s="32" t="str">
        <f ca="1">IF(SUMPRODUCT((ListeB='recap S1'!$B14)*(OFFSET(ListeB,,4)='recap S1'!Q$3)*(OFFSET(ListeB,,1)='recap S1'!Q$2))&gt;0,SUMPRODUCT((ListeB='recap S1'!$B14)*(OFFSET(ListeB,,4)='recap S1'!Q$3)*(OFFSET(ListeB,,1)='recap S1'!Q$2)),"")</f>
        <v/>
      </c>
      <c r="R14" s="32" t="str">
        <f ca="1">IF(SUMPRODUCT((ListeB='recap S1'!$B14)*(OFFSET(ListeB,,4)='recap S1'!R$3)*(OFFSET(ListeB,,1)='recap S1'!R$2))&gt;0,SUMPRODUCT((ListeB='recap S1'!$B14)*(OFFSET(ListeB,,4)='recap S1'!R$3)*(OFFSET(ListeB,,1)='recap S1'!R$2)),"")</f>
        <v/>
      </c>
      <c r="S14" s="32" t="str">
        <f ca="1">IF(SUMPRODUCT((ListeB='recap S1'!$B14)*(OFFSET(ListeB,,4)='recap S1'!S$3)*(OFFSET(ListeB,,1)='recap S1'!S$2))&gt;0,SUMPRODUCT((ListeB='recap S1'!$B14)*(OFFSET(ListeB,,4)='recap S1'!S$3)*(OFFSET(ListeB,,1)='recap S1'!S$2)),"")</f>
        <v/>
      </c>
      <c r="T14" s="32" t="str">
        <f ca="1">IF(SUMPRODUCT((ListeB='recap S1'!$B14)*(OFFSET(ListeB,,4)='recap S1'!T$3)*(OFFSET(ListeB,,1)='recap S1'!T$2))&gt;0,SUMPRODUCT((ListeB='recap S1'!$B14)*(OFFSET(ListeB,,4)='recap S1'!T$3)*(OFFSET(ListeB,,1)='recap S1'!T$2)),"")</f>
        <v/>
      </c>
      <c r="U14" s="32" t="str">
        <f ca="1">IF(SUMPRODUCT((ListeB='recap S1'!$B14)*(OFFSET(ListeB,,4)='recap S1'!U$3)*(OFFSET(ListeB,,1)='recap S1'!U$2))&gt;0,SUMPRODUCT((ListeB='recap S1'!$B14)*(OFFSET(ListeB,,4)='recap S1'!U$3)*(OFFSET(ListeB,,1)='recap S1'!U$2)),"")</f>
        <v/>
      </c>
      <c r="V14" s="32" t="str">
        <f ca="1">IF(SUMPRODUCT((ListeB='recap S1'!$B14)*(OFFSET(ListeB,,4)='recap S1'!V$3)*(OFFSET(ListeB,,1)='recap S1'!V$2))&gt;0,SUMPRODUCT((ListeB='recap S1'!$B14)*(OFFSET(ListeB,,4)='recap S1'!V$3)*(OFFSET(ListeB,,1)='recap S1'!V$2)),"")</f>
        <v/>
      </c>
      <c r="W14" s="32" t="str">
        <f ca="1">IF(SUMPRODUCT((ListeB='recap S1'!$B14)*(OFFSET(ListeB,,4)='recap S1'!W$3)*(OFFSET(ListeB,,1)='recap S1'!W$2))&gt;0,SUMPRODUCT((ListeB='recap S1'!$B14)*(OFFSET(ListeB,,4)='recap S1'!W$3)*(OFFSET(ListeB,,1)='recap S1'!W$2)),"")</f>
        <v/>
      </c>
      <c r="X14" s="32" t="str">
        <f ca="1">IF(SUMPRODUCT((ListeB='recap S1'!$B14)*(OFFSET(ListeB,,4)='recap S1'!X$3)*(OFFSET(ListeB,,1)='recap S1'!X$2))&gt;0,SUMPRODUCT((ListeB='recap S1'!$B14)*(OFFSET(ListeB,,4)='recap S1'!X$3)*(OFFSET(ListeB,,1)='recap S1'!X$2)),"")</f>
        <v/>
      </c>
      <c r="Y14" s="32" t="str">
        <f ca="1">IF(SUMPRODUCT((ListeB='recap S1'!$B14)*(OFFSET(ListeB,,4)='recap S1'!Y$3)*(OFFSET(ListeB,,1)='recap S1'!Y$2))&gt;0,SUMPRODUCT((ListeB='recap S1'!$B14)*(OFFSET(ListeB,,4)='recap S1'!Y$3)*(OFFSET(ListeB,,1)='recap S1'!Y$2)),"")</f>
        <v/>
      </c>
      <c r="Z14" s="32" t="str">
        <f ca="1">IF(SUMPRODUCT((ListeB='recap S1'!$B14)*(OFFSET(ListeB,,4)='recap S1'!Z$3)*(OFFSET(ListeB,,1)='recap S1'!Z$2))&gt;0,SUMPRODUCT((ListeB='recap S1'!$B14)*(OFFSET(ListeB,,4)='recap S1'!Z$3)*(OFFSET(ListeB,,1)='recap S1'!Z$2)),"")</f>
        <v/>
      </c>
      <c r="AA14" s="32" t="str">
        <f ca="1">IF(SUMPRODUCT((ListeB='recap S1'!$B14)*(OFFSET(ListeB,,4)='recap S1'!AA$3)*(OFFSET(ListeB,,1)='recap S1'!AA$2))&gt;0,SUMPRODUCT((ListeB='recap S1'!$B14)*(OFFSET(ListeB,,4)='recap S1'!AA$3)*(OFFSET(ListeB,,1)='recap S1'!AA$2)),"")</f>
        <v/>
      </c>
      <c r="AB14" s="32" t="str">
        <f ca="1">IF(SUMPRODUCT((ListeB='recap S1'!$B14)*(OFFSET(ListeB,,4)='recap S1'!AB$3)*(OFFSET(ListeB,,1)='recap S1'!AB$2))&gt;0,SUMPRODUCT((ListeB='recap S1'!$B14)*(OFFSET(ListeB,,4)='recap S1'!AB$3)*(OFFSET(ListeB,,1)='recap S1'!AB$2)),"")</f>
        <v/>
      </c>
      <c r="AC14" s="32" t="str">
        <f ca="1">IF(SUMPRODUCT((ListeB='recap S1'!$B14)*(OFFSET(ListeB,,4)='recap S1'!AC$3)*(OFFSET(ListeB,,1)='recap S1'!AC$2))&gt;0,SUMPRODUCT((ListeB='recap S1'!$B14)*(OFFSET(ListeB,,4)='recap S1'!AC$3)*(OFFSET(ListeB,,1)='recap S1'!AC$2)),"")</f>
        <v/>
      </c>
      <c r="AD14" s="32" t="str">
        <f ca="1">IF(SUMPRODUCT((ListeB='recap S1'!$B14)*(OFFSET(ListeB,,4)='recap S1'!AD$3)*(OFFSET(ListeB,,1)='recap S1'!AD$2))&gt;0,SUMPRODUCT((ListeB='recap S1'!$B14)*(OFFSET(ListeB,,4)='recap S1'!AD$3)*(OFFSET(ListeB,,1)='recap S1'!AD$2)),"")</f>
        <v/>
      </c>
      <c r="AE14" s="32" t="str">
        <f ca="1">IF(SUMPRODUCT((ListeB='recap S1'!$B14)*(OFFSET(ListeB,,4)='recap S1'!AE$3)*(OFFSET(ListeB,,1)='recap S1'!AE$2))&gt;0,SUMPRODUCT((ListeB='recap S1'!$B14)*(OFFSET(ListeB,,4)='recap S1'!AE$3)*(OFFSET(ListeB,,1)='recap S1'!AE$2)),"")</f>
        <v/>
      </c>
      <c r="AF14" s="32" t="str">
        <f ca="1">IF(SUMPRODUCT((ListeB='recap S1'!$B14)*(OFFSET(ListeB,,4)='recap S1'!AF$3)*(OFFSET(ListeB,,1)='recap S1'!AF$2))&gt;0,SUMPRODUCT((ListeB='recap S1'!$B14)*(OFFSET(ListeB,,4)='recap S1'!AF$3)*(OFFSET(ListeB,,1)='recap S1'!AF$2)),"")</f>
        <v/>
      </c>
      <c r="AG14" s="32" t="str">
        <f ca="1">IF(SUMPRODUCT((ListeB='recap S1'!$B14)*(OFFSET(ListeB,,4)='recap S1'!AG$3)*(OFFSET(ListeB,,1)='recap S1'!AG$2))&gt;0,SUMPRODUCT((ListeB='recap S1'!$B14)*(OFFSET(ListeB,,4)='recap S1'!AG$3)*(OFFSET(ListeB,,1)='recap S1'!AG$2)),"")</f>
        <v/>
      </c>
      <c r="AH14" s="32" t="str">
        <f ca="1">IF(SUMPRODUCT((ListeB='recap S1'!$B14)*(OFFSET(ListeB,,4)='recap S1'!AH$3)*(OFFSET(ListeB,,1)='recap S1'!AH$2))&gt;0,SUMPRODUCT((ListeB='recap S1'!$B14)*(OFFSET(ListeB,,4)='recap S1'!AH$3)*(OFFSET(ListeB,,1)='recap S1'!AH$2)),"")</f>
        <v/>
      </c>
      <c r="AI14" s="32" t="str">
        <f ca="1">IF(SUMPRODUCT((ListeB='recap S1'!$B14)*(OFFSET(ListeB,,4)='recap S1'!AI$3)*(OFFSET(ListeB,,1)='recap S1'!AI$2))&gt;0,SUMPRODUCT((ListeB='recap S1'!$B14)*(OFFSET(ListeB,,4)='recap S1'!AI$3)*(OFFSET(ListeB,,1)='recap S1'!AI$2)),"")</f>
        <v/>
      </c>
      <c r="AJ14" s="32" t="str">
        <f ca="1">IF(SUMPRODUCT((ListeB='recap S1'!$B14)*(OFFSET(ListeB,,4)='recap S1'!AJ$3)*(OFFSET(ListeB,,1)='recap S1'!AJ$2))&gt;0,SUMPRODUCT((ListeB='recap S1'!$B14)*(OFFSET(ListeB,,4)='recap S1'!AJ$3)*(OFFSET(ListeB,,1)='recap S1'!AJ$2)),"")</f>
        <v/>
      </c>
      <c r="AK14" s="32" t="str">
        <f ca="1">IF(SUMPRODUCT((ListeB='recap S1'!$B14)*(OFFSET(ListeB,,4)='recap S1'!AK$3)*(OFFSET(ListeB,,1)='recap S1'!AK$2))&gt;0,SUMPRODUCT((ListeB='recap S1'!$B14)*(OFFSET(ListeB,,4)='recap S1'!AK$3)*(OFFSET(ListeB,,1)='recap S1'!AK$2)),"")</f>
        <v/>
      </c>
      <c r="AL14" s="32" t="str">
        <f ca="1">IF(SUMPRODUCT((ListeB='recap S1'!$B14)*(OFFSET(ListeB,,4)='recap S1'!AL$3)*(OFFSET(ListeB,,1)='recap S1'!AL$2))&gt;0,SUMPRODUCT((ListeB='recap S1'!$B14)*(OFFSET(ListeB,,4)='recap S1'!AL$3)*(OFFSET(ListeB,,1)='recap S1'!AL$2)),"")</f>
        <v/>
      </c>
      <c r="AM14" s="32" t="str">
        <f ca="1">IF(SUMPRODUCT((ListeB='recap S1'!$B14)*(OFFSET(ListeB,,4)='recap S1'!AM$3)*(OFFSET(ListeB,,1)='recap S1'!AM$2))&gt;0,SUMPRODUCT((ListeB='recap S1'!$B14)*(OFFSET(ListeB,,4)='recap S1'!AM$3)*(OFFSET(ListeB,,1)='recap S1'!AM$2)),"")</f>
        <v/>
      </c>
      <c r="AN14" s="32" t="str">
        <f ca="1">IF(SUMPRODUCT((ListeB='recap S1'!$B14)*(OFFSET(ListeB,,4)='recap S1'!AN$3)*(OFFSET(ListeB,,1)='recap S1'!AN$2))&gt;0,SUMPRODUCT((ListeB='recap S1'!$B14)*(OFFSET(ListeB,,4)='recap S1'!AN$3)*(OFFSET(ListeB,,1)='recap S1'!AN$2)),"")</f>
        <v/>
      </c>
      <c r="AO14" s="32" t="str">
        <f ca="1">IF(SUMPRODUCT((ListeB='recap S1'!$B14)*(OFFSET(ListeB,,4)='recap S1'!AO$3)*(OFFSET(ListeB,,1)='recap S1'!AO$2))&gt;0,SUMPRODUCT((ListeB='recap S1'!$B14)*(OFFSET(ListeB,,4)='recap S1'!AO$3)*(OFFSET(ListeB,,1)='recap S1'!AO$2)),"")</f>
        <v/>
      </c>
      <c r="AP14" s="32" t="str">
        <f ca="1">IF(SUMPRODUCT((ListeB='recap S1'!$B14)*(OFFSET(ListeB,,4)='recap S1'!AP$3)*(OFFSET(ListeB,,1)='recap S1'!AP$2))&gt;0,SUMPRODUCT((ListeB='recap S1'!$B14)*(OFFSET(ListeB,,4)='recap S1'!AP$3)*(OFFSET(ListeB,,1)='recap S1'!AP$2)),"")</f>
        <v/>
      </c>
      <c r="AQ14" s="32" t="str">
        <f ca="1">IF(SUMPRODUCT((ListeB='recap S1'!$B14)*(OFFSET(ListeB,,4)='recap S1'!AQ$3)*(OFFSET(ListeB,,1)='recap S1'!AQ$2))&gt;0,SUMPRODUCT((ListeB='recap S1'!$B14)*(OFFSET(ListeB,,4)='recap S1'!AQ$3)*(OFFSET(ListeB,,1)='recap S1'!AQ$2)),"")</f>
        <v/>
      </c>
      <c r="AR14" s="32" t="str">
        <f ca="1">IF(SUMPRODUCT((ListeB='recap S1'!$B14)*(OFFSET(ListeB,,4)='recap S1'!AR$3)*(OFFSET(ListeB,,1)='recap S1'!AR$2))&gt;0,SUMPRODUCT((ListeB='recap S1'!$B14)*(OFFSET(ListeB,,4)='recap S1'!AR$3)*(OFFSET(ListeB,,1)='recap S1'!AR$2)),"")</f>
        <v/>
      </c>
      <c r="AS14" s="32" t="str">
        <f ca="1">IF(SUMPRODUCT((ListeB='recap S1'!$B14)*(OFFSET(ListeB,,4)='recap S1'!AS$3)*(OFFSET(ListeB,,1)='recap S1'!AS$2))&gt;0,SUMPRODUCT((ListeB='recap S1'!$B14)*(OFFSET(ListeB,,4)='recap S1'!AS$3)*(OFFSET(ListeB,,1)='recap S1'!AS$2)),"")</f>
        <v/>
      </c>
      <c r="AT14" s="32" t="str">
        <f ca="1">IF(SUMPRODUCT((ListeB='recap S1'!$B14)*(OFFSET(ListeB,,4)='recap S1'!AT$3)*(OFFSET(ListeB,,1)='recap S1'!AT$2))&gt;0,SUMPRODUCT((ListeB='recap S1'!$B14)*(OFFSET(ListeB,,4)='recap S1'!AT$3)*(OFFSET(ListeB,,1)='recap S1'!AT$2)),"")</f>
        <v/>
      </c>
      <c r="AU14" s="32" t="str">
        <f ca="1">IF(SUMPRODUCT((ListeB='recap S1'!$B14)*(OFFSET(ListeB,,4)='recap S1'!AU$3)*(OFFSET(ListeB,,1)='recap S1'!AU$2))&gt;0,SUMPRODUCT((ListeB='recap S1'!$B14)*(OFFSET(ListeB,,4)='recap S1'!AU$3)*(OFFSET(ListeB,,1)='recap S1'!AU$2)),"")</f>
        <v/>
      </c>
      <c r="AV14" s="32" t="str">
        <f ca="1">IF(SUMPRODUCT((ListeB='recap S1'!$B14)*(OFFSET(ListeB,,4)='recap S1'!AV$3)*(OFFSET(ListeB,,1)='recap S1'!AV$2))&gt;0,SUMPRODUCT((ListeB='recap S1'!$B14)*(OFFSET(ListeB,,4)='recap S1'!AV$3)*(OFFSET(ListeB,,1)='recap S1'!AV$2)),"")</f>
        <v/>
      </c>
      <c r="AW14" s="32" t="str">
        <f ca="1">IF(SUMPRODUCT((ListeB='recap S1'!$B14)*(OFFSET(ListeB,,4)='recap S1'!AW$3)*(OFFSET(ListeB,,1)='recap S1'!AW$2))&gt;0,SUMPRODUCT((ListeB='recap S1'!$B14)*(OFFSET(ListeB,,4)='recap S1'!AW$3)*(OFFSET(ListeB,,1)='recap S1'!AW$2)),"")</f>
        <v/>
      </c>
      <c r="AX14" s="32" t="str">
        <f ca="1">IF(SUMPRODUCT((ListeB='recap S1'!$B14)*(OFFSET(ListeB,,4)='recap S1'!AX$3)*(OFFSET(ListeB,,1)='recap S1'!AX$2))&gt;0,SUMPRODUCT((ListeB='recap S1'!$B14)*(OFFSET(ListeB,,4)='recap S1'!AX$3)*(OFFSET(ListeB,,1)='recap S1'!AX$2)),"")</f>
        <v/>
      </c>
      <c r="AY14" s="32" t="str">
        <f ca="1">IF(SUMPRODUCT((ListeB='recap S1'!$B14)*(OFFSET(ListeB,,4)='recap S1'!AY$3)*(OFFSET(ListeB,,1)='recap S1'!AY$2))&gt;0,SUMPRODUCT((ListeB='recap S1'!$B14)*(OFFSET(ListeB,,4)='recap S1'!AY$3)*(OFFSET(ListeB,,1)='recap S1'!AY$2)),"")</f>
        <v/>
      </c>
      <c r="AZ14" s="32">
        <f t="shared" ca="1" si="0"/>
        <v>0</v>
      </c>
    </row>
    <row r="15" spans="1:52">
      <c r="A15" s="41" t="str">
        <f>IF('SEANCE 1'!$B13&lt;&gt;"",'SEANCE 1'!$A13,"")</f>
        <v/>
      </c>
      <c r="B15" s="41" t="str">
        <f t="array" aca="1" ref="B15" ca="1">IF(ISNA(INDEX(ListeB,MATCH(0,COUNTIF($B$3:B14,ListeB),0))),"",INDEX(ListeB,MATCH(0,COUNTIF($B$3:B14,ListeB),0)))</f>
        <v/>
      </c>
      <c r="C15" s="32" t="str">
        <f ca="1">IF(SUMPRODUCT((ListeB='recap S1'!$B15)*(OFFSET(ListeB,,4)='recap S1'!C$3)*(OFFSET(ListeB,,1)='recap S1'!C$2))&gt;0,SUMPRODUCT((ListeB='recap S1'!$B15)*(OFFSET(ListeB,,4)='recap S1'!C$3)*(OFFSET(ListeB,,1)='recap S1'!C$2)),"")</f>
        <v/>
      </c>
      <c r="D15" s="32" t="str">
        <f ca="1">IF(SUMPRODUCT((ListeB='recap S1'!$B15)*(OFFSET(ListeB,,4)='recap S1'!D$3)*(OFFSET(ListeB,,1)='recap S1'!D$2))&gt;0,SUMPRODUCT((ListeB='recap S1'!$B15)*(OFFSET(ListeB,,4)='recap S1'!D$3)*(OFFSET(ListeB,,1)='recap S1'!D$2)),"")</f>
        <v/>
      </c>
      <c r="E15" s="32" t="str">
        <f ca="1">IF(SUMPRODUCT((ListeB='recap S1'!$B15)*(OFFSET(ListeB,,4)='recap S1'!E$3)*(OFFSET(ListeB,,1)='recap S1'!E$2))&gt;0,SUMPRODUCT((ListeB='recap S1'!$B15)*(OFFSET(ListeB,,4)='recap S1'!E$3)*(OFFSET(ListeB,,1)='recap S1'!E$2)),"")</f>
        <v/>
      </c>
      <c r="F15" s="32" t="str">
        <f ca="1">IF(SUMPRODUCT((ListeB='recap S1'!$B15)*(OFFSET(ListeB,,4)='recap S1'!F$3)*(OFFSET(ListeB,,1)='recap S1'!F$2))&gt;0,SUMPRODUCT((ListeB='recap S1'!$B15)*(OFFSET(ListeB,,4)='recap S1'!F$3)*(OFFSET(ListeB,,1)='recap S1'!F$2)),"")</f>
        <v/>
      </c>
      <c r="G15" s="32" t="str">
        <f ca="1">IF(SUMPRODUCT((ListeB='recap S1'!$B15)*(OFFSET(ListeB,,4)='recap S1'!G$3)*(OFFSET(ListeB,,1)='recap S1'!G$2))&gt;0,SUMPRODUCT((ListeB='recap S1'!$B15)*(OFFSET(ListeB,,4)='recap S1'!G$3)*(OFFSET(ListeB,,1)='recap S1'!G$2)),"")</f>
        <v/>
      </c>
      <c r="H15" s="32" t="str">
        <f ca="1">IF(SUMPRODUCT((ListeB='recap S1'!$B15)*(OFFSET(ListeB,,4)='recap S1'!H$3)*(OFFSET(ListeB,,1)='recap S1'!H$2))&gt;0,SUMPRODUCT((ListeB='recap S1'!$B15)*(OFFSET(ListeB,,4)='recap S1'!H$3)*(OFFSET(ListeB,,1)='recap S1'!H$2)),"")</f>
        <v/>
      </c>
      <c r="I15" s="32" t="str">
        <f ca="1">IF(SUMPRODUCT((ListeB='recap S1'!$B15)*(OFFSET(ListeB,,4)='recap S1'!I$3)*(OFFSET(ListeB,,1)='recap S1'!I$2))&gt;0,SUMPRODUCT((ListeB='recap S1'!$B15)*(OFFSET(ListeB,,4)='recap S1'!I$3)*(OFFSET(ListeB,,1)='recap S1'!I$2)),"")</f>
        <v/>
      </c>
      <c r="J15" s="32" t="str">
        <f ca="1">IF(SUMPRODUCT((ListeB='recap S1'!$B15)*(OFFSET(ListeB,,4)='recap S1'!J$3)*(OFFSET(ListeB,,1)='recap S1'!J$2))&gt;0,SUMPRODUCT((ListeB='recap S1'!$B15)*(OFFSET(ListeB,,4)='recap S1'!J$3)*(OFFSET(ListeB,,1)='recap S1'!J$2)),"")</f>
        <v/>
      </c>
      <c r="K15" s="32" t="str">
        <f ca="1">IF(SUMPRODUCT((ListeB='recap S1'!$B15)*(OFFSET(ListeB,,4)='recap S1'!K$3)*(OFFSET(ListeB,,1)='recap S1'!K$2))&gt;0,SUMPRODUCT((ListeB='recap S1'!$B15)*(OFFSET(ListeB,,4)='recap S1'!K$3)*(OFFSET(ListeB,,1)='recap S1'!K$2)),"")</f>
        <v/>
      </c>
      <c r="L15" s="32" t="str">
        <f ca="1">IF(SUMPRODUCT((ListeB='recap S1'!$B15)*(OFFSET(ListeB,,4)='recap S1'!L$3)*(OFFSET(ListeB,,1)='recap S1'!L$2))&gt;0,SUMPRODUCT((ListeB='recap S1'!$B15)*(OFFSET(ListeB,,4)='recap S1'!L$3)*(OFFSET(ListeB,,1)='recap S1'!L$2)),"")</f>
        <v/>
      </c>
      <c r="M15" s="32" t="str">
        <f ca="1">IF(SUMPRODUCT((ListeB='recap S1'!$B15)*(OFFSET(ListeB,,4)='recap S1'!M$3)*(OFFSET(ListeB,,1)='recap S1'!M$2))&gt;0,SUMPRODUCT((ListeB='recap S1'!$B15)*(OFFSET(ListeB,,4)='recap S1'!M$3)*(OFFSET(ListeB,,1)='recap S1'!M$2)),"")</f>
        <v/>
      </c>
      <c r="N15" s="32" t="str">
        <f ca="1">IF(SUMPRODUCT((ListeB='recap S1'!$B15)*(OFFSET(ListeB,,4)='recap S1'!N$3)*(OFFSET(ListeB,,1)='recap S1'!N$2))&gt;0,SUMPRODUCT((ListeB='recap S1'!$B15)*(OFFSET(ListeB,,4)='recap S1'!N$3)*(OFFSET(ListeB,,1)='recap S1'!N$2)),"")</f>
        <v/>
      </c>
      <c r="O15" s="32" t="str">
        <f ca="1">IF(SUMPRODUCT((ListeB='recap S1'!$B15)*(OFFSET(ListeB,,4)='recap S1'!O$3)*(OFFSET(ListeB,,1)='recap S1'!O$2))&gt;0,SUMPRODUCT((ListeB='recap S1'!$B15)*(OFFSET(ListeB,,4)='recap S1'!O$3)*(OFFSET(ListeB,,1)='recap S1'!O$2)),"")</f>
        <v/>
      </c>
      <c r="P15" s="32" t="str">
        <f ca="1">IF(SUMPRODUCT((ListeB='recap S1'!$B15)*(OFFSET(ListeB,,4)='recap S1'!P$3)*(OFFSET(ListeB,,1)='recap S1'!P$2))&gt;0,SUMPRODUCT((ListeB='recap S1'!$B15)*(OFFSET(ListeB,,4)='recap S1'!P$3)*(OFFSET(ListeB,,1)='recap S1'!P$2)),"")</f>
        <v/>
      </c>
      <c r="Q15" s="32" t="str">
        <f ca="1">IF(SUMPRODUCT((ListeB='recap S1'!$B15)*(OFFSET(ListeB,,4)='recap S1'!Q$3)*(OFFSET(ListeB,,1)='recap S1'!Q$2))&gt;0,SUMPRODUCT((ListeB='recap S1'!$B15)*(OFFSET(ListeB,,4)='recap S1'!Q$3)*(OFFSET(ListeB,,1)='recap S1'!Q$2)),"")</f>
        <v/>
      </c>
      <c r="R15" s="32" t="str">
        <f ca="1">IF(SUMPRODUCT((ListeB='recap S1'!$B15)*(OFFSET(ListeB,,4)='recap S1'!R$3)*(OFFSET(ListeB,,1)='recap S1'!R$2))&gt;0,SUMPRODUCT((ListeB='recap S1'!$B15)*(OFFSET(ListeB,,4)='recap S1'!R$3)*(OFFSET(ListeB,,1)='recap S1'!R$2)),"")</f>
        <v/>
      </c>
      <c r="S15" s="32" t="str">
        <f ca="1">IF(SUMPRODUCT((ListeB='recap S1'!$B15)*(OFFSET(ListeB,,4)='recap S1'!S$3)*(OFFSET(ListeB,,1)='recap S1'!S$2))&gt;0,SUMPRODUCT((ListeB='recap S1'!$B15)*(OFFSET(ListeB,,4)='recap S1'!S$3)*(OFFSET(ListeB,,1)='recap S1'!S$2)),"")</f>
        <v/>
      </c>
      <c r="T15" s="32" t="str">
        <f ca="1">IF(SUMPRODUCT((ListeB='recap S1'!$B15)*(OFFSET(ListeB,,4)='recap S1'!T$3)*(OFFSET(ListeB,,1)='recap S1'!T$2))&gt;0,SUMPRODUCT((ListeB='recap S1'!$B15)*(OFFSET(ListeB,,4)='recap S1'!T$3)*(OFFSET(ListeB,,1)='recap S1'!T$2)),"")</f>
        <v/>
      </c>
      <c r="U15" s="32" t="str">
        <f ca="1">IF(SUMPRODUCT((ListeB='recap S1'!$B15)*(OFFSET(ListeB,,4)='recap S1'!U$3)*(OFFSET(ListeB,,1)='recap S1'!U$2))&gt;0,SUMPRODUCT((ListeB='recap S1'!$B15)*(OFFSET(ListeB,,4)='recap S1'!U$3)*(OFFSET(ListeB,,1)='recap S1'!U$2)),"")</f>
        <v/>
      </c>
      <c r="V15" s="32" t="str">
        <f ca="1">IF(SUMPRODUCT((ListeB='recap S1'!$B15)*(OFFSET(ListeB,,4)='recap S1'!V$3)*(OFFSET(ListeB,,1)='recap S1'!V$2))&gt;0,SUMPRODUCT((ListeB='recap S1'!$B15)*(OFFSET(ListeB,,4)='recap S1'!V$3)*(OFFSET(ListeB,,1)='recap S1'!V$2)),"")</f>
        <v/>
      </c>
      <c r="W15" s="32" t="str">
        <f ca="1">IF(SUMPRODUCT((ListeB='recap S1'!$B15)*(OFFSET(ListeB,,4)='recap S1'!W$3)*(OFFSET(ListeB,,1)='recap S1'!W$2))&gt;0,SUMPRODUCT((ListeB='recap S1'!$B15)*(OFFSET(ListeB,,4)='recap S1'!W$3)*(OFFSET(ListeB,,1)='recap S1'!W$2)),"")</f>
        <v/>
      </c>
      <c r="X15" s="32" t="str">
        <f ca="1">IF(SUMPRODUCT((ListeB='recap S1'!$B15)*(OFFSET(ListeB,,4)='recap S1'!X$3)*(OFFSET(ListeB,,1)='recap S1'!X$2))&gt;0,SUMPRODUCT((ListeB='recap S1'!$B15)*(OFFSET(ListeB,,4)='recap S1'!X$3)*(OFFSET(ListeB,,1)='recap S1'!X$2)),"")</f>
        <v/>
      </c>
      <c r="Y15" s="32" t="str">
        <f ca="1">IF(SUMPRODUCT((ListeB='recap S1'!$B15)*(OFFSET(ListeB,,4)='recap S1'!Y$3)*(OFFSET(ListeB,,1)='recap S1'!Y$2))&gt;0,SUMPRODUCT((ListeB='recap S1'!$B15)*(OFFSET(ListeB,,4)='recap S1'!Y$3)*(OFFSET(ListeB,,1)='recap S1'!Y$2)),"")</f>
        <v/>
      </c>
      <c r="Z15" s="32" t="str">
        <f ca="1">IF(SUMPRODUCT((ListeB='recap S1'!$B15)*(OFFSET(ListeB,,4)='recap S1'!Z$3)*(OFFSET(ListeB,,1)='recap S1'!Z$2))&gt;0,SUMPRODUCT((ListeB='recap S1'!$B15)*(OFFSET(ListeB,,4)='recap S1'!Z$3)*(OFFSET(ListeB,,1)='recap S1'!Z$2)),"")</f>
        <v/>
      </c>
      <c r="AA15" s="32" t="str">
        <f ca="1">IF(SUMPRODUCT((ListeB='recap S1'!$B15)*(OFFSET(ListeB,,4)='recap S1'!AA$3)*(OFFSET(ListeB,,1)='recap S1'!AA$2))&gt;0,SUMPRODUCT((ListeB='recap S1'!$B15)*(OFFSET(ListeB,,4)='recap S1'!AA$3)*(OFFSET(ListeB,,1)='recap S1'!AA$2)),"")</f>
        <v/>
      </c>
      <c r="AB15" s="32" t="str">
        <f ca="1">IF(SUMPRODUCT((ListeB='recap S1'!$B15)*(OFFSET(ListeB,,4)='recap S1'!AB$3)*(OFFSET(ListeB,,1)='recap S1'!AB$2))&gt;0,SUMPRODUCT((ListeB='recap S1'!$B15)*(OFFSET(ListeB,,4)='recap S1'!AB$3)*(OFFSET(ListeB,,1)='recap S1'!AB$2)),"")</f>
        <v/>
      </c>
      <c r="AC15" s="32" t="str">
        <f ca="1">IF(SUMPRODUCT((ListeB='recap S1'!$B15)*(OFFSET(ListeB,,4)='recap S1'!AC$3)*(OFFSET(ListeB,,1)='recap S1'!AC$2))&gt;0,SUMPRODUCT((ListeB='recap S1'!$B15)*(OFFSET(ListeB,,4)='recap S1'!AC$3)*(OFFSET(ListeB,,1)='recap S1'!AC$2)),"")</f>
        <v/>
      </c>
      <c r="AD15" s="32" t="str">
        <f ca="1">IF(SUMPRODUCT((ListeB='recap S1'!$B15)*(OFFSET(ListeB,,4)='recap S1'!AD$3)*(OFFSET(ListeB,,1)='recap S1'!AD$2))&gt;0,SUMPRODUCT((ListeB='recap S1'!$B15)*(OFFSET(ListeB,,4)='recap S1'!AD$3)*(OFFSET(ListeB,,1)='recap S1'!AD$2)),"")</f>
        <v/>
      </c>
      <c r="AE15" s="32" t="str">
        <f ca="1">IF(SUMPRODUCT((ListeB='recap S1'!$B15)*(OFFSET(ListeB,,4)='recap S1'!AE$3)*(OFFSET(ListeB,,1)='recap S1'!AE$2))&gt;0,SUMPRODUCT((ListeB='recap S1'!$B15)*(OFFSET(ListeB,,4)='recap S1'!AE$3)*(OFFSET(ListeB,,1)='recap S1'!AE$2)),"")</f>
        <v/>
      </c>
      <c r="AF15" s="32" t="str">
        <f ca="1">IF(SUMPRODUCT((ListeB='recap S1'!$B15)*(OFFSET(ListeB,,4)='recap S1'!AF$3)*(OFFSET(ListeB,,1)='recap S1'!AF$2))&gt;0,SUMPRODUCT((ListeB='recap S1'!$B15)*(OFFSET(ListeB,,4)='recap S1'!AF$3)*(OFFSET(ListeB,,1)='recap S1'!AF$2)),"")</f>
        <v/>
      </c>
      <c r="AG15" s="32" t="str">
        <f ca="1">IF(SUMPRODUCT((ListeB='recap S1'!$B15)*(OFFSET(ListeB,,4)='recap S1'!AG$3)*(OFFSET(ListeB,,1)='recap S1'!AG$2))&gt;0,SUMPRODUCT((ListeB='recap S1'!$B15)*(OFFSET(ListeB,,4)='recap S1'!AG$3)*(OFFSET(ListeB,,1)='recap S1'!AG$2)),"")</f>
        <v/>
      </c>
      <c r="AH15" s="32" t="str">
        <f ca="1">IF(SUMPRODUCT((ListeB='recap S1'!$B15)*(OFFSET(ListeB,,4)='recap S1'!AH$3)*(OFFSET(ListeB,,1)='recap S1'!AH$2))&gt;0,SUMPRODUCT((ListeB='recap S1'!$B15)*(OFFSET(ListeB,,4)='recap S1'!AH$3)*(OFFSET(ListeB,,1)='recap S1'!AH$2)),"")</f>
        <v/>
      </c>
      <c r="AI15" s="32" t="str">
        <f ca="1">IF(SUMPRODUCT((ListeB='recap S1'!$B15)*(OFFSET(ListeB,,4)='recap S1'!AI$3)*(OFFSET(ListeB,,1)='recap S1'!AI$2))&gt;0,SUMPRODUCT((ListeB='recap S1'!$B15)*(OFFSET(ListeB,,4)='recap S1'!AI$3)*(OFFSET(ListeB,,1)='recap S1'!AI$2)),"")</f>
        <v/>
      </c>
      <c r="AJ15" s="32" t="str">
        <f ca="1">IF(SUMPRODUCT((ListeB='recap S1'!$B15)*(OFFSET(ListeB,,4)='recap S1'!AJ$3)*(OFFSET(ListeB,,1)='recap S1'!AJ$2))&gt;0,SUMPRODUCT((ListeB='recap S1'!$B15)*(OFFSET(ListeB,,4)='recap S1'!AJ$3)*(OFFSET(ListeB,,1)='recap S1'!AJ$2)),"")</f>
        <v/>
      </c>
      <c r="AK15" s="32" t="str">
        <f ca="1">IF(SUMPRODUCT((ListeB='recap S1'!$B15)*(OFFSET(ListeB,,4)='recap S1'!AK$3)*(OFFSET(ListeB,,1)='recap S1'!AK$2))&gt;0,SUMPRODUCT((ListeB='recap S1'!$B15)*(OFFSET(ListeB,,4)='recap S1'!AK$3)*(OFFSET(ListeB,,1)='recap S1'!AK$2)),"")</f>
        <v/>
      </c>
      <c r="AL15" s="32" t="str">
        <f ca="1">IF(SUMPRODUCT((ListeB='recap S1'!$B15)*(OFFSET(ListeB,,4)='recap S1'!AL$3)*(OFFSET(ListeB,,1)='recap S1'!AL$2))&gt;0,SUMPRODUCT((ListeB='recap S1'!$B15)*(OFFSET(ListeB,,4)='recap S1'!AL$3)*(OFFSET(ListeB,,1)='recap S1'!AL$2)),"")</f>
        <v/>
      </c>
      <c r="AM15" s="32" t="str">
        <f ca="1">IF(SUMPRODUCT((ListeB='recap S1'!$B15)*(OFFSET(ListeB,,4)='recap S1'!AM$3)*(OFFSET(ListeB,,1)='recap S1'!AM$2))&gt;0,SUMPRODUCT((ListeB='recap S1'!$B15)*(OFFSET(ListeB,,4)='recap S1'!AM$3)*(OFFSET(ListeB,,1)='recap S1'!AM$2)),"")</f>
        <v/>
      </c>
      <c r="AN15" s="32" t="str">
        <f ca="1">IF(SUMPRODUCT((ListeB='recap S1'!$B15)*(OFFSET(ListeB,,4)='recap S1'!AN$3)*(OFFSET(ListeB,,1)='recap S1'!AN$2))&gt;0,SUMPRODUCT((ListeB='recap S1'!$B15)*(OFFSET(ListeB,,4)='recap S1'!AN$3)*(OFFSET(ListeB,,1)='recap S1'!AN$2)),"")</f>
        <v/>
      </c>
      <c r="AO15" s="32" t="str">
        <f ca="1">IF(SUMPRODUCT((ListeB='recap S1'!$B15)*(OFFSET(ListeB,,4)='recap S1'!AO$3)*(OFFSET(ListeB,,1)='recap S1'!AO$2))&gt;0,SUMPRODUCT((ListeB='recap S1'!$B15)*(OFFSET(ListeB,,4)='recap S1'!AO$3)*(OFFSET(ListeB,,1)='recap S1'!AO$2)),"")</f>
        <v/>
      </c>
      <c r="AP15" s="32" t="str">
        <f ca="1">IF(SUMPRODUCT((ListeB='recap S1'!$B15)*(OFFSET(ListeB,,4)='recap S1'!AP$3)*(OFFSET(ListeB,,1)='recap S1'!AP$2))&gt;0,SUMPRODUCT((ListeB='recap S1'!$B15)*(OFFSET(ListeB,,4)='recap S1'!AP$3)*(OFFSET(ListeB,,1)='recap S1'!AP$2)),"")</f>
        <v/>
      </c>
      <c r="AQ15" s="32" t="str">
        <f ca="1">IF(SUMPRODUCT((ListeB='recap S1'!$B15)*(OFFSET(ListeB,,4)='recap S1'!AQ$3)*(OFFSET(ListeB,,1)='recap S1'!AQ$2))&gt;0,SUMPRODUCT((ListeB='recap S1'!$B15)*(OFFSET(ListeB,,4)='recap S1'!AQ$3)*(OFFSET(ListeB,,1)='recap S1'!AQ$2)),"")</f>
        <v/>
      </c>
      <c r="AR15" s="32" t="str">
        <f ca="1">IF(SUMPRODUCT((ListeB='recap S1'!$B15)*(OFFSET(ListeB,,4)='recap S1'!AR$3)*(OFFSET(ListeB,,1)='recap S1'!AR$2))&gt;0,SUMPRODUCT((ListeB='recap S1'!$B15)*(OFFSET(ListeB,,4)='recap S1'!AR$3)*(OFFSET(ListeB,,1)='recap S1'!AR$2)),"")</f>
        <v/>
      </c>
      <c r="AS15" s="32" t="str">
        <f ca="1">IF(SUMPRODUCT((ListeB='recap S1'!$B15)*(OFFSET(ListeB,,4)='recap S1'!AS$3)*(OFFSET(ListeB,,1)='recap S1'!AS$2))&gt;0,SUMPRODUCT((ListeB='recap S1'!$B15)*(OFFSET(ListeB,,4)='recap S1'!AS$3)*(OFFSET(ListeB,,1)='recap S1'!AS$2)),"")</f>
        <v/>
      </c>
      <c r="AT15" s="32" t="str">
        <f ca="1">IF(SUMPRODUCT((ListeB='recap S1'!$B15)*(OFFSET(ListeB,,4)='recap S1'!AT$3)*(OFFSET(ListeB,,1)='recap S1'!AT$2))&gt;0,SUMPRODUCT((ListeB='recap S1'!$B15)*(OFFSET(ListeB,,4)='recap S1'!AT$3)*(OFFSET(ListeB,,1)='recap S1'!AT$2)),"")</f>
        <v/>
      </c>
      <c r="AU15" s="32" t="str">
        <f ca="1">IF(SUMPRODUCT((ListeB='recap S1'!$B15)*(OFFSET(ListeB,,4)='recap S1'!AU$3)*(OFFSET(ListeB,,1)='recap S1'!AU$2))&gt;0,SUMPRODUCT((ListeB='recap S1'!$B15)*(OFFSET(ListeB,,4)='recap S1'!AU$3)*(OFFSET(ListeB,,1)='recap S1'!AU$2)),"")</f>
        <v/>
      </c>
      <c r="AV15" s="32" t="str">
        <f ca="1">IF(SUMPRODUCT((ListeB='recap S1'!$B15)*(OFFSET(ListeB,,4)='recap S1'!AV$3)*(OFFSET(ListeB,,1)='recap S1'!AV$2))&gt;0,SUMPRODUCT((ListeB='recap S1'!$B15)*(OFFSET(ListeB,,4)='recap S1'!AV$3)*(OFFSET(ListeB,,1)='recap S1'!AV$2)),"")</f>
        <v/>
      </c>
      <c r="AW15" s="32" t="str">
        <f ca="1">IF(SUMPRODUCT((ListeB='recap S1'!$B15)*(OFFSET(ListeB,,4)='recap S1'!AW$3)*(OFFSET(ListeB,,1)='recap S1'!AW$2))&gt;0,SUMPRODUCT((ListeB='recap S1'!$B15)*(OFFSET(ListeB,,4)='recap S1'!AW$3)*(OFFSET(ListeB,,1)='recap S1'!AW$2)),"")</f>
        <v/>
      </c>
      <c r="AX15" s="32" t="str">
        <f ca="1">IF(SUMPRODUCT((ListeB='recap S1'!$B15)*(OFFSET(ListeB,,4)='recap S1'!AX$3)*(OFFSET(ListeB,,1)='recap S1'!AX$2))&gt;0,SUMPRODUCT((ListeB='recap S1'!$B15)*(OFFSET(ListeB,,4)='recap S1'!AX$3)*(OFFSET(ListeB,,1)='recap S1'!AX$2)),"")</f>
        <v/>
      </c>
      <c r="AY15" s="32" t="str">
        <f ca="1">IF(SUMPRODUCT((ListeB='recap S1'!$B15)*(OFFSET(ListeB,,4)='recap S1'!AY$3)*(OFFSET(ListeB,,1)='recap S1'!AY$2))&gt;0,SUMPRODUCT((ListeB='recap S1'!$B15)*(OFFSET(ListeB,,4)='recap S1'!AY$3)*(OFFSET(ListeB,,1)='recap S1'!AY$2)),"")</f>
        <v/>
      </c>
      <c r="AZ15" s="32">
        <f t="shared" ca="1" si="0"/>
        <v>0</v>
      </c>
    </row>
    <row r="16" spans="1:52">
      <c r="A16" s="41" t="str">
        <f>IF('SEANCE 1'!$B14&lt;&gt;"",'SEANCE 1'!$A14,"")</f>
        <v/>
      </c>
      <c r="B16" s="41" t="str">
        <f t="array" aca="1" ref="B16" ca="1">IF(ISNA(INDEX(ListeB,MATCH(0,COUNTIF($B$3:B15,ListeB),0))),"",INDEX(ListeB,MATCH(0,COUNTIF($B$3:B15,ListeB),0)))</f>
        <v/>
      </c>
      <c r="C16" s="32" t="str">
        <f ca="1">IF(SUMPRODUCT((ListeB='recap S1'!$B16)*(OFFSET(ListeB,,4)='recap S1'!C$3)*(OFFSET(ListeB,,1)='recap S1'!C$2))&gt;0,SUMPRODUCT((ListeB='recap S1'!$B16)*(OFFSET(ListeB,,4)='recap S1'!C$3)*(OFFSET(ListeB,,1)='recap S1'!C$2)),"")</f>
        <v/>
      </c>
      <c r="D16" s="32" t="str">
        <f ca="1">IF(SUMPRODUCT((ListeB='recap S1'!$B16)*(OFFSET(ListeB,,4)='recap S1'!D$3)*(OFFSET(ListeB,,1)='recap S1'!D$2))&gt;0,SUMPRODUCT((ListeB='recap S1'!$B16)*(OFFSET(ListeB,,4)='recap S1'!D$3)*(OFFSET(ListeB,,1)='recap S1'!D$2)),"")</f>
        <v/>
      </c>
      <c r="E16" s="32" t="str">
        <f ca="1">IF(SUMPRODUCT((ListeB='recap S1'!$B16)*(OFFSET(ListeB,,4)='recap S1'!E$3)*(OFFSET(ListeB,,1)='recap S1'!E$2))&gt;0,SUMPRODUCT((ListeB='recap S1'!$B16)*(OFFSET(ListeB,,4)='recap S1'!E$3)*(OFFSET(ListeB,,1)='recap S1'!E$2)),"")</f>
        <v/>
      </c>
      <c r="F16" s="32" t="str">
        <f ca="1">IF(SUMPRODUCT((ListeB='recap S1'!$B16)*(OFFSET(ListeB,,4)='recap S1'!F$3)*(OFFSET(ListeB,,1)='recap S1'!F$2))&gt;0,SUMPRODUCT((ListeB='recap S1'!$B16)*(OFFSET(ListeB,,4)='recap S1'!F$3)*(OFFSET(ListeB,,1)='recap S1'!F$2)),"")</f>
        <v/>
      </c>
      <c r="G16" s="32" t="str">
        <f ca="1">IF(SUMPRODUCT((ListeB='recap S1'!$B16)*(OFFSET(ListeB,,4)='recap S1'!G$3)*(OFFSET(ListeB,,1)='recap S1'!G$2))&gt;0,SUMPRODUCT((ListeB='recap S1'!$B16)*(OFFSET(ListeB,,4)='recap S1'!G$3)*(OFFSET(ListeB,,1)='recap S1'!G$2)),"")</f>
        <v/>
      </c>
      <c r="H16" s="32" t="str">
        <f ca="1">IF(SUMPRODUCT((ListeB='recap S1'!$B16)*(OFFSET(ListeB,,4)='recap S1'!H$3)*(OFFSET(ListeB,,1)='recap S1'!H$2))&gt;0,SUMPRODUCT((ListeB='recap S1'!$B16)*(OFFSET(ListeB,,4)='recap S1'!H$3)*(OFFSET(ListeB,,1)='recap S1'!H$2)),"")</f>
        <v/>
      </c>
      <c r="I16" s="32" t="str">
        <f ca="1">IF(SUMPRODUCT((ListeB='recap S1'!$B16)*(OFFSET(ListeB,,4)='recap S1'!I$3)*(OFFSET(ListeB,,1)='recap S1'!I$2))&gt;0,SUMPRODUCT((ListeB='recap S1'!$B16)*(OFFSET(ListeB,,4)='recap S1'!I$3)*(OFFSET(ListeB,,1)='recap S1'!I$2)),"")</f>
        <v/>
      </c>
      <c r="J16" s="32" t="str">
        <f ca="1">IF(SUMPRODUCT((ListeB='recap S1'!$B16)*(OFFSET(ListeB,,4)='recap S1'!J$3)*(OFFSET(ListeB,,1)='recap S1'!J$2))&gt;0,SUMPRODUCT((ListeB='recap S1'!$B16)*(OFFSET(ListeB,,4)='recap S1'!J$3)*(OFFSET(ListeB,,1)='recap S1'!J$2)),"")</f>
        <v/>
      </c>
      <c r="K16" s="32" t="str">
        <f ca="1">IF(SUMPRODUCT((ListeB='recap S1'!$B16)*(OFFSET(ListeB,,4)='recap S1'!K$3)*(OFFSET(ListeB,,1)='recap S1'!K$2))&gt;0,SUMPRODUCT((ListeB='recap S1'!$B16)*(OFFSET(ListeB,,4)='recap S1'!K$3)*(OFFSET(ListeB,,1)='recap S1'!K$2)),"")</f>
        <v/>
      </c>
      <c r="L16" s="32" t="str">
        <f ca="1">IF(SUMPRODUCT((ListeB='recap S1'!$B16)*(OFFSET(ListeB,,4)='recap S1'!L$3)*(OFFSET(ListeB,,1)='recap S1'!L$2))&gt;0,SUMPRODUCT((ListeB='recap S1'!$B16)*(OFFSET(ListeB,,4)='recap S1'!L$3)*(OFFSET(ListeB,,1)='recap S1'!L$2)),"")</f>
        <v/>
      </c>
      <c r="M16" s="32" t="str">
        <f ca="1">IF(SUMPRODUCT((ListeB='recap S1'!$B16)*(OFFSET(ListeB,,4)='recap S1'!M$3)*(OFFSET(ListeB,,1)='recap S1'!M$2))&gt;0,SUMPRODUCT((ListeB='recap S1'!$B16)*(OFFSET(ListeB,,4)='recap S1'!M$3)*(OFFSET(ListeB,,1)='recap S1'!M$2)),"")</f>
        <v/>
      </c>
      <c r="N16" s="32" t="str">
        <f ca="1">IF(SUMPRODUCT((ListeB='recap S1'!$B16)*(OFFSET(ListeB,,4)='recap S1'!N$3)*(OFFSET(ListeB,,1)='recap S1'!N$2))&gt;0,SUMPRODUCT((ListeB='recap S1'!$B16)*(OFFSET(ListeB,,4)='recap S1'!N$3)*(OFFSET(ListeB,,1)='recap S1'!N$2)),"")</f>
        <v/>
      </c>
      <c r="O16" s="32" t="str">
        <f ca="1">IF(SUMPRODUCT((ListeB='recap S1'!$B16)*(OFFSET(ListeB,,4)='recap S1'!O$3)*(OFFSET(ListeB,,1)='recap S1'!O$2))&gt;0,SUMPRODUCT((ListeB='recap S1'!$B16)*(OFFSET(ListeB,,4)='recap S1'!O$3)*(OFFSET(ListeB,,1)='recap S1'!O$2)),"")</f>
        <v/>
      </c>
      <c r="P16" s="32" t="str">
        <f ca="1">IF(SUMPRODUCT((ListeB='recap S1'!$B16)*(OFFSET(ListeB,,4)='recap S1'!P$3)*(OFFSET(ListeB,,1)='recap S1'!P$2))&gt;0,SUMPRODUCT((ListeB='recap S1'!$B16)*(OFFSET(ListeB,,4)='recap S1'!P$3)*(OFFSET(ListeB,,1)='recap S1'!P$2)),"")</f>
        <v/>
      </c>
      <c r="Q16" s="32" t="str">
        <f ca="1">IF(SUMPRODUCT((ListeB='recap S1'!$B16)*(OFFSET(ListeB,,4)='recap S1'!Q$3)*(OFFSET(ListeB,,1)='recap S1'!Q$2))&gt;0,SUMPRODUCT((ListeB='recap S1'!$B16)*(OFFSET(ListeB,,4)='recap S1'!Q$3)*(OFFSET(ListeB,,1)='recap S1'!Q$2)),"")</f>
        <v/>
      </c>
      <c r="R16" s="32" t="str">
        <f ca="1">IF(SUMPRODUCT((ListeB='recap S1'!$B16)*(OFFSET(ListeB,,4)='recap S1'!R$3)*(OFFSET(ListeB,,1)='recap S1'!R$2))&gt;0,SUMPRODUCT((ListeB='recap S1'!$B16)*(OFFSET(ListeB,,4)='recap S1'!R$3)*(OFFSET(ListeB,,1)='recap S1'!R$2)),"")</f>
        <v/>
      </c>
      <c r="S16" s="32" t="str">
        <f ca="1">IF(SUMPRODUCT((ListeB='recap S1'!$B16)*(OFFSET(ListeB,,4)='recap S1'!S$3)*(OFFSET(ListeB,,1)='recap S1'!S$2))&gt;0,SUMPRODUCT((ListeB='recap S1'!$B16)*(OFFSET(ListeB,,4)='recap S1'!S$3)*(OFFSET(ListeB,,1)='recap S1'!S$2)),"")</f>
        <v/>
      </c>
      <c r="T16" s="32" t="str">
        <f ca="1">IF(SUMPRODUCT((ListeB='recap S1'!$B16)*(OFFSET(ListeB,,4)='recap S1'!T$3)*(OFFSET(ListeB,,1)='recap S1'!T$2))&gt;0,SUMPRODUCT((ListeB='recap S1'!$B16)*(OFFSET(ListeB,,4)='recap S1'!T$3)*(OFFSET(ListeB,,1)='recap S1'!T$2)),"")</f>
        <v/>
      </c>
      <c r="U16" s="32" t="str">
        <f ca="1">IF(SUMPRODUCT((ListeB='recap S1'!$B16)*(OFFSET(ListeB,,4)='recap S1'!U$3)*(OFFSET(ListeB,,1)='recap S1'!U$2))&gt;0,SUMPRODUCT((ListeB='recap S1'!$B16)*(OFFSET(ListeB,,4)='recap S1'!U$3)*(OFFSET(ListeB,,1)='recap S1'!U$2)),"")</f>
        <v/>
      </c>
      <c r="V16" s="32" t="str">
        <f ca="1">IF(SUMPRODUCT((ListeB='recap S1'!$B16)*(OFFSET(ListeB,,4)='recap S1'!V$3)*(OFFSET(ListeB,,1)='recap S1'!V$2))&gt;0,SUMPRODUCT((ListeB='recap S1'!$B16)*(OFFSET(ListeB,,4)='recap S1'!V$3)*(OFFSET(ListeB,,1)='recap S1'!V$2)),"")</f>
        <v/>
      </c>
      <c r="W16" s="32" t="str">
        <f ca="1">IF(SUMPRODUCT((ListeB='recap S1'!$B16)*(OFFSET(ListeB,,4)='recap S1'!W$3)*(OFFSET(ListeB,,1)='recap S1'!W$2))&gt;0,SUMPRODUCT((ListeB='recap S1'!$B16)*(OFFSET(ListeB,,4)='recap S1'!W$3)*(OFFSET(ListeB,,1)='recap S1'!W$2)),"")</f>
        <v/>
      </c>
      <c r="X16" s="32" t="str">
        <f ca="1">IF(SUMPRODUCT((ListeB='recap S1'!$B16)*(OFFSET(ListeB,,4)='recap S1'!X$3)*(OFFSET(ListeB,,1)='recap S1'!X$2))&gt;0,SUMPRODUCT((ListeB='recap S1'!$B16)*(OFFSET(ListeB,,4)='recap S1'!X$3)*(OFFSET(ListeB,,1)='recap S1'!X$2)),"")</f>
        <v/>
      </c>
      <c r="Y16" s="32" t="str">
        <f ca="1">IF(SUMPRODUCT((ListeB='recap S1'!$B16)*(OFFSET(ListeB,,4)='recap S1'!Y$3)*(OFFSET(ListeB,,1)='recap S1'!Y$2))&gt;0,SUMPRODUCT((ListeB='recap S1'!$B16)*(OFFSET(ListeB,,4)='recap S1'!Y$3)*(OFFSET(ListeB,,1)='recap S1'!Y$2)),"")</f>
        <v/>
      </c>
      <c r="Z16" s="32" t="str">
        <f ca="1">IF(SUMPRODUCT((ListeB='recap S1'!$B16)*(OFFSET(ListeB,,4)='recap S1'!Z$3)*(OFFSET(ListeB,,1)='recap S1'!Z$2))&gt;0,SUMPRODUCT((ListeB='recap S1'!$B16)*(OFFSET(ListeB,,4)='recap S1'!Z$3)*(OFFSET(ListeB,,1)='recap S1'!Z$2)),"")</f>
        <v/>
      </c>
      <c r="AA16" s="32" t="str">
        <f ca="1">IF(SUMPRODUCT((ListeB='recap S1'!$B16)*(OFFSET(ListeB,,4)='recap S1'!AA$3)*(OFFSET(ListeB,,1)='recap S1'!AA$2))&gt;0,SUMPRODUCT((ListeB='recap S1'!$B16)*(OFFSET(ListeB,,4)='recap S1'!AA$3)*(OFFSET(ListeB,,1)='recap S1'!AA$2)),"")</f>
        <v/>
      </c>
      <c r="AB16" s="32" t="str">
        <f ca="1">IF(SUMPRODUCT((ListeB='recap S1'!$B16)*(OFFSET(ListeB,,4)='recap S1'!AB$3)*(OFFSET(ListeB,,1)='recap S1'!AB$2))&gt;0,SUMPRODUCT((ListeB='recap S1'!$B16)*(OFFSET(ListeB,,4)='recap S1'!AB$3)*(OFFSET(ListeB,,1)='recap S1'!AB$2)),"")</f>
        <v/>
      </c>
      <c r="AC16" s="32" t="str">
        <f ca="1">IF(SUMPRODUCT((ListeB='recap S1'!$B16)*(OFFSET(ListeB,,4)='recap S1'!AC$3)*(OFFSET(ListeB,,1)='recap S1'!AC$2))&gt;0,SUMPRODUCT((ListeB='recap S1'!$B16)*(OFFSET(ListeB,,4)='recap S1'!AC$3)*(OFFSET(ListeB,,1)='recap S1'!AC$2)),"")</f>
        <v/>
      </c>
      <c r="AD16" s="32" t="str">
        <f ca="1">IF(SUMPRODUCT((ListeB='recap S1'!$B16)*(OFFSET(ListeB,,4)='recap S1'!AD$3)*(OFFSET(ListeB,,1)='recap S1'!AD$2))&gt;0,SUMPRODUCT((ListeB='recap S1'!$B16)*(OFFSET(ListeB,,4)='recap S1'!AD$3)*(OFFSET(ListeB,,1)='recap S1'!AD$2)),"")</f>
        <v/>
      </c>
      <c r="AE16" s="32" t="str">
        <f ca="1">IF(SUMPRODUCT((ListeB='recap S1'!$B16)*(OFFSET(ListeB,,4)='recap S1'!AE$3)*(OFFSET(ListeB,,1)='recap S1'!AE$2))&gt;0,SUMPRODUCT((ListeB='recap S1'!$B16)*(OFFSET(ListeB,,4)='recap S1'!AE$3)*(OFFSET(ListeB,,1)='recap S1'!AE$2)),"")</f>
        <v/>
      </c>
      <c r="AF16" s="32" t="str">
        <f ca="1">IF(SUMPRODUCT((ListeB='recap S1'!$B16)*(OFFSET(ListeB,,4)='recap S1'!AF$3)*(OFFSET(ListeB,,1)='recap S1'!AF$2))&gt;0,SUMPRODUCT((ListeB='recap S1'!$B16)*(OFFSET(ListeB,,4)='recap S1'!AF$3)*(OFFSET(ListeB,,1)='recap S1'!AF$2)),"")</f>
        <v/>
      </c>
      <c r="AG16" s="32" t="str">
        <f ca="1">IF(SUMPRODUCT((ListeB='recap S1'!$B16)*(OFFSET(ListeB,,4)='recap S1'!AG$3)*(OFFSET(ListeB,,1)='recap S1'!AG$2))&gt;0,SUMPRODUCT((ListeB='recap S1'!$B16)*(OFFSET(ListeB,,4)='recap S1'!AG$3)*(OFFSET(ListeB,,1)='recap S1'!AG$2)),"")</f>
        <v/>
      </c>
      <c r="AH16" s="32" t="str">
        <f ca="1">IF(SUMPRODUCT((ListeB='recap S1'!$B16)*(OFFSET(ListeB,,4)='recap S1'!AH$3)*(OFFSET(ListeB,,1)='recap S1'!AH$2))&gt;0,SUMPRODUCT((ListeB='recap S1'!$B16)*(OFFSET(ListeB,,4)='recap S1'!AH$3)*(OFFSET(ListeB,,1)='recap S1'!AH$2)),"")</f>
        <v/>
      </c>
      <c r="AI16" s="32" t="str">
        <f ca="1">IF(SUMPRODUCT((ListeB='recap S1'!$B16)*(OFFSET(ListeB,,4)='recap S1'!AI$3)*(OFFSET(ListeB,,1)='recap S1'!AI$2))&gt;0,SUMPRODUCT((ListeB='recap S1'!$B16)*(OFFSET(ListeB,,4)='recap S1'!AI$3)*(OFFSET(ListeB,,1)='recap S1'!AI$2)),"")</f>
        <v/>
      </c>
      <c r="AJ16" s="32" t="str">
        <f ca="1">IF(SUMPRODUCT((ListeB='recap S1'!$B16)*(OFFSET(ListeB,,4)='recap S1'!AJ$3)*(OFFSET(ListeB,,1)='recap S1'!AJ$2))&gt;0,SUMPRODUCT((ListeB='recap S1'!$B16)*(OFFSET(ListeB,,4)='recap S1'!AJ$3)*(OFFSET(ListeB,,1)='recap S1'!AJ$2)),"")</f>
        <v/>
      </c>
      <c r="AK16" s="32" t="str">
        <f ca="1">IF(SUMPRODUCT((ListeB='recap S1'!$B16)*(OFFSET(ListeB,,4)='recap S1'!AK$3)*(OFFSET(ListeB,,1)='recap S1'!AK$2))&gt;0,SUMPRODUCT((ListeB='recap S1'!$B16)*(OFFSET(ListeB,,4)='recap S1'!AK$3)*(OFFSET(ListeB,,1)='recap S1'!AK$2)),"")</f>
        <v/>
      </c>
      <c r="AL16" s="32" t="str">
        <f ca="1">IF(SUMPRODUCT((ListeB='recap S1'!$B16)*(OFFSET(ListeB,,4)='recap S1'!AL$3)*(OFFSET(ListeB,,1)='recap S1'!AL$2))&gt;0,SUMPRODUCT((ListeB='recap S1'!$B16)*(OFFSET(ListeB,,4)='recap S1'!AL$3)*(OFFSET(ListeB,,1)='recap S1'!AL$2)),"")</f>
        <v/>
      </c>
      <c r="AM16" s="32" t="str">
        <f ca="1">IF(SUMPRODUCT((ListeB='recap S1'!$B16)*(OFFSET(ListeB,,4)='recap S1'!AM$3)*(OFFSET(ListeB,,1)='recap S1'!AM$2))&gt;0,SUMPRODUCT((ListeB='recap S1'!$B16)*(OFFSET(ListeB,,4)='recap S1'!AM$3)*(OFFSET(ListeB,,1)='recap S1'!AM$2)),"")</f>
        <v/>
      </c>
      <c r="AN16" s="32" t="str">
        <f ca="1">IF(SUMPRODUCT((ListeB='recap S1'!$B16)*(OFFSET(ListeB,,4)='recap S1'!AN$3)*(OFFSET(ListeB,,1)='recap S1'!AN$2))&gt;0,SUMPRODUCT((ListeB='recap S1'!$B16)*(OFFSET(ListeB,,4)='recap S1'!AN$3)*(OFFSET(ListeB,,1)='recap S1'!AN$2)),"")</f>
        <v/>
      </c>
      <c r="AO16" s="32" t="str">
        <f ca="1">IF(SUMPRODUCT((ListeB='recap S1'!$B16)*(OFFSET(ListeB,,4)='recap S1'!AO$3)*(OFFSET(ListeB,,1)='recap S1'!AO$2))&gt;0,SUMPRODUCT((ListeB='recap S1'!$B16)*(OFFSET(ListeB,,4)='recap S1'!AO$3)*(OFFSET(ListeB,,1)='recap S1'!AO$2)),"")</f>
        <v/>
      </c>
      <c r="AP16" s="32" t="str">
        <f ca="1">IF(SUMPRODUCT((ListeB='recap S1'!$B16)*(OFFSET(ListeB,,4)='recap S1'!AP$3)*(OFFSET(ListeB,,1)='recap S1'!AP$2))&gt;0,SUMPRODUCT((ListeB='recap S1'!$B16)*(OFFSET(ListeB,,4)='recap S1'!AP$3)*(OFFSET(ListeB,,1)='recap S1'!AP$2)),"")</f>
        <v/>
      </c>
      <c r="AQ16" s="32" t="str">
        <f ca="1">IF(SUMPRODUCT((ListeB='recap S1'!$B16)*(OFFSET(ListeB,,4)='recap S1'!AQ$3)*(OFFSET(ListeB,,1)='recap S1'!AQ$2))&gt;0,SUMPRODUCT((ListeB='recap S1'!$B16)*(OFFSET(ListeB,,4)='recap S1'!AQ$3)*(OFFSET(ListeB,,1)='recap S1'!AQ$2)),"")</f>
        <v/>
      </c>
      <c r="AR16" s="32" t="str">
        <f ca="1">IF(SUMPRODUCT((ListeB='recap S1'!$B16)*(OFFSET(ListeB,,4)='recap S1'!AR$3)*(OFFSET(ListeB,,1)='recap S1'!AR$2))&gt;0,SUMPRODUCT((ListeB='recap S1'!$B16)*(OFFSET(ListeB,,4)='recap S1'!AR$3)*(OFFSET(ListeB,,1)='recap S1'!AR$2)),"")</f>
        <v/>
      </c>
      <c r="AS16" s="32" t="str">
        <f ca="1">IF(SUMPRODUCT((ListeB='recap S1'!$B16)*(OFFSET(ListeB,,4)='recap S1'!AS$3)*(OFFSET(ListeB,,1)='recap S1'!AS$2))&gt;0,SUMPRODUCT((ListeB='recap S1'!$B16)*(OFFSET(ListeB,,4)='recap S1'!AS$3)*(OFFSET(ListeB,,1)='recap S1'!AS$2)),"")</f>
        <v/>
      </c>
      <c r="AT16" s="32" t="str">
        <f ca="1">IF(SUMPRODUCT((ListeB='recap S1'!$B16)*(OFFSET(ListeB,,4)='recap S1'!AT$3)*(OFFSET(ListeB,,1)='recap S1'!AT$2))&gt;0,SUMPRODUCT((ListeB='recap S1'!$B16)*(OFFSET(ListeB,,4)='recap S1'!AT$3)*(OFFSET(ListeB,,1)='recap S1'!AT$2)),"")</f>
        <v/>
      </c>
      <c r="AU16" s="32" t="str">
        <f ca="1">IF(SUMPRODUCT((ListeB='recap S1'!$B16)*(OFFSET(ListeB,,4)='recap S1'!AU$3)*(OFFSET(ListeB,,1)='recap S1'!AU$2))&gt;0,SUMPRODUCT((ListeB='recap S1'!$B16)*(OFFSET(ListeB,,4)='recap S1'!AU$3)*(OFFSET(ListeB,,1)='recap S1'!AU$2)),"")</f>
        <v/>
      </c>
      <c r="AV16" s="32" t="str">
        <f ca="1">IF(SUMPRODUCT((ListeB='recap S1'!$B16)*(OFFSET(ListeB,,4)='recap S1'!AV$3)*(OFFSET(ListeB,,1)='recap S1'!AV$2))&gt;0,SUMPRODUCT((ListeB='recap S1'!$B16)*(OFFSET(ListeB,,4)='recap S1'!AV$3)*(OFFSET(ListeB,,1)='recap S1'!AV$2)),"")</f>
        <v/>
      </c>
      <c r="AW16" s="32" t="str">
        <f ca="1">IF(SUMPRODUCT((ListeB='recap S1'!$B16)*(OFFSET(ListeB,,4)='recap S1'!AW$3)*(OFFSET(ListeB,,1)='recap S1'!AW$2))&gt;0,SUMPRODUCT((ListeB='recap S1'!$B16)*(OFFSET(ListeB,,4)='recap S1'!AW$3)*(OFFSET(ListeB,,1)='recap S1'!AW$2)),"")</f>
        <v/>
      </c>
      <c r="AX16" s="32" t="str">
        <f ca="1">IF(SUMPRODUCT((ListeB='recap S1'!$B16)*(OFFSET(ListeB,,4)='recap S1'!AX$3)*(OFFSET(ListeB,,1)='recap S1'!AX$2))&gt;0,SUMPRODUCT((ListeB='recap S1'!$B16)*(OFFSET(ListeB,,4)='recap S1'!AX$3)*(OFFSET(ListeB,,1)='recap S1'!AX$2)),"")</f>
        <v/>
      </c>
      <c r="AY16" s="32" t="str">
        <f ca="1">IF(SUMPRODUCT((ListeB='recap S1'!$B16)*(OFFSET(ListeB,,4)='recap S1'!AY$3)*(OFFSET(ListeB,,1)='recap S1'!AY$2))&gt;0,SUMPRODUCT((ListeB='recap S1'!$B16)*(OFFSET(ListeB,,4)='recap S1'!AY$3)*(OFFSET(ListeB,,1)='recap S1'!AY$2)),"")</f>
        <v/>
      </c>
      <c r="AZ16" s="32">
        <f t="shared" ca="1" si="0"/>
        <v>0</v>
      </c>
    </row>
    <row r="17" spans="1:52">
      <c r="A17" s="41" t="str">
        <f>IF('SEANCE 1'!$B15&lt;&gt;"",'SEANCE 1'!$A15,"")</f>
        <v/>
      </c>
      <c r="B17" s="41" t="str">
        <f t="array" aca="1" ref="B17" ca="1">IF(ISNA(INDEX(ListeB,MATCH(0,COUNTIF($B$3:B16,ListeB),0))),"",INDEX(ListeB,MATCH(0,COUNTIF($B$3:B16,ListeB),0)))</f>
        <v/>
      </c>
      <c r="C17" s="32" t="str">
        <f ca="1">IF(SUMPRODUCT((ListeB='recap S1'!$B17)*(OFFSET(ListeB,,4)='recap S1'!C$3)*(OFFSET(ListeB,,1)='recap S1'!C$2))&gt;0,SUMPRODUCT((ListeB='recap S1'!$B17)*(OFFSET(ListeB,,4)='recap S1'!C$3)*(OFFSET(ListeB,,1)='recap S1'!C$2)),"")</f>
        <v/>
      </c>
      <c r="D17" s="32" t="str">
        <f ca="1">IF(SUMPRODUCT((ListeB='recap S1'!$B17)*(OFFSET(ListeB,,4)='recap S1'!D$3)*(OFFSET(ListeB,,1)='recap S1'!D$2))&gt;0,SUMPRODUCT((ListeB='recap S1'!$B17)*(OFFSET(ListeB,,4)='recap S1'!D$3)*(OFFSET(ListeB,,1)='recap S1'!D$2)),"")</f>
        <v/>
      </c>
      <c r="E17" s="32" t="str">
        <f ca="1">IF(SUMPRODUCT((ListeB='recap S1'!$B17)*(OFFSET(ListeB,,4)='recap S1'!E$3)*(OFFSET(ListeB,,1)='recap S1'!E$2))&gt;0,SUMPRODUCT((ListeB='recap S1'!$B17)*(OFFSET(ListeB,,4)='recap S1'!E$3)*(OFFSET(ListeB,,1)='recap S1'!E$2)),"")</f>
        <v/>
      </c>
      <c r="F17" s="32" t="str">
        <f ca="1">IF(SUMPRODUCT((ListeB='recap S1'!$B17)*(OFFSET(ListeB,,4)='recap S1'!F$3)*(OFFSET(ListeB,,1)='recap S1'!F$2))&gt;0,SUMPRODUCT((ListeB='recap S1'!$B17)*(OFFSET(ListeB,,4)='recap S1'!F$3)*(OFFSET(ListeB,,1)='recap S1'!F$2)),"")</f>
        <v/>
      </c>
      <c r="G17" s="32" t="str">
        <f ca="1">IF(SUMPRODUCT((ListeB='recap S1'!$B17)*(OFFSET(ListeB,,4)='recap S1'!G$3)*(OFFSET(ListeB,,1)='recap S1'!G$2))&gt;0,SUMPRODUCT((ListeB='recap S1'!$B17)*(OFFSET(ListeB,,4)='recap S1'!G$3)*(OFFSET(ListeB,,1)='recap S1'!G$2)),"")</f>
        <v/>
      </c>
      <c r="H17" s="32" t="str">
        <f ca="1">IF(SUMPRODUCT((ListeB='recap S1'!$B17)*(OFFSET(ListeB,,4)='recap S1'!H$3)*(OFFSET(ListeB,,1)='recap S1'!H$2))&gt;0,SUMPRODUCT((ListeB='recap S1'!$B17)*(OFFSET(ListeB,,4)='recap S1'!H$3)*(OFFSET(ListeB,,1)='recap S1'!H$2)),"")</f>
        <v/>
      </c>
      <c r="I17" s="32" t="str">
        <f ca="1">IF(SUMPRODUCT((ListeB='recap S1'!$B17)*(OFFSET(ListeB,,4)='recap S1'!I$3)*(OFFSET(ListeB,,1)='recap S1'!I$2))&gt;0,SUMPRODUCT((ListeB='recap S1'!$B17)*(OFFSET(ListeB,,4)='recap S1'!I$3)*(OFFSET(ListeB,,1)='recap S1'!I$2)),"")</f>
        <v/>
      </c>
      <c r="J17" s="32" t="str">
        <f ca="1">IF(SUMPRODUCT((ListeB='recap S1'!$B17)*(OFFSET(ListeB,,4)='recap S1'!J$3)*(OFFSET(ListeB,,1)='recap S1'!J$2))&gt;0,SUMPRODUCT((ListeB='recap S1'!$B17)*(OFFSET(ListeB,,4)='recap S1'!J$3)*(OFFSET(ListeB,,1)='recap S1'!J$2)),"")</f>
        <v/>
      </c>
      <c r="K17" s="32" t="str">
        <f ca="1">IF(SUMPRODUCT((ListeB='recap S1'!$B17)*(OFFSET(ListeB,,4)='recap S1'!K$3)*(OFFSET(ListeB,,1)='recap S1'!K$2))&gt;0,SUMPRODUCT((ListeB='recap S1'!$B17)*(OFFSET(ListeB,,4)='recap S1'!K$3)*(OFFSET(ListeB,,1)='recap S1'!K$2)),"")</f>
        <v/>
      </c>
      <c r="L17" s="32" t="str">
        <f ca="1">IF(SUMPRODUCT((ListeB='recap S1'!$B17)*(OFFSET(ListeB,,4)='recap S1'!L$3)*(OFFSET(ListeB,,1)='recap S1'!L$2))&gt;0,SUMPRODUCT((ListeB='recap S1'!$B17)*(OFFSET(ListeB,,4)='recap S1'!L$3)*(OFFSET(ListeB,,1)='recap S1'!L$2)),"")</f>
        <v/>
      </c>
      <c r="M17" s="32" t="str">
        <f ca="1">IF(SUMPRODUCT((ListeB='recap S1'!$B17)*(OFFSET(ListeB,,4)='recap S1'!M$3)*(OFFSET(ListeB,,1)='recap S1'!M$2))&gt;0,SUMPRODUCT((ListeB='recap S1'!$B17)*(OFFSET(ListeB,,4)='recap S1'!M$3)*(OFFSET(ListeB,,1)='recap S1'!M$2)),"")</f>
        <v/>
      </c>
      <c r="N17" s="32" t="str">
        <f ca="1">IF(SUMPRODUCT((ListeB='recap S1'!$B17)*(OFFSET(ListeB,,4)='recap S1'!N$3)*(OFFSET(ListeB,,1)='recap S1'!N$2))&gt;0,SUMPRODUCT((ListeB='recap S1'!$B17)*(OFFSET(ListeB,,4)='recap S1'!N$3)*(OFFSET(ListeB,,1)='recap S1'!N$2)),"")</f>
        <v/>
      </c>
      <c r="O17" s="32" t="str">
        <f ca="1">IF(SUMPRODUCT((ListeB='recap S1'!$B17)*(OFFSET(ListeB,,4)='recap S1'!O$3)*(OFFSET(ListeB,,1)='recap S1'!O$2))&gt;0,SUMPRODUCT((ListeB='recap S1'!$B17)*(OFFSET(ListeB,,4)='recap S1'!O$3)*(OFFSET(ListeB,,1)='recap S1'!O$2)),"")</f>
        <v/>
      </c>
      <c r="P17" s="32" t="str">
        <f ca="1">IF(SUMPRODUCT((ListeB='recap S1'!$B17)*(OFFSET(ListeB,,4)='recap S1'!P$3)*(OFFSET(ListeB,,1)='recap S1'!P$2))&gt;0,SUMPRODUCT((ListeB='recap S1'!$B17)*(OFFSET(ListeB,,4)='recap S1'!P$3)*(OFFSET(ListeB,,1)='recap S1'!P$2)),"")</f>
        <v/>
      </c>
      <c r="Q17" s="32" t="str">
        <f ca="1">IF(SUMPRODUCT((ListeB='recap S1'!$B17)*(OFFSET(ListeB,,4)='recap S1'!Q$3)*(OFFSET(ListeB,,1)='recap S1'!Q$2))&gt;0,SUMPRODUCT((ListeB='recap S1'!$B17)*(OFFSET(ListeB,,4)='recap S1'!Q$3)*(OFFSET(ListeB,,1)='recap S1'!Q$2)),"")</f>
        <v/>
      </c>
      <c r="R17" s="32" t="str">
        <f ca="1">IF(SUMPRODUCT((ListeB='recap S1'!$B17)*(OFFSET(ListeB,,4)='recap S1'!R$3)*(OFFSET(ListeB,,1)='recap S1'!R$2))&gt;0,SUMPRODUCT((ListeB='recap S1'!$B17)*(OFFSET(ListeB,,4)='recap S1'!R$3)*(OFFSET(ListeB,,1)='recap S1'!R$2)),"")</f>
        <v/>
      </c>
      <c r="S17" s="32" t="str">
        <f ca="1">IF(SUMPRODUCT((ListeB='recap S1'!$B17)*(OFFSET(ListeB,,4)='recap S1'!S$3)*(OFFSET(ListeB,,1)='recap S1'!S$2))&gt;0,SUMPRODUCT((ListeB='recap S1'!$B17)*(OFFSET(ListeB,,4)='recap S1'!S$3)*(OFFSET(ListeB,,1)='recap S1'!S$2)),"")</f>
        <v/>
      </c>
      <c r="T17" s="32" t="str">
        <f ca="1">IF(SUMPRODUCT((ListeB='recap S1'!$B17)*(OFFSET(ListeB,,4)='recap S1'!T$3)*(OFFSET(ListeB,,1)='recap S1'!T$2))&gt;0,SUMPRODUCT((ListeB='recap S1'!$B17)*(OFFSET(ListeB,,4)='recap S1'!T$3)*(OFFSET(ListeB,,1)='recap S1'!T$2)),"")</f>
        <v/>
      </c>
      <c r="U17" s="32" t="str">
        <f ca="1">IF(SUMPRODUCT((ListeB='recap S1'!$B17)*(OFFSET(ListeB,,4)='recap S1'!U$3)*(OFFSET(ListeB,,1)='recap S1'!U$2))&gt;0,SUMPRODUCT((ListeB='recap S1'!$B17)*(OFFSET(ListeB,,4)='recap S1'!U$3)*(OFFSET(ListeB,,1)='recap S1'!U$2)),"")</f>
        <v/>
      </c>
      <c r="V17" s="32" t="str">
        <f ca="1">IF(SUMPRODUCT((ListeB='recap S1'!$B17)*(OFFSET(ListeB,,4)='recap S1'!V$3)*(OFFSET(ListeB,,1)='recap S1'!V$2))&gt;0,SUMPRODUCT((ListeB='recap S1'!$B17)*(OFFSET(ListeB,,4)='recap S1'!V$3)*(OFFSET(ListeB,,1)='recap S1'!V$2)),"")</f>
        <v/>
      </c>
      <c r="W17" s="32" t="str">
        <f ca="1">IF(SUMPRODUCT((ListeB='recap S1'!$B17)*(OFFSET(ListeB,,4)='recap S1'!W$3)*(OFFSET(ListeB,,1)='recap S1'!W$2))&gt;0,SUMPRODUCT((ListeB='recap S1'!$B17)*(OFFSET(ListeB,,4)='recap S1'!W$3)*(OFFSET(ListeB,,1)='recap S1'!W$2)),"")</f>
        <v/>
      </c>
      <c r="X17" s="32" t="str">
        <f ca="1">IF(SUMPRODUCT((ListeB='recap S1'!$B17)*(OFFSET(ListeB,,4)='recap S1'!X$3)*(OFFSET(ListeB,,1)='recap S1'!X$2))&gt;0,SUMPRODUCT((ListeB='recap S1'!$B17)*(OFFSET(ListeB,,4)='recap S1'!X$3)*(OFFSET(ListeB,,1)='recap S1'!X$2)),"")</f>
        <v/>
      </c>
      <c r="Y17" s="32" t="str">
        <f ca="1">IF(SUMPRODUCT((ListeB='recap S1'!$B17)*(OFFSET(ListeB,,4)='recap S1'!Y$3)*(OFFSET(ListeB,,1)='recap S1'!Y$2))&gt;0,SUMPRODUCT((ListeB='recap S1'!$B17)*(OFFSET(ListeB,,4)='recap S1'!Y$3)*(OFFSET(ListeB,,1)='recap S1'!Y$2)),"")</f>
        <v/>
      </c>
      <c r="Z17" s="32" t="str">
        <f ca="1">IF(SUMPRODUCT((ListeB='recap S1'!$B17)*(OFFSET(ListeB,,4)='recap S1'!Z$3)*(OFFSET(ListeB,,1)='recap S1'!Z$2))&gt;0,SUMPRODUCT((ListeB='recap S1'!$B17)*(OFFSET(ListeB,,4)='recap S1'!Z$3)*(OFFSET(ListeB,,1)='recap S1'!Z$2)),"")</f>
        <v/>
      </c>
      <c r="AA17" s="32" t="str">
        <f ca="1">IF(SUMPRODUCT((ListeB='recap S1'!$B17)*(OFFSET(ListeB,,4)='recap S1'!AA$3)*(OFFSET(ListeB,,1)='recap S1'!AA$2))&gt;0,SUMPRODUCT((ListeB='recap S1'!$B17)*(OFFSET(ListeB,,4)='recap S1'!AA$3)*(OFFSET(ListeB,,1)='recap S1'!AA$2)),"")</f>
        <v/>
      </c>
      <c r="AB17" s="32" t="str">
        <f ca="1">IF(SUMPRODUCT((ListeB='recap S1'!$B17)*(OFFSET(ListeB,,4)='recap S1'!AB$3)*(OFFSET(ListeB,,1)='recap S1'!AB$2))&gt;0,SUMPRODUCT((ListeB='recap S1'!$B17)*(OFFSET(ListeB,,4)='recap S1'!AB$3)*(OFFSET(ListeB,,1)='recap S1'!AB$2)),"")</f>
        <v/>
      </c>
      <c r="AC17" s="32" t="str">
        <f ca="1">IF(SUMPRODUCT((ListeB='recap S1'!$B17)*(OFFSET(ListeB,,4)='recap S1'!AC$3)*(OFFSET(ListeB,,1)='recap S1'!AC$2))&gt;0,SUMPRODUCT((ListeB='recap S1'!$B17)*(OFFSET(ListeB,,4)='recap S1'!AC$3)*(OFFSET(ListeB,,1)='recap S1'!AC$2)),"")</f>
        <v/>
      </c>
      <c r="AD17" s="32" t="str">
        <f ca="1">IF(SUMPRODUCT((ListeB='recap S1'!$B17)*(OFFSET(ListeB,,4)='recap S1'!AD$3)*(OFFSET(ListeB,,1)='recap S1'!AD$2))&gt;0,SUMPRODUCT((ListeB='recap S1'!$B17)*(OFFSET(ListeB,,4)='recap S1'!AD$3)*(OFFSET(ListeB,,1)='recap S1'!AD$2)),"")</f>
        <v/>
      </c>
      <c r="AE17" s="32" t="str">
        <f ca="1">IF(SUMPRODUCT((ListeB='recap S1'!$B17)*(OFFSET(ListeB,,4)='recap S1'!AE$3)*(OFFSET(ListeB,,1)='recap S1'!AE$2))&gt;0,SUMPRODUCT((ListeB='recap S1'!$B17)*(OFFSET(ListeB,,4)='recap S1'!AE$3)*(OFFSET(ListeB,,1)='recap S1'!AE$2)),"")</f>
        <v/>
      </c>
      <c r="AF17" s="32" t="str">
        <f ca="1">IF(SUMPRODUCT((ListeB='recap S1'!$B17)*(OFFSET(ListeB,,4)='recap S1'!AF$3)*(OFFSET(ListeB,,1)='recap S1'!AF$2))&gt;0,SUMPRODUCT((ListeB='recap S1'!$B17)*(OFFSET(ListeB,,4)='recap S1'!AF$3)*(OFFSET(ListeB,,1)='recap S1'!AF$2)),"")</f>
        <v/>
      </c>
      <c r="AG17" s="32" t="str">
        <f ca="1">IF(SUMPRODUCT((ListeB='recap S1'!$B17)*(OFFSET(ListeB,,4)='recap S1'!AG$3)*(OFFSET(ListeB,,1)='recap S1'!AG$2))&gt;0,SUMPRODUCT((ListeB='recap S1'!$B17)*(OFFSET(ListeB,,4)='recap S1'!AG$3)*(OFFSET(ListeB,,1)='recap S1'!AG$2)),"")</f>
        <v/>
      </c>
      <c r="AH17" s="32" t="str">
        <f ca="1">IF(SUMPRODUCT((ListeB='recap S1'!$B17)*(OFFSET(ListeB,,4)='recap S1'!AH$3)*(OFFSET(ListeB,,1)='recap S1'!AH$2))&gt;0,SUMPRODUCT((ListeB='recap S1'!$B17)*(OFFSET(ListeB,,4)='recap S1'!AH$3)*(OFFSET(ListeB,,1)='recap S1'!AH$2)),"")</f>
        <v/>
      </c>
      <c r="AI17" s="32" t="str">
        <f ca="1">IF(SUMPRODUCT((ListeB='recap S1'!$B17)*(OFFSET(ListeB,,4)='recap S1'!AI$3)*(OFFSET(ListeB,,1)='recap S1'!AI$2))&gt;0,SUMPRODUCT((ListeB='recap S1'!$B17)*(OFFSET(ListeB,,4)='recap S1'!AI$3)*(OFFSET(ListeB,,1)='recap S1'!AI$2)),"")</f>
        <v/>
      </c>
      <c r="AJ17" s="32" t="str">
        <f ca="1">IF(SUMPRODUCT((ListeB='recap S1'!$B17)*(OFFSET(ListeB,,4)='recap S1'!AJ$3)*(OFFSET(ListeB,,1)='recap S1'!AJ$2))&gt;0,SUMPRODUCT((ListeB='recap S1'!$B17)*(OFFSET(ListeB,,4)='recap S1'!AJ$3)*(OFFSET(ListeB,,1)='recap S1'!AJ$2)),"")</f>
        <v/>
      </c>
      <c r="AK17" s="32" t="str">
        <f ca="1">IF(SUMPRODUCT((ListeB='recap S1'!$B17)*(OFFSET(ListeB,,4)='recap S1'!AK$3)*(OFFSET(ListeB,,1)='recap S1'!AK$2))&gt;0,SUMPRODUCT((ListeB='recap S1'!$B17)*(OFFSET(ListeB,,4)='recap S1'!AK$3)*(OFFSET(ListeB,,1)='recap S1'!AK$2)),"")</f>
        <v/>
      </c>
      <c r="AL17" s="32" t="str">
        <f ca="1">IF(SUMPRODUCT((ListeB='recap S1'!$B17)*(OFFSET(ListeB,,4)='recap S1'!AL$3)*(OFFSET(ListeB,,1)='recap S1'!AL$2))&gt;0,SUMPRODUCT((ListeB='recap S1'!$B17)*(OFFSET(ListeB,,4)='recap S1'!AL$3)*(OFFSET(ListeB,,1)='recap S1'!AL$2)),"")</f>
        <v/>
      </c>
      <c r="AM17" s="32" t="str">
        <f ca="1">IF(SUMPRODUCT((ListeB='recap S1'!$B17)*(OFFSET(ListeB,,4)='recap S1'!AM$3)*(OFFSET(ListeB,,1)='recap S1'!AM$2))&gt;0,SUMPRODUCT((ListeB='recap S1'!$B17)*(OFFSET(ListeB,,4)='recap S1'!AM$3)*(OFFSET(ListeB,,1)='recap S1'!AM$2)),"")</f>
        <v/>
      </c>
      <c r="AN17" s="32" t="str">
        <f ca="1">IF(SUMPRODUCT((ListeB='recap S1'!$B17)*(OFFSET(ListeB,,4)='recap S1'!AN$3)*(OFFSET(ListeB,,1)='recap S1'!AN$2))&gt;0,SUMPRODUCT((ListeB='recap S1'!$B17)*(OFFSET(ListeB,,4)='recap S1'!AN$3)*(OFFSET(ListeB,,1)='recap S1'!AN$2)),"")</f>
        <v/>
      </c>
      <c r="AO17" s="32" t="str">
        <f ca="1">IF(SUMPRODUCT((ListeB='recap S1'!$B17)*(OFFSET(ListeB,,4)='recap S1'!AO$3)*(OFFSET(ListeB,,1)='recap S1'!AO$2))&gt;0,SUMPRODUCT((ListeB='recap S1'!$B17)*(OFFSET(ListeB,,4)='recap S1'!AO$3)*(OFFSET(ListeB,,1)='recap S1'!AO$2)),"")</f>
        <v/>
      </c>
      <c r="AP17" s="32" t="str">
        <f ca="1">IF(SUMPRODUCT((ListeB='recap S1'!$B17)*(OFFSET(ListeB,,4)='recap S1'!AP$3)*(OFFSET(ListeB,,1)='recap S1'!AP$2))&gt;0,SUMPRODUCT((ListeB='recap S1'!$B17)*(OFFSET(ListeB,,4)='recap S1'!AP$3)*(OFFSET(ListeB,,1)='recap S1'!AP$2)),"")</f>
        <v/>
      </c>
      <c r="AQ17" s="32" t="str">
        <f ca="1">IF(SUMPRODUCT((ListeB='recap S1'!$B17)*(OFFSET(ListeB,,4)='recap S1'!AQ$3)*(OFFSET(ListeB,,1)='recap S1'!AQ$2))&gt;0,SUMPRODUCT((ListeB='recap S1'!$B17)*(OFFSET(ListeB,,4)='recap S1'!AQ$3)*(OFFSET(ListeB,,1)='recap S1'!AQ$2)),"")</f>
        <v/>
      </c>
      <c r="AR17" s="32" t="str">
        <f ca="1">IF(SUMPRODUCT((ListeB='recap S1'!$B17)*(OFFSET(ListeB,,4)='recap S1'!AR$3)*(OFFSET(ListeB,,1)='recap S1'!AR$2))&gt;0,SUMPRODUCT((ListeB='recap S1'!$B17)*(OFFSET(ListeB,,4)='recap S1'!AR$3)*(OFFSET(ListeB,,1)='recap S1'!AR$2)),"")</f>
        <v/>
      </c>
      <c r="AS17" s="32" t="str">
        <f ca="1">IF(SUMPRODUCT((ListeB='recap S1'!$B17)*(OFFSET(ListeB,,4)='recap S1'!AS$3)*(OFFSET(ListeB,,1)='recap S1'!AS$2))&gt;0,SUMPRODUCT((ListeB='recap S1'!$B17)*(OFFSET(ListeB,,4)='recap S1'!AS$3)*(OFFSET(ListeB,,1)='recap S1'!AS$2)),"")</f>
        <v/>
      </c>
      <c r="AT17" s="32" t="str">
        <f ca="1">IF(SUMPRODUCT((ListeB='recap S1'!$B17)*(OFFSET(ListeB,,4)='recap S1'!AT$3)*(OFFSET(ListeB,,1)='recap S1'!AT$2))&gt;0,SUMPRODUCT((ListeB='recap S1'!$B17)*(OFFSET(ListeB,,4)='recap S1'!AT$3)*(OFFSET(ListeB,,1)='recap S1'!AT$2)),"")</f>
        <v/>
      </c>
      <c r="AU17" s="32" t="str">
        <f ca="1">IF(SUMPRODUCT((ListeB='recap S1'!$B17)*(OFFSET(ListeB,,4)='recap S1'!AU$3)*(OFFSET(ListeB,,1)='recap S1'!AU$2))&gt;0,SUMPRODUCT((ListeB='recap S1'!$B17)*(OFFSET(ListeB,,4)='recap S1'!AU$3)*(OFFSET(ListeB,,1)='recap S1'!AU$2)),"")</f>
        <v/>
      </c>
      <c r="AV17" s="32" t="str">
        <f ca="1">IF(SUMPRODUCT((ListeB='recap S1'!$B17)*(OFFSET(ListeB,,4)='recap S1'!AV$3)*(OFFSET(ListeB,,1)='recap S1'!AV$2))&gt;0,SUMPRODUCT((ListeB='recap S1'!$B17)*(OFFSET(ListeB,,4)='recap S1'!AV$3)*(OFFSET(ListeB,,1)='recap S1'!AV$2)),"")</f>
        <v/>
      </c>
      <c r="AW17" s="32" t="str">
        <f ca="1">IF(SUMPRODUCT((ListeB='recap S1'!$B17)*(OFFSET(ListeB,,4)='recap S1'!AW$3)*(OFFSET(ListeB,,1)='recap S1'!AW$2))&gt;0,SUMPRODUCT((ListeB='recap S1'!$B17)*(OFFSET(ListeB,,4)='recap S1'!AW$3)*(OFFSET(ListeB,,1)='recap S1'!AW$2)),"")</f>
        <v/>
      </c>
      <c r="AX17" s="32" t="str">
        <f ca="1">IF(SUMPRODUCT((ListeB='recap S1'!$B17)*(OFFSET(ListeB,,4)='recap S1'!AX$3)*(OFFSET(ListeB,,1)='recap S1'!AX$2))&gt;0,SUMPRODUCT((ListeB='recap S1'!$B17)*(OFFSET(ListeB,,4)='recap S1'!AX$3)*(OFFSET(ListeB,,1)='recap S1'!AX$2)),"")</f>
        <v/>
      </c>
      <c r="AY17" s="32" t="str">
        <f ca="1">IF(SUMPRODUCT((ListeB='recap S1'!$B17)*(OFFSET(ListeB,,4)='recap S1'!AY$3)*(OFFSET(ListeB,,1)='recap S1'!AY$2))&gt;0,SUMPRODUCT((ListeB='recap S1'!$B17)*(OFFSET(ListeB,,4)='recap S1'!AY$3)*(OFFSET(ListeB,,1)='recap S1'!AY$2)),"")</f>
        <v/>
      </c>
      <c r="AZ17" s="32">
        <f t="shared" ca="1" si="0"/>
        <v>0</v>
      </c>
    </row>
    <row r="18" spans="1:52">
      <c r="A18" s="41" t="str">
        <f>IF('SEANCE 1'!$B16&lt;&gt;"",'SEANCE 1'!$A16,"")</f>
        <v/>
      </c>
      <c r="B18" s="41" t="str">
        <f t="array" aca="1" ref="B18" ca="1">IF(ISNA(INDEX(ListeB,MATCH(0,COUNTIF($B$3:B17,ListeB),0))),"",INDEX(ListeB,MATCH(0,COUNTIF($B$3:B17,ListeB),0)))</f>
        <v/>
      </c>
      <c r="C18" s="32" t="str">
        <f ca="1">IF(SUMPRODUCT((ListeB='recap S1'!$B18)*(OFFSET(ListeB,,4)='recap S1'!C$3)*(OFFSET(ListeB,,1)='recap S1'!C$2))&gt;0,SUMPRODUCT((ListeB='recap S1'!$B18)*(OFFSET(ListeB,,4)='recap S1'!C$3)*(OFFSET(ListeB,,1)='recap S1'!C$2)),"")</f>
        <v/>
      </c>
      <c r="D18" s="32" t="str">
        <f ca="1">IF(SUMPRODUCT((ListeB='recap S1'!$B18)*(OFFSET(ListeB,,4)='recap S1'!D$3)*(OFFSET(ListeB,,1)='recap S1'!D$2))&gt;0,SUMPRODUCT((ListeB='recap S1'!$B18)*(OFFSET(ListeB,,4)='recap S1'!D$3)*(OFFSET(ListeB,,1)='recap S1'!D$2)),"")</f>
        <v/>
      </c>
      <c r="E18" s="32" t="str">
        <f ca="1">IF(SUMPRODUCT((ListeB='recap S1'!$B18)*(OFFSET(ListeB,,4)='recap S1'!E$3)*(OFFSET(ListeB,,1)='recap S1'!E$2))&gt;0,SUMPRODUCT((ListeB='recap S1'!$B18)*(OFFSET(ListeB,,4)='recap S1'!E$3)*(OFFSET(ListeB,,1)='recap S1'!E$2)),"")</f>
        <v/>
      </c>
      <c r="F18" s="32" t="str">
        <f ca="1">IF(SUMPRODUCT((ListeB='recap S1'!$B18)*(OFFSET(ListeB,,4)='recap S1'!F$3)*(OFFSET(ListeB,,1)='recap S1'!F$2))&gt;0,SUMPRODUCT((ListeB='recap S1'!$B18)*(OFFSET(ListeB,,4)='recap S1'!F$3)*(OFFSET(ListeB,,1)='recap S1'!F$2)),"")</f>
        <v/>
      </c>
      <c r="G18" s="32" t="str">
        <f ca="1">IF(SUMPRODUCT((ListeB='recap S1'!$B18)*(OFFSET(ListeB,,4)='recap S1'!G$3)*(OFFSET(ListeB,,1)='recap S1'!G$2))&gt;0,SUMPRODUCT((ListeB='recap S1'!$B18)*(OFFSET(ListeB,,4)='recap S1'!G$3)*(OFFSET(ListeB,,1)='recap S1'!G$2)),"")</f>
        <v/>
      </c>
      <c r="H18" s="32" t="str">
        <f ca="1">IF(SUMPRODUCT((ListeB='recap S1'!$B18)*(OFFSET(ListeB,,4)='recap S1'!H$3)*(OFFSET(ListeB,,1)='recap S1'!H$2))&gt;0,SUMPRODUCT((ListeB='recap S1'!$B18)*(OFFSET(ListeB,,4)='recap S1'!H$3)*(OFFSET(ListeB,,1)='recap S1'!H$2)),"")</f>
        <v/>
      </c>
      <c r="I18" s="32" t="str">
        <f ca="1">IF(SUMPRODUCT((ListeB='recap S1'!$B18)*(OFFSET(ListeB,,4)='recap S1'!I$3)*(OFFSET(ListeB,,1)='recap S1'!I$2))&gt;0,SUMPRODUCT((ListeB='recap S1'!$B18)*(OFFSET(ListeB,,4)='recap S1'!I$3)*(OFFSET(ListeB,,1)='recap S1'!I$2)),"")</f>
        <v/>
      </c>
      <c r="J18" s="32" t="str">
        <f ca="1">IF(SUMPRODUCT((ListeB='recap S1'!$B18)*(OFFSET(ListeB,,4)='recap S1'!J$3)*(OFFSET(ListeB,,1)='recap S1'!J$2))&gt;0,SUMPRODUCT((ListeB='recap S1'!$B18)*(OFFSET(ListeB,,4)='recap S1'!J$3)*(OFFSET(ListeB,,1)='recap S1'!J$2)),"")</f>
        <v/>
      </c>
      <c r="K18" s="32" t="str">
        <f ca="1">IF(SUMPRODUCT((ListeB='recap S1'!$B18)*(OFFSET(ListeB,,4)='recap S1'!K$3)*(OFFSET(ListeB,,1)='recap S1'!K$2))&gt;0,SUMPRODUCT((ListeB='recap S1'!$B18)*(OFFSET(ListeB,,4)='recap S1'!K$3)*(OFFSET(ListeB,,1)='recap S1'!K$2)),"")</f>
        <v/>
      </c>
      <c r="L18" s="32" t="str">
        <f ca="1">IF(SUMPRODUCT((ListeB='recap S1'!$B18)*(OFFSET(ListeB,,4)='recap S1'!L$3)*(OFFSET(ListeB,,1)='recap S1'!L$2))&gt;0,SUMPRODUCT((ListeB='recap S1'!$B18)*(OFFSET(ListeB,,4)='recap S1'!L$3)*(OFFSET(ListeB,,1)='recap S1'!L$2)),"")</f>
        <v/>
      </c>
      <c r="M18" s="32" t="str">
        <f ca="1">IF(SUMPRODUCT((ListeB='recap S1'!$B18)*(OFFSET(ListeB,,4)='recap S1'!M$3)*(OFFSET(ListeB,,1)='recap S1'!M$2))&gt;0,SUMPRODUCT((ListeB='recap S1'!$B18)*(OFFSET(ListeB,,4)='recap S1'!M$3)*(OFFSET(ListeB,,1)='recap S1'!M$2)),"")</f>
        <v/>
      </c>
      <c r="N18" s="32" t="str">
        <f ca="1">IF(SUMPRODUCT((ListeB='recap S1'!$B18)*(OFFSET(ListeB,,4)='recap S1'!N$3)*(OFFSET(ListeB,,1)='recap S1'!N$2))&gt;0,SUMPRODUCT((ListeB='recap S1'!$B18)*(OFFSET(ListeB,,4)='recap S1'!N$3)*(OFFSET(ListeB,,1)='recap S1'!N$2)),"")</f>
        <v/>
      </c>
      <c r="O18" s="32" t="str">
        <f ca="1">IF(SUMPRODUCT((ListeB='recap S1'!$B18)*(OFFSET(ListeB,,4)='recap S1'!O$3)*(OFFSET(ListeB,,1)='recap S1'!O$2))&gt;0,SUMPRODUCT((ListeB='recap S1'!$B18)*(OFFSET(ListeB,,4)='recap S1'!O$3)*(OFFSET(ListeB,,1)='recap S1'!O$2)),"")</f>
        <v/>
      </c>
      <c r="P18" s="32" t="str">
        <f ca="1">IF(SUMPRODUCT((ListeB='recap S1'!$B18)*(OFFSET(ListeB,,4)='recap S1'!P$3)*(OFFSET(ListeB,,1)='recap S1'!P$2))&gt;0,SUMPRODUCT((ListeB='recap S1'!$B18)*(OFFSET(ListeB,,4)='recap S1'!P$3)*(OFFSET(ListeB,,1)='recap S1'!P$2)),"")</f>
        <v/>
      </c>
      <c r="Q18" s="32" t="str">
        <f ca="1">IF(SUMPRODUCT((ListeB='recap S1'!$B18)*(OFFSET(ListeB,,4)='recap S1'!Q$3)*(OFFSET(ListeB,,1)='recap S1'!Q$2))&gt;0,SUMPRODUCT((ListeB='recap S1'!$B18)*(OFFSET(ListeB,,4)='recap S1'!Q$3)*(OFFSET(ListeB,,1)='recap S1'!Q$2)),"")</f>
        <v/>
      </c>
      <c r="R18" s="32" t="str">
        <f ca="1">IF(SUMPRODUCT((ListeB='recap S1'!$B18)*(OFFSET(ListeB,,4)='recap S1'!R$3)*(OFFSET(ListeB,,1)='recap S1'!R$2))&gt;0,SUMPRODUCT((ListeB='recap S1'!$B18)*(OFFSET(ListeB,,4)='recap S1'!R$3)*(OFFSET(ListeB,,1)='recap S1'!R$2)),"")</f>
        <v/>
      </c>
      <c r="S18" s="32" t="str">
        <f ca="1">IF(SUMPRODUCT((ListeB='recap S1'!$B18)*(OFFSET(ListeB,,4)='recap S1'!S$3)*(OFFSET(ListeB,,1)='recap S1'!S$2))&gt;0,SUMPRODUCT((ListeB='recap S1'!$B18)*(OFFSET(ListeB,,4)='recap S1'!S$3)*(OFFSET(ListeB,,1)='recap S1'!S$2)),"")</f>
        <v/>
      </c>
      <c r="T18" s="32" t="str">
        <f ca="1">IF(SUMPRODUCT((ListeB='recap S1'!$B18)*(OFFSET(ListeB,,4)='recap S1'!T$3)*(OFFSET(ListeB,,1)='recap S1'!T$2))&gt;0,SUMPRODUCT((ListeB='recap S1'!$B18)*(OFFSET(ListeB,,4)='recap S1'!T$3)*(OFFSET(ListeB,,1)='recap S1'!T$2)),"")</f>
        <v/>
      </c>
      <c r="U18" s="32" t="str">
        <f ca="1">IF(SUMPRODUCT((ListeB='recap S1'!$B18)*(OFFSET(ListeB,,4)='recap S1'!U$3)*(OFFSET(ListeB,,1)='recap S1'!U$2))&gt;0,SUMPRODUCT((ListeB='recap S1'!$B18)*(OFFSET(ListeB,,4)='recap S1'!U$3)*(OFFSET(ListeB,,1)='recap S1'!U$2)),"")</f>
        <v/>
      </c>
      <c r="V18" s="32" t="str">
        <f ca="1">IF(SUMPRODUCT((ListeB='recap S1'!$B18)*(OFFSET(ListeB,,4)='recap S1'!V$3)*(OFFSET(ListeB,,1)='recap S1'!V$2))&gt;0,SUMPRODUCT((ListeB='recap S1'!$B18)*(OFFSET(ListeB,,4)='recap S1'!V$3)*(OFFSET(ListeB,,1)='recap S1'!V$2)),"")</f>
        <v/>
      </c>
      <c r="W18" s="32" t="str">
        <f ca="1">IF(SUMPRODUCT((ListeB='recap S1'!$B18)*(OFFSET(ListeB,,4)='recap S1'!W$3)*(OFFSET(ListeB,,1)='recap S1'!W$2))&gt;0,SUMPRODUCT((ListeB='recap S1'!$B18)*(OFFSET(ListeB,,4)='recap S1'!W$3)*(OFFSET(ListeB,,1)='recap S1'!W$2)),"")</f>
        <v/>
      </c>
      <c r="X18" s="32" t="str">
        <f ca="1">IF(SUMPRODUCT((ListeB='recap S1'!$B18)*(OFFSET(ListeB,,4)='recap S1'!X$3)*(OFFSET(ListeB,,1)='recap S1'!X$2))&gt;0,SUMPRODUCT((ListeB='recap S1'!$B18)*(OFFSET(ListeB,,4)='recap S1'!X$3)*(OFFSET(ListeB,,1)='recap S1'!X$2)),"")</f>
        <v/>
      </c>
      <c r="Y18" s="32" t="str">
        <f ca="1">IF(SUMPRODUCT((ListeB='recap S1'!$B18)*(OFFSET(ListeB,,4)='recap S1'!Y$3)*(OFFSET(ListeB,,1)='recap S1'!Y$2))&gt;0,SUMPRODUCT((ListeB='recap S1'!$B18)*(OFFSET(ListeB,,4)='recap S1'!Y$3)*(OFFSET(ListeB,,1)='recap S1'!Y$2)),"")</f>
        <v/>
      </c>
      <c r="Z18" s="32" t="str">
        <f ca="1">IF(SUMPRODUCT((ListeB='recap S1'!$B18)*(OFFSET(ListeB,,4)='recap S1'!Z$3)*(OFFSET(ListeB,,1)='recap S1'!Z$2))&gt;0,SUMPRODUCT((ListeB='recap S1'!$B18)*(OFFSET(ListeB,,4)='recap S1'!Z$3)*(OFFSET(ListeB,,1)='recap S1'!Z$2)),"")</f>
        <v/>
      </c>
      <c r="AA18" s="32" t="str">
        <f ca="1">IF(SUMPRODUCT((ListeB='recap S1'!$B18)*(OFFSET(ListeB,,4)='recap S1'!AA$3)*(OFFSET(ListeB,,1)='recap S1'!AA$2))&gt;0,SUMPRODUCT((ListeB='recap S1'!$B18)*(OFFSET(ListeB,,4)='recap S1'!AA$3)*(OFFSET(ListeB,,1)='recap S1'!AA$2)),"")</f>
        <v/>
      </c>
      <c r="AB18" s="32" t="str">
        <f ca="1">IF(SUMPRODUCT((ListeB='recap S1'!$B18)*(OFFSET(ListeB,,4)='recap S1'!AB$3)*(OFFSET(ListeB,,1)='recap S1'!AB$2))&gt;0,SUMPRODUCT((ListeB='recap S1'!$B18)*(OFFSET(ListeB,,4)='recap S1'!AB$3)*(OFFSET(ListeB,,1)='recap S1'!AB$2)),"")</f>
        <v/>
      </c>
      <c r="AC18" s="32" t="str">
        <f ca="1">IF(SUMPRODUCT((ListeB='recap S1'!$B18)*(OFFSET(ListeB,,4)='recap S1'!AC$3)*(OFFSET(ListeB,,1)='recap S1'!AC$2))&gt;0,SUMPRODUCT((ListeB='recap S1'!$B18)*(OFFSET(ListeB,,4)='recap S1'!AC$3)*(OFFSET(ListeB,,1)='recap S1'!AC$2)),"")</f>
        <v/>
      </c>
      <c r="AD18" s="32" t="str">
        <f ca="1">IF(SUMPRODUCT((ListeB='recap S1'!$B18)*(OFFSET(ListeB,,4)='recap S1'!AD$3)*(OFFSET(ListeB,,1)='recap S1'!AD$2))&gt;0,SUMPRODUCT((ListeB='recap S1'!$B18)*(OFFSET(ListeB,,4)='recap S1'!AD$3)*(OFFSET(ListeB,,1)='recap S1'!AD$2)),"")</f>
        <v/>
      </c>
      <c r="AE18" s="32" t="str">
        <f ca="1">IF(SUMPRODUCT((ListeB='recap S1'!$B18)*(OFFSET(ListeB,,4)='recap S1'!AE$3)*(OFFSET(ListeB,,1)='recap S1'!AE$2))&gt;0,SUMPRODUCT((ListeB='recap S1'!$B18)*(OFFSET(ListeB,,4)='recap S1'!AE$3)*(OFFSET(ListeB,,1)='recap S1'!AE$2)),"")</f>
        <v/>
      </c>
      <c r="AF18" s="32" t="str">
        <f ca="1">IF(SUMPRODUCT((ListeB='recap S1'!$B18)*(OFFSET(ListeB,,4)='recap S1'!AF$3)*(OFFSET(ListeB,,1)='recap S1'!AF$2))&gt;0,SUMPRODUCT((ListeB='recap S1'!$B18)*(OFFSET(ListeB,,4)='recap S1'!AF$3)*(OFFSET(ListeB,,1)='recap S1'!AF$2)),"")</f>
        <v/>
      </c>
      <c r="AG18" s="32" t="str">
        <f ca="1">IF(SUMPRODUCT((ListeB='recap S1'!$B18)*(OFFSET(ListeB,,4)='recap S1'!AG$3)*(OFFSET(ListeB,,1)='recap S1'!AG$2))&gt;0,SUMPRODUCT((ListeB='recap S1'!$B18)*(OFFSET(ListeB,,4)='recap S1'!AG$3)*(OFFSET(ListeB,,1)='recap S1'!AG$2)),"")</f>
        <v/>
      </c>
      <c r="AH18" s="32" t="str">
        <f ca="1">IF(SUMPRODUCT((ListeB='recap S1'!$B18)*(OFFSET(ListeB,,4)='recap S1'!AH$3)*(OFFSET(ListeB,,1)='recap S1'!AH$2))&gt;0,SUMPRODUCT((ListeB='recap S1'!$B18)*(OFFSET(ListeB,,4)='recap S1'!AH$3)*(OFFSET(ListeB,,1)='recap S1'!AH$2)),"")</f>
        <v/>
      </c>
      <c r="AI18" s="32" t="str">
        <f ca="1">IF(SUMPRODUCT((ListeB='recap S1'!$B18)*(OFFSET(ListeB,,4)='recap S1'!AI$3)*(OFFSET(ListeB,,1)='recap S1'!AI$2))&gt;0,SUMPRODUCT((ListeB='recap S1'!$B18)*(OFFSET(ListeB,,4)='recap S1'!AI$3)*(OFFSET(ListeB,,1)='recap S1'!AI$2)),"")</f>
        <v/>
      </c>
      <c r="AJ18" s="32" t="str">
        <f ca="1">IF(SUMPRODUCT((ListeB='recap S1'!$B18)*(OFFSET(ListeB,,4)='recap S1'!AJ$3)*(OFFSET(ListeB,,1)='recap S1'!AJ$2))&gt;0,SUMPRODUCT((ListeB='recap S1'!$B18)*(OFFSET(ListeB,,4)='recap S1'!AJ$3)*(OFFSET(ListeB,,1)='recap S1'!AJ$2)),"")</f>
        <v/>
      </c>
      <c r="AK18" s="32" t="str">
        <f ca="1">IF(SUMPRODUCT((ListeB='recap S1'!$B18)*(OFFSET(ListeB,,4)='recap S1'!AK$3)*(OFFSET(ListeB,,1)='recap S1'!AK$2))&gt;0,SUMPRODUCT((ListeB='recap S1'!$B18)*(OFFSET(ListeB,,4)='recap S1'!AK$3)*(OFFSET(ListeB,,1)='recap S1'!AK$2)),"")</f>
        <v/>
      </c>
      <c r="AL18" s="32" t="str">
        <f ca="1">IF(SUMPRODUCT((ListeB='recap S1'!$B18)*(OFFSET(ListeB,,4)='recap S1'!AL$3)*(OFFSET(ListeB,,1)='recap S1'!AL$2))&gt;0,SUMPRODUCT((ListeB='recap S1'!$B18)*(OFFSET(ListeB,,4)='recap S1'!AL$3)*(OFFSET(ListeB,,1)='recap S1'!AL$2)),"")</f>
        <v/>
      </c>
      <c r="AM18" s="32" t="str">
        <f ca="1">IF(SUMPRODUCT((ListeB='recap S1'!$B18)*(OFFSET(ListeB,,4)='recap S1'!AM$3)*(OFFSET(ListeB,,1)='recap S1'!AM$2))&gt;0,SUMPRODUCT((ListeB='recap S1'!$B18)*(OFFSET(ListeB,,4)='recap S1'!AM$3)*(OFFSET(ListeB,,1)='recap S1'!AM$2)),"")</f>
        <v/>
      </c>
      <c r="AN18" s="32" t="str">
        <f ca="1">IF(SUMPRODUCT((ListeB='recap S1'!$B18)*(OFFSET(ListeB,,4)='recap S1'!AN$3)*(OFFSET(ListeB,,1)='recap S1'!AN$2))&gt;0,SUMPRODUCT((ListeB='recap S1'!$B18)*(OFFSET(ListeB,,4)='recap S1'!AN$3)*(OFFSET(ListeB,,1)='recap S1'!AN$2)),"")</f>
        <v/>
      </c>
      <c r="AO18" s="32" t="str">
        <f ca="1">IF(SUMPRODUCT((ListeB='recap S1'!$B18)*(OFFSET(ListeB,,4)='recap S1'!AO$3)*(OFFSET(ListeB,,1)='recap S1'!AO$2))&gt;0,SUMPRODUCT((ListeB='recap S1'!$B18)*(OFFSET(ListeB,,4)='recap S1'!AO$3)*(OFFSET(ListeB,,1)='recap S1'!AO$2)),"")</f>
        <v/>
      </c>
      <c r="AP18" s="32" t="str">
        <f ca="1">IF(SUMPRODUCT((ListeB='recap S1'!$B18)*(OFFSET(ListeB,,4)='recap S1'!AP$3)*(OFFSET(ListeB,,1)='recap S1'!AP$2))&gt;0,SUMPRODUCT((ListeB='recap S1'!$B18)*(OFFSET(ListeB,,4)='recap S1'!AP$3)*(OFFSET(ListeB,,1)='recap S1'!AP$2)),"")</f>
        <v/>
      </c>
      <c r="AQ18" s="32" t="str">
        <f ca="1">IF(SUMPRODUCT((ListeB='recap S1'!$B18)*(OFFSET(ListeB,,4)='recap S1'!AQ$3)*(OFFSET(ListeB,,1)='recap S1'!AQ$2))&gt;0,SUMPRODUCT((ListeB='recap S1'!$B18)*(OFFSET(ListeB,,4)='recap S1'!AQ$3)*(OFFSET(ListeB,,1)='recap S1'!AQ$2)),"")</f>
        <v/>
      </c>
      <c r="AR18" s="32" t="str">
        <f ca="1">IF(SUMPRODUCT((ListeB='recap S1'!$B18)*(OFFSET(ListeB,,4)='recap S1'!AR$3)*(OFFSET(ListeB,,1)='recap S1'!AR$2))&gt;0,SUMPRODUCT((ListeB='recap S1'!$B18)*(OFFSET(ListeB,,4)='recap S1'!AR$3)*(OFFSET(ListeB,,1)='recap S1'!AR$2)),"")</f>
        <v/>
      </c>
      <c r="AS18" s="32" t="str">
        <f ca="1">IF(SUMPRODUCT((ListeB='recap S1'!$B18)*(OFFSET(ListeB,,4)='recap S1'!AS$3)*(OFFSET(ListeB,,1)='recap S1'!AS$2))&gt;0,SUMPRODUCT((ListeB='recap S1'!$B18)*(OFFSET(ListeB,,4)='recap S1'!AS$3)*(OFFSET(ListeB,,1)='recap S1'!AS$2)),"")</f>
        <v/>
      </c>
      <c r="AT18" s="32" t="str">
        <f ca="1">IF(SUMPRODUCT((ListeB='recap S1'!$B18)*(OFFSET(ListeB,,4)='recap S1'!AT$3)*(OFFSET(ListeB,,1)='recap S1'!AT$2))&gt;0,SUMPRODUCT((ListeB='recap S1'!$B18)*(OFFSET(ListeB,,4)='recap S1'!AT$3)*(OFFSET(ListeB,,1)='recap S1'!AT$2)),"")</f>
        <v/>
      </c>
      <c r="AU18" s="32" t="str">
        <f ca="1">IF(SUMPRODUCT((ListeB='recap S1'!$B18)*(OFFSET(ListeB,,4)='recap S1'!AU$3)*(OFFSET(ListeB,,1)='recap S1'!AU$2))&gt;0,SUMPRODUCT((ListeB='recap S1'!$B18)*(OFFSET(ListeB,,4)='recap S1'!AU$3)*(OFFSET(ListeB,,1)='recap S1'!AU$2)),"")</f>
        <v/>
      </c>
      <c r="AV18" s="32" t="str">
        <f ca="1">IF(SUMPRODUCT((ListeB='recap S1'!$B18)*(OFFSET(ListeB,,4)='recap S1'!AV$3)*(OFFSET(ListeB,,1)='recap S1'!AV$2))&gt;0,SUMPRODUCT((ListeB='recap S1'!$B18)*(OFFSET(ListeB,,4)='recap S1'!AV$3)*(OFFSET(ListeB,,1)='recap S1'!AV$2)),"")</f>
        <v/>
      </c>
      <c r="AW18" s="32" t="str">
        <f ca="1">IF(SUMPRODUCT((ListeB='recap S1'!$B18)*(OFFSET(ListeB,,4)='recap S1'!AW$3)*(OFFSET(ListeB,,1)='recap S1'!AW$2))&gt;0,SUMPRODUCT((ListeB='recap S1'!$B18)*(OFFSET(ListeB,,4)='recap S1'!AW$3)*(OFFSET(ListeB,,1)='recap S1'!AW$2)),"")</f>
        <v/>
      </c>
      <c r="AX18" s="32" t="str">
        <f ca="1">IF(SUMPRODUCT((ListeB='recap S1'!$B18)*(OFFSET(ListeB,,4)='recap S1'!AX$3)*(OFFSET(ListeB,,1)='recap S1'!AX$2))&gt;0,SUMPRODUCT((ListeB='recap S1'!$B18)*(OFFSET(ListeB,,4)='recap S1'!AX$3)*(OFFSET(ListeB,,1)='recap S1'!AX$2)),"")</f>
        <v/>
      </c>
      <c r="AY18" s="32" t="str">
        <f ca="1">IF(SUMPRODUCT((ListeB='recap S1'!$B18)*(OFFSET(ListeB,,4)='recap S1'!AY$3)*(OFFSET(ListeB,,1)='recap S1'!AY$2))&gt;0,SUMPRODUCT((ListeB='recap S1'!$B18)*(OFFSET(ListeB,,4)='recap S1'!AY$3)*(OFFSET(ListeB,,1)='recap S1'!AY$2)),"")</f>
        <v/>
      </c>
      <c r="AZ18" s="32">
        <f t="shared" ca="1" si="0"/>
        <v>0</v>
      </c>
    </row>
    <row r="19" spans="1:52">
      <c r="A19" s="41" t="str">
        <f>IF('SEANCE 1'!$B17&lt;&gt;"",'SEANCE 1'!$A17,"")</f>
        <v/>
      </c>
      <c r="B19" s="41" t="str">
        <f t="array" aca="1" ref="B19" ca="1">IF(ISNA(INDEX(ListeB,MATCH(0,COUNTIF($B$3:B18,ListeB),0))),"",INDEX(ListeB,MATCH(0,COUNTIF($B$3:B18,ListeB),0)))</f>
        <v/>
      </c>
      <c r="C19" s="32" t="str">
        <f ca="1">IF(SUMPRODUCT((ListeB='recap S1'!$B19)*(OFFSET(ListeB,,4)='recap S1'!C$3)*(OFFSET(ListeB,,1)='recap S1'!C$2))&gt;0,SUMPRODUCT((ListeB='recap S1'!$B19)*(OFFSET(ListeB,,4)='recap S1'!C$3)*(OFFSET(ListeB,,1)='recap S1'!C$2)),"")</f>
        <v/>
      </c>
      <c r="D19" s="32" t="str">
        <f ca="1">IF(SUMPRODUCT((ListeB='recap S1'!$B19)*(OFFSET(ListeB,,4)='recap S1'!D$3)*(OFFSET(ListeB,,1)='recap S1'!D$2))&gt;0,SUMPRODUCT((ListeB='recap S1'!$B19)*(OFFSET(ListeB,,4)='recap S1'!D$3)*(OFFSET(ListeB,,1)='recap S1'!D$2)),"")</f>
        <v/>
      </c>
      <c r="E19" s="32" t="str">
        <f ca="1">IF(SUMPRODUCT((ListeB='recap S1'!$B19)*(OFFSET(ListeB,,4)='recap S1'!E$3)*(OFFSET(ListeB,,1)='recap S1'!E$2))&gt;0,SUMPRODUCT((ListeB='recap S1'!$B19)*(OFFSET(ListeB,,4)='recap S1'!E$3)*(OFFSET(ListeB,,1)='recap S1'!E$2)),"")</f>
        <v/>
      </c>
      <c r="F19" s="32" t="str">
        <f ca="1">IF(SUMPRODUCT((ListeB='recap S1'!$B19)*(OFFSET(ListeB,,4)='recap S1'!F$3)*(OFFSET(ListeB,,1)='recap S1'!F$2))&gt;0,SUMPRODUCT((ListeB='recap S1'!$B19)*(OFFSET(ListeB,,4)='recap S1'!F$3)*(OFFSET(ListeB,,1)='recap S1'!F$2)),"")</f>
        <v/>
      </c>
      <c r="G19" s="32" t="str">
        <f ca="1">IF(SUMPRODUCT((ListeB='recap S1'!$B19)*(OFFSET(ListeB,,4)='recap S1'!G$3)*(OFFSET(ListeB,,1)='recap S1'!G$2))&gt;0,SUMPRODUCT((ListeB='recap S1'!$B19)*(OFFSET(ListeB,,4)='recap S1'!G$3)*(OFFSET(ListeB,,1)='recap S1'!G$2)),"")</f>
        <v/>
      </c>
      <c r="H19" s="32" t="str">
        <f ca="1">IF(SUMPRODUCT((ListeB='recap S1'!$B19)*(OFFSET(ListeB,,4)='recap S1'!H$3)*(OFFSET(ListeB,,1)='recap S1'!H$2))&gt;0,SUMPRODUCT((ListeB='recap S1'!$B19)*(OFFSET(ListeB,,4)='recap S1'!H$3)*(OFFSET(ListeB,,1)='recap S1'!H$2)),"")</f>
        <v/>
      </c>
      <c r="I19" s="32" t="str">
        <f ca="1">IF(SUMPRODUCT((ListeB='recap S1'!$B19)*(OFFSET(ListeB,,4)='recap S1'!I$3)*(OFFSET(ListeB,,1)='recap S1'!I$2))&gt;0,SUMPRODUCT((ListeB='recap S1'!$B19)*(OFFSET(ListeB,,4)='recap S1'!I$3)*(OFFSET(ListeB,,1)='recap S1'!I$2)),"")</f>
        <v/>
      </c>
      <c r="J19" s="32" t="str">
        <f ca="1">IF(SUMPRODUCT((ListeB='recap S1'!$B19)*(OFFSET(ListeB,,4)='recap S1'!J$3)*(OFFSET(ListeB,,1)='recap S1'!J$2))&gt;0,SUMPRODUCT((ListeB='recap S1'!$B19)*(OFFSET(ListeB,,4)='recap S1'!J$3)*(OFFSET(ListeB,,1)='recap S1'!J$2)),"")</f>
        <v/>
      </c>
      <c r="K19" s="32" t="str">
        <f ca="1">IF(SUMPRODUCT((ListeB='recap S1'!$B19)*(OFFSET(ListeB,,4)='recap S1'!K$3)*(OFFSET(ListeB,,1)='recap S1'!K$2))&gt;0,SUMPRODUCT((ListeB='recap S1'!$B19)*(OFFSET(ListeB,,4)='recap S1'!K$3)*(OFFSET(ListeB,,1)='recap S1'!K$2)),"")</f>
        <v/>
      </c>
      <c r="L19" s="32" t="str">
        <f ca="1">IF(SUMPRODUCT((ListeB='recap S1'!$B19)*(OFFSET(ListeB,,4)='recap S1'!L$3)*(OFFSET(ListeB,,1)='recap S1'!L$2))&gt;0,SUMPRODUCT((ListeB='recap S1'!$B19)*(OFFSET(ListeB,,4)='recap S1'!L$3)*(OFFSET(ListeB,,1)='recap S1'!L$2)),"")</f>
        <v/>
      </c>
      <c r="M19" s="32" t="str">
        <f ca="1">IF(SUMPRODUCT((ListeB='recap S1'!$B19)*(OFFSET(ListeB,,4)='recap S1'!M$3)*(OFFSET(ListeB,,1)='recap S1'!M$2))&gt;0,SUMPRODUCT((ListeB='recap S1'!$B19)*(OFFSET(ListeB,,4)='recap S1'!M$3)*(OFFSET(ListeB,,1)='recap S1'!M$2)),"")</f>
        <v/>
      </c>
      <c r="N19" s="32" t="str">
        <f ca="1">IF(SUMPRODUCT((ListeB='recap S1'!$B19)*(OFFSET(ListeB,,4)='recap S1'!N$3)*(OFFSET(ListeB,,1)='recap S1'!N$2))&gt;0,SUMPRODUCT((ListeB='recap S1'!$B19)*(OFFSET(ListeB,,4)='recap S1'!N$3)*(OFFSET(ListeB,,1)='recap S1'!N$2)),"")</f>
        <v/>
      </c>
      <c r="O19" s="32" t="str">
        <f ca="1">IF(SUMPRODUCT((ListeB='recap S1'!$B19)*(OFFSET(ListeB,,4)='recap S1'!O$3)*(OFFSET(ListeB,,1)='recap S1'!O$2))&gt;0,SUMPRODUCT((ListeB='recap S1'!$B19)*(OFFSET(ListeB,,4)='recap S1'!O$3)*(OFFSET(ListeB,,1)='recap S1'!O$2)),"")</f>
        <v/>
      </c>
      <c r="P19" s="32" t="str">
        <f ca="1">IF(SUMPRODUCT((ListeB='recap S1'!$B19)*(OFFSET(ListeB,,4)='recap S1'!P$3)*(OFFSET(ListeB,,1)='recap S1'!P$2))&gt;0,SUMPRODUCT((ListeB='recap S1'!$B19)*(OFFSET(ListeB,,4)='recap S1'!P$3)*(OFFSET(ListeB,,1)='recap S1'!P$2)),"")</f>
        <v/>
      </c>
      <c r="Q19" s="32" t="str">
        <f ca="1">IF(SUMPRODUCT((ListeB='recap S1'!$B19)*(OFFSET(ListeB,,4)='recap S1'!Q$3)*(OFFSET(ListeB,,1)='recap S1'!Q$2))&gt;0,SUMPRODUCT((ListeB='recap S1'!$B19)*(OFFSET(ListeB,,4)='recap S1'!Q$3)*(OFFSET(ListeB,,1)='recap S1'!Q$2)),"")</f>
        <v/>
      </c>
      <c r="R19" s="32" t="str">
        <f ca="1">IF(SUMPRODUCT((ListeB='recap S1'!$B19)*(OFFSET(ListeB,,4)='recap S1'!R$3)*(OFFSET(ListeB,,1)='recap S1'!R$2))&gt;0,SUMPRODUCT((ListeB='recap S1'!$B19)*(OFFSET(ListeB,,4)='recap S1'!R$3)*(OFFSET(ListeB,,1)='recap S1'!R$2)),"")</f>
        <v/>
      </c>
      <c r="S19" s="32" t="str">
        <f ca="1">IF(SUMPRODUCT((ListeB='recap S1'!$B19)*(OFFSET(ListeB,,4)='recap S1'!S$3)*(OFFSET(ListeB,,1)='recap S1'!S$2))&gt;0,SUMPRODUCT((ListeB='recap S1'!$B19)*(OFFSET(ListeB,,4)='recap S1'!S$3)*(OFFSET(ListeB,,1)='recap S1'!S$2)),"")</f>
        <v/>
      </c>
      <c r="T19" s="32" t="str">
        <f ca="1">IF(SUMPRODUCT((ListeB='recap S1'!$B19)*(OFFSET(ListeB,,4)='recap S1'!T$3)*(OFFSET(ListeB,,1)='recap S1'!T$2))&gt;0,SUMPRODUCT((ListeB='recap S1'!$B19)*(OFFSET(ListeB,,4)='recap S1'!T$3)*(OFFSET(ListeB,,1)='recap S1'!T$2)),"")</f>
        <v/>
      </c>
      <c r="U19" s="32" t="str">
        <f ca="1">IF(SUMPRODUCT((ListeB='recap S1'!$B19)*(OFFSET(ListeB,,4)='recap S1'!U$3)*(OFFSET(ListeB,,1)='recap S1'!U$2))&gt;0,SUMPRODUCT((ListeB='recap S1'!$B19)*(OFFSET(ListeB,,4)='recap S1'!U$3)*(OFFSET(ListeB,,1)='recap S1'!U$2)),"")</f>
        <v/>
      </c>
      <c r="V19" s="32" t="str">
        <f ca="1">IF(SUMPRODUCT((ListeB='recap S1'!$B19)*(OFFSET(ListeB,,4)='recap S1'!V$3)*(OFFSET(ListeB,,1)='recap S1'!V$2))&gt;0,SUMPRODUCT((ListeB='recap S1'!$B19)*(OFFSET(ListeB,,4)='recap S1'!V$3)*(OFFSET(ListeB,,1)='recap S1'!V$2)),"")</f>
        <v/>
      </c>
      <c r="W19" s="32" t="str">
        <f ca="1">IF(SUMPRODUCT((ListeB='recap S1'!$B19)*(OFFSET(ListeB,,4)='recap S1'!W$3)*(OFFSET(ListeB,,1)='recap S1'!W$2))&gt;0,SUMPRODUCT((ListeB='recap S1'!$B19)*(OFFSET(ListeB,,4)='recap S1'!W$3)*(OFFSET(ListeB,,1)='recap S1'!W$2)),"")</f>
        <v/>
      </c>
      <c r="X19" s="32" t="str">
        <f ca="1">IF(SUMPRODUCT((ListeB='recap S1'!$B19)*(OFFSET(ListeB,,4)='recap S1'!X$3)*(OFFSET(ListeB,,1)='recap S1'!X$2))&gt;0,SUMPRODUCT((ListeB='recap S1'!$B19)*(OFFSET(ListeB,,4)='recap S1'!X$3)*(OFFSET(ListeB,,1)='recap S1'!X$2)),"")</f>
        <v/>
      </c>
      <c r="Y19" s="32" t="str">
        <f ca="1">IF(SUMPRODUCT((ListeB='recap S1'!$B19)*(OFFSET(ListeB,,4)='recap S1'!Y$3)*(OFFSET(ListeB,,1)='recap S1'!Y$2))&gt;0,SUMPRODUCT((ListeB='recap S1'!$B19)*(OFFSET(ListeB,,4)='recap S1'!Y$3)*(OFFSET(ListeB,,1)='recap S1'!Y$2)),"")</f>
        <v/>
      </c>
      <c r="Z19" s="32" t="str">
        <f ca="1">IF(SUMPRODUCT((ListeB='recap S1'!$B19)*(OFFSET(ListeB,,4)='recap S1'!Z$3)*(OFFSET(ListeB,,1)='recap S1'!Z$2))&gt;0,SUMPRODUCT((ListeB='recap S1'!$B19)*(OFFSET(ListeB,,4)='recap S1'!Z$3)*(OFFSET(ListeB,,1)='recap S1'!Z$2)),"")</f>
        <v/>
      </c>
      <c r="AA19" s="32" t="str">
        <f ca="1">IF(SUMPRODUCT((ListeB='recap S1'!$B19)*(OFFSET(ListeB,,4)='recap S1'!AA$3)*(OFFSET(ListeB,,1)='recap S1'!AA$2))&gt;0,SUMPRODUCT((ListeB='recap S1'!$B19)*(OFFSET(ListeB,,4)='recap S1'!AA$3)*(OFFSET(ListeB,,1)='recap S1'!AA$2)),"")</f>
        <v/>
      </c>
      <c r="AB19" s="32" t="str">
        <f ca="1">IF(SUMPRODUCT((ListeB='recap S1'!$B19)*(OFFSET(ListeB,,4)='recap S1'!AB$3)*(OFFSET(ListeB,,1)='recap S1'!AB$2))&gt;0,SUMPRODUCT((ListeB='recap S1'!$B19)*(OFFSET(ListeB,,4)='recap S1'!AB$3)*(OFFSET(ListeB,,1)='recap S1'!AB$2)),"")</f>
        <v/>
      </c>
      <c r="AC19" s="32" t="str">
        <f ca="1">IF(SUMPRODUCT((ListeB='recap S1'!$B19)*(OFFSET(ListeB,,4)='recap S1'!AC$3)*(OFFSET(ListeB,,1)='recap S1'!AC$2))&gt;0,SUMPRODUCT((ListeB='recap S1'!$B19)*(OFFSET(ListeB,,4)='recap S1'!AC$3)*(OFFSET(ListeB,,1)='recap S1'!AC$2)),"")</f>
        <v/>
      </c>
      <c r="AD19" s="32" t="str">
        <f ca="1">IF(SUMPRODUCT((ListeB='recap S1'!$B19)*(OFFSET(ListeB,,4)='recap S1'!AD$3)*(OFFSET(ListeB,,1)='recap S1'!AD$2))&gt;0,SUMPRODUCT((ListeB='recap S1'!$B19)*(OFFSET(ListeB,,4)='recap S1'!AD$3)*(OFFSET(ListeB,,1)='recap S1'!AD$2)),"")</f>
        <v/>
      </c>
      <c r="AE19" s="32" t="str">
        <f ca="1">IF(SUMPRODUCT((ListeB='recap S1'!$B19)*(OFFSET(ListeB,,4)='recap S1'!AE$3)*(OFFSET(ListeB,,1)='recap S1'!AE$2))&gt;0,SUMPRODUCT((ListeB='recap S1'!$B19)*(OFFSET(ListeB,,4)='recap S1'!AE$3)*(OFFSET(ListeB,,1)='recap S1'!AE$2)),"")</f>
        <v/>
      </c>
      <c r="AF19" s="32" t="str">
        <f ca="1">IF(SUMPRODUCT((ListeB='recap S1'!$B19)*(OFFSET(ListeB,,4)='recap S1'!AF$3)*(OFFSET(ListeB,,1)='recap S1'!AF$2))&gt;0,SUMPRODUCT((ListeB='recap S1'!$B19)*(OFFSET(ListeB,,4)='recap S1'!AF$3)*(OFFSET(ListeB,,1)='recap S1'!AF$2)),"")</f>
        <v/>
      </c>
      <c r="AG19" s="32" t="str">
        <f ca="1">IF(SUMPRODUCT((ListeB='recap S1'!$B19)*(OFFSET(ListeB,,4)='recap S1'!AG$3)*(OFFSET(ListeB,,1)='recap S1'!AG$2))&gt;0,SUMPRODUCT((ListeB='recap S1'!$B19)*(OFFSET(ListeB,,4)='recap S1'!AG$3)*(OFFSET(ListeB,,1)='recap S1'!AG$2)),"")</f>
        <v/>
      </c>
      <c r="AH19" s="32" t="str">
        <f ca="1">IF(SUMPRODUCT((ListeB='recap S1'!$B19)*(OFFSET(ListeB,,4)='recap S1'!AH$3)*(OFFSET(ListeB,,1)='recap S1'!AH$2))&gt;0,SUMPRODUCT((ListeB='recap S1'!$B19)*(OFFSET(ListeB,,4)='recap S1'!AH$3)*(OFFSET(ListeB,,1)='recap S1'!AH$2)),"")</f>
        <v/>
      </c>
      <c r="AI19" s="32" t="str">
        <f ca="1">IF(SUMPRODUCT((ListeB='recap S1'!$B19)*(OFFSET(ListeB,,4)='recap S1'!AI$3)*(OFFSET(ListeB,,1)='recap S1'!AI$2))&gt;0,SUMPRODUCT((ListeB='recap S1'!$B19)*(OFFSET(ListeB,,4)='recap S1'!AI$3)*(OFFSET(ListeB,,1)='recap S1'!AI$2)),"")</f>
        <v/>
      </c>
      <c r="AJ19" s="32" t="str">
        <f ca="1">IF(SUMPRODUCT((ListeB='recap S1'!$B19)*(OFFSET(ListeB,,4)='recap S1'!AJ$3)*(OFFSET(ListeB,,1)='recap S1'!AJ$2))&gt;0,SUMPRODUCT((ListeB='recap S1'!$B19)*(OFFSET(ListeB,,4)='recap S1'!AJ$3)*(OFFSET(ListeB,,1)='recap S1'!AJ$2)),"")</f>
        <v/>
      </c>
      <c r="AK19" s="32" t="str">
        <f ca="1">IF(SUMPRODUCT((ListeB='recap S1'!$B19)*(OFFSET(ListeB,,4)='recap S1'!AK$3)*(OFFSET(ListeB,,1)='recap S1'!AK$2))&gt;0,SUMPRODUCT((ListeB='recap S1'!$B19)*(OFFSET(ListeB,,4)='recap S1'!AK$3)*(OFFSET(ListeB,,1)='recap S1'!AK$2)),"")</f>
        <v/>
      </c>
      <c r="AL19" s="32" t="str">
        <f ca="1">IF(SUMPRODUCT((ListeB='recap S1'!$B19)*(OFFSET(ListeB,,4)='recap S1'!AL$3)*(OFFSET(ListeB,,1)='recap S1'!AL$2))&gt;0,SUMPRODUCT((ListeB='recap S1'!$B19)*(OFFSET(ListeB,,4)='recap S1'!AL$3)*(OFFSET(ListeB,,1)='recap S1'!AL$2)),"")</f>
        <v/>
      </c>
      <c r="AM19" s="32" t="str">
        <f ca="1">IF(SUMPRODUCT((ListeB='recap S1'!$B19)*(OFFSET(ListeB,,4)='recap S1'!AM$3)*(OFFSET(ListeB,,1)='recap S1'!AM$2))&gt;0,SUMPRODUCT((ListeB='recap S1'!$B19)*(OFFSET(ListeB,,4)='recap S1'!AM$3)*(OFFSET(ListeB,,1)='recap S1'!AM$2)),"")</f>
        <v/>
      </c>
      <c r="AN19" s="32" t="str">
        <f ca="1">IF(SUMPRODUCT((ListeB='recap S1'!$B19)*(OFFSET(ListeB,,4)='recap S1'!AN$3)*(OFFSET(ListeB,,1)='recap S1'!AN$2))&gt;0,SUMPRODUCT((ListeB='recap S1'!$B19)*(OFFSET(ListeB,,4)='recap S1'!AN$3)*(OFFSET(ListeB,,1)='recap S1'!AN$2)),"")</f>
        <v/>
      </c>
      <c r="AO19" s="32" t="str">
        <f ca="1">IF(SUMPRODUCT((ListeB='recap S1'!$B19)*(OFFSET(ListeB,,4)='recap S1'!AO$3)*(OFFSET(ListeB,,1)='recap S1'!AO$2))&gt;0,SUMPRODUCT((ListeB='recap S1'!$B19)*(OFFSET(ListeB,,4)='recap S1'!AO$3)*(OFFSET(ListeB,,1)='recap S1'!AO$2)),"")</f>
        <v/>
      </c>
      <c r="AP19" s="32" t="str">
        <f ca="1">IF(SUMPRODUCT((ListeB='recap S1'!$B19)*(OFFSET(ListeB,,4)='recap S1'!AP$3)*(OFFSET(ListeB,,1)='recap S1'!AP$2))&gt;0,SUMPRODUCT((ListeB='recap S1'!$B19)*(OFFSET(ListeB,,4)='recap S1'!AP$3)*(OFFSET(ListeB,,1)='recap S1'!AP$2)),"")</f>
        <v/>
      </c>
      <c r="AQ19" s="32" t="str">
        <f ca="1">IF(SUMPRODUCT((ListeB='recap S1'!$B19)*(OFFSET(ListeB,,4)='recap S1'!AQ$3)*(OFFSET(ListeB,,1)='recap S1'!AQ$2))&gt;0,SUMPRODUCT((ListeB='recap S1'!$B19)*(OFFSET(ListeB,,4)='recap S1'!AQ$3)*(OFFSET(ListeB,,1)='recap S1'!AQ$2)),"")</f>
        <v/>
      </c>
      <c r="AR19" s="32" t="str">
        <f ca="1">IF(SUMPRODUCT((ListeB='recap S1'!$B19)*(OFFSET(ListeB,,4)='recap S1'!AR$3)*(OFFSET(ListeB,,1)='recap S1'!AR$2))&gt;0,SUMPRODUCT((ListeB='recap S1'!$B19)*(OFFSET(ListeB,,4)='recap S1'!AR$3)*(OFFSET(ListeB,,1)='recap S1'!AR$2)),"")</f>
        <v/>
      </c>
      <c r="AS19" s="32" t="str">
        <f ca="1">IF(SUMPRODUCT((ListeB='recap S1'!$B19)*(OFFSET(ListeB,,4)='recap S1'!AS$3)*(OFFSET(ListeB,,1)='recap S1'!AS$2))&gt;0,SUMPRODUCT((ListeB='recap S1'!$B19)*(OFFSET(ListeB,,4)='recap S1'!AS$3)*(OFFSET(ListeB,,1)='recap S1'!AS$2)),"")</f>
        <v/>
      </c>
      <c r="AT19" s="32" t="str">
        <f ca="1">IF(SUMPRODUCT((ListeB='recap S1'!$B19)*(OFFSET(ListeB,,4)='recap S1'!AT$3)*(OFFSET(ListeB,,1)='recap S1'!AT$2))&gt;0,SUMPRODUCT((ListeB='recap S1'!$B19)*(OFFSET(ListeB,,4)='recap S1'!AT$3)*(OFFSET(ListeB,,1)='recap S1'!AT$2)),"")</f>
        <v/>
      </c>
      <c r="AU19" s="32" t="str">
        <f ca="1">IF(SUMPRODUCT((ListeB='recap S1'!$B19)*(OFFSET(ListeB,,4)='recap S1'!AU$3)*(OFFSET(ListeB,,1)='recap S1'!AU$2))&gt;0,SUMPRODUCT((ListeB='recap S1'!$B19)*(OFFSET(ListeB,,4)='recap S1'!AU$3)*(OFFSET(ListeB,,1)='recap S1'!AU$2)),"")</f>
        <v/>
      </c>
      <c r="AV19" s="32" t="str">
        <f ca="1">IF(SUMPRODUCT((ListeB='recap S1'!$B19)*(OFFSET(ListeB,,4)='recap S1'!AV$3)*(OFFSET(ListeB,,1)='recap S1'!AV$2))&gt;0,SUMPRODUCT((ListeB='recap S1'!$B19)*(OFFSET(ListeB,,4)='recap S1'!AV$3)*(OFFSET(ListeB,,1)='recap S1'!AV$2)),"")</f>
        <v/>
      </c>
      <c r="AW19" s="32" t="str">
        <f ca="1">IF(SUMPRODUCT((ListeB='recap S1'!$B19)*(OFFSET(ListeB,,4)='recap S1'!AW$3)*(OFFSET(ListeB,,1)='recap S1'!AW$2))&gt;0,SUMPRODUCT((ListeB='recap S1'!$B19)*(OFFSET(ListeB,,4)='recap S1'!AW$3)*(OFFSET(ListeB,,1)='recap S1'!AW$2)),"")</f>
        <v/>
      </c>
      <c r="AX19" s="32" t="str">
        <f ca="1">IF(SUMPRODUCT((ListeB='recap S1'!$B19)*(OFFSET(ListeB,,4)='recap S1'!AX$3)*(OFFSET(ListeB,,1)='recap S1'!AX$2))&gt;0,SUMPRODUCT((ListeB='recap S1'!$B19)*(OFFSET(ListeB,,4)='recap S1'!AX$3)*(OFFSET(ListeB,,1)='recap S1'!AX$2)),"")</f>
        <v/>
      </c>
      <c r="AY19" s="32" t="str">
        <f ca="1">IF(SUMPRODUCT((ListeB='recap S1'!$B19)*(OFFSET(ListeB,,4)='recap S1'!AY$3)*(OFFSET(ListeB,,1)='recap S1'!AY$2))&gt;0,SUMPRODUCT((ListeB='recap S1'!$B19)*(OFFSET(ListeB,,4)='recap S1'!AY$3)*(OFFSET(ListeB,,1)='recap S1'!AY$2)),"")</f>
        <v/>
      </c>
      <c r="AZ19" s="32">
        <f t="shared" ca="1" si="0"/>
        <v>0</v>
      </c>
    </row>
    <row r="20" spans="1:52">
      <c r="A20" s="41" t="str">
        <f>IF('SEANCE 1'!$B18&lt;&gt;"",'SEANCE 1'!$A18,"")</f>
        <v/>
      </c>
      <c r="B20" s="41" t="str">
        <f t="array" aca="1" ref="B20" ca="1">IF(ISNA(INDEX(ListeB,MATCH(0,COUNTIF($B$3:B19,ListeB),0))),"",INDEX(ListeB,MATCH(0,COUNTIF($B$3:B19,ListeB),0)))</f>
        <v/>
      </c>
      <c r="C20" s="32" t="str">
        <f ca="1">IF(SUMPRODUCT((ListeB='recap S1'!$B20)*(OFFSET(ListeB,,4)='recap S1'!C$3)*(OFFSET(ListeB,,1)='recap S1'!C$2))&gt;0,SUMPRODUCT((ListeB='recap S1'!$B20)*(OFFSET(ListeB,,4)='recap S1'!C$3)*(OFFSET(ListeB,,1)='recap S1'!C$2)),"")</f>
        <v/>
      </c>
      <c r="D20" s="32" t="str">
        <f ca="1">IF(SUMPRODUCT((ListeB='recap S1'!$B20)*(OFFSET(ListeB,,4)='recap S1'!D$3)*(OFFSET(ListeB,,1)='recap S1'!D$2))&gt;0,SUMPRODUCT((ListeB='recap S1'!$B20)*(OFFSET(ListeB,,4)='recap S1'!D$3)*(OFFSET(ListeB,,1)='recap S1'!D$2)),"")</f>
        <v/>
      </c>
      <c r="E20" s="32" t="str">
        <f ca="1">IF(SUMPRODUCT((ListeB='recap S1'!$B20)*(OFFSET(ListeB,,4)='recap S1'!E$3)*(OFFSET(ListeB,,1)='recap S1'!E$2))&gt;0,SUMPRODUCT((ListeB='recap S1'!$B20)*(OFFSET(ListeB,,4)='recap S1'!E$3)*(OFFSET(ListeB,,1)='recap S1'!E$2)),"")</f>
        <v/>
      </c>
      <c r="F20" s="32" t="str">
        <f ca="1">IF(SUMPRODUCT((ListeB='recap S1'!$B20)*(OFFSET(ListeB,,4)='recap S1'!F$3)*(OFFSET(ListeB,,1)='recap S1'!F$2))&gt;0,SUMPRODUCT((ListeB='recap S1'!$B20)*(OFFSET(ListeB,,4)='recap S1'!F$3)*(OFFSET(ListeB,,1)='recap S1'!F$2)),"")</f>
        <v/>
      </c>
      <c r="G20" s="32" t="str">
        <f ca="1">IF(SUMPRODUCT((ListeB='recap S1'!$B20)*(OFFSET(ListeB,,4)='recap S1'!G$3)*(OFFSET(ListeB,,1)='recap S1'!G$2))&gt;0,SUMPRODUCT((ListeB='recap S1'!$B20)*(OFFSET(ListeB,,4)='recap S1'!G$3)*(OFFSET(ListeB,,1)='recap S1'!G$2)),"")</f>
        <v/>
      </c>
      <c r="H20" s="32" t="str">
        <f ca="1">IF(SUMPRODUCT((ListeB='recap S1'!$B20)*(OFFSET(ListeB,,4)='recap S1'!H$3)*(OFFSET(ListeB,,1)='recap S1'!H$2))&gt;0,SUMPRODUCT((ListeB='recap S1'!$B20)*(OFFSET(ListeB,,4)='recap S1'!H$3)*(OFFSET(ListeB,,1)='recap S1'!H$2)),"")</f>
        <v/>
      </c>
      <c r="I20" s="32" t="str">
        <f ca="1">IF(SUMPRODUCT((ListeB='recap S1'!$B20)*(OFFSET(ListeB,,4)='recap S1'!I$3)*(OFFSET(ListeB,,1)='recap S1'!I$2))&gt;0,SUMPRODUCT((ListeB='recap S1'!$B20)*(OFFSET(ListeB,,4)='recap S1'!I$3)*(OFFSET(ListeB,,1)='recap S1'!I$2)),"")</f>
        <v/>
      </c>
      <c r="J20" s="32" t="str">
        <f ca="1">IF(SUMPRODUCT((ListeB='recap S1'!$B20)*(OFFSET(ListeB,,4)='recap S1'!J$3)*(OFFSET(ListeB,,1)='recap S1'!J$2))&gt;0,SUMPRODUCT((ListeB='recap S1'!$B20)*(OFFSET(ListeB,,4)='recap S1'!J$3)*(OFFSET(ListeB,,1)='recap S1'!J$2)),"")</f>
        <v/>
      </c>
      <c r="K20" s="32" t="str">
        <f ca="1">IF(SUMPRODUCT((ListeB='recap S1'!$B20)*(OFFSET(ListeB,,4)='recap S1'!K$3)*(OFFSET(ListeB,,1)='recap S1'!K$2))&gt;0,SUMPRODUCT((ListeB='recap S1'!$B20)*(OFFSET(ListeB,,4)='recap S1'!K$3)*(OFFSET(ListeB,,1)='recap S1'!K$2)),"")</f>
        <v/>
      </c>
      <c r="L20" s="32" t="str">
        <f ca="1">IF(SUMPRODUCT((ListeB='recap S1'!$B20)*(OFFSET(ListeB,,4)='recap S1'!L$3)*(OFFSET(ListeB,,1)='recap S1'!L$2))&gt;0,SUMPRODUCT((ListeB='recap S1'!$B20)*(OFFSET(ListeB,,4)='recap S1'!L$3)*(OFFSET(ListeB,,1)='recap S1'!L$2)),"")</f>
        <v/>
      </c>
      <c r="M20" s="32" t="str">
        <f ca="1">IF(SUMPRODUCT((ListeB='recap S1'!$B20)*(OFFSET(ListeB,,4)='recap S1'!M$3)*(OFFSET(ListeB,,1)='recap S1'!M$2))&gt;0,SUMPRODUCT((ListeB='recap S1'!$B20)*(OFFSET(ListeB,,4)='recap S1'!M$3)*(OFFSET(ListeB,,1)='recap S1'!M$2)),"")</f>
        <v/>
      </c>
      <c r="N20" s="32" t="str">
        <f ca="1">IF(SUMPRODUCT((ListeB='recap S1'!$B20)*(OFFSET(ListeB,,4)='recap S1'!N$3)*(OFFSET(ListeB,,1)='recap S1'!N$2))&gt;0,SUMPRODUCT((ListeB='recap S1'!$B20)*(OFFSET(ListeB,,4)='recap S1'!N$3)*(OFFSET(ListeB,,1)='recap S1'!N$2)),"")</f>
        <v/>
      </c>
      <c r="O20" s="32" t="str">
        <f ca="1">IF(SUMPRODUCT((ListeB='recap S1'!$B20)*(OFFSET(ListeB,,4)='recap S1'!O$3)*(OFFSET(ListeB,,1)='recap S1'!O$2))&gt;0,SUMPRODUCT((ListeB='recap S1'!$B20)*(OFFSET(ListeB,,4)='recap S1'!O$3)*(OFFSET(ListeB,,1)='recap S1'!O$2)),"")</f>
        <v/>
      </c>
      <c r="P20" s="32" t="str">
        <f ca="1">IF(SUMPRODUCT((ListeB='recap S1'!$B20)*(OFFSET(ListeB,,4)='recap S1'!P$3)*(OFFSET(ListeB,,1)='recap S1'!P$2))&gt;0,SUMPRODUCT((ListeB='recap S1'!$B20)*(OFFSET(ListeB,,4)='recap S1'!P$3)*(OFFSET(ListeB,,1)='recap S1'!P$2)),"")</f>
        <v/>
      </c>
      <c r="Q20" s="32" t="str">
        <f ca="1">IF(SUMPRODUCT((ListeB='recap S1'!$B20)*(OFFSET(ListeB,,4)='recap S1'!Q$3)*(OFFSET(ListeB,,1)='recap S1'!Q$2))&gt;0,SUMPRODUCT((ListeB='recap S1'!$B20)*(OFFSET(ListeB,,4)='recap S1'!Q$3)*(OFFSET(ListeB,,1)='recap S1'!Q$2)),"")</f>
        <v/>
      </c>
      <c r="R20" s="32" t="str">
        <f ca="1">IF(SUMPRODUCT((ListeB='recap S1'!$B20)*(OFFSET(ListeB,,4)='recap S1'!R$3)*(OFFSET(ListeB,,1)='recap S1'!R$2))&gt;0,SUMPRODUCT((ListeB='recap S1'!$B20)*(OFFSET(ListeB,,4)='recap S1'!R$3)*(OFFSET(ListeB,,1)='recap S1'!R$2)),"")</f>
        <v/>
      </c>
      <c r="S20" s="32" t="str">
        <f ca="1">IF(SUMPRODUCT((ListeB='recap S1'!$B20)*(OFFSET(ListeB,,4)='recap S1'!S$3)*(OFFSET(ListeB,,1)='recap S1'!S$2))&gt;0,SUMPRODUCT((ListeB='recap S1'!$B20)*(OFFSET(ListeB,,4)='recap S1'!S$3)*(OFFSET(ListeB,,1)='recap S1'!S$2)),"")</f>
        <v/>
      </c>
      <c r="T20" s="32" t="str">
        <f ca="1">IF(SUMPRODUCT((ListeB='recap S1'!$B20)*(OFFSET(ListeB,,4)='recap S1'!T$3)*(OFFSET(ListeB,,1)='recap S1'!T$2))&gt;0,SUMPRODUCT((ListeB='recap S1'!$B20)*(OFFSET(ListeB,,4)='recap S1'!T$3)*(OFFSET(ListeB,,1)='recap S1'!T$2)),"")</f>
        <v/>
      </c>
      <c r="U20" s="32" t="str">
        <f ca="1">IF(SUMPRODUCT((ListeB='recap S1'!$B20)*(OFFSET(ListeB,,4)='recap S1'!U$3)*(OFFSET(ListeB,,1)='recap S1'!U$2))&gt;0,SUMPRODUCT((ListeB='recap S1'!$B20)*(OFFSET(ListeB,,4)='recap S1'!U$3)*(OFFSET(ListeB,,1)='recap S1'!U$2)),"")</f>
        <v/>
      </c>
      <c r="V20" s="32" t="str">
        <f ca="1">IF(SUMPRODUCT((ListeB='recap S1'!$B20)*(OFFSET(ListeB,,4)='recap S1'!V$3)*(OFFSET(ListeB,,1)='recap S1'!V$2))&gt;0,SUMPRODUCT((ListeB='recap S1'!$B20)*(OFFSET(ListeB,,4)='recap S1'!V$3)*(OFFSET(ListeB,,1)='recap S1'!V$2)),"")</f>
        <v/>
      </c>
      <c r="W20" s="32" t="str">
        <f ca="1">IF(SUMPRODUCT((ListeB='recap S1'!$B20)*(OFFSET(ListeB,,4)='recap S1'!W$3)*(OFFSET(ListeB,,1)='recap S1'!W$2))&gt;0,SUMPRODUCT((ListeB='recap S1'!$B20)*(OFFSET(ListeB,,4)='recap S1'!W$3)*(OFFSET(ListeB,,1)='recap S1'!W$2)),"")</f>
        <v/>
      </c>
      <c r="X20" s="32" t="str">
        <f ca="1">IF(SUMPRODUCT((ListeB='recap S1'!$B20)*(OFFSET(ListeB,,4)='recap S1'!X$3)*(OFFSET(ListeB,,1)='recap S1'!X$2))&gt;0,SUMPRODUCT((ListeB='recap S1'!$B20)*(OFFSET(ListeB,,4)='recap S1'!X$3)*(OFFSET(ListeB,,1)='recap S1'!X$2)),"")</f>
        <v/>
      </c>
      <c r="Y20" s="32" t="str">
        <f ca="1">IF(SUMPRODUCT((ListeB='recap S1'!$B20)*(OFFSET(ListeB,,4)='recap S1'!Y$3)*(OFFSET(ListeB,,1)='recap S1'!Y$2))&gt;0,SUMPRODUCT((ListeB='recap S1'!$B20)*(OFFSET(ListeB,,4)='recap S1'!Y$3)*(OFFSET(ListeB,,1)='recap S1'!Y$2)),"")</f>
        <v/>
      </c>
      <c r="Z20" s="32" t="str">
        <f ca="1">IF(SUMPRODUCT((ListeB='recap S1'!$B20)*(OFFSET(ListeB,,4)='recap S1'!Z$3)*(OFFSET(ListeB,,1)='recap S1'!Z$2))&gt;0,SUMPRODUCT((ListeB='recap S1'!$B20)*(OFFSET(ListeB,,4)='recap S1'!Z$3)*(OFFSET(ListeB,,1)='recap S1'!Z$2)),"")</f>
        <v/>
      </c>
      <c r="AA20" s="32" t="str">
        <f ca="1">IF(SUMPRODUCT((ListeB='recap S1'!$B20)*(OFFSET(ListeB,,4)='recap S1'!AA$3)*(OFFSET(ListeB,,1)='recap S1'!AA$2))&gt;0,SUMPRODUCT((ListeB='recap S1'!$B20)*(OFFSET(ListeB,,4)='recap S1'!AA$3)*(OFFSET(ListeB,,1)='recap S1'!AA$2)),"")</f>
        <v/>
      </c>
      <c r="AB20" s="32" t="str">
        <f ca="1">IF(SUMPRODUCT((ListeB='recap S1'!$B20)*(OFFSET(ListeB,,4)='recap S1'!AB$3)*(OFFSET(ListeB,,1)='recap S1'!AB$2))&gt;0,SUMPRODUCT((ListeB='recap S1'!$B20)*(OFFSET(ListeB,,4)='recap S1'!AB$3)*(OFFSET(ListeB,,1)='recap S1'!AB$2)),"")</f>
        <v/>
      </c>
      <c r="AC20" s="32" t="str">
        <f ca="1">IF(SUMPRODUCT((ListeB='recap S1'!$B20)*(OFFSET(ListeB,,4)='recap S1'!AC$3)*(OFFSET(ListeB,,1)='recap S1'!AC$2))&gt;0,SUMPRODUCT((ListeB='recap S1'!$B20)*(OFFSET(ListeB,,4)='recap S1'!AC$3)*(OFFSET(ListeB,,1)='recap S1'!AC$2)),"")</f>
        <v/>
      </c>
      <c r="AD20" s="32" t="str">
        <f ca="1">IF(SUMPRODUCT((ListeB='recap S1'!$B20)*(OFFSET(ListeB,,4)='recap S1'!AD$3)*(OFFSET(ListeB,,1)='recap S1'!AD$2))&gt;0,SUMPRODUCT((ListeB='recap S1'!$B20)*(OFFSET(ListeB,,4)='recap S1'!AD$3)*(OFFSET(ListeB,,1)='recap S1'!AD$2)),"")</f>
        <v/>
      </c>
      <c r="AE20" s="32" t="str">
        <f ca="1">IF(SUMPRODUCT((ListeB='recap S1'!$B20)*(OFFSET(ListeB,,4)='recap S1'!AE$3)*(OFFSET(ListeB,,1)='recap S1'!AE$2))&gt;0,SUMPRODUCT((ListeB='recap S1'!$B20)*(OFFSET(ListeB,,4)='recap S1'!AE$3)*(OFFSET(ListeB,,1)='recap S1'!AE$2)),"")</f>
        <v/>
      </c>
      <c r="AF20" s="32" t="str">
        <f ca="1">IF(SUMPRODUCT((ListeB='recap S1'!$B20)*(OFFSET(ListeB,,4)='recap S1'!AF$3)*(OFFSET(ListeB,,1)='recap S1'!AF$2))&gt;0,SUMPRODUCT((ListeB='recap S1'!$B20)*(OFFSET(ListeB,,4)='recap S1'!AF$3)*(OFFSET(ListeB,,1)='recap S1'!AF$2)),"")</f>
        <v/>
      </c>
      <c r="AG20" s="32" t="str">
        <f ca="1">IF(SUMPRODUCT((ListeB='recap S1'!$B20)*(OFFSET(ListeB,,4)='recap S1'!AG$3)*(OFFSET(ListeB,,1)='recap S1'!AG$2))&gt;0,SUMPRODUCT((ListeB='recap S1'!$B20)*(OFFSET(ListeB,,4)='recap S1'!AG$3)*(OFFSET(ListeB,,1)='recap S1'!AG$2)),"")</f>
        <v/>
      </c>
      <c r="AH20" s="32" t="str">
        <f ca="1">IF(SUMPRODUCT((ListeB='recap S1'!$B20)*(OFFSET(ListeB,,4)='recap S1'!AH$3)*(OFFSET(ListeB,,1)='recap S1'!AH$2))&gt;0,SUMPRODUCT((ListeB='recap S1'!$B20)*(OFFSET(ListeB,,4)='recap S1'!AH$3)*(OFFSET(ListeB,,1)='recap S1'!AH$2)),"")</f>
        <v/>
      </c>
      <c r="AI20" s="32" t="str">
        <f ca="1">IF(SUMPRODUCT((ListeB='recap S1'!$B20)*(OFFSET(ListeB,,4)='recap S1'!AI$3)*(OFFSET(ListeB,,1)='recap S1'!AI$2))&gt;0,SUMPRODUCT((ListeB='recap S1'!$B20)*(OFFSET(ListeB,,4)='recap S1'!AI$3)*(OFFSET(ListeB,,1)='recap S1'!AI$2)),"")</f>
        <v/>
      </c>
      <c r="AJ20" s="32" t="str">
        <f ca="1">IF(SUMPRODUCT((ListeB='recap S1'!$B20)*(OFFSET(ListeB,,4)='recap S1'!AJ$3)*(OFFSET(ListeB,,1)='recap S1'!AJ$2))&gt;0,SUMPRODUCT((ListeB='recap S1'!$B20)*(OFFSET(ListeB,,4)='recap S1'!AJ$3)*(OFFSET(ListeB,,1)='recap S1'!AJ$2)),"")</f>
        <v/>
      </c>
      <c r="AK20" s="32" t="str">
        <f ca="1">IF(SUMPRODUCT((ListeB='recap S1'!$B20)*(OFFSET(ListeB,,4)='recap S1'!AK$3)*(OFFSET(ListeB,,1)='recap S1'!AK$2))&gt;0,SUMPRODUCT((ListeB='recap S1'!$B20)*(OFFSET(ListeB,,4)='recap S1'!AK$3)*(OFFSET(ListeB,,1)='recap S1'!AK$2)),"")</f>
        <v/>
      </c>
      <c r="AL20" s="32" t="str">
        <f ca="1">IF(SUMPRODUCT((ListeB='recap S1'!$B20)*(OFFSET(ListeB,,4)='recap S1'!AL$3)*(OFFSET(ListeB,,1)='recap S1'!AL$2))&gt;0,SUMPRODUCT((ListeB='recap S1'!$B20)*(OFFSET(ListeB,,4)='recap S1'!AL$3)*(OFFSET(ListeB,,1)='recap S1'!AL$2)),"")</f>
        <v/>
      </c>
      <c r="AM20" s="32" t="str">
        <f ca="1">IF(SUMPRODUCT((ListeB='recap S1'!$B20)*(OFFSET(ListeB,,4)='recap S1'!AM$3)*(OFFSET(ListeB,,1)='recap S1'!AM$2))&gt;0,SUMPRODUCT((ListeB='recap S1'!$B20)*(OFFSET(ListeB,,4)='recap S1'!AM$3)*(OFFSET(ListeB,,1)='recap S1'!AM$2)),"")</f>
        <v/>
      </c>
      <c r="AN20" s="32" t="str">
        <f ca="1">IF(SUMPRODUCT((ListeB='recap S1'!$B20)*(OFFSET(ListeB,,4)='recap S1'!AN$3)*(OFFSET(ListeB,,1)='recap S1'!AN$2))&gt;0,SUMPRODUCT((ListeB='recap S1'!$B20)*(OFFSET(ListeB,,4)='recap S1'!AN$3)*(OFFSET(ListeB,,1)='recap S1'!AN$2)),"")</f>
        <v/>
      </c>
      <c r="AO20" s="32" t="str">
        <f ca="1">IF(SUMPRODUCT((ListeB='recap S1'!$B20)*(OFFSET(ListeB,,4)='recap S1'!AO$3)*(OFFSET(ListeB,,1)='recap S1'!AO$2))&gt;0,SUMPRODUCT((ListeB='recap S1'!$B20)*(OFFSET(ListeB,,4)='recap S1'!AO$3)*(OFFSET(ListeB,,1)='recap S1'!AO$2)),"")</f>
        <v/>
      </c>
      <c r="AP20" s="32" t="str">
        <f ca="1">IF(SUMPRODUCT((ListeB='recap S1'!$B20)*(OFFSET(ListeB,,4)='recap S1'!AP$3)*(OFFSET(ListeB,,1)='recap S1'!AP$2))&gt;0,SUMPRODUCT((ListeB='recap S1'!$B20)*(OFFSET(ListeB,,4)='recap S1'!AP$3)*(OFFSET(ListeB,,1)='recap S1'!AP$2)),"")</f>
        <v/>
      </c>
      <c r="AQ20" s="32" t="str">
        <f ca="1">IF(SUMPRODUCT((ListeB='recap S1'!$B20)*(OFFSET(ListeB,,4)='recap S1'!AQ$3)*(OFFSET(ListeB,,1)='recap S1'!AQ$2))&gt;0,SUMPRODUCT((ListeB='recap S1'!$B20)*(OFFSET(ListeB,,4)='recap S1'!AQ$3)*(OFFSET(ListeB,,1)='recap S1'!AQ$2)),"")</f>
        <v/>
      </c>
      <c r="AR20" s="32" t="str">
        <f ca="1">IF(SUMPRODUCT((ListeB='recap S1'!$B20)*(OFFSET(ListeB,,4)='recap S1'!AR$3)*(OFFSET(ListeB,,1)='recap S1'!AR$2))&gt;0,SUMPRODUCT((ListeB='recap S1'!$B20)*(OFFSET(ListeB,,4)='recap S1'!AR$3)*(OFFSET(ListeB,,1)='recap S1'!AR$2)),"")</f>
        <v/>
      </c>
      <c r="AS20" s="32" t="str">
        <f ca="1">IF(SUMPRODUCT((ListeB='recap S1'!$B20)*(OFFSET(ListeB,,4)='recap S1'!AS$3)*(OFFSET(ListeB,,1)='recap S1'!AS$2))&gt;0,SUMPRODUCT((ListeB='recap S1'!$B20)*(OFFSET(ListeB,,4)='recap S1'!AS$3)*(OFFSET(ListeB,,1)='recap S1'!AS$2)),"")</f>
        <v/>
      </c>
      <c r="AT20" s="32" t="str">
        <f ca="1">IF(SUMPRODUCT((ListeB='recap S1'!$B20)*(OFFSET(ListeB,,4)='recap S1'!AT$3)*(OFFSET(ListeB,,1)='recap S1'!AT$2))&gt;0,SUMPRODUCT((ListeB='recap S1'!$B20)*(OFFSET(ListeB,,4)='recap S1'!AT$3)*(OFFSET(ListeB,,1)='recap S1'!AT$2)),"")</f>
        <v/>
      </c>
      <c r="AU20" s="32" t="str">
        <f ca="1">IF(SUMPRODUCT((ListeB='recap S1'!$B20)*(OFFSET(ListeB,,4)='recap S1'!AU$3)*(OFFSET(ListeB,,1)='recap S1'!AU$2))&gt;0,SUMPRODUCT((ListeB='recap S1'!$B20)*(OFFSET(ListeB,,4)='recap S1'!AU$3)*(OFFSET(ListeB,,1)='recap S1'!AU$2)),"")</f>
        <v/>
      </c>
      <c r="AV20" s="32" t="str">
        <f ca="1">IF(SUMPRODUCT((ListeB='recap S1'!$B20)*(OFFSET(ListeB,,4)='recap S1'!AV$3)*(OFFSET(ListeB,,1)='recap S1'!AV$2))&gt;0,SUMPRODUCT((ListeB='recap S1'!$B20)*(OFFSET(ListeB,,4)='recap S1'!AV$3)*(OFFSET(ListeB,,1)='recap S1'!AV$2)),"")</f>
        <v/>
      </c>
      <c r="AW20" s="32" t="str">
        <f ca="1">IF(SUMPRODUCT((ListeB='recap S1'!$B20)*(OFFSET(ListeB,,4)='recap S1'!AW$3)*(OFFSET(ListeB,,1)='recap S1'!AW$2))&gt;0,SUMPRODUCT((ListeB='recap S1'!$B20)*(OFFSET(ListeB,,4)='recap S1'!AW$3)*(OFFSET(ListeB,,1)='recap S1'!AW$2)),"")</f>
        <v/>
      </c>
      <c r="AX20" s="32" t="str">
        <f ca="1">IF(SUMPRODUCT((ListeB='recap S1'!$B20)*(OFFSET(ListeB,,4)='recap S1'!AX$3)*(OFFSET(ListeB,,1)='recap S1'!AX$2))&gt;0,SUMPRODUCT((ListeB='recap S1'!$B20)*(OFFSET(ListeB,,4)='recap S1'!AX$3)*(OFFSET(ListeB,,1)='recap S1'!AX$2)),"")</f>
        <v/>
      </c>
      <c r="AY20" s="32" t="str">
        <f ca="1">IF(SUMPRODUCT((ListeB='recap S1'!$B20)*(OFFSET(ListeB,,4)='recap S1'!AY$3)*(OFFSET(ListeB,,1)='recap S1'!AY$2))&gt;0,SUMPRODUCT((ListeB='recap S1'!$B20)*(OFFSET(ListeB,,4)='recap S1'!AY$3)*(OFFSET(ListeB,,1)='recap S1'!AY$2)),"")</f>
        <v/>
      </c>
      <c r="AZ20" s="32">
        <f t="shared" ca="1" si="0"/>
        <v>0</v>
      </c>
    </row>
    <row r="21" spans="1:52">
      <c r="A21" s="41" t="str">
        <f>IF('SEANCE 1'!$B19&lt;&gt;"",'SEANCE 1'!$A19,"")</f>
        <v/>
      </c>
      <c r="B21" s="41" t="str">
        <f t="array" aca="1" ref="B21" ca="1">IF(ISNA(INDEX(ListeB,MATCH(0,COUNTIF($B$3:B20,ListeB),0))),"",INDEX(ListeB,MATCH(0,COUNTIF($B$3:B20,ListeB),0)))</f>
        <v/>
      </c>
      <c r="C21" s="32" t="str">
        <f ca="1">IF(SUMPRODUCT((ListeB='recap S1'!$B21)*(OFFSET(ListeB,,4)='recap S1'!C$3)*(OFFSET(ListeB,,1)='recap S1'!C$2))&gt;0,SUMPRODUCT((ListeB='recap S1'!$B21)*(OFFSET(ListeB,,4)='recap S1'!C$3)*(OFFSET(ListeB,,1)='recap S1'!C$2)),"")</f>
        <v/>
      </c>
      <c r="D21" s="32" t="str">
        <f ca="1">IF(SUMPRODUCT((ListeB='recap S1'!$B21)*(OFFSET(ListeB,,4)='recap S1'!D$3)*(OFFSET(ListeB,,1)='recap S1'!D$2))&gt;0,SUMPRODUCT((ListeB='recap S1'!$B21)*(OFFSET(ListeB,,4)='recap S1'!D$3)*(OFFSET(ListeB,,1)='recap S1'!D$2)),"")</f>
        <v/>
      </c>
      <c r="E21" s="32" t="str">
        <f ca="1">IF(SUMPRODUCT((ListeB='recap S1'!$B21)*(OFFSET(ListeB,,4)='recap S1'!E$3)*(OFFSET(ListeB,,1)='recap S1'!E$2))&gt;0,SUMPRODUCT((ListeB='recap S1'!$B21)*(OFFSET(ListeB,,4)='recap S1'!E$3)*(OFFSET(ListeB,,1)='recap S1'!E$2)),"")</f>
        <v/>
      </c>
      <c r="F21" s="32" t="str">
        <f ca="1">IF(SUMPRODUCT((ListeB='recap S1'!$B21)*(OFFSET(ListeB,,4)='recap S1'!F$3)*(OFFSET(ListeB,,1)='recap S1'!F$2))&gt;0,SUMPRODUCT((ListeB='recap S1'!$B21)*(OFFSET(ListeB,,4)='recap S1'!F$3)*(OFFSET(ListeB,,1)='recap S1'!F$2)),"")</f>
        <v/>
      </c>
      <c r="G21" s="32" t="str">
        <f ca="1">IF(SUMPRODUCT((ListeB='recap S1'!$B21)*(OFFSET(ListeB,,4)='recap S1'!G$3)*(OFFSET(ListeB,,1)='recap S1'!G$2))&gt;0,SUMPRODUCT((ListeB='recap S1'!$B21)*(OFFSET(ListeB,,4)='recap S1'!G$3)*(OFFSET(ListeB,,1)='recap S1'!G$2)),"")</f>
        <v/>
      </c>
      <c r="H21" s="32" t="str">
        <f ca="1">IF(SUMPRODUCT((ListeB='recap S1'!$B21)*(OFFSET(ListeB,,4)='recap S1'!H$3)*(OFFSET(ListeB,,1)='recap S1'!H$2))&gt;0,SUMPRODUCT((ListeB='recap S1'!$B21)*(OFFSET(ListeB,,4)='recap S1'!H$3)*(OFFSET(ListeB,,1)='recap S1'!H$2)),"")</f>
        <v/>
      </c>
      <c r="I21" s="32" t="str">
        <f ca="1">IF(SUMPRODUCT((ListeB='recap S1'!$B21)*(OFFSET(ListeB,,4)='recap S1'!I$3)*(OFFSET(ListeB,,1)='recap S1'!I$2))&gt;0,SUMPRODUCT((ListeB='recap S1'!$B21)*(OFFSET(ListeB,,4)='recap S1'!I$3)*(OFFSET(ListeB,,1)='recap S1'!I$2)),"")</f>
        <v/>
      </c>
      <c r="J21" s="32" t="str">
        <f ca="1">IF(SUMPRODUCT((ListeB='recap S1'!$B21)*(OFFSET(ListeB,,4)='recap S1'!J$3)*(OFFSET(ListeB,,1)='recap S1'!J$2))&gt;0,SUMPRODUCT((ListeB='recap S1'!$B21)*(OFFSET(ListeB,,4)='recap S1'!J$3)*(OFFSET(ListeB,,1)='recap S1'!J$2)),"")</f>
        <v/>
      </c>
      <c r="K21" s="32" t="str">
        <f ca="1">IF(SUMPRODUCT((ListeB='recap S1'!$B21)*(OFFSET(ListeB,,4)='recap S1'!K$3)*(OFFSET(ListeB,,1)='recap S1'!K$2))&gt;0,SUMPRODUCT((ListeB='recap S1'!$B21)*(OFFSET(ListeB,,4)='recap S1'!K$3)*(OFFSET(ListeB,,1)='recap S1'!K$2)),"")</f>
        <v/>
      </c>
      <c r="L21" s="32" t="str">
        <f ca="1">IF(SUMPRODUCT((ListeB='recap S1'!$B21)*(OFFSET(ListeB,,4)='recap S1'!L$3)*(OFFSET(ListeB,,1)='recap S1'!L$2))&gt;0,SUMPRODUCT((ListeB='recap S1'!$B21)*(OFFSET(ListeB,,4)='recap S1'!L$3)*(OFFSET(ListeB,,1)='recap S1'!L$2)),"")</f>
        <v/>
      </c>
      <c r="M21" s="32" t="str">
        <f ca="1">IF(SUMPRODUCT((ListeB='recap S1'!$B21)*(OFFSET(ListeB,,4)='recap S1'!M$3)*(OFFSET(ListeB,,1)='recap S1'!M$2))&gt;0,SUMPRODUCT((ListeB='recap S1'!$B21)*(OFFSET(ListeB,,4)='recap S1'!M$3)*(OFFSET(ListeB,,1)='recap S1'!M$2)),"")</f>
        <v/>
      </c>
      <c r="N21" s="32" t="str">
        <f ca="1">IF(SUMPRODUCT((ListeB='recap S1'!$B21)*(OFFSET(ListeB,,4)='recap S1'!N$3)*(OFFSET(ListeB,,1)='recap S1'!N$2))&gt;0,SUMPRODUCT((ListeB='recap S1'!$B21)*(OFFSET(ListeB,,4)='recap S1'!N$3)*(OFFSET(ListeB,,1)='recap S1'!N$2)),"")</f>
        <v/>
      </c>
      <c r="O21" s="32" t="str">
        <f ca="1">IF(SUMPRODUCT((ListeB='recap S1'!$B21)*(OFFSET(ListeB,,4)='recap S1'!O$3)*(OFFSET(ListeB,,1)='recap S1'!O$2))&gt;0,SUMPRODUCT((ListeB='recap S1'!$B21)*(OFFSET(ListeB,,4)='recap S1'!O$3)*(OFFSET(ListeB,,1)='recap S1'!O$2)),"")</f>
        <v/>
      </c>
      <c r="P21" s="32" t="str">
        <f ca="1">IF(SUMPRODUCT((ListeB='recap S1'!$B21)*(OFFSET(ListeB,,4)='recap S1'!P$3)*(OFFSET(ListeB,,1)='recap S1'!P$2))&gt;0,SUMPRODUCT((ListeB='recap S1'!$B21)*(OFFSET(ListeB,,4)='recap S1'!P$3)*(OFFSET(ListeB,,1)='recap S1'!P$2)),"")</f>
        <v/>
      </c>
      <c r="Q21" s="32" t="str">
        <f ca="1">IF(SUMPRODUCT((ListeB='recap S1'!$B21)*(OFFSET(ListeB,,4)='recap S1'!Q$3)*(OFFSET(ListeB,,1)='recap S1'!Q$2))&gt;0,SUMPRODUCT((ListeB='recap S1'!$B21)*(OFFSET(ListeB,,4)='recap S1'!Q$3)*(OFFSET(ListeB,,1)='recap S1'!Q$2)),"")</f>
        <v/>
      </c>
      <c r="R21" s="32" t="str">
        <f ca="1">IF(SUMPRODUCT((ListeB='recap S1'!$B21)*(OFFSET(ListeB,,4)='recap S1'!R$3)*(OFFSET(ListeB,,1)='recap S1'!R$2))&gt;0,SUMPRODUCT((ListeB='recap S1'!$B21)*(OFFSET(ListeB,,4)='recap S1'!R$3)*(OFFSET(ListeB,,1)='recap S1'!R$2)),"")</f>
        <v/>
      </c>
      <c r="S21" s="32" t="str">
        <f ca="1">IF(SUMPRODUCT((ListeB='recap S1'!$B21)*(OFFSET(ListeB,,4)='recap S1'!S$3)*(OFFSET(ListeB,,1)='recap S1'!S$2))&gt;0,SUMPRODUCT((ListeB='recap S1'!$B21)*(OFFSET(ListeB,,4)='recap S1'!S$3)*(OFFSET(ListeB,,1)='recap S1'!S$2)),"")</f>
        <v/>
      </c>
      <c r="T21" s="32" t="str">
        <f ca="1">IF(SUMPRODUCT((ListeB='recap S1'!$B21)*(OFFSET(ListeB,,4)='recap S1'!T$3)*(OFFSET(ListeB,,1)='recap S1'!T$2))&gt;0,SUMPRODUCT((ListeB='recap S1'!$B21)*(OFFSET(ListeB,,4)='recap S1'!T$3)*(OFFSET(ListeB,,1)='recap S1'!T$2)),"")</f>
        <v/>
      </c>
      <c r="U21" s="32" t="str">
        <f ca="1">IF(SUMPRODUCT((ListeB='recap S1'!$B21)*(OFFSET(ListeB,,4)='recap S1'!U$3)*(OFFSET(ListeB,,1)='recap S1'!U$2))&gt;0,SUMPRODUCT((ListeB='recap S1'!$B21)*(OFFSET(ListeB,,4)='recap S1'!U$3)*(OFFSET(ListeB,,1)='recap S1'!U$2)),"")</f>
        <v/>
      </c>
      <c r="V21" s="32" t="str">
        <f ca="1">IF(SUMPRODUCT((ListeB='recap S1'!$B21)*(OFFSET(ListeB,,4)='recap S1'!V$3)*(OFFSET(ListeB,,1)='recap S1'!V$2))&gt;0,SUMPRODUCT((ListeB='recap S1'!$B21)*(OFFSET(ListeB,,4)='recap S1'!V$3)*(OFFSET(ListeB,,1)='recap S1'!V$2)),"")</f>
        <v/>
      </c>
      <c r="W21" s="32" t="str">
        <f ca="1">IF(SUMPRODUCT((ListeB='recap S1'!$B21)*(OFFSET(ListeB,,4)='recap S1'!W$3)*(OFFSET(ListeB,,1)='recap S1'!W$2))&gt;0,SUMPRODUCT((ListeB='recap S1'!$B21)*(OFFSET(ListeB,,4)='recap S1'!W$3)*(OFFSET(ListeB,,1)='recap S1'!W$2)),"")</f>
        <v/>
      </c>
      <c r="X21" s="32" t="str">
        <f ca="1">IF(SUMPRODUCT((ListeB='recap S1'!$B21)*(OFFSET(ListeB,,4)='recap S1'!X$3)*(OFFSET(ListeB,,1)='recap S1'!X$2))&gt;0,SUMPRODUCT((ListeB='recap S1'!$B21)*(OFFSET(ListeB,,4)='recap S1'!X$3)*(OFFSET(ListeB,,1)='recap S1'!X$2)),"")</f>
        <v/>
      </c>
      <c r="Y21" s="32" t="str">
        <f ca="1">IF(SUMPRODUCT((ListeB='recap S1'!$B21)*(OFFSET(ListeB,,4)='recap S1'!Y$3)*(OFFSET(ListeB,,1)='recap S1'!Y$2))&gt;0,SUMPRODUCT((ListeB='recap S1'!$B21)*(OFFSET(ListeB,,4)='recap S1'!Y$3)*(OFFSET(ListeB,,1)='recap S1'!Y$2)),"")</f>
        <v/>
      </c>
      <c r="Z21" s="32" t="str">
        <f ca="1">IF(SUMPRODUCT((ListeB='recap S1'!$B21)*(OFFSET(ListeB,,4)='recap S1'!Z$3)*(OFFSET(ListeB,,1)='recap S1'!Z$2))&gt;0,SUMPRODUCT((ListeB='recap S1'!$B21)*(OFFSET(ListeB,,4)='recap S1'!Z$3)*(OFFSET(ListeB,,1)='recap S1'!Z$2)),"")</f>
        <v/>
      </c>
      <c r="AA21" s="32" t="str">
        <f ca="1">IF(SUMPRODUCT((ListeB='recap S1'!$B21)*(OFFSET(ListeB,,4)='recap S1'!AA$3)*(OFFSET(ListeB,,1)='recap S1'!AA$2))&gt;0,SUMPRODUCT((ListeB='recap S1'!$B21)*(OFFSET(ListeB,,4)='recap S1'!AA$3)*(OFFSET(ListeB,,1)='recap S1'!AA$2)),"")</f>
        <v/>
      </c>
      <c r="AB21" s="32" t="str">
        <f ca="1">IF(SUMPRODUCT((ListeB='recap S1'!$B21)*(OFFSET(ListeB,,4)='recap S1'!AB$3)*(OFFSET(ListeB,,1)='recap S1'!AB$2))&gt;0,SUMPRODUCT((ListeB='recap S1'!$B21)*(OFFSET(ListeB,,4)='recap S1'!AB$3)*(OFFSET(ListeB,,1)='recap S1'!AB$2)),"")</f>
        <v/>
      </c>
      <c r="AC21" s="32" t="str">
        <f ca="1">IF(SUMPRODUCT((ListeB='recap S1'!$B21)*(OFFSET(ListeB,,4)='recap S1'!AC$3)*(OFFSET(ListeB,,1)='recap S1'!AC$2))&gt;0,SUMPRODUCT((ListeB='recap S1'!$B21)*(OFFSET(ListeB,,4)='recap S1'!AC$3)*(OFFSET(ListeB,,1)='recap S1'!AC$2)),"")</f>
        <v/>
      </c>
      <c r="AD21" s="32" t="str">
        <f ca="1">IF(SUMPRODUCT((ListeB='recap S1'!$B21)*(OFFSET(ListeB,,4)='recap S1'!AD$3)*(OFFSET(ListeB,,1)='recap S1'!AD$2))&gt;0,SUMPRODUCT((ListeB='recap S1'!$B21)*(OFFSET(ListeB,,4)='recap S1'!AD$3)*(OFFSET(ListeB,,1)='recap S1'!AD$2)),"")</f>
        <v/>
      </c>
      <c r="AE21" s="32" t="str">
        <f ca="1">IF(SUMPRODUCT((ListeB='recap S1'!$B21)*(OFFSET(ListeB,,4)='recap S1'!AE$3)*(OFFSET(ListeB,,1)='recap S1'!AE$2))&gt;0,SUMPRODUCT((ListeB='recap S1'!$B21)*(OFFSET(ListeB,,4)='recap S1'!AE$3)*(OFFSET(ListeB,,1)='recap S1'!AE$2)),"")</f>
        <v/>
      </c>
      <c r="AF21" s="32" t="str">
        <f ca="1">IF(SUMPRODUCT((ListeB='recap S1'!$B21)*(OFFSET(ListeB,,4)='recap S1'!AF$3)*(OFFSET(ListeB,,1)='recap S1'!AF$2))&gt;0,SUMPRODUCT((ListeB='recap S1'!$B21)*(OFFSET(ListeB,,4)='recap S1'!AF$3)*(OFFSET(ListeB,,1)='recap S1'!AF$2)),"")</f>
        <v/>
      </c>
      <c r="AG21" s="32" t="str">
        <f ca="1">IF(SUMPRODUCT((ListeB='recap S1'!$B21)*(OFFSET(ListeB,,4)='recap S1'!AG$3)*(OFFSET(ListeB,,1)='recap S1'!AG$2))&gt;0,SUMPRODUCT((ListeB='recap S1'!$B21)*(OFFSET(ListeB,,4)='recap S1'!AG$3)*(OFFSET(ListeB,,1)='recap S1'!AG$2)),"")</f>
        <v/>
      </c>
      <c r="AH21" s="32" t="str">
        <f ca="1">IF(SUMPRODUCT((ListeB='recap S1'!$B21)*(OFFSET(ListeB,,4)='recap S1'!AH$3)*(OFFSET(ListeB,,1)='recap S1'!AH$2))&gt;0,SUMPRODUCT((ListeB='recap S1'!$B21)*(OFFSET(ListeB,,4)='recap S1'!AH$3)*(OFFSET(ListeB,,1)='recap S1'!AH$2)),"")</f>
        <v/>
      </c>
      <c r="AI21" s="32" t="str">
        <f ca="1">IF(SUMPRODUCT((ListeB='recap S1'!$B21)*(OFFSET(ListeB,,4)='recap S1'!AI$3)*(OFFSET(ListeB,,1)='recap S1'!AI$2))&gt;0,SUMPRODUCT((ListeB='recap S1'!$B21)*(OFFSET(ListeB,,4)='recap S1'!AI$3)*(OFFSET(ListeB,,1)='recap S1'!AI$2)),"")</f>
        <v/>
      </c>
      <c r="AJ21" s="32" t="str">
        <f ca="1">IF(SUMPRODUCT((ListeB='recap S1'!$B21)*(OFFSET(ListeB,,4)='recap S1'!AJ$3)*(OFFSET(ListeB,,1)='recap S1'!AJ$2))&gt;0,SUMPRODUCT((ListeB='recap S1'!$B21)*(OFFSET(ListeB,,4)='recap S1'!AJ$3)*(OFFSET(ListeB,,1)='recap S1'!AJ$2)),"")</f>
        <v/>
      </c>
      <c r="AK21" s="32" t="str">
        <f ca="1">IF(SUMPRODUCT((ListeB='recap S1'!$B21)*(OFFSET(ListeB,,4)='recap S1'!AK$3)*(OFFSET(ListeB,,1)='recap S1'!AK$2))&gt;0,SUMPRODUCT((ListeB='recap S1'!$B21)*(OFFSET(ListeB,,4)='recap S1'!AK$3)*(OFFSET(ListeB,,1)='recap S1'!AK$2)),"")</f>
        <v/>
      </c>
      <c r="AL21" s="32" t="str">
        <f ca="1">IF(SUMPRODUCT((ListeB='recap S1'!$B21)*(OFFSET(ListeB,,4)='recap S1'!AL$3)*(OFFSET(ListeB,,1)='recap S1'!AL$2))&gt;0,SUMPRODUCT((ListeB='recap S1'!$B21)*(OFFSET(ListeB,,4)='recap S1'!AL$3)*(OFFSET(ListeB,,1)='recap S1'!AL$2)),"")</f>
        <v/>
      </c>
      <c r="AM21" s="32" t="str">
        <f ca="1">IF(SUMPRODUCT((ListeB='recap S1'!$B21)*(OFFSET(ListeB,,4)='recap S1'!AM$3)*(OFFSET(ListeB,,1)='recap S1'!AM$2))&gt;0,SUMPRODUCT((ListeB='recap S1'!$B21)*(OFFSET(ListeB,,4)='recap S1'!AM$3)*(OFFSET(ListeB,,1)='recap S1'!AM$2)),"")</f>
        <v/>
      </c>
      <c r="AN21" s="32" t="str">
        <f ca="1">IF(SUMPRODUCT((ListeB='recap S1'!$B21)*(OFFSET(ListeB,,4)='recap S1'!AN$3)*(OFFSET(ListeB,,1)='recap S1'!AN$2))&gt;0,SUMPRODUCT((ListeB='recap S1'!$B21)*(OFFSET(ListeB,,4)='recap S1'!AN$3)*(OFFSET(ListeB,,1)='recap S1'!AN$2)),"")</f>
        <v/>
      </c>
      <c r="AO21" s="32" t="str">
        <f ca="1">IF(SUMPRODUCT((ListeB='recap S1'!$B21)*(OFFSET(ListeB,,4)='recap S1'!AO$3)*(OFFSET(ListeB,,1)='recap S1'!AO$2))&gt;0,SUMPRODUCT((ListeB='recap S1'!$B21)*(OFFSET(ListeB,,4)='recap S1'!AO$3)*(OFFSET(ListeB,,1)='recap S1'!AO$2)),"")</f>
        <v/>
      </c>
      <c r="AP21" s="32" t="str">
        <f ca="1">IF(SUMPRODUCT((ListeB='recap S1'!$B21)*(OFFSET(ListeB,,4)='recap S1'!AP$3)*(OFFSET(ListeB,,1)='recap S1'!AP$2))&gt;0,SUMPRODUCT((ListeB='recap S1'!$B21)*(OFFSET(ListeB,,4)='recap S1'!AP$3)*(OFFSET(ListeB,,1)='recap S1'!AP$2)),"")</f>
        <v/>
      </c>
      <c r="AQ21" s="32" t="str">
        <f ca="1">IF(SUMPRODUCT((ListeB='recap S1'!$B21)*(OFFSET(ListeB,,4)='recap S1'!AQ$3)*(OFFSET(ListeB,,1)='recap S1'!AQ$2))&gt;0,SUMPRODUCT((ListeB='recap S1'!$B21)*(OFFSET(ListeB,,4)='recap S1'!AQ$3)*(OFFSET(ListeB,,1)='recap S1'!AQ$2)),"")</f>
        <v/>
      </c>
      <c r="AR21" s="32" t="str">
        <f ca="1">IF(SUMPRODUCT((ListeB='recap S1'!$B21)*(OFFSET(ListeB,,4)='recap S1'!AR$3)*(OFFSET(ListeB,,1)='recap S1'!AR$2))&gt;0,SUMPRODUCT((ListeB='recap S1'!$B21)*(OFFSET(ListeB,,4)='recap S1'!AR$3)*(OFFSET(ListeB,,1)='recap S1'!AR$2)),"")</f>
        <v/>
      </c>
      <c r="AS21" s="32" t="str">
        <f ca="1">IF(SUMPRODUCT((ListeB='recap S1'!$B21)*(OFFSET(ListeB,,4)='recap S1'!AS$3)*(OFFSET(ListeB,,1)='recap S1'!AS$2))&gt;0,SUMPRODUCT((ListeB='recap S1'!$B21)*(OFFSET(ListeB,,4)='recap S1'!AS$3)*(OFFSET(ListeB,,1)='recap S1'!AS$2)),"")</f>
        <v/>
      </c>
      <c r="AT21" s="32" t="str">
        <f ca="1">IF(SUMPRODUCT((ListeB='recap S1'!$B21)*(OFFSET(ListeB,,4)='recap S1'!AT$3)*(OFFSET(ListeB,,1)='recap S1'!AT$2))&gt;0,SUMPRODUCT((ListeB='recap S1'!$B21)*(OFFSET(ListeB,,4)='recap S1'!AT$3)*(OFFSET(ListeB,,1)='recap S1'!AT$2)),"")</f>
        <v/>
      </c>
      <c r="AU21" s="32" t="str">
        <f ca="1">IF(SUMPRODUCT((ListeB='recap S1'!$B21)*(OFFSET(ListeB,,4)='recap S1'!AU$3)*(OFFSET(ListeB,,1)='recap S1'!AU$2))&gt;0,SUMPRODUCT((ListeB='recap S1'!$B21)*(OFFSET(ListeB,,4)='recap S1'!AU$3)*(OFFSET(ListeB,,1)='recap S1'!AU$2)),"")</f>
        <v/>
      </c>
      <c r="AV21" s="32" t="str">
        <f ca="1">IF(SUMPRODUCT((ListeB='recap S1'!$B21)*(OFFSET(ListeB,,4)='recap S1'!AV$3)*(OFFSET(ListeB,,1)='recap S1'!AV$2))&gt;0,SUMPRODUCT((ListeB='recap S1'!$B21)*(OFFSET(ListeB,,4)='recap S1'!AV$3)*(OFFSET(ListeB,,1)='recap S1'!AV$2)),"")</f>
        <v/>
      </c>
      <c r="AW21" s="32" t="str">
        <f ca="1">IF(SUMPRODUCT((ListeB='recap S1'!$B21)*(OFFSET(ListeB,,4)='recap S1'!AW$3)*(OFFSET(ListeB,,1)='recap S1'!AW$2))&gt;0,SUMPRODUCT((ListeB='recap S1'!$B21)*(OFFSET(ListeB,,4)='recap S1'!AW$3)*(OFFSET(ListeB,,1)='recap S1'!AW$2)),"")</f>
        <v/>
      </c>
      <c r="AX21" s="32" t="str">
        <f ca="1">IF(SUMPRODUCT((ListeB='recap S1'!$B21)*(OFFSET(ListeB,,4)='recap S1'!AX$3)*(OFFSET(ListeB,,1)='recap S1'!AX$2))&gt;0,SUMPRODUCT((ListeB='recap S1'!$B21)*(OFFSET(ListeB,,4)='recap S1'!AX$3)*(OFFSET(ListeB,,1)='recap S1'!AX$2)),"")</f>
        <v/>
      </c>
      <c r="AY21" s="32" t="str">
        <f ca="1">IF(SUMPRODUCT((ListeB='recap S1'!$B21)*(OFFSET(ListeB,,4)='recap S1'!AY$3)*(OFFSET(ListeB,,1)='recap S1'!AY$2))&gt;0,SUMPRODUCT((ListeB='recap S1'!$B21)*(OFFSET(ListeB,,4)='recap S1'!AY$3)*(OFFSET(ListeB,,1)='recap S1'!AY$2)),"")</f>
        <v/>
      </c>
      <c r="AZ21" s="32">
        <f t="shared" ca="1" si="0"/>
        <v>0</v>
      </c>
    </row>
    <row r="22" spans="1:52">
      <c r="A22" s="41" t="str">
        <f>IF('SEANCE 1'!$B20&lt;&gt;"",'SEANCE 1'!$A20,"")</f>
        <v/>
      </c>
      <c r="B22" s="41" t="str">
        <f t="array" aca="1" ref="B22" ca="1">IF(ISNA(INDEX(ListeB,MATCH(0,COUNTIF($B$3:B21,ListeB),0))),"",INDEX(ListeB,MATCH(0,COUNTIF($B$3:B21,ListeB),0)))</f>
        <v/>
      </c>
      <c r="C22" s="32" t="str">
        <f ca="1">IF(SUMPRODUCT((ListeB='recap S1'!$B22)*(OFFSET(ListeB,,4)='recap S1'!C$3)*(OFFSET(ListeB,,1)='recap S1'!C$2))&gt;0,SUMPRODUCT((ListeB='recap S1'!$B22)*(OFFSET(ListeB,,4)='recap S1'!C$3)*(OFFSET(ListeB,,1)='recap S1'!C$2)),"")</f>
        <v/>
      </c>
      <c r="D22" s="32" t="str">
        <f ca="1">IF(SUMPRODUCT((ListeB='recap S1'!$B22)*(OFFSET(ListeB,,4)='recap S1'!D$3)*(OFFSET(ListeB,,1)='recap S1'!D$2))&gt;0,SUMPRODUCT((ListeB='recap S1'!$B22)*(OFFSET(ListeB,,4)='recap S1'!D$3)*(OFFSET(ListeB,,1)='recap S1'!D$2)),"")</f>
        <v/>
      </c>
      <c r="E22" s="32" t="str">
        <f ca="1">IF(SUMPRODUCT((ListeB='recap S1'!$B22)*(OFFSET(ListeB,,4)='recap S1'!E$3)*(OFFSET(ListeB,,1)='recap S1'!E$2))&gt;0,SUMPRODUCT((ListeB='recap S1'!$B22)*(OFFSET(ListeB,,4)='recap S1'!E$3)*(OFFSET(ListeB,,1)='recap S1'!E$2)),"")</f>
        <v/>
      </c>
      <c r="F22" s="32" t="str">
        <f ca="1">IF(SUMPRODUCT((ListeB='recap S1'!$B22)*(OFFSET(ListeB,,4)='recap S1'!F$3)*(OFFSET(ListeB,,1)='recap S1'!F$2))&gt;0,SUMPRODUCT((ListeB='recap S1'!$B22)*(OFFSET(ListeB,,4)='recap S1'!F$3)*(OFFSET(ListeB,,1)='recap S1'!F$2)),"")</f>
        <v/>
      </c>
      <c r="G22" s="32" t="str">
        <f ca="1">IF(SUMPRODUCT((ListeB='recap S1'!$B22)*(OFFSET(ListeB,,4)='recap S1'!G$3)*(OFFSET(ListeB,,1)='recap S1'!G$2))&gt;0,SUMPRODUCT((ListeB='recap S1'!$B22)*(OFFSET(ListeB,,4)='recap S1'!G$3)*(OFFSET(ListeB,,1)='recap S1'!G$2)),"")</f>
        <v/>
      </c>
      <c r="H22" s="32" t="str">
        <f ca="1">IF(SUMPRODUCT((ListeB='recap S1'!$B22)*(OFFSET(ListeB,,4)='recap S1'!H$3)*(OFFSET(ListeB,,1)='recap S1'!H$2))&gt;0,SUMPRODUCT((ListeB='recap S1'!$B22)*(OFFSET(ListeB,,4)='recap S1'!H$3)*(OFFSET(ListeB,,1)='recap S1'!H$2)),"")</f>
        <v/>
      </c>
      <c r="I22" s="32" t="str">
        <f ca="1">IF(SUMPRODUCT((ListeB='recap S1'!$B22)*(OFFSET(ListeB,,4)='recap S1'!I$3)*(OFFSET(ListeB,,1)='recap S1'!I$2))&gt;0,SUMPRODUCT((ListeB='recap S1'!$B22)*(OFFSET(ListeB,,4)='recap S1'!I$3)*(OFFSET(ListeB,,1)='recap S1'!I$2)),"")</f>
        <v/>
      </c>
      <c r="J22" s="32" t="str">
        <f ca="1">IF(SUMPRODUCT((ListeB='recap S1'!$B22)*(OFFSET(ListeB,,4)='recap S1'!J$3)*(OFFSET(ListeB,,1)='recap S1'!J$2))&gt;0,SUMPRODUCT((ListeB='recap S1'!$B22)*(OFFSET(ListeB,,4)='recap S1'!J$3)*(OFFSET(ListeB,,1)='recap S1'!J$2)),"")</f>
        <v/>
      </c>
      <c r="K22" s="32" t="str">
        <f ca="1">IF(SUMPRODUCT((ListeB='recap S1'!$B22)*(OFFSET(ListeB,,4)='recap S1'!K$3)*(OFFSET(ListeB,,1)='recap S1'!K$2))&gt;0,SUMPRODUCT((ListeB='recap S1'!$B22)*(OFFSET(ListeB,,4)='recap S1'!K$3)*(OFFSET(ListeB,,1)='recap S1'!K$2)),"")</f>
        <v/>
      </c>
      <c r="L22" s="32" t="str">
        <f ca="1">IF(SUMPRODUCT((ListeB='recap S1'!$B22)*(OFFSET(ListeB,,4)='recap S1'!L$3)*(OFFSET(ListeB,,1)='recap S1'!L$2))&gt;0,SUMPRODUCT((ListeB='recap S1'!$B22)*(OFFSET(ListeB,,4)='recap S1'!L$3)*(OFFSET(ListeB,,1)='recap S1'!L$2)),"")</f>
        <v/>
      </c>
      <c r="M22" s="32" t="str">
        <f ca="1">IF(SUMPRODUCT((ListeB='recap S1'!$B22)*(OFFSET(ListeB,,4)='recap S1'!M$3)*(OFFSET(ListeB,,1)='recap S1'!M$2))&gt;0,SUMPRODUCT((ListeB='recap S1'!$B22)*(OFFSET(ListeB,,4)='recap S1'!M$3)*(OFFSET(ListeB,,1)='recap S1'!M$2)),"")</f>
        <v/>
      </c>
      <c r="N22" s="32" t="str">
        <f ca="1">IF(SUMPRODUCT((ListeB='recap S1'!$B22)*(OFFSET(ListeB,,4)='recap S1'!N$3)*(OFFSET(ListeB,,1)='recap S1'!N$2))&gt;0,SUMPRODUCT((ListeB='recap S1'!$B22)*(OFFSET(ListeB,,4)='recap S1'!N$3)*(OFFSET(ListeB,,1)='recap S1'!N$2)),"")</f>
        <v/>
      </c>
      <c r="O22" s="32" t="str">
        <f ca="1">IF(SUMPRODUCT((ListeB='recap S1'!$B22)*(OFFSET(ListeB,,4)='recap S1'!O$3)*(OFFSET(ListeB,,1)='recap S1'!O$2))&gt;0,SUMPRODUCT((ListeB='recap S1'!$B22)*(OFFSET(ListeB,,4)='recap S1'!O$3)*(OFFSET(ListeB,,1)='recap S1'!O$2)),"")</f>
        <v/>
      </c>
      <c r="P22" s="32" t="str">
        <f ca="1">IF(SUMPRODUCT((ListeB='recap S1'!$B22)*(OFFSET(ListeB,,4)='recap S1'!P$3)*(OFFSET(ListeB,,1)='recap S1'!P$2))&gt;0,SUMPRODUCT((ListeB='recap S1'!$B22)*(OFFSET(ListeB,,4)='recap S1'!P$3)*(OFFSET(ListeB,,1)='recap S1'!P$2)),"")</f>
        <v/>
      </c>
      <c r="Q22" s="32" t="str">
        <f ca="1">IF(SUMPRODUCT((ListeB='recap S1'!$B22)*(OFFSET(ListeB,,4)='recap S1'!Q$3)*(OFFSET(ListeB,,1)='recap S1'!Q$2))&gt;0,SUMPRODUCT((ListeB='recap S1'!$B22)*(OFFSET(ListeB,,4)='recap S1'!Q$3)*(OFFSET(ListeB,,1)='recap S1'!Q$2)),"")</f>
        <v/>
      </c>
      <c r="R22" s="32" t="str">
        <f ca="1">IF(SUMPRODUCT((ListeB='recap S1'!$B22)*(OFFSET(ListeB,,4)='recap S1'!R$3)*(OFFSET(ListeB,,1)='recap S1'!R$2))&gt;0,SUMPRODUCT((ListeB='recap S1'!$B22)*(OFFSET(ListeB,,4)='recap S1'!R$3)*(OFFSET(ListeB,,1)='recap S1'!R$2)),"")</f>
        <v/>
      </c>
      <c r="S22" s="32" t="str">
        <f ca="1">IF(SUMPRODUCT((ListeB='recap S1'!$B22)*(OFFSET(ListeB,,4)='recap S1'!S$3)*(OFFSET(ListeB,,1)='recap S1'!S$2))&gt;0,SUMPRODUCT((ListeB='recap S1'!$B22)*(OFFSET(ListeB,,4)='recap S1'!S$3)*(OFFSET(ListeB,,1)='recap S1'!S$2)),"")</f>
        <v/>
      </c>
      <c r="T22" s="32" t="str">
        <f ca="1">IF(SUMPRODUCT((ListeB='recap S1'!$B22)*(OFFSET(ListeB,,4)='recap S1'!T$3)*(OFFSET(ListeB,,1)='recap S1'!T$2))&gt;0,SUMPRODUCT((ListeB='recap S1'!$B22)*(OFFSET(ListeB,,4)='recap S1'!T$3)*(OFFSET(ListeB,,1)='recap S1'!T$2)),"")</f>
        <v/>
      </c>
      <c r="U22" s="32" t="str">
        <f ca="1">IF(SUMPRODUCT((ListeB='recap S1'!$B22)*(OFFSET(ListeB,,4)='recap S1'!U$3)*(OFFSET(ListeB,,1)='recap S1'!U$2))&gt;0,SUMPRODUCT((ListeB='recap S1'!$B22)*(OFFSET(ListeB,,4)='recap S1'!U$3)*(OFFSET(ListeB,,1)='recap S1'!U$2)),"")</f>
        <v/>
      </c>
      <c r="V22" s="32" t="str">
        <f ca="1">IF(SUMPRODUCT((ListeB='recap S1'!$B22)*(OFFSET(ListeB,,4)='recap S1'!V$3)*(OFFSET(ListeB,,1)='recap S1'!V$2))&gt;0,SUMPRODUCT((ListeB='recap S1'!$B22)*(OFFSET(ListeB,,4)='recap S1'!V$3)*(OFFSET(ListeB,,1)='recap S1'!V$2)),"")</f>
        <v/>
      </c>
      <c r="W22" s="32" t="str">
        <f ca="1">IF(SUMPRODUCT((ListeB='recap S1'!$B22)*(OFFSET(ListeB,,4)='recap S1'!W$3)*(OFFSET(ListeB,,1)='recap S1'!W$2))&gt;0,SUMPRODUCT((ListeB='recap S1'!$B22)*(OFFSET(ListeB,,4)='recap S1'!W$3)*(OFFSET(ListeB,,1)='recap S1'!W$2)),"")</f>
        <v/>
      </c>
      <c r="X22" s="32" t="str">
        <f ca="1">IF(SUMPRODUCT((ListeB='recap S1'!$B22)*(OFFSET(ListeB,,4)='recap S1'!X$3)*(OFFSET(ListeB,,1)='recap S1'!X$2))&gt;0,SUMPRODUCT((ListeB='recap S1'!$B22)*(OFFSET(ListeB,,4)='recap S1'!X$3)*(OFFSET(ListeB,,1)='recap S1'!X$2)),"")</f>
        <v/>
      </c>
      <c r="Y22" s="32" t="str">
        <f ca="1">IF(SUMPRODUCT((ListeB='recap S1'!$B22)*(OFFSET(ListeB,,4)='recap S1'!Y$3)*(OFFSET(ListeB,,1)='recap S1'!Y$2))&gt;0,SUMPRODUCT((ListeB='recap S1'!$B22)*(OFFSET(ListeB,,4)='recap S1'!Y$3)*(OFFSET(ListeB,,1)='recap S1'!Y$2)),"")</f>
        <v/>
      </c>
      <c r="Z22" s="32" t="str">
        <f ca="1">IF(SUMPRODUCT((ListeB='recap S1'!$B22)*(OFFSET(ListeB,,4)='recap S1'!Z$3)*(OFFSET(ListeB,,1)='recap S1'!Z$2))&gt;0,SUMPRODUCT((ListeB='recap S1'!$B22)*(OFFSET(ListeB,,4)='recap S1'!Z$3)*(OFFSET(ListeB,,1)='recap S1'!Z$2)),"")</f>
        <v/>
      </c>
      <c r="AA22" s="32" t="str">
        <f ca="1">IF(SUMPRODUCT((ListeB='recap S1'!$B22)*(OFFSET(ListeB,,4)='recap S1'!AA$3)*(OFFSET(ListeB,,1)='recap S1'!AA$2))&gt;0,SUMPRODUCT((ListeB='recap S1'!$B22)*(OFFSET(ListeB,,4)='recap S1'!AA$3)*(OFFSET(ListeB,,1)='recap S1'!AA$2)),"")</f>
        <v/>
      </c>
      <c r="AB22" s="32" t="str">
        <f ca="1">IF(SUMPRODUCT((ListeB='recap S1'!$B22)*(OFFSET(ListeB,,4)='recap S1'!AB$3)*(OFFSET(ListeB,,1)='recap S1'!AB$2))&gt;0,SUMPRODUCT((ListeB='recap S1'!$B22)*(OFFSET(ListeB,,4)='recap S1'!AB$3)*(OFFSET(ListeB,,1)='recap S1'!AB$2)),"")</f>
        <v/>
      </c>
      <c r="AC22" s="32" t="str">
        <f ca="1">IF(SUMPRODUCT((ListeB='recap S1'!$B22)*(OFFSET(ListeB,,4)='recap S1'!AC$3)*(OFFSET(ListeB,,1)='recap S1'!AC$2))&gt;0,SUMPRODUCT((ListeB='recap S1'!$B22)*(OFFSET(ListeB,,4)='recap S1'!AC$3)*(OFFSET(ListeB,,1)='recap S1'!AC$2)),"")</f>
        <v/>
      </c>
      <c r="AD22" s="32" t="str">
        <f ca="1">IF(SUMPRODUCT((ListeB='recap S1'!$B22)*(OFFSET(ListeB,,4)='recap S1'!AD$3)*(OFFSET(ListeB,,1)='recap S1'!AD$2))&gt;0,SUMPRODUCT((ListeB='recap S1'!$B22)*(OFFSET(ListeB,,4)='recap S1'!AD$3)*(OFFSET(ListeB,,1)='recap S1'!AD$2)),"")</f>
        <v/>
      </c>
      <c r="AE22" s="32" t="str">
        <f ca="1">IF(SUMPRODUCT((ListeB='recap S1'!$B22)*(OFFSET(ListeB,,4)='recap S1'!AE$3)*(OFFSET(ListeB,,1)='recap S1'!AE$2))&gt;0,SUMPRODUCT((ListeB='recap S1'!$B22)*(OFFSET(ListeB,,4)='recap S1'!AE$3)*(OFFSET(ListeB,,1)='recap S1'!AE$2)),"")</f>
        <v/>
      </c>
      <c r="AF22" s="32" t="str">
        <f ca="1">IF(SUMPRODUCT((ListeB='recap S1'!$B22)*(OFFSET(ListeB,,4)='recap S1'!AF$3)*(OFFSET(ListeB,,1)='recap S1'!AF$2))&gt;0,SUMPRODUCT((ListeB='recap S1'!$B22)*(OFFSET(ListeB,,4)='recap S1'!AF$3)*(OFFSET(ListeB,,1)='recap S1'!AF$2)),"")</f>
        <v/>
      </c>
      <c r="AG22" s="32" t="str">
        <f ca="1">IF(SUMPRODUCT((ListeB='recap S1'!$B22)*(OFFSET(ListeB,,4)='recap S1'!AG$3)*(OFFSET(ListeB,,1)='recap S1'!AG$2))&gt;0,SUMPRODUCT((ListeB='recap S1'!$B22)*(OFFSET(ListeB,,4)='recap S1'!AG$3)*(OFFSET(ListeB,,1)='recap S1'!AG$2)),"")</f>
        <v/>
      </c>
      <c r="AH22" s="32" t="str">
        <f ca="1">IF(SUMPRODUCT((ListeB='recap S1'!$B22)*(OFFSET(ListeB,,4)='recap S1'!AH$3)*(OFFSET(ListeB,,1)='recap S1'!AH$2))&gt;0,SUMPRODUCT((ListeB='recap S1'!$B22)*(OFFSET(ListeB,,4)='recap S1'!AH$3)*(OFFSET(ListeB,,1)='recap S1'!AH$2)),"")</f>
        <v/>
      </c>
      <c r="AI22" s="32" t="str">
        <f ca="1">IF(SUMPRODUCT((ListeB='recap S1'!$B22)*(OFFSET(ListeB,,4)='recap S1'!AI$3)*(OFFSET(ListeB,,1)='recap S1'!AI$2))&gt;0,SUMPRODUCT((ListeB='recap S1'!$B22)*(OFFSET(ListeB,,4)='recap S1'!AI$3)*(OFFSET(ListeB,,1)='recap S1'!AI$2)),"")</f>
        <v/>
      </c>
      <c r="AJ22" s="32" t="str">
        <f ca="1">IF(SUMPRODUCT((ListeB='recap S1'!$B22)*(OFFSET(ListeB,,4)='recap S1'!AJ$3)*(OFFSET(ListeB,,1)='recap S1'!AJ$2))&gt;0,SUMPRODUCT((ListeB='recap S1'!$B22)*(OFFSET(ListeB,,4)='recap S1'!AJ$3)*(OFFSET(ListeB,,1)='recap S1'!AJ$2)),"")</f>
        <v/>
      </c>
      <c r="AK22" s="32" t="str">
        <f ca="1">IF(SUMPRODUCT((ListeB='recap S1'!$B22)*(OFFSET(ListeB,,4)='recap S1'!AK$3)*(OFFSET(ListeB,,1)='recap S1'!AK$2))&gt;0,SUMPRODUCT((ListeB='recap S1'!$B22)*(OFFSET(ListeB,,4)='recap S1'!AK$3)*(OFFSET(ListeB,,1)='recap S1'!AK$2)),"")</f>
        <v/>
      </c>
      <c r="AL22" s="32" t="str">
        <f ca="1">IF(SUMPRODUCT((ListeB='recap S1'!$B22)*(OFFSET(ListeB,,4)='recap S1'!AL$3)*(OFFSET(ListeB,,1)='recap S1'!AL$2))&gt;0,SUMPRODUCT((ListeB='recap S1'!$B22)*(OFFSET(ListeB,,4)='recap S1'!AL$3)*(OFFSET(ListeB,,1)='recap S1'!AL$2)),"")</f>
        <v/>
      </c>
      <c r="AM22" s="32" t="str">
        <f ca="1">IF(SUMPRODUCT((ListeB='recap S1'!$B22)*(OFFSET(ListeB,,4)='recap S1'!AM$3)*(OFFSET(ListeB,,1)='recap S1'!AM$2))&gt;0,SUMPRODUCT((ListeB='recap S1'!$B22)*(OFFSET(ListeB,,4)='recap S1'!AM$3)*(OFFSET(ListeB,,1)='recap S1'!AM$2)),"")</f>
        <v/>
      </c>
      <c r="AN22" s="32" t="str">
        <f ca="1">IF(SUMPRODUCT((ListeB='recap S1'!$B22)*(OFFSET(ListeB,,4)='recap S1'!AN$3)*(OFFSET(ListeB,,1)='recap S1'!AN$2))&gt;0,SUMPRODUCT((ListeB='recap S1'!$B22)*(OFFSET(ListeB,,4)='recap S1'!AN$3)*(OFFSET(ListeB,,1)='recap S1'!AN$2)),"")</f>
        <v/>
      </c>
      <c r="AO22" s="32" t="str">
        <f ca="1">IF(SUMPRODUCT((ListeB='recap S1'!$B22)*(OFFSET(ListeB,,4)='recap S1'!AO$3)*(OFFSET(ListeB,,1)='recap S1'!AO$2))&gt;0,SUMPRODUCT((ListeB='recap S1'!$B22)*(OFFSET(ListeB,,4)='recap S1'!AO$3)*(OFFSET(ListeB,,1)='recap S1'!AO$2)),"")</f>
        <v/>
      </c>
      <c r="AP22" s="32" t="str">
        <f ca="1">IF(SUMPRODUCT((ListeB='recap S1'!$B22)*(OFFSET(ListeB,,4)='recap S1'!AP$3)*(OFFSET(ListeB,,1)='recap S1'!AP$2))&gt;0,SUMPRODUCT((ListeB='recap S1'!$B22)*(OFFSET(ListeB,,4)='recap S1'!AP$3)*(OFFSET(ListeB,,1)='recap S1'!AP$2)),"")</f>
        <v/>
      </c>
      <c r="AQ22" s="32" t="str">
        <f ca="1">IF(SUMPRODUCT((ListeB='recap S1'!$B22)*(OFFSET(ListeB,,4)='recap S1'!AQ$3)*(OFFSET(ListeB,,1)='recap S1'!AQ$2))&gt;0,SUMPRODUCT((ListeB='recap S1'!$B22)*(OFFSET(ListeB,,4)='recap S1'!AQ$3)*(OFFSET(ListeB,,1)='recap S1'!AQ$2)),"")</f>
        <v/>
      </c>
      <c r="AR22" s="32" t="str">
        <f ca="1">IF(SUMPRODUCT((ListeB='recap S1'!$B22)*(OFFSET(ListeB,,4)='recap S1'!AR$3)*(OFFSET(ListeB,,1)='recap S1'!AR$2))&gt;0,SUMPRODUCT((ListeB='recap S1'!$B22)*(OFFSET(ListeB,,4)='recap S1'!AR$3)*(OFFSET(ListeB,,1)='recap S1'!AR$2)),"")</f>
        <v/>
      </c>
      <c r="AS22" s="32" t="str">
        <f ca="1">IF(SUMPRODUCT((ListeB='recap S1'!$B22)*(OFFSET(ListeB,,4)='recap S1'!AS$3)*(OFFSET(ListeB,,1)='recap S1'!AS$2))&gt;0,SUMPRODUCT((ListeB='recap S1'!$B22)*(OFFSET(ListeB,,4)='recap S1'!AS$3)*(OFFSET(ListeB,,1)='recap S1'!AS$2)),"")</f>
        <v/>
      </c>
      <c r="AT22" s="32" t="str">
        <f ca="1">IF(SUMPRODUCT((ListeB='recap S1'!$B22)*(OFFSET(ListeB,,4)='recap S1'!AT$3)*(OFFSET(ListeB,,1)='recap S1'!AT$2))&gt;0,SUMPRODUCT((ListeB='recap S1'!$B22)*(OFFSET(ListeB,,4)='recap S1'!AT$3)*(OFFSET(ListeB,,1)='recap S1'!AT$2)),"")</f>
        <v/>
      </c>
      <c r="AU22" s="32" t="str">
        <f ca="1">IF(SUMPRODUCT((ListeB='recap S1'!$B22)*(OFFSET(ListeB,,4)='recap S1'!AU$3)*(OFFSET(ListeB,,1)='recap S1'!AU$2))&gt;0,SUMPRODUCT((ListeB='recap S1'!$B22)*(OFFSET(ListeB,,4)='recap S1'!AU$3)*(OFFSET(ListeB,,1)='recap S1'!AU$2)),"")</f>
        <v/>
      </c>
      <c r="AV22" s="32" t="str">
        <f ca="1">IF(SUMPRODUCT((ListeB='recap S1'!$B22)*(OFFSET(ListeB,,4)='recap S1'!AV$3)*(OFFSET(ListeB,,1)='recap S1'!AV$2))&gt;0,SUMPRODUCT((ListeB='recap S1'!$B22)*(OFFSET(ListeB,,4)='recap S1'!AV$3)*(OFFSET(ListeB,,1)='recap S1'!AV$2)),"")</f>
        <v/>
      </c>
      <c r="AW22" s="32" t="str">
        <f ca="1">IF(SUMPRODUCT((ListeB='recap S1'!$B22)*(OFFSET(ListeB,,4)='recap S1'!AW$3)*(OFFSET(ListeB,,1)='recap S1'!AW$2))&gt;0,SUMPRODUCT((ListeB='recap S1'!$B22)*(OFFSET(ListeB,,4)='recap S1'!AW$3)*(OFFSET(ListeB,,1)='recap S1'!AW$2)),"")</f>
        <v/>
      </c>
      <c r="AX22" s="32" t="str">
        <f ca="1">IF(SUMPRODUCT((ListeB='recap S1'!$B22)*(OFFSET(ListeB,,4)='recap S1'!AX$3)*(OFFSET(ListeB,,1)='recap S1'!AX$2))&gt;0,SUMPRODUCT((ListeB='recap S1'!$B22)*(OFFSET(ListeB,,4)='recap S1'!AX$3)*(OFFSET(ListeB,,1)='recap S1'!AX$2)),"")</f>
        <v/>
      </c>
      <c r="AY22" s="32" t="str">
        <f ca="1">IF(SUMPRODUCT((ListeB='recap S1'!$B22)*(OFFSET(ListeB,,4)='recap S1'!AY$3)*(OFFSET(ListeB,,1)='recap S1'!AY$2))&gt;0,SUMPRODUCT((ListeB='recap S1'!$B22)*(OFFSET(ListeB,,4)='recap S1'!AY$3)*(OFFSET(ListeB,,1)='recap S1'!AY$2)),"")</f>
        <v/>
      </c>
      <c r="AZ22" s="32">
        <f t="shared" ca="1" si="0"/>
        <v>0</v>
      </c>
    </row>
    <row r="23" spans="1:52">
      <c r="A23" s="41" t="str">
        <f>IF('SEANCE 1'!$B21&lt;&gt;"",'SEANCE 1'!$A21,"")</f>
        <v/>
      </c>
      <c r="B23" s="41" t="str">
        <f t="array" aca="1" ref="B23" ca="1">IF(ISNA(INDEX(ListeB,MATCH(0,COUNTIF($B$3:B22,ListeB),0))),"",INDEX(ListeB,MATCH(0,COUNTIF($B$3:B22,ListeB),0)))</f>
        <v/>
      </c>
      <c r="C23" s="32" t="str">
        <f ca="1">IF(SUMPRODUCT((ListeB='recap S1'!$B23)*(OFFSET(ListeB,,4)='recap S1'!C$3)*(OFFSET(ListeB,,1)='recap S1'!C$2))&gt;0,SUMPRODUCT((ListeB='recap S1'!$B23)*(OFFSET(ListeB,,4)='recap S1'!C$3)*(OFFSET(ListeB,,1)='recap S1'!C$2)),"")</f>
        <v/>
      </c>
      <c r="D23" s="32" t="str">
        <f ca="1">IF(SUMPRODUCT((ListeB='recap S1'!$B23)*(OFFSET(ListeB,,4)='recap S1'!D$3)*(OFFSET(ListeB,,1)='recap S1'!D$2))&gt;0,SUMPRODUCT((ListeB='recap S1'!$B23)*(OFFSET(ListeB,,4)='recap S1'!D$3)*(OFFSET(ListeB,,1)='recap S1'!D$2)),"")</f>
        <v/>
      </c>
      <c r="E23" s="32" t="str">
        <f ca="1">IF(SUMPRODUCT((ListeB='recap S1'!$B23)*(OFFSET(ListeB,,4)='recap S1'!E$3)*(OFFSET(ListeB,,1)='recap S1'!E$2))&gt;0,SUMPRODUCT((ListeB='recap S1'!$B23)*(OFFSET(ListeB,,4)='recap S1'!E$3)*(OFFSET(ListeB,,1)='recap S1'!E$2)),"")</f>
        <v/>
      </c>
      <c r="F23" s="32" t="str">
        <f ca="1">IF(SUMPRODUCT((ListeB='recap S1'!$B23)*(OFFSET(ListeB,,4)='recap S1'!F$3)*(OFFSET(ListeB,,1)='recap S1'!F$2))&gt;0,SUMPRODUCT((ListeB='recap S1'!$B23)*(OFFSET(ListeB,,4)='recap S1'!F$3)*(OFFSET(ListeB,,1)='recap S1'!F$2)),"")</f>
        <v/>
      </c>
      <c r="G23" s="32" t="str">
        <f ca="1">IF(SUMPRODUCT((ListeB='recap S1'!$B23)*(OFFSET(ListeB,,4)='recap S1'!G$3)*(OFFSET(ListeB,,1)='recap S1'!G$2))&gt;0,SUMPRODUCT((ListeB='recap S1'!$B23)*(OFFSET(ListeB,,4)='recap S1'!G$3)*(OFFSET(ListeB,,1)='recap S1'!G$2)),"")</f>
        <v/>
      </c>
      <c r="H23" s="32" t="str">
        <f ca="1">IF(SUMPRODUCT((ListeB='recap S1'!$B23)*(OFFSET(ListeB,,4)='recap S1'!H$3)*(OFFSET(ListeB,,1)='recap S1'!H$2))&gt;0,SUMPRODUCT((ListeB='recap S1'!$B23)*(OFFSET(ListeB,,4)='recap S1'!H$3)*(OFFSET(ListeB,,1)='recap S1'!H$2)),"")</f>
        <v/>
      </c>
      <c r="I23" s="32" t="str">
        <f ca="1">IF(SUMPRODUCT((ListeB='recap S1'!$B23)*(OFFSET(ListeB,,4)='recap S1'!I$3)*(OFFSET(ListeB,,1)='recap S1'!I$2))&gt;0,SUMPRODUCT((ListeB='recap S1'!$B23)*(OFFSET(ListeB,,4)='recap S1'!I$3)*(OFFSET(ListeB,,1)='recap S1'!I$2)),"")</f>
        <v/>
      </c>
      <c r="J23" s="32" t="str">
        <f ca="1">IF(SUMPRODUCT((ListeB='recap S1'!$B23)*(OFFSET(ListeB,,4)='recap S1'!J$3)*(OFFSET(ListeB,,1)='recap S1'!J$2))&gt;0,SUMPRODUCT((ListeB='recap S1'!$B23)*(OFFSET(ListeB,,4)='recap S1'!J$3)*(OFFSET(ListeB,,1)='recap S1'!J$2)),"")</f>
        <v/>
      </c>
      <c r="K23" s="32" t="str">
        <f ca="1">IF(SUMPRODUCT((ListeB='recap S1'!$B23)*(OFFSET(ListeB,,4)='recap S1'!K$3)*(OFFSET(ListeB,,1)='recap S1'!K$2))&gt;0,SUMPRODUCT((ListeB='recap S1'!$B23)*(OFFSET(ListeB,,4)='recap S1'!K$3)*(OFFSET(ListeB,,1)='recap S1'!K$2)),"")</f>
        <v/>
      </c>
      <c r="L23" s="32" t="str">
        <f ca="1">IF(SUMPRODUCT((ListeB='recap S1'!$B23)*(OFFSET(ListeB,,4)='recap S1'!L$3)*(OFFSET(ListeB,,1)='recap S1'!L$2))&gt;0,SUMPRODUCT((ListeB='recap S1'!$B23)*(OFFSET(ListeB,,4)='recap S1'!L$3)*(OFFSET(ListeB,,1)='recap S1'!L$2)),"")</f>
        <v/>
      </c>
      <c r="M23" s="32" t="str">
        <f ca="1">IF(SUMPRODUCT((ListeB='recap S1'!$B23)*(OFFSET(ListeB,,4)='recap S1'!M$3)*(OFFSET(ListeB,,1)='recap S1'!M$2))&gt;0,SUMPRODUCT((ListeB='recap S1'!$B23)*(OFFSET(ListeB,,4)='recap S1'!M$3)*(OFFSET(ListeB,,1)='recap S1'!M$2)),"")</f>
        <v/>
      </c>
      <c r="N23" s="32" t="str">
        <f ca="1">IF(SUMPRODUCT((ListeB='recap S1'!$B23)*(OFFSET(ListeB,,4)='recap S1'!N$3)*(OFFSET(ListeB,,1)='recap S1'!N$2))&gt;0,SUMPRODUCT((ListeB='recap S1'!$B23)*(OFFSET(ListeB,,4)='recap S1'!N$3)*(OFFSET(ListeB,,1)='recap S1'!N$2)),"")</f>
        <v/>
      </c>
      <c r="O23" s="32" t="str">
        <f ca="1">IF(SUMPRODUCT((ListeB='recap S1'!$B23)*(OFFSET(ListeB,,4)='recap S1'!O$3)*(OFFSET(ListeB,,1)='recap S1'!O$2))&gt;0,SUMPRODUCT((ListeB='recap S1'!$B23)*(OFFSET(ListeB,,4)='recap S1'!O$3)*(OFFSET(ListeB,,1)='recap S1'!O$2)),"")</f>
        <v/>
      </c>
      <c r="P23" s="32" t="str">
        <f ca="1">IF(SUMPRODUCT((ListeB='recap S1'!$B23)*(OFFSET(ListeB,,4)='recap S1'!P$3)*(OFFSET(ListeB,,1)='recap S1'!P$2))&gt;0,SUMPRODUCT((ListeB='recap S1'!$B23)*(OFFSET(ListeB,,4)='recap S1'!P$3)*(OFFSET(ListeB,,1)='recap S1'!P$2)),"")</f>
        <v/>
      </c>
      <c r="Q23" s="32" t="str">
        <f ca="1">IF(SUMPRODUCT((ListeB='recap S1'!$B23)*(OFFSET(ListeB,,4)='recap S1'!Q$3)*(OFFSET(ListeB,,1)='recap S1'!Q$2))&gt;0,SUMPRODUCT((ListeB='recap S1'!$B23)*(OFFSET(ListeB,,4)='recap S1'!Q$3)*(OFFSET(ListeB,,1)='recap S1'!Q$2)),"")</f>
        <v/>
      </c>
      <c r="R23" s="32" t="str">
        <f ca="1">IF(SUMPRODUCT((ListeB='recap S1'!$B23)*(OFFSET(ListeB,,4)='recap S1'!R$3)*(OFFSET(ListeB,,1)='recap S1'!R$2))&gt;0,SUMPRODUCT((ListeB='recap S1'!$B23)*(OFFSET(ListeB,,4)='recap S1'!R$3)*(OFFSET(ListeB,,1)='recap S1'!R$2)),"")</f>
        <v/>
      </c>
      <c r="S23" s="32" t="str">
        <f ca="1">IF(SUMPRODUCT((ListeB='recap S1'!$B23)*(OFFSET(ListeB,,4)='recap S1'!S$3)*(OFFSET(ListeB,,1)='recap S1'!S$2))&gt;0,SUMPRODUCT((ListeB='recap S1'!$B23)*(OFFSET(ListeB,,4)='recap S1'!S$3)*(OFFSET(ListeB,,1)='recap S1'!S$2)),"")</f>
        <v/>
      </c>
      <c r="T23" s="32" t="str">
        <f ca="1">IF(SUMPRODUCT((ListeB='recap S1'!$B23)*(OFFSET(ListeB,,4)='recap S1'!T$3)*(OFFSET(ListeB,,1)='recap S1'!T$2))&gt;0,SUMPRODUCT((ListeB='recap S1'!$B23)*(OFFSET(ListeB,,4)='recap S1'!T$3)*(OFFSET(ListeB,,1)='recap S1'!T$2)),"")</f>
        <v/>
      </c>
      <c r="U23" s="32" t="str">
        <f ca="1">IF(SUMPRODUCT((ListeB='recap S1'!$B23)*(OFFSET(ListeB,,4)='recap S1'!U$3)*(OFFSET(ListeB,,1)='recap S1'!U$2))&gt;0,SUMPRODUCT((ListeB='recap S1'!$B23)*(OFFSET(ListeB,,4)='recap S1'!U$3)*(OFFSET(ListeB,,1)='recap S1'!U$2)),"")</f>
        <v/>
      </c>
      <c r="V23" s="32" t="str">
        <f ca="1">IF(SUMPRODUCT((ListeB='recap S1'!$B23)*(OFFSET(ListeB,,4)='recap S1'!V$3)*(OFFSET(ListeB,,1)='recap S1'!V$2))&gt;0,SUMPRODUCT((ListeB='recap S1'!$B23)*(OFFSET(ListeB,,4)='recap S1'!V$3)*(OFFSET(ListeB,,1)='recap S1'!V$2)),"")</f>
        <v/>
      </c>
      <c r="W23" s="32" t="str">
        <f ca="1">IF(SUMPRODUCT((ListeB='recap S1'!$B23)*(OFFSET(ListeB,,4)='recap S1'!W$3)*(OFFSET(ListeB,,1)='recap S1'!W$2))&gt;0,SUMPRODUCT((ListeB='recap S1'!$B23)*(OFFSET(ListeB,,4)='recap S1'!W$3)*(OFFSET(ListeB,,1)='recap S1'!W$2)),"")</f>
        <v/>
      </c>
      <c r="X23" s="32" t="str">
        <f ca="1">IF(SUMPRODUCT((ListeB='recap S1'!$B23)*(OFFSET(ListeB,,4)='recap S1'!X$3)*(OFFSET(ListeB,,1)='recap S1'!X$2))&gt;0,SUMPRODUCT((ListeB='recap S1'!$B23)*(OFFSET(ListeB,,4)='recap S1'!X$3)*(OFFSET(ListeB,,1)='recap S1'!X$2)),"")</f>
        <v/>
      </c>
      <c r="Y23" s="32" t="str">
        <f ca="1">IF(SUMPRODUCT((ListeB='recap S1'!$B23)*(OFFSET(ListeB,,4)='recap S1'!Y$3)*(OFFSET(ListeB,,1)='recap S1'!Y$2))&gt;0,SUMPRODUCT((ListeB='recap S1'!$B23)*(OFFSET(ListeB,,4)='recap S1'!Y$3)*(OFFSET(ListeB,,1)='recap S1'!Y$2)),"")</f>
        <v/>
      </c>
      <c r="Z23" s="32" t="str">
        <f ca="1">IF(SUMPRODUCT((ListeB='recap S1'!$B23)*(OFFSET(ListeB,,4)='recap S1'!Z$3)*(OFFSET(ListeB,,1)='recap S1'!Z$2))&gt;0,SUMPRODUCT((ListeB='recap S1'!$B23)*(OFFSET(ListeB,,4)='recap S1'!Z$3)*(OFFSET(ListeB,,1)='recap S1'!Z$2)),"")</f>
        <v/>
      </c>
      <c r="AA23" s="32" t="str">
        <f ca="1">IF(SUMPRODUCT((ListeB='recap S1'!$B23)*(OFFSET(ListeB,,4)='recap S1'!AA$3)*(OFFSET(ListeB,,1)='recap S1'!AA$2))&gt;0,SUMPRODUCT((ListeB='recap S1'!$B23)*(OFFSET(ListeB,,4)='recap S1'!AA$3)*(OFFSET(ListeB,,1)='recap S1'!AA$2)),"")</f>
        <v/>
      </c>
      <c r="AB23" s="32" t="str">
        <f ca="1">IF(SUMPRODUCT((ListeB='recap S1'!$B23)*(OFFSET(ListeB,,4)='recap S1'!AB$3)*(OFFSET(ListeB,,1)='recap S1'!AB$2))&gt;0,SUMPRODUCT((ListeB='recap S1'!$B23)*(OFFSET(ListeB,,4)='recap S1'!AB$3)*(OFFSET(ListeB,,1)='recap S1'!AB$2)),"")</f>
        <v/>
      </c>
      <c r="AC23" s="32" t="str">
        <f ca="1">IF(SUMPRODUCT((ListeB='recap S1'!$B23)*(OFFSET(ListeB,,4)='recap S1'!AC$3)*(OFFSET(ListeB,,1)='recap S1'!AC$2))&gt;0,SUMPRODUCT((ListeB='recap S1'!$B23)*(OFFSET(ListeB,,4)='recap S1'!AC$3)*(OFFSET(ListeB,,1)='recap S1'!AC$2)),"")</f>
        <v/>
      </c>
      <c r="AD23" s="32" t="str">
        <f ca="1">IF(SUMPRODUCT((ListeB='recap S1'!$B23)*(OFFSET(ListeB,,4)='recap S1'!AD$3)*(OFFSET(ListeB,,1)='recap S1'!AD$2))&gt;0,SUMPRODUCT((ListeB='recap S1'!$B23)*(OFFSET(ListeB,,4)='recap S1'!AD$3)*(OFFSET(ListeB,,1)='recap S1'!AD$2)),"")</f>
        <v/>
      </c>
      <c r="AE23" s="32" t="str">
        <f ca="1">IF(SUMPRODUCT((ListeB='recap S1'!$B23)*(OFFSET(ListeB,,4)='recap S1'!AE$3)*(OFFSET(ListeB,,1)='recap S1'!AE$2))&gt;0,SUMPRODUCT((ListeB='recap S1'!$B23)*(OFFSET(ListeB,,4)='recap S1'!AE$3)*(OFFSET(ListeB,,1)='recap S1'!AE$2)),"")</f>
        <v/>
      </c>
      <c r="AF23" s="32" t="str">
        <f ca="1">IF(SUMPRODUCT((ListeB='recap S1'!$B23)*(OFFSET(ListeB,,4)='recap S1'!AF$3)*(OFFSET(ListeB,,1)='recap S1'!AF$2))&gt;0,SUMPRODUCT((ListeB='recap S1'!$B23)*(OFFSET(ListeB,,4)='recap S1'!AF$3)*(OFFSET(ListeB,,1)='recap S1'!AF$2)),"")</f>
        <v/>
      </c>
      <c r="AG23" s="32" t="str">
        <f ca="1">IF(SUMPRODUCT((ListeB='recap S1'!$B23)*(OFFSET(ListeB,,4)='recap S1'!AG$3)*(OFFSET(ListeB,,1)='recap S1'!AG$2))&gt;0,SUMPRODUCT((ListeB='recap S1'!$B23)*(OFFSET(ListeB,,4)='recap S1'!AG$3)*(OFFSET(ListeB,,1)='recap S1'!AG$2)),"")</f>
        <v/>
      </c>
      <c r="AH23" s="32" t="str">
        <f ca="1">IF(SUMPRODUCT((ListeB='recap S1'!$B23)*(OFFSET(ListeB,,4)='recap S1'!AH$3)*(OFFSET(ListeB,,1)='recap S1'!AH$2))&gt;0,SUMPRODUCT((ListeB='recap S1'!$B23)*(OFFSET(ListeB,,4)='recap S1'!AH$3)*(OFFSET(ListeB,,1)='recap S1'!AH$2)),"")</f>
        <v/>
      </c>
      <c r="AI23" s="32" t="str">
        <f ca="1">IF(SUMPRODUCT((ListeB='recap S1'!$B23)*(OFFSET(ListeB,,4)='recap S1'!AI$3)*(OFFSET(ListeB,,1)='recap S1'!AI$2))&gt;0,SUMPRODUCT((ListeB='recap S1'!$B23)*(OFFSET(ListeB,,4)='recap S1'!AI$3)*(OFFSET(ListeB,,1)='recap S1'!AI$2)),"")</f>
        <v/>
      </c>
      <c r="AJ23" s="32" t="str">
        <f ca="1">IF(SUMPRODUCT((ListeB='recap S1'!$B23)*(OFFSET(ListeB,,4)='recap S1'!AJ$3)*(OFFSET(ListeB,,1)='recap S1'!AJ$2))&gt;0,SUMPRODUCT((ListeB='recap S1'!$B23)*(OFFSET(ListeB,,4)='recap S1'!AJ$3)*(OFFSET(ListeB,,1)='recap S1'!AJ$2)),"")</f>
        <v/>
      </c>
      <c r="AK23" s="32" t="str">
        <f ca="1">IF(SUMPRODUCT((ListeB='recap S1'!$B23)*(OFFSET(ListeB,,4)='recap S1'!AK$3)*(OFFSET(ListeB,,1)='recap S1'!AK$2))&gt;0,SUMPRODUCT((ListeB='recap S1'!$B23)*(OFFSET(ListeB,,4)='recap S1'!AK$3)*(OFFSET(ListeB,,1)='recap S1'!AK$2)),"")</f>
        <v/>
      </c>
      <c r="AL23" s="32" t="str">
        <f ca="1">IF(SUMPRODUCT((ListeB='recap S1'!$B23)*(OFFSET(ListeB,,4)='recap S1'!AL$3)*(OFFSET(ListeB,,1)='recap S1'!AL$2))&gt;0,SUMPRODUCT((ListeB='recap S1'!$B23)*(OFFSET(ListeB,,4)='recap S1'!AL$3)*(OFFSET(ListeB,,1)='recap S1'!AL$2)),"")</f>
        <v/>
      </c>
      <c r="AM23" s="32" t="str">
        <f ca="1">IF(SUMPRODUCT((ListeB='recap S1'!$B23)*(OFFSET(ListeB,,4)='recap S1'!AM$3)*(OFFSET(ListeB,,1)='recap S1'!AM$2))&gt;0,SUMPRODUCT((ListeB='recap S1'!$B23)*(OFFSET(ListeB,,4)='recap S1'!AM$3)*(OFFSET(ListeB,,1)='recap S1'!AM$2)),"")</f>
        <v/>
      </c>
      <c r="AN23" s="32" t="str">
        <f ca="1">IF(SUMPRODUCT((ListeB='recap S1'!$B23)*(OFFSET(ListeB,,4)='recap S1'!AN$3)*(OFFSET(ListeB,,1)='recap S1'!AN$2))&gt;0,SUMPRODUCT((ListeB='recap S1'!$B23)*(OFFSET(ListeB,,4)='recap S1'!AN$3)*(OFFSET(ListeB,,1)='recap S1'!AN$2)),"")</f>
        <v/>
      </c>
      <c r="AO23" s="32" t="str">
        <f ca="1">IF(SUMPRODUCT((ListeB='recap S1'!$B23)*(OFFSET(ListeB,,4)='recap S1'!AO$3)*(OFFSET(ListeB,,1)='recap S1'!AO$2))&gt;0,SUMPRODUCT((ListeB='recap S1'!$B23)*(OFFSET(ListeB,,4)='recap S1'!AO$3)*(OFFSET(ListeB,,1)='recap S1'!AO$2)),"")</f>
        <v/>
      </c>
      <c r="AP23" s="32" t="str">
        <f ca="1">IF(SUMPRODUCT((ListeB='recap S1'!$B23)*(OFFSET(ListeB,,4)='recap S1'!AP$3)*(OFFSET(ListeB,,1)='recap S1'!AP$2))&gt;0,SUMPRODUCT((ListeB='recap S1'!$B23)*(OFFSET(ListeB,,4)='recap S1'!AP$3)*(OFFSET(ListeB,,1)='recap S1'!AP$2)),"")</f>
        <v/>
      </c>
      <c r="AQ23" s="32" t="str">
        <f ca="1">IF(SUMPRODUCT((ListeB='recap S1'!$B23)*(OFFSET(ListeB,,4)='recap S1'!AQ$3)*(OFFSET(ListeB,,1)='recap S1'!AQ$2))&gt;0,SUMPRODUCT((ListeB='recap S1'!$B23)*(OFFSET(ListeB,,4)='recap S1'!AQ$3)*(OFFSET(ListeB,,1)='recap S1'!AQ$2)),"")</f>
        <v/>
      </c>
      <c r="AR23" s="32" t="str">
        <f ca="1">IF(SUMPRODUCT((ListeB='recap S1'!$B23)*(OFFSET(ListeB,,4)='recap S1'!AR$3)*(OFFSET(ListeB,,1)='recap S1'!AR$2))&gt;0,SUMPRODUCT((ListeB='recap S1'!$B23)*(OFFSET(ListeB,,4)='recap S1'!AR$3)*(OFFSET(ListeB,,1)='recap S1'!AR$2)),"")</f>
        <v/>
      </c>
      <c r="AS23" s="32" t="str">
        <f ca="1">IF(SUMPRODUCT((ListeB='recap S1'!$B23)*(OFFSET(ListeB,,4)='recap S1'!AS$3)*(OFFSET(ListeB,,1)='recap S1'!AS$2))&gt;0,SUMPRODUCT((ListeB='recap S1'!$B23)*(OFFSET(ListeB,,4)='recap S1'!AS$3)*(OFFSET(ListeB,,1)='recap S1'!AS$2)),"")</f>
        <v/>
      </c>
      <c r="AT23" s="32" t="str">
        <f ca="1">IF(SUMPRODUCT((ListeB='recap S1'!$B23)*(OFFSET(ListeB,,4)='recap S1'!AT$3)*(OFFSET(ListeB,,1)='recap S1'!AT$2))&gt;0,SUMPRODUCT((ListeB='recap S1'!$B23)*(OFFSET(ListeB,,4)='recap S1'!AT$3)*(OFFSET(ListeB,,1)='recap S1'!AT$2)),"")</f>
        <v/>
      </c>
      <c r="AU23" s="32" t="str">
        <f ca="1">IF(SUMPRODUCT((ListeB='recap S1'!$B23)*(OFFSET(ListeB,,4)='recap S1'!AU$3)*(OFFSET(ListeB,,1)='recap S1'!AU$2))&gt;0,SUMPRODUCT((ListeB='recap S1'!$B23)*(OFFSET(ListeB,,4)='recap S1'!AU$3)*(OFFSET(ListeB,,1)='recap S1'!AU$2)),"")</f>
        <v/>
      </c>
      <c r="AV23" s="32" t="str">
        <f ca="1">IF(SUMPRODUCT((ListeB='recap S1'!$B23)*(OFFSET(ListeB,,4)='recap S1'!AV$3)*(OFFSET(ListeB,,1)='recap S1'!AV$2))&gt;0,SUMPRODUCT((ListeB='recap S1'!$B23)*(OFFSET(ListeB,,4)='recap S1'!AV$3)*(OFFSET(ListeB,,1)='recap S1'!AV$2)),"")</f>
        <v/>
      </c>
      <c r="AW23" s="32" t="str">
        <f ca="1">IF(SUMPRODUCT((ListeB='recap S1'!$B23)*(OFFSET(ListeB,,4)='recap S1'!AW$3)*(OFFSET(ListeB,,1)='recap S1'!AW$2))&gt;0,SUMPRODUCT((ListeB='recap S1'!$B23)*(OFFSET(ListeB,,4)='recap S1'!AW$3)*(OFFSET(ListeB,,1)='recap S1'!AW$2)),"")</f>
        <v/>
      </c>
      <c r="AX23" s="32" t="str">
        <f ca="1">IF(SUMPRODUCT((ListeB='recap S1'!$B23)*(OFFSET(ListeB,,4)='recap S1'!AX$3)*(OFFSET(ListeB,,1)='recap S1'!AX$2))&gt;0,SUMPRODUCT((ListeB='recap S1'!$B23)*(OFFSET(ListeB,,4)='recap S1'!AX$3)*(OFFSET(ListeB,,1)='recap S1'!AX$2)),"")</f>
        <v/>
      </c>
      <c r="AY23" s="32" t="str">
        <f ca="1">IF(SUMPRODUCT((ListeB='recap S1'!$B23)*(OFFSET(ListeB,,4)='recap S1'!AY$3)*(OFFSET(ListeB,,1)='recap S1'!AY$2))&gt;0,SUMPRODUCT((ListeB='recap S1'!$B23)*(OFFSET(ListeB,,4)='recap S1'!AY$3)*(OFFSET(ListeB,,1)='recap S1'!AY$2)),"")</f>
        <v/>
      </c>
      <c r="AZ23" s="32">
        <f t="shared" ca="1" si="0"/>
        <v>0</v>
      </c>
    </row>
    <row r="24" spans="1:52">
      <c r="A24" s="41" t="str">
        <f>IF('SEANCE 1'!$B22&lt;&gt;"",'SEANCE 1'!$A22,"")</f>
        <v/>
      </c>
      <c r="B24" s="41" t="str">
        <f t="array" aca="1" ref="B24" ca="1">IF(ISNA(INDEX(ListeB,MATCH(0,COUNTIF($B$3:B23,ListeB),0))),"",INDEX(ListeB,MATCH(0,COUNTIF($B$3:B23,ListeB),0)))</f>
        <v/>
      </c>
      <c r="C24" s="32" t="str">
        <f ca="1">IF(SUMPRODUCT((ListeB='recap S1'!$B24)*(OFFSET(ListeB,,4)='recap S1'!C$3)*(OFFSET(ListeB,,1)='recap S1'!C$2))&gt;0,SUMPRODUCT((ListeB='recap S1'!$B24)*(OFFSET(ListeB,,4)='recap S1'!C$3)*(OFFSET(ListeB,,1)='recap S1'!C$2)),"")</f>
        <v/>
      </c>
      <c r="D24" s="32" t="str">
        <f ca="1">IF(SUMPRODUCT((ListeB='recap S1'!$B24)*(OFFSET(ListeB,,4)='recap S1'!D$3)*(OFFSET(ListeB,,1)='recap S1'!D$2))&gt;0,SUMPRODUCT((ListeB='recap S1'!$B24)*(OFFSET(ListeB,,4)='recap S1'!D$3)*(OFFSET(ListeB,,1)='recap S1'!D$2)),"")</f>
        <v/>
      </c>
      <c r="E24" s="32" t="str">
        <f ca="1">IF(SUMPRODUCT((ListeB='recap S1'!$B24)*(OFFSET(ListeB,,4)='recap S1'!E$3)*(OFFSET(ListeB,,1)='recap S1'!E$2))&gt;0,SUMPRODUCT((ListeB='recap S1'!$B24)*(OFFSET(ListeB,,4)='recap S1'!E$3)*(OFFSET(ListeB,,1)='recap S1'!E$2)),"")</f>
        <v/>
      </c>
      <c r="F24" s="32" t="str">
        <f ca="1">IF(SUMPRODUCT((ListeB='recap S1'!$B24)*(OFFSET(ListeB,,4)='recap S1'!F$3)*(OFFSET(ListeB,,1)='recap S1'!F$2))&gt;0,SUMPRODUCT((ListeB='recap S1'!$B24)*(OFFSET(ListeB,,4)='recap S1'!F$3)*(OFFSET(ListeB,,1)='recap S1'!F$2)),"")</f>
        <v/>
      </c>
      <c r="G24" s="32" t="str">
        <f ca="1">IF(SUMPRODUCT((ListeB='recap S1'!$B24)*(OFFSET(ListeB,,4)='recap S1'!G$3)*(OFFSET(ListeB,,1)='recap S1'!G$2))&gt;0,SUMPRODUCT((ListeB='recap S1'!$B24)*(OFFSET(ListeB,,4)='recap S1'!G$3)*(OFFSET(ListeB,,1)='recap S1'!G$2)),"")</f>
        <v/>
      </c>
      <c r="H24" s="32" t="str">
        <f ca="1">IF(SUMPRODUCT((ListeB='recap S1'!$B24)*(OFFSET(ListeB,,4)='recap S1'!H$3)*(OFFSET(ListeB,,1)='recap S1'!H$2))&gt;0,SUMPRODUCT((ListeB='recap S1'!$B24)*(OFFSET(ListeB,,4)='recap S1'!H$3)*(OFFSET(ListeB,,1)='recap S1'!H$2)),"")</f>
        <v/>
      </c>
      <c r="I24" s="32" t="str">
        <f ca="1">IF(SUMPRODUCT((ListeB='recap S1'!$B24)*(OFFSET(ListeB,,4)='recap S1'!I$3)*(OFFSET(ListeB,,1)='recap S1'!I$2))&gt;0,SUMPRODUCT((ListeB='recap S1'!$B24)*(OFFSET(ListeB,,4)='recap S1'!I$3)*(OFFSET(ListeB,,1)='recap S1'!I$2)),"")</f>
        <v/>
      </c>
      <c r="J24" s="32" t="str">
        <f ca="1">IF(SUMPRODUCT((ListeB='recap S1'!$B24)*(OFFSET(ListeB,,4)='recap S1'!J$3)*(OFFSET(ListeB,,1)='recap S1'!J$2))&gt;0,SUMPRODUCT((ListeB='recap S1'!$B24)*(OFFSET(ListeB,,4)='recap S1'!J$3)*(OFFSET(ListeB,,1)='recap S1'!J$2)),"")</f>
        <v/>
      </c>
      <c r="K24" s="32" t="str">
        <f ca="1">IF(SUMPRODUCT((ListeB='recap S1'!$B24)*(OFFSET(ListeB,,4)='recap S1'!K$3)*(OFFSET(ListeB,,1)='recap S1'!K$2))&gt;0,SUMPRODUCT((ListeB='recap S1'!$B24)*(OFFSET(ListeB,,4)='recap S1'!K$3)*(OFFSET(ListeB,,1)='recap S1'!K$2)),"")</f>
        <v/>
      </c>
      <c r="L24" s="32" t="str">
        <f ca="1">IF(SUMPRODUCT((ListeB='recap S1'!$B24)*(OFFSET(ListeB,,4)='recap S1'!L$3)*(OFFSET(ListeB,,1)='recap S1'!L$2))&gt;0,SUMPRODUCT((ListeB='recap S1'!$B24)*(OFFSET(ListeB,,4)='recap S1'!L$3)*(OFFSET(ListeB,,1)='recap S1'!L$2)),"")</f>
        <v/>
      </c>
      <c r="M24" s="32" t="str">
        <f ca="1">IF(SUMPRODUCT((ListeB='recap S1'!$B24)*(OFFSET(ListeB,,4)='recap S1'!M$3)*(OFFSET(ListeB,,1)='recap S1'!M$2))&gt;0,SUMPRODUCT((ListeB='recap S1'!$B24)*(OFFSET(ListeB,,4)='recap S1'!M$3)*(OFFSET(ListeB,,1)='recap S1'!M$2)),"")</f>
        <v/>
      </c>
      <c r="N24" s="32" t="str">
        <f ca="1">IF(SUMPRODUCT((ListeB='recap S1'!$B24)*(OFFSET(ListeB,,4)='recap S1'!N$3)*(OFFSET(ListeB,,1)='recap S1'!N$2))&gt;0,SUMPRODUCT((ListeB='recap S1'!$B24)*(OFFSET(ListeB,,4)='recap S1'!N$3)*(OFFSET(ListeB,,1)='recap S1'!N$2)),"")</f>
        <v/>
      </c>
      <c r="O24" s="32" t="str">
        <f ca="1">IF(SUMPRODUCT((ListeB='recap S1'!$B24)*(OFFSET(ListeB,,4)='recap S1'!O$3)*(OFFSET(ListeB,,1)='recap S1'!O$2))&gt;0,SUMPRODUCT((ListeB='recap S1'!$B24)*(OFFSET(ListeB,,4)='recap S1'!O$3)*(OFFSET(ListeB,,1)='recap S1'!O$2)),"")</f>
        <v/>
      </c>
      <c r="P24" s="32" t="str">
        <f ca="1">IF(SUMPRODUCT((ListeB='recap S1'!$B24)*(OFFSET(ListeB,,4)='recap S1'!P$3)*(OFFSET(ListeB,,1)='recap S1'!P$2))&gt;0,SUMPRODUCT((ListeB='recap S1'!$B24)*(OFFSET(ListeB,,4)='recap S1'!P$3)*(OFFSET(ListeB,,1)='recap S1'!P$2)),"")</f>
        <v/>
      </c>
      <c r="Q24" s="32" t="str">
        <f ca="1">IF(SUMPRODUCT((ListeB='recap S1'!$B24)*(OFFSET(ListeB,,4)='recap S1'!Q$3)*(OFFSET(ListeB,,1)='recap S1'!Q$2))&gt;0,SUMPRODUCT((ListeB='recap S1'!$B24)*(OFFSET(ListeB,,4)='recap S1'!Q$3)*(OFFSET(ListeB,,1)='recap S1'!Q$2)),"")</f>
        <v/>
      </c>
      <c r="R24" s="32" t="str">
        <f ca="1">IF(SUMPRODUCT((ListeB='recap S1'!$B24)*(OFFSET(ListeB,,4)='recap S1'!R$3)*(OFFSET(ListeB,,1)='recap S1'!R$2))&gt;0,SUMPRODUCT((ListeB='recap S1'!$B24)*(OFFSET(ListeB,,4)='recap S1'!R$3)*(OFFSET(ListeB,,1)='recap S1'!R$2)),"")</f>
        <v/>
      </c>
      <c r="S24" s="32" t="str">
        <f ca="1">IF(SUMPRODUCT((ListeB='recap S1'!$B24)*(OFFSET(ListeB,,4)='recap S1'!S$3)*(OFFSET(ListeB,,1)='recap S1'!S$2))&gt;0,SUMPRODUCT((ListeB='recap S1'!$B24)*(OFFSET(ListeB,,4)='recap S1'!S$3)*(OFFSET(ListeB,,1)='recap S1'!S$2)),"")</f>
        <v/>
      </c>
      <c r="T24" s="32" t="str">
        <f ca="1">IF(SUMPRODUCT((ListeB='recap S1'!$B24)*(OFFSET(ListeB,,4)='recap S1'!T$3)*(OFFSET(ListeB,,1)='recap S1'!T$2))&gt;0,SUMPRODUCT((ListeB='recap S1'!$B24)*(OFFSET(ListeB,,4)='recap S1'!T$3)*(OFFSET(ListeB,,1)='recap S1'!T$2)),"")</f>
        <v/>
      </c>
      <c r="U24" s="32" t="str">
        <f ca="1">IF(SUMPRODUCT((ListeB='recap S1'!$B24)*(OFFSET(ListeB,,4)='recap S1'!U$3)*(OFFSET(ListeB,,1)='recap S1'!U$2))&gt;0,SUMPRODUCT((ListeB='recap S1'!$B24)*(OFFSET(ListeB,,4)='recap S1'!U$3)*(OFFSET(ListeB,,1)='recap S1'!U$2)),"")</f>
        <v/>
      </c>
      <c r="V24" s="32" t="str">
        <f ca="1">IF(SUMPRODUCT((ListeB='recap S1'!$B24)*(OFFSET(ListeB,,4)='recap S1'!V$3)*(OFFSET(ListeB,,1)='recap S1'!V$2))&gt;0,SUMPRODUCT((ListeB='recap S1'!$B24)*(OFFSET(ListeB,,4)='recap S1'!V$3)*(OFFSET(ListeB,,1)='recap S1'!V$2)),"")</f>
        <v/>
      </c>
      <c r="W24" s="32" t="str">
        <f ca="1">IF(SUMPRODUCT((ListeB='recap S1'!$B24)*(OFFSET(ListeB,,4)='recap S1'!W$3)*(OFFSET(ListeB,,1)='recap S1'!W$2))&gt;0,SUMPRODUCT((ListeB='recap S1'!$B24)*(OFFSET(ListeB,,4)='recap S1'!W$3)*(OFFSET(ListeB,,1)='recap S1'!W$2)),"")</f>
        <v/>
      </c>
      <c r="X24" s="32" t="str">
        <f ca="1">IF(SUMPRODUCT((ListeB='recap S1'!$B24)*(OFFSET(ListeB,,4)='recap S1'!X$3)*(OFFSET(ListeB,,1)='recap S1'!X$2))&gt;0,SUMPRODUCT((ListeB='recap S1'!$B24)*(OFFSET(ListeB,,4)='recap S1'!X$3)*(OFFSET(ListeB,,1)='recap S1'!X$2)),"")</f>
        <v/>
      </c>
      <c r="Y24" s="32" t="str">
        <f ca="1">IF(SUMPRODUCT((ListeB='recap S1'!$B24)*(OFFSET(ListeB,,4)='recap S1'!Y$3)*(OFFSET(ListeB,,1)='recap S1'!Y$2))&gt;0,SUMPRODUCT((ListeB='recap S1'!$B24)*(OFFSET(ListeB,,4)='recap S1'!Y$3)*(OFFSET(ListeB,,1)='recap S1'!Y$2)),"")</f>
        <v/>
      </c>
      <c r="Z24" s="32" t="str">
        <f ca="1">IF(SUMPRODUCT((ListeB='recap S1'!$B24)*(OFFSET(ListeB,,4)='recap S1'!Z$3)*(OFFSET(ListeB,,1)='recap S1'!Z$2))&gt;0,SUMPRODUCT((ListeB='recap S1'!$B24)*(OFFSET(ListeB,,4)='recap S1'!Z$3)*(OFFSET(ListeB,,1)='recap S1'!Z$2)),"")</f>
        <v/>
      </c>
      <c r="AA24" s="32" t="str">
        <f ca="1">IF(SUMPRODUCT((ListeB='recap S1'!$B24)*(OFFSET(ListeB,,4)='recap S1'!AA$3)*(OFFSET(ListeB,,1)='recap S1'!AA$2))&gt;0,SUMPRODUCT((ListeB='recap S1'!$B24)*(OFFSET(ListeB,,4)='recap S1'!AA$3)*(OFFSET(ListeB,,1)='recap S1'!AA$2)),"")</f>
        <v/>
      </c>
      <c r="AB24" s="32" t="str">
        <f ca="1">IF(SUMPRODUCT((ListeB='recap S1'!$B24)*(OFFSET(ListeB,,4)='recap S1'!AB$3)*(OFFSET(ListeB,,1)='recap S1'!AB$2))&gt;0,SUMPRODUCT((ListeB='recap S1'!$B24)*(OFFSET(ListeB,,4)='recap S1'!AB$3)*(OFFSET(ListeB,,1)='recap S1'!AB$2)),"")</f>
        <v/>
      </c>
      <c r="AC24" s="32" t="str">
        <f ca="1">IF(SUMPRODUCT((ListeB='recap S1'!$B24)*(OFFSET(ListeB,,4)='recap S1'!AC$3)*(OFFSET(ListeB,,1)='recap S1'!AC$2))&gt;0,SUMPRODUCT((ListeB='recap S1'!$B24)*(OFFSET(ListeB,,4)='recap S1'!AC$3)*(OFFSET(ListeB,,1)='recap S1'!AC$2)),"")</f>
        <v/>
      </c>
      <c r="AD24" s="32" t="str">
        <f ca="1">IF(SUMPRODUCT((ListeB='recap S1'!$B24)*(OFFSET(ListeB,,4)='recap S1'!AD$3)*(OFFSET(ListeB,,1)='recap S1'!AD$2))&gt;0,SUMPRODUCT((ListeB='recap S1'!$B24)*(OFFSET(ListeB,,4)='recap S1'!AD$3)*(OFFSET(ListeB,,1)='recap S1'!AD$2)),"")</f>
        <v/>
      </c>
      <c r="AE24" s="32" t="str">
        <f ca="1">IF(SUMPRODUCT((ListeB='recap S1'!$B24)*(OFFSET(ListeB,,4)='recap S1'!AE$3)*(OFFSET(ListeB,,1)='recap S1'!AE$2))&gt;0,SUMPRODUCT((ListeB='recap S1'!$B24)*(OFFSET(ListeB,,4)='recap S1'!AE$3)*(OFFSET(ListeB,,1)='recap S1'!AE$2)),"")</f>
        <v/>
      </c>
      <c r="AF24" s="32" t="str">
        <f ca="1">IF(SUMPRODUCT((ListeB='recap S1'!$B24)*(OFFSET(ListeB,,4)='recap S1'!AF$3)*(OFFSET(ListeB,,1)='recap S1'!AF$2))&gt;0,SUMPRODUCT((ListeB='recap S1'!$B24)*(OFFSET(ListeB,,4)='recap S1'!AF$3)*(OFFSET(ListeB,,1)='recap S1'!AF$2)),"")</f>
        <v/>
      </c>
      <c r="AG24" s="32" t="str">
        <f ca="1">IF(SUMPRODUCT((ListeB='recap S1'!$B24)*(OFFSET(ListeB,,4)='recap S1'!AG$3)*(OFFSET(ListeB,,1)='recap S1'!AG$2))&gt;0,SUMPRODUCT((ListeB='recap S1'!$B24)*(OFFSET(ListeB,,4)='recap S1'!AG$3)*(OFFSET(ListeB,,1)='recap S1'!AG$2)),"")</f>
        <v/>
      </c>
      <c r="AH24" s="32" t="str">
        <f ca="1">IF(SUMPRODUCT((ListeB='recap S1'!$B24)*(OFFSET(ListeB,,4)='recap S1'!AH$3)*(OFFSET(ListeB,,1)='recap S1'!AH$2))&gt;0,SUMPRODUCT((ListeB='recap S1'!$B24)*(OFFSET(ListeB,,4)='recap S1'!AH$3)*(OFFSET(ListeB,,1)='recap S1'!AH$2)),"")</f>
        <v/>
      </c>
      <c r="AI24" s="32" t="str">
        <f ca="1">IF(SUMPRODUCT((ListeB='recap S1'!$B24)*(OFFSET(ListeB,,4)='recap S1'!AI$3)*(OFFSET(ListeB,,1)='recap S1'!AI$2))&gt;0,SUMPRODUCT((ListeB='recap S1'!$B24)*(OFFSET(ListeB,,4)='recap S1'!AI$3)*(OFFSET(ListeB,,1)='recap S1'!AI$2)),"")</f>
        <v/>
      </c>
      <c r="AJ24" s="32" t="str">
        <f ca="1">IF(SUMPRODUCT((ListeB='recap S1'!$B24)*(OFFSET(ListeB,,4)='recap S1'!AJ$3)*(OFFSET(ListeB,,1)='recap S1'!AJ$2))&gt;0,SUMPRODUCT((ListeB='recap S1'!$B24)*(OFFSET(ListeB,,4)='recap S1'!AJ$3)*(OFFSET(ListeB,,1)='recap S1'!AJ$2)),"")</f>
        <v/>
      </c>
      <c r="AK24" s="32" t="str">
        <f ca="1">IF(SUMPRODUCT((ListeB='recap S1'!$B24)*(OFFSET(ListeB,,4)='recap S1'!AK$3)*(OFFSET(ListeB,,1)='recap S1'!AK$2))&gt;0,SUMPRODUCT((ListeB='recap S1'!$B24)*(OFFSET(ListeB,,4)='recap S1'!AK$3)*(OFFSET(ListeB,,1)='recap S1'!AK$2)),"")</f>
        <v/>
      </c>
      <c r="AL24" s="32" t="str">
        <f ca="1">IF(SUMPRODUCT((ListeB='recap S1'!$B24)*(OFFSET(ListeB,,4)='recap S1'!AL$3)*(OFFSET(ListeB,,1)='recap S1'!AL$2))&gt;0,SUMPRODUCT((ListeB='recap S1'!$B24)*(OFFSET(ListeB,,4)='recap S1'!AL$3)*(OFFSET(ListeB,,1)='recap S1'!AL$2)),"")</f>
        <v/>
      </c>
      <c r="AM24" s="32" t="str">
        <f ca="1">IF(SUMPRODUCT((ListeB='recap S1'!$B24)*(OFFSET(ListeB,,4)='recap S1'!AM$3)*(OFFSET(ListeB,,1)='recap S1'!AM$2))&gt;0,SUMPRODUCT((ListeB='recap S1'!$B24)*(OFFSET(ListeB,,4)='recap S1'!AM$3)*(OFFSET(ListeB,,1)='recap S1'!AM$2)),"")</f>
        <v/>
      </c>
      <c r="AN24" s="32" t="str">
        <f ca="1">IF(SUMPRODUCT((ListeB='recap S1'!$B24)*(OFFSET(ListeB,,4)='recap S1'!AN$3)*(OFFSET(ListeB,,1)='recap S1'!AN$2))&gt;0,SUMPRODUCT((ListeB='recap S1'!$B24)*(OFFSET(ListeB,,4)='recap S1'!AN$3)*(OFFSET(ListeB,,1)='recap S1'!AN$2)),"")</f>
        <v/>
      </c>
      <c r="AO24" s="32" t="str">
        <f ca="1">IF(SUMPRODUCT((ListeB='recap S1'!$B24)*(OFFSET(ListeB,,4)='recap S1'!AO$3)*(OFFSET(ListeB,,1)='recap S1'!AO$2))&gt;0,SUMPRODUCT((ListeB='recap S1'!$B24)*(OFFSET(ListeB,,4)='recap S1'!AO$3)*(OFFSET(ListeB,,1)='recap S1'!AO$2)),"")</f>
        <v/>
      </c>
      <c r="AP24" s="32" t="str">
        <f ca="1">IF(SUMPRODUCT((ListeB='recap S1'!$B24)*(OFFSET(ListeB,,4)='recap S1'!AP$3)*(OFFSET(ListeB,,1)='recap S1'!AP$2))&gt;0,SUMPRODUCT((ListeB='recap S1'!$B24)*(OFFSET(ListeB,,4)='recap S1'!AP$3)*(OFFSET(ListeB,,1)='recap S1'!AP$2)),"")</f>
        <v/>
      </c>
      <c r="AQ24" s="32" t="str">
        <f ca="1">IF(SUMPRODUCT((ListeB='recap S1'!$B24)*(OFFSET(ListeB,,4)='recap S1'!AQ$3)*(OFFSET(ListeB,,1)='recap S1'!AQ$2))&gt;0,SUMPRODUCT((ListeB='recap S1'!$B24)*(OFFSET(ListeB,,4)='recap S1'!AQ$3)*(OFFSET(ListeB,,1)='recap S1'!AQ$2)),"")</f>
        <v/>
      </c>
      <c r="AR24" s="32" t="str">
        <f ca="1">IF(SUMPRODUCT((ListeB='recap S1'!$B24)*(OFFSET(ListeB,,4)='recap S1'!AR$3)*(OFFSET(ListeB,,1)='recap S1'!AR$2))&gt;0,SUMPRODUCT((ListeB='recap S1'!$B24)*(OFFSET(ListeB,,4)='recap S1'!AR$3)*(OFFSET(ListeB,,1)='recap S1'!AR$2)),"")</f>
        <v/>
      </c>
      <c r="AS24" s="32" t="str">
        <f ca="1">IF(SUMPRODUCT((ListeB='recap S1'!$B24)*(OFFSET(ListeB,,4)='recap S1'!AS$3)*(OFFSET(ListeB,,1)='recap S1'!AS$2))&gt;0,SUMPRODUCT((ListeB='recap S1'!$B24)*(OFFSET(ListeB,,4)='recap S1'!AS$3)*(OFFSET(ListeB,,1)='recap S1'!AS$2)),"")</f>
        <v/>
      </c>
      <c r="AT24" s="32" t="str">
        <f ca="1">IF(SUMPRODUCT((ListeB='recap S1'!$B24)*(OFFSET(ListeB,,4)='recap S1'!AT$3)*(OFFSET(ListeB,,1)='recap S1'!AT$2))&gt;0,SUMPRODUCT((ListeB='recap S1'!$B24)*(OFFSET(ListeB,,4)='recap S1'!AT$3)*(OFFSET(ListeB,,1)='recap S1'!AT$2)),"")</f>
        <v/>
      </c>
      <c r="AU24" s="32" t="str">
        <f ca="1">IF(SUMPRODUCT((ListeB='recap S1'!$B24)*(OFFSET(ListeB,,4)='recap S1'!AU$3)*(OFFSET(ListeB,,1)='recap S1'!AU$2))&gt;0,SUMPRODUCT((ListeB='recap S1'!$B24)*(OFFSET(ListeB,,4)='recap S1'!AU$3)*(OFFSET(ListeB,,1)='recap S1'!AU$2)),"")</f>
        <v/>
      </c>
      <c r="AV24" s="32" t="str">
        <f ca="1">IF(SUMPRODUCT((ListeB='recap S1'!$B24)*(OFFSET(ListeB,,4)='recap S1'!AV$3)*(OFFSET(ListeB,,1)='recap S1'!AV$2))&gt;0,SUMPRODUCT((ListeB='recap S1'!$B24)*(OFFSET(ListeB,,4)='recap S1'!AV$3)*(OFFSET(ListeB,,1)='recap S1'!AV$2)),"")</f>
        <v/>
      </c>
      <c r="AW24" s="32" t="str">
        <f ca="1">IF(SUMPRODUCT((ListeB='recap S1'!$B24)*(OFFSET(ListeB,,4)='recap S1'!AW$3)*(OFFSET(ListeB,,1)='recap S1'!AW$2))&gt;0,SUMPRODUCT((ListeB='recap S1'!$B24)*(OFFSET(ListeB,,4)='recap S1'!AW$3)*(OFFSET(ListeB,,1)='recap S1'!AW$2)),"")</f>
        <v/>
      </c>
      <c r="AX24" s="32" t="str">
        <f ca="1">IF(SUMPRODUCT((ListeB='recap S1'!$B24)*(OFFSET(ListeB,,4)='recap S1'!AX$3)*(OFFSET(ListeB,,1)='recap S1'!AX$2))&gt;0,SUMPRODUCT((ListeB='recap S1'!$B24)*(OFFSET(ListeB,,4)='recap S1'!AX$3)*(OFFSET(ListeB,,1)='recap S1'!AX$2)),"")</f>
        <v/>
      </c>
      <c r="AY24" s="32" t="str">
        <f ca="1">IF(SUMPRODUCT((ListeB='recap S1'!$B24)*(OFFSET(ListeB,,4)='recap S1'!AY$3)*(OFFSET(ListeB,,1)='recap S1'!AY$2))&gt;0,SUMPRODUCT((ListeB='recap S1'!$B24)*(OFFSET(ListeB,,4)='recap S1'!AY$3)*(OFFSET(ListeB,,1)='recap S1'!AY$2)),"")</f>
        <v/>
      </c>
      <c r="AZ24" s="32">
        <f t="shared" ca="1" si="0"/>
        <v>0</v>
      </c>
    </row>
    <row r="25" spans="1:52">
      <c r="A25" s="41" t="str">
        <f>IF('SEANCE 1'!$B23&lt;&gt;"",'SEANCE 1'!$A23,"")</f>
        <v/>
      </c>
      <c r="B25" s="41" t="str">
        <f t="array" aca="1" ref="B25" ca="1">IF(ISNA(INDEX(ListeB,MATCH(0,COUNTIF($B$3:B24,ListeB),0))),"",INDEX(ListeB,MATCH(0,COUNTIF($B$3:B24,ListeB),0)))</f>
        <v/>
      </c>
      <c r="C25" s="32" t="str">
        <f ca="1">IF(SUMPRODUCT((ListeB='recap S1'!$B25)*(OFFSET(ListeB,,4)='recap S1'!C$3)*(OFFSET(ListeB,,1)='recap S1'!C$2))&gt;0,SUMPRODUCT((ListeB='recap S1'!$B25)*(OFFSET(ListeB,,4)='recap S1'!C$3)*(OFFSET(ListeB,,1)='recap S1'!C$2)),"")</f>
        <v/>
      </c>
      <c r="D25" s="32" t="str">
        <f ca="1">IF(SUMPRODUCT((ListeB='recap S1'!$B25)*(OFFSET(ListeB,,4)='recap S1'!D$3)*(OFFSET(ListeB,,1)='recap S1'!D$2))&gt;0,SUMPRODUCT((ListeB='recap S1'!$B25)*(OFFSET(ListeB,,4)='recap S1'!D$3)*(OFFSET(ListeB,,1)='recap S1'!D$2)),"")</f>
        <v/>
      </c>
      <c r="E25" s="32" t="str">
        <f ca="1">IF(SUMPRODUCT((ListeB='recap S1'!$B25)*(OFFSET(ListeB,,4)='recap S1'!E$3)*(OFFSET(ListeB,,1)='recap S1'!E$2))&gt;0,SUMPRODUCT((ListeB='recap S1'!$B25)*(OFFSET(ListeB,,4)='recap S1'!E$3)*(OFFSET(ListeB,,1)='recap S1'!E$2)),"")</f>
        <v/>
      </c>
      <c r="F25" s="32" t="str">
        <f ca="1">IF(SUMPRODUCT((ListeB='recap S1'!$B25)*(OFFSET(ListeB,,4)='recap S1'!F$3)*(OFFSET(ListeB,,1)='recap S1'!F$2))&gt;0,SUMPRODUCT((ListeB='recap S1'!$B25)*(OFFSET(ListeB,,4)='recap S1'!F$3)*(OFFSET(ListeB,,1)='recap S1'!F$2)),"")</f>
        <v/>
      </c>
      <c r="G25" s="32" t="str">
        <f ca="1">IF(SUMPRODUCT((ListeB='recap S1'!$B25)*(OFFSET(ListeB,,4)='recap S1'!G$3)*(OFFSET(ListeB,,1)='recap S1'!G$2))&gt;0,SUMPRODUCT((ListeB='recap S1'!$B25)*(OFFSET(ListeB,,4)='recap S1'!G$3)*(OFFSET(ListeB,,1)='recap S1'!G$2)),"")</f>
        <v/>
      </c>
      <c r="H25" s="32" t="str">
        <f ca="1">IF(SUMPRODUCT((ListeB='recap S1'!$B25)*(OFFSET(ListeB,,4)='recap S1'!H$3)*(OFFSET(ListeB,,1)='recap S1'!H$2))&gt;0,SUMPRODUCT((ListeB='recap S1'!$B25)*(OFFSET(ListeB,,4)='recap S1'!H$3)*(OFFSET(ListeB,,1)='recap S1'!H$2)),"")</f>
        <v/>
      </c>
      <c r="I25" s="32" t="str">
        <f ca="1">IF(SUMPRODUCT((ListeB='recap S1'!$B25)*(OFFSET(ListeB,,4)='recap S1'!I$3)*(OFFSET(ListeB,,1)='recap S1'!I$2))&gt;0,SUMPRODUCT((ListeB='recap S1'!$B25)*(OFFSET(ListeB,,4)='recap S1'!I$3)*(OFFSET(ListeB,,1)='recap S1'!I$2)),"")</f>
        <v/>
      </c>
      <c r="J25" s="32" t="str">
        <f ca="1">IF(SUMPRODUCT((ListeB='recap S1'!$B25)*(OFFSET(ListeB,,4)='recap S1'!J$3)*(OFFSET(ListeB,,1)='recap S1'!J$2))&gt;0,SUMPRODUCT((ListeB='recap S1'!$B25)*(OFFSET(ListeB,,4)='recap S1'!J$3)*(OFFSET(ListeB,,1)='recap S1'!J$2)),"")</f>
        <v/>
      </c>
      <c r="K25" s="32" t="str">
        <f ca="1">IF(SUMPRODUCT((ListeB='recap S1'!$B25)*(OFFSET(ListeB,,4)='recap S1'!K$3)*(OFFSET(ListeB,,1)='recap S1'!K$2))&gt;0,SUMPRODUCT((ListeB='recap S1'!$B25)*(OFFSET(ListeB,,4)='recap S1'!K$3)*(OFFSET(ListeB,,1)='recap S1'!K$2)),"")</f>
        <v/>
      </c>
      <c r="L25" s="32" t="str">
        <f ca="1">IF(SUMPRODUCT((ListeB='recap S1'!$B25)*(OFFSET(ListeB,,4)='recap S1'!L$3)*(OFFSET(ListeB,,1)='recap S1'!L$2))&gt;0,SUMPRODUCT((ListeB='recap S1'!$B25)*(OFFSET(ListeB,,4)='recap S1'!L$3)*(OFFSET(ListeB,,1)='recap S1'!L$2)),"")</f>
        <v/>
      </c>
      <c r="M25" s="32" t="str">
        <f ca="1">IF(SUMPRODUCT((ListeB='recap S1'!$B25)*(OFFSET(ListeB,,4)='recap S1'!M$3)*(OFFSET(ListeB,,1)='recap S1'!M$2))&gt;0,SUMPRODUCT((ListeB='recap S1'!$B25)*(OFFSET(ListeB,,4)='recap S1'!M$3)*(OFFSET(ListeB,,1)='recap S1'!M$2)),"")</f>
        <v/>
      </c>
      <c r="N25" s="32" t="str">
        <f ca="1">IF(SUMPRODUCT((ListeB='recap S1'!$B25)*(OFFSET(ListeB,,4)='recap S1'!N$3)*(OFFSET(ListeB,,1)='recap S1'!N$2))&gt;0,SUMPRODUCT((ListeB='recap S1'!$B25)*(OFFSET(ListeB,,4)='recap S1'!N$3)*(OFFSET(ListeB,,1)='recap S1'!N$2)),"")</f>
        <v/>
      </c>
      <c r="O25" s="32" t="str">
        <f ca="1">IF(SUMPRODUCT((ListeB='recap S1'!$B25)*(OFFSET(ListeB,,4)='recap S1'!O$3)*(OFFSET(ListeB,,1)='recap S1'!O$2))&gt;0,SUMPRODUCT((ListeB='recap S1'!$B25)*(OFFSET(ListeB,,4)='recap S1'!O$3)*(OFFSET(ListeB,,1)='recap S1'!O$2)),"")</f>
        <v/>
      </c>
      <c r="P25" s="32" t="str">
        <f ca="1">IF(SUMPRODUCT((ListeB='recap S1'!$B25)*(OFFSET(ListeB,,4)='recap S1'!P$3)*(OFFSET(ListeB,,1)='recap S1'!P$2))&gt;0,SUMPRODUCT((ListeB='recap S1'!$B25)*(OFFSET(ListeB,,4)='recap S1'!P$3)*(OFFSET(ListeB,,1)='recap S1'!P$2)),"")</f>
        <v/>
      </c>
      <c r="Q25" s="32" t="str">
        <f ca="1">IF(SUMPRODUCT((ListeB='recap S1'!$B25)*(OFFSET(ListeB,,4)='recap S1'!Q$3)*(OFFSET(ListeB,,1)='recap S1'!Q$2))&gt;0,SUMPRODUCT((ListeB='recap S1'!$B25)*(OFFSET(ListeB,,4)='recap S1'!Q$3)*(OFFSET(ListeB,,1)='recap S1'!Q$2)),"")</f>
        <v/>
      </c>
      <c r="R25" s="32" t="str">
        <f ca="1">IF(SUMPRODUCT((ListeB='recap S1'!$B25)*(OFFSET(ListeB,,4)='recap S1'!R$3)*(OFFSET(ListeB,,1)='recap S1'!R$2))&gt;0,SUMPRODUCT((ListeB='recap S1'!$B25)*(OFFSET(ListeB,,4)='recap S1'!R$3)*(OFFSET(ListeB,,1)='recap S1'!R$2)),"")</f>
        <v/>
      </c>
      <c r="S25" s="32" t="str">
        <f ca="1">IF(SUMPRODUCT((ListeB='recap S1'!$B25)*(OFFSET(ListeB,,4)='recap S1'!S$3)*(OFFSET(ListeB,,1)='recap S1'!S$2))&gt;0,SUMPRODUCT((ListeB='recap S1'!$B25)*(OFFSET(ListeB,,4)='recap S1'!S$3)*(OFFSET(ListeB,,1)='recap S1'!S$2)),"")</f>
        <v/>
      </c>
      <c r="T25" s="32" t="str">
        <f ca="1">IF(SUMPRODUCT((ListeB='recap S1'!$B25)*(OFFSET(ListeB,,4)='recap S1'!T$3)*(OFFSET(ListeB,,1)='recap S1'!T$2))&gt;0,SUMPRODUCT((ListeB='recap S1'!$B25)*(OFFSET(ListeB,,4)='recap S1'!T$3)*(OFFSET(ListeB,,1)='recap S1'!T$2)),"")</f>
        <v/>
      </c>
      <c r="U25" s="32" t="str">
        <f ca="1">IF(SUMPRODUCT((ListeB='recap S1'!$B25)*(OFFSET(ListeB,,4)='recap S1'!U$3)*(OFFSET(ListeB,,1)='recap S1'!U$2))&gt;0,SUMPRODUCT((ListeB='recap S1'!$B25)*(OFFSET(ListeB,,4)='recap S1'!U$3)*(OFFSET(ListeB,,1)='recap S1'!U$2)),"")</f>
        <v/>
      </c>
      <c r="V25" s="32" t="str">
        <f ca="1">IF(SUMPRODUCT((ListeB='recap S1'!$B25)*(OFFSET(ListeB,,4)='recap S1'!V$3)*(OFFSET(ListeB,,1)='recap S1'!V$2))&gt;0,SUMPRODUCT((ListeB='recap S1'!$B25)*(OFFSET(ListeB,,4)='recap S1'!V$3)*(OFFSET(ListeB,,1)='recap S1'!V$2)),"")</f>
        <v/>
      </c>
      <c r="W25" s="32" t="str">
        <f ca="1">IF(SUMPRODUCT((ListeB='recap S1'!$B25)*(OFFSET(ListeB,,4)='recap S1'!W$3)*(OFFSET(ListeB,,1)='recap S1'!W$2))&gt;0,SUMPRODUCT((ListeB='recap S1'!$B25)*(OFFSET(ListeB,,4)='recap S1'!W$3)*(OFFSET(ListeB,,1)='recap S1'!W$2)),"")</f>
        <v/>
      </c>
      <c r="X25" s="32" t="str">
        <f ca="1">IF(SUMPRODUCT((ListeB='recap S1'!$B25)*(OFFSET(ListeB,,4)='recap S1'!X$3)*(OFFSET(ListeB,,1)='recap S1'!X$2))&gt;0,SUMPRODUCT((ListeB='recap S1'!$B25)*(OFFSET(ListeB,,4)='recap S1'!X$3)*(OFFSET(ListeB,,1)='recap S1'!X$2)),"")</f>
        <v/>
      </c>
      <c r="Y25" s="32" t="str">
        <f ca="1">IF(SUMPRODUCT((ListeB='recap S1'!$B25)*(OFFSET(ListeB,,4)='recap S1'!Y$3)*(OFFSET(ListeB,,1)='recap S1'!Y$2))&gt;0,SUMPRODUCT((ListeB='recap S1'!$B25)*(OFFSET(ListeB,,4)='recap S1'!Y$3)*(OFFSET(ListeB,,1)='recap S1'!Y$2)),"")</f>
        <v/>
      </c>
      <c r="Z25" s="32" t="str">
        <f ca="1">IF(SUMPRODUCT((ListeB='recap S1'!$B25)*(OFFSET(ListeB,,4)='recap S1'!Z$3)*(OFFSET(ListeB,,1)='recap S1'!Z$2))&gt;0,SUMPRODUCT((ListeB='recap S1'!$B25)*(OFFSET(ListeB,,4)='recap S1'!Z$3)*(OFFSET(ListeB,,1)='recap S1'!Z$2)),"")</f>
        <v/>
      </c>
      <c r="AA25" s="32" t="str">
        <f ca="1">IF(SUMPRODUCT((ListeB='recap S1'!$B25)*(OFFSET(ListeB,,4)='recap S1'!AA$3)*(OFFSET(ListeB,,1)='recap S1'!AA$2))&gt;0,SUMPRODUCT((ListeB='recap S1'!$B25)*(OFFSET(ListeB,,4)='recap S1'!AA$3)*(OFFSET(ListeB,,1)='recap S1'!AA$2)),"")</f>
        <v/>
      </c>
      <c r="AB25" s="32" t="str">
        <f ca="1">IF(SUMPRODUCT((ListeB='recap S1'!$B25)*(OFFSET(ListeB,,4)='recap S1'!AB$3)*(OFFSET(ListeB,,1)='recap S1'!AB$2))&gt;0,SUMPRODUCT((ListeB='recap S1'!$B25)*(OFFSET(ListeB,,4)='recap S1'!AB$3)*(OFFSET(ListeB,,1)='recap S1'!AB$2)),"")</f>
        <v/>
      </c>
      <c r="AC25" s="32" t="str">
        <f ca="1">IF(SUMPRODUCT((ListeB='recap S1'!$B25)*(OFFSET(ListeB,,4)='recap S1'!AC$3)*(OFFSET(ListeB,,1)='recap S1'!AC$2))&gt;0,SUMPRODUCT((ListeB='recap S1'!$B25)*(OFFSET(ListeB,,4)='recap S1'!AC$3)*(OFFSET(ListeB,,1)='recap S1'!AC$2)),"")</f>
        <v/>
      </c>
      <c r="AD25" s="32" t="str">
        <f ca="1">IF(SUMPRODUCT((ListeB='recap S1'!$B25)*(OFFSET(ListeB,,4)='recap S1'!AD$3)*(OFFSET(ListeB,,1)='recap S1'!AD$2))&gt;0,SUMPRODUCT((ListeB='recap S1'!$B25)*(OFFSET(ListeB,,4)='recap S1'!AD$3)*(OFFSET(ListeB,,1)='recap S1'!AD$2)),"")</f>
        <v/>
      </c>
      <c r="AE25" s="32" t="str">
        <f ca="1">IF(SUMPRODUCT((ListeB='recap S1'!$B25)*(OFFSET(ListeB,,4)='recap S1'!AE$3)*(OFFSET(ListeB,,1)='recap S1'!AE$2))&gt;0,SUMPRODUCT((ListeB='recap S1'!$B25)*(OFFSET(ListeB,,4)='recap S1'!AE$3)*(OFFSET(ListeB,,1)='recap S1'!AE$2)),"")</f>
        <v/>
      </c>
      <c r="AF25" s="32" t="str">
        <f ca="1">IF(SUMPRODUCT((ListeB='recap S1'!$B25)*(OFFSET(ListeB,,4)='recap S1'!AF$3)*(OFFSET(ListeB,,1)='recap S1'!AF$2))&gt;0,SUMPRODUCT((ListeB='recap S1'!$B25)*(OFFSET(ListeB,,4)='recap S1'!AF$3)*(OFFSET(ListeB,,1)='recap S1'!AF$2)),"")</f>
        <v/>
      </c>
      <c r="AG25" s="32" t="str">
        <f ca="1">IF(SUMPRODUCT((ListeB='recap S1'!$B25)*(OFFSET(ListeB,,4)='recap S1'!AG$3)*(OFFSET(ListeB,,1)='recap S1'!AG$2))&gt;0,SUMPRODUCT((ListeB='recap S1'!$B25)*(OFFSET(ListeB,,4)='recap S1'!AG$3)*(OFFSET(ListeB,,1)='recap S1'!AG$2)),"")</f>
        <v/>
      </c>
      <c r="AH25" s="32" t="str">
        <f ca="1">IF(SUMPRODUCT((ListeB='recap S1'!$B25)*(OFFSET(ListeB,,4)='recap S1'!AH$3)*(OFFSET(ListeB,,1)='recap S1'!AH$2))&gt;0,SUMPRODUCT((ListeB='recap S1'!$B25)*(OFFSET(ListeB,,4)='recap S1'!AH$3)*(OFFSET(ListeB,,1)='recap S1'!AH$2)),"")</f>
        <v/>
      </c>
      <c r="AI25" s="32" t="str">
        <f ca="1">IF(SUMPRODUCT((ListeB='recap S1'!$B25)*(OFFSET(ListeB,,4)='recap S1'!AI$3)*(OFFSET(ListeB,,1)='recap S1'!AI$2))&gt;0,SUMPRODUCT((ListeB='recap S1'!$B25)*(OFFSET(ListeB,,4)='recap S1'!AI$3)*(OFFSET(ListeB,,1)='recap S1'!AI$2)),"")</f>
        <v/>
      </c>
      <c r="AJ25" s="32" t="str">
        <f ca="1">IF(SUMPRODUCT((ListeB='recap S1'!$B25)*(OFFSET(ListeB,,4)='recap S1'!AJ$3)*(OFFSET(ListeB,,1)='recap S1'!AJ$2))&gt;0,SUMPRODUCT((ListeB='recap S1'!$B25)*(OFFSET(ListeB,,4)='recap S1'!AJ$3)*(OFFSET(ListeB,,1)='recap S1'!AJ$2)),"")</f>
        <v/>
      </c>
      <c r="AK25" s="32" t="str">
        <f ca="1">IF(SUMPRODUCT((ListeB='recap S1'!$B25)*(OFFSET(ListeB,,4)='recap S1'!AK$3)*(OFFSET(ListeB,,1)='recap S1'!AK$2))&gt;0,SUMPRODUCT((ListeB='recap S1'!$B25)*(OFFSET(ListeB,,4)='recap S1'!AK$3)*(OFFSET(ListeB,,1)='recap S1'!AK$2)),"")</f>
        <v/>
      </c>
      <c r="AL25" s="32" t="str">
        <f ca="1">IF(SUMPRODUCT((ListeB='recap S1'!$B25)*(OFFSET(ListeB,,4)='recap S1'!AL$3)*(OFFSET(ListeB,,1)='recap S1'!AL$2))&gt;0,SUMPRODUCT((ListeB='recap S1'!$B25)*(OFFSET(ListeB,,4)='recap S1'!AL$3)*(OFFSET(ListeB,,1)='recap S1'!AL$2)),"")</f>
        <v/>
      </c>
      <c r="AM25" s="32" t="str">
        <f ca="1">IF(SUMPRODUCT((ListeB='recap S1'!$B25)*(OFFSET(ListeB,,4)='recap S1'!AM$3)*(OFFSET(ListeB,,1)='recap S1'!AM$2))&gt;0,SUMPRODUCT((ListeB='recap S1'!$B25)*(OFFSET(ListeB,,4)='recap S1'!AM$3)*(OFFSET(ListeB,,1)='recap S1'!AM$2)),"")</f>
        <v/>
      </c>
      <c r="AN25" s="32" t="str">
        <f ca="1">IF(SUMPRODUCT((ListeB='recap S1'!$B25)*(OFFSET(ListeB,,4)='recap S1'!AN$3)*(OFFSET(ListeB,,1)='recap S1'!AN$2))&gt;0,SUMPRODUCT((ListeB='recap S1'!$B25)*(OFFSET(ListeB,,4)='recap S1'!AN$3)*(OFFSET(ListeB,,1)='recap S1'!AN$2)),"")</f>
        <v/>
      </c>
      <c r="AO25" s="32" t="str">
        <f ca="1">IF(SUMPRODUCT((ListeB='recap S1'!$B25)*(OFFSET(ListeB,,4)='recap S1'!AO$3)*(OFFSET(ListeB,,1)='recap S1'!AO$2))&gt;0,SUMPRODUCT((ListeB='recap S1'!$B25)*(OFFSET(ListeB,,4)='recap S1'!AO$3)*(OFFSET(ListeB,,1)='recap S1'!AO$2)),"")</f>
        <v/>
      </c>
      <c r="AP25" s="32" t="str">
        <f ca="1">IF(SUMPRODUCT((ListeB='recap S1'!$B25)*(OFFSET(ListeB,,4)='recap S1'!AP$3)*(OFFSET(ListeB,,1)='recap S1'!AP$2))&gt;0,SUMPRODUCT((ListeB='recap S1'!$B25)*(OFFSET(ListeB,,4)='recap S1'!AP$3)*(OFFSET(ListeB,,1)='recap S1'!AP$2)),"")</f>
        <v/>
      </c>
      <c r="AQ25" s="32" t="str">
        <f ca="1">IF(SUMPRODUCT((ListeB='recap S1'!$B25)*(OFFSET(ListeB,,4)='recap S1'!AQ$3)*(OFFSET(ListeB,,1)='recap S1'!AQ$2))&gt;0,SUMPRODUCT((ListeB='recap S1'!$B25)*(OFFSET(ListeB,,4)='recap S1'!AQ$3)*(OFFSET(ListeB,,1)='recap S1'!AQ$2)),"")</f>
        <v/>
      </c>
      <c r="AR25" s="32" t="str">
        <f ca="1">IF(SUMPRODUCT((ListeB='recap S1'!$B25)*(OFFSET(ListeB,,4)='recap S1'!AR$3)*(OFFSET(ListeB,,1)='recap S1'!AR$2))&gt;0,SUMPRODUCT((ListeB='recap S1'!$B25)*(OFFSET(ListeB,,4)='recap S1'!AR$3)*(OFFSET(ListeB,,1)='recap S1'!AR$2)),"")</f>
        <v/>
      </c>
      <c r="AS25" s="32" t="str">
        <f ca="1">IF(SUMPRODUCT((ListeB='recap S1'!$B25)*(OFFSET(ListeB,,4)='recap S1'!AS$3)*(OFFSET(ListeB,,1)='recap S1'!AS$2))&gt;0,SUMPRODUCT((ListeB='recap S1'!$B25)*(OFFSET(ListeB,,4)='recap S1'!AS$3)*(OFFSET(ListeB,,1)='recap S1'!AS$2)),"")</f>
        <v/>
      </c>
      <c r="AT25" s="32" t="str">
        <f ca="1">IF(SUMPRODUCT((ListeB='recap S1'!$B25)*(OFFSET(ListeB,,4)='recap S1'!AT$3)*(OFFSET(ListeB,,1)='recap S1'!AT$2))&gt;0,SUMPRODUCT((ListeB='recap S1'!$B25)*(OFFSET(ListeB,,4)='recap S1'!AT$3)*(OFFSET(ListeB,,1)='recap S1'!AT$2)),"")</f>
        <v/>
      </c>
      <c r="AU25" s="32" t="str">
        <f ca="1">IF(SUMPRODUCT((ListeB='recap S1'!$B25)*(OFFSET(ListeB,,4)='recap S1'!AU$3)*(OFFSET(ListeB,,1)='recap S1'!AU$2))&gt;0,SUMPRODUCT((ListeB='recap S1'!$B25)*(OFFSET(ListeB,,4)='recap S1'!AU$3)*(OFFSET(ListeB,,1)='recap S1'!AU$2)),"")</f>
        <v/>
      </c>
      <c r="AV25" s="32" t="str">
        <f ca="1">IF(SUMPRODUCT((ListeB='recap S1'!$B25)*(OFFSET(ListeB,,4)='recap S1'!AV$3)*(OFFSET(ListeB,,1)='recap S1'!AV$2))&gt;0,SUMPRODUCT((ListeB='recap S1'!$B25)*(OFFSET(ListeB,,4)='recap S1'!AV$3)*(OFFSET(ListeB,,1)='recap S1'!AV$2)),"")</f>
        <v/>
      </c>
      <c r="AW25" s="32" t="str">
        <f ca="1">IF(SUMPRODUCT((ListeB='recap S1'!$B25)*(OFFSET(ListeB,,4)='recap S1'!AW$3)*(OFFSET(ListeB,,1)='recap S1'!AW$2))&gt;0,SUMPRODUCT((ListeB='recap S1'!$B25)*(OFFSET(ListeB,,4)='recap S1'!AW$3)*(OFFSET(ListeB,,1)='recap S1'!AW$2)),"")</f>
        <v/>
      </c>
      <c r="AX25" s="32" t="str">
        <f ca="1">IF(SUMPRODUCT((ListeB='recap S1'!$B25)*(OFFSET(ListeB,,4)='recap S1'!AX$3)*(OFFSET(ListeB,,1)='recap S1'!AX$2))&gt;0,SUMPRODUCT((ListeB='recap S1'!$B25)*(OFFSET(ListeB,,4)='recap S1'!AX$3)*(OFFSET(ListeB,,1)='recap S1'!AX$2)),"")</f>
        <v/>
      </c>
      <c r="AY25" s="32" t="str">
        <f ca="1">IF(SUMPRODUCT((ListeB='recap S1'!$B25)*(OFFSET(ListeB,,4)='recap S1'!AY$3)*(OFFSET(ListeB,,1)='recap S1'!AY$2))&gt;0,SUMPRODUCT((ListeB='recap S1'!$B25)*(OFFSET(ListeB,,4)='recap S1'!AY$3)*(OFFSET(ListeB,,1)='recap S1'!AY$2)),"")</f>
        <v/>
      </c>
      <c r="AZ25" s="32">
        <f t="shared" ca="1" si="0"/>
        <v>0</v>
      </c>
    </row>
    <row r="26" spans="1:52">
      <c r="A26" s="41" t="str">
        <f>IF('SEANCE 1'!$B24&lt;&gt;"",'SEANCE 1'!$A24,"")</f>
        <v/>
      </c>
      <c r="B26" s="41" t="str">
        <f t="array" aca="1" ref="B26" ca="1">IF(ISNA(INDEX(ListeB,MATCH(0,COUNTIF($B$3:B25,ListeB),0))),"",INDEX(ListeB,MATCH(0,COUNTIF($B$3:B25,ListeB),0)))</f>
        <v/>
      </c>
      <c r="C26" s="32" t="str">
        <f ca="1">IF(SUMPRODUCT((ListeB='recap S1'!$B26)*(OFFSET(ListeB,,4)='recap S1'!C$3)*(OFFSET(ListeB,,1)='recap S1'!C$2))&gt;0,SUMPRODUCT((ListeB='recap S1'!$B26)*(OFFSET(ListeB,,4)='recap S1'!C$3)*(OFFSET(ListeB,,1)='recap S1'!C$2)),"")</f>
        <v/>
      </c>
      <c r="D26" s="32" t="str">
        <f ca="1">IF(SUMPRODUCT((ListeB='recap S1'!$B26)*(OFFSET(ListeB,,4)='recap S1'!D$3)*(OFFSET(ListeB,,1)='recap S1'!D$2))&gt;0,SUMPRODUCT((ListeB='recap S1'!$B26)*(OFFSET(ListeB,,4)='recap S1'!D$3)*(OFFSET(ListeB,,1)='recap S1'!D$2)),"")</f>
        <v/>
      </c>
      <c r="E26" s="32" t="str">
        <f ca="1">IF(SUMPRODUCT((ListeB='recap S1'!$B26)*(OFFSET(ListeB,,4)='recap S1'!E$3)*(OFFSET(ListeB,,1)='recap S1'!E$2))&gt;0,SUMPRODUCT((ListeB='recap S1'!$B26)*(OFFSET(ListeB,,4)='recap S1'!E$3)*(OFFSET(ListeB,,1)='recap S1'!E$2)),"")</f>
        <v/>
      </c>
      <c r="F26" s="32" t="str">
        <f ca="1">IF(SUMPRODUCT((ListeB='recap S1'!$B26)*(OFFSET(ListeB,,4)='recap S1'!F$3)*(OFFSET(ListeB,,1)='recap S1'!F$2))&gt;0,SUMPRODUCT((ListeB='recap S1'!$B26)*(OFFSET(ListeB,,4)='recap S1'!F$3)*(OFFSET(ListeB,,1)='recap S1'!F$2)),"")</f>
        <v/>
      </c>
      <c r="G26" s="32" t="str">
        <f ca="1">IF(SUMPRODUCT((ListeB='recap S1'!$B26)*(OFFSET(ListeB,,4)='recap S1'!G$3)*(OFFSET(ListeB,,1)='recap S1'!G$2))&gt;0,SUMPRODUCT((ListeB='recap S1'!$B26)*(OFFSET(ListeB,,4)='recap S1'!G$3)*(OFFSET(ListeB,,1)='recap S1'!G$2)),"")</f>
        <v/>
      </c>
      <c r="H26" s="32" t="str">
        <f ca="1">IF(SUMPRODUCT((ListeB='recap S1'!$B26)*(OFFSET(ListeB,,4)='recap S1'!H$3)*(OFFSET(ListeB,,1)='recap S1'!H$2))&gt;0,SUMPRODUCT((ListeB='recap S1'!$B26)*(OFFSET(ListeB,,4)='recap S1'!H$3)*(OFFSET(ListeB,,1)='recap S1'!H$2)),"")</f>
        <v/>
      </c>
      <c r="I26" s="32" t="str">
        <f ca="1">IF(SUMPRODUCT((ListeB='recap S1'!$B26)*(OFFSET(ListeB,,4)='recap S1'!I$3)*(OFFSET(ListeB,,1)='recap S1'!I$2))&gt;0,SUMPRODUCT((ListeB='recap S1'!$B26)*(OFFSET(ListeB,,4)='recap S1'!I$3)*(OFFSET(ListeB,,1)='recap S1'!I$2)),"")</f>
        <v/>
      </c>
      <c r="J26" s="32" t="str">
        <f ca="1">IF(SUMPRODUCT((ListeB='recap S1'!$B26)*(OFFSET(ListeB,,4)='recap S1'!J$3)*(OFFSET(ListeB,,1)='recap S1'!J$2))&gt;0,SUMPRODUCT((ListeB='recap S1'!$B26)*(OFFSET(ListeB,,4)='recap S1'!J$3)*(OFFSET(ListeB,,1)='recap S1'!J$2)),"")</f>
        <v/>
      </c>
      <c r="K26" s="32" t="str">
        <f ca="1">IF(SUMPRODUCT((ListeB='recap S1'!$B26)*(OFFSET(ListeB,,4)='recap S1'!K$3)*(OFFSET(ListeB,,1)='recap S1'!K$2))&gt;0,SUMPRODUCT((ListeB='recap S1'!$B26)*(OFFSET(ListeB,,4)='recap S1'!K$3)*(OFFSET(ListeB,,1)='recap S1'!K$2)),"")</f>
        <v/>
      </c>
      <c r="L26" s="32" t="str">
        <f ca="1">IF(SUMPRODUCT((ListeB='recap S1'!$B26)*(OFFSET(ListeB,,4)='recap S1'!L$3)*(OFFSET(ListeB,,1)='recap S1'!L$2))&gt;0,SUMPRODUCT((ListeB='recap S1'!$B26)*(OFFSET(ListeB,,4)='recap S1'!L$3)*(OFFSET(ListeB,,1)='recap S1'!L$2)),"")</f>
        <v/>
      </c>
      <c r="M26" s="32" t="str">
        <f ca="1">IF(SUMPRODUCT((ListeB='recap S1'!$B26)*(OFFSET(ListeB,,4)='recap S1'!M$3)*(OFFSET(ListeB,,1)='recap S1'!M$2))&gt;0,SUMPRODUCT((ListeB='recap S1'!$B26)*(OFFSET(ListeB,,4)='recap S1'!M$3)*(OFFSET(ListeB,,1)='recap S1'!M$2)),"")</f>
        <v/>
      </c>
      <c r="N26" s="32" t="str">
        <f ca="1">IF(SUMPRODUCT((ListeB='recap S1'!$B26)*(OFFSET(ListeB,,4)='recap S1'!N$3)*(OFFSET(ListeB,,1)='recap S1'!N$2))&gt;0,SUMPRODUCT((ListeB='recap S1'!$B26)*(OFFSET(ListeB,,4)='recap S1'!N$3)*(OFFSET(ListeB,,1)='recap S1'!N$2)),"")</f>
        <v/>
      </c>
      <c r="O26" s="32" t="str">
        <f ca="1">IF(SUMPRODUCT((ListeB='recap S1'!$B26)*(OFFSET(ListeB,,4)='recap S1'!O$3)*(OFFSET(ListeB,,1)='recap S1'!O$2))&gt;0,SUMPRODUCT((ListeB='recap S1'!$B26)*(OFFSET(ListeB,,4)='recap S1'!O$3)*(OFFSET(ListeB,,1)='recap S1'!O$2)),"")</f>
        <v/>
      </c>
      <c r="P26" s="32" t="str">
        <f ca="1">IF(SUMPRODUCT((ListeB='recap S1'!$B26)*(OFFSET(ListeB,,4)='recap S1'!P$3)*(OFFSET(ListeB,,1)='recap S1'!P$2))&gt;0,SUMPRODUCT((ListeB='recap S1'!$B26)*(OFFSET(ListeB,,4)='recap S1'!P$3)*(OFFSET(ListeB,,1)='recap S1'!P$2)),"")</f>
        <v/>
      </c>
      <c r="Q26" s="32" t="str">
        <f ca="1">IF(SUMPRODUCT((ListeB='recap S1'!$B26)*(OFFSET(ListeB,,4)='recap S1'!Q$3)*(OFFSET(ListeB,,1)='recap S1'!Q$2))&gt;0,SUMPRODUCT((ListeB='recap S1'!$B26)*(OFFSET(ListeB,,4)='recap S1'!Q$3)*(OFFSET(ListeB,,1)='recap S1'!Q$2)),"")</f>
        <v/>
      </c>
      <c r="R26" s="32" t="str">
        <f ca="1">IF(SUMPRODUCT((ListeB='recap S1'!$B26)*(OFFSET(ListeB,,4)='recap S1'!R$3)*(OFFSET(ListeB,,1)='recap S1'!R$2))&gt;0,SUMPRODUCT((ListeB='recap S1'!$B26)*(OFFSET(ListeB,,4)='recap S1'!R$3)*(OFFSET(ListeB,,1)='recap S1'!R$2)),"")</f>
        <v/>
      </c>
      <c r="S26" s="32" t="str">
        <f ca="1">IF(SUMPRODUCT((ListeB='recap S1'!$B26)*(OFFSET(ListeB,,4)='recap S1'!S$3)*(OFFSET(ListeB,,1)='recap S1'!S$2))&gt;0,SUMPRODUCT((ListeB='recap S1'!$B26)*(OFFSET(ListeB,,4)='recap S1'!S$3)*(OFFSET(ListeB,,1)='recap S1'!S$2)),"")</f>
        <v/>
      </c>
      <c r="T26" s="32" t="str">
        <f ca="1">IF(SUMPRODUCT((ListeB='recap S1'!$B26)*(OFFSET(ListeB,,4)='recap S1'!T$3)*(OFFSET(ListeB,,1)='recap S1'!T$2))&gt;0,SUMPRODUCT((ListeB='recap S1'!$B26)*(OFFSET(ListeB,,4)='recap S1'!T$3)*(OFFSET(ListeB,,1)='recap S1'!T$2)),"")</f>
        <v/>
      </c>
      <c r="U26" s="32" t="str">
        <f ca="1">IF(SUMPRODUCT((ListeB='recap S1'!$B26)*(OFFSET(ListeB,,4)='recap S1'!U$3)*(OFFSET(ListeB,,1)='recap S1'!U$2))&gt;0,SUMPRODUCT((ListeB='recap S1'!$B26)*(OFFSET(ListeB,,4)='recap S1'!U$3)*(OFFSET(ListeB,,1)='recap S1'!U$2)),"")</f>
        <v/>
      </c>
      <c r="V26" s="32" t="str">
        <f ca="1">IF(SUMPRODUCT((ListeB='recap S1'!$B26)*(OFFSET(ListeB,,4)='recap S1'!V$3)*(OFFSET(ListeB,,1)='recap S1'!V$2))&gt;0,SUMPRODUCT((ListeB='recap S1'!$B26)*(OFFSET(ListeB,,4)='recap S1'!V$3)*(OFFSET(ListeB,,1)='recap S1'!V$2)),"")</f>
        <v/>
      </c>
      <c r="W26" s="32" t="str">
        <f ca="1">IF(SUMPRODUCT((ListeB='recap S1'!$B26)*(OFFSET(ListeB,,4)='recap S1'!W$3)*(OFFSET(ListeB,,1)='recap S1'!W$2))&gt;0,SUMPRODUCT((ListeB='recap S1'!$B26)*(OFFSET(ListeB,,4)='recap S1'!W$3)*(OFFSET(ListeB,,1)='recap S1'!W$2)),"")</f>
        <v/>
      </c>
      <c r="X26" s="32" t="str">
        <f ca="1">IF(SUMPRODUCT((ListeB='recap S1'!$B26)*(OFFSET(ListeB,,4)='recap S1'!X$3)*(OFFSET(ListeB,,1)='recap S1'!X$2))&gt;0,SUMPRODUCT((ListeB='recap S1'!$B26)*(OFFSET(ListeB,,4)='recap S1'!X$3)*(OFFSET(ListeB,,1)='recap S1'!X$2)),"")</f>
        <v/>
      </c>
      <c r="Y26" s="32" t="str">
        <f ca="1">IF(SUMPRODUCT((ListeB='recap S1'!$B26)*(OFFSET(ListeB,,4)='recap S1'!Y$3)*(OFFSET(ListeB,,1)='recap S1'!Y$2))&gt;0,SUMPRODUCT((ListeB='recap S1'!$B26)*(OFFSET(ListeB,,4)='recap S1'!Y$3)*(OFFSET(ListeB,,1)='recap S1'!Y$2)),"")</f>
        <v/>
      </c>
      <c r="Z26" s="32" t="str">
        <f ca="1">IF(SUMPRODUCT((ListeB='recap S1'!$B26)*(OFFSET(ListeB,,4)='recap S1'!Z$3)*(OFFSET(ListeB,,1)='recap S1'!Z$2))&gt;0,SUMPRODUCT((ListeB='recap S1'!$B26)*(OFFSET(ListeB,,4)='recap S1'!Z$3)*(OFFSET(ListeB,,1)='recap S1'!Z$2)),"")</f>
        <v/>
      </c>
      <c r="AA26" s="32" t="str">
        <f ca="1">IF(SUMPRODUCT((ListeB='recap S1'!$B26)*(OFFSET(ListeB,,4)='recap S1'!AA$3)*(OFFSET(ListeB,,1)='recap S1'!AA$2))&gt;0,SUMPRODUCT((ListeB='recap S1'!$B26)*(OFFSET(ListeB,,4)='recap S1'!AA$3)*(OFFSET(ListeB,,1)='recap S1'!AA$2)),"")</f>
        <v/>
      </c>
      <c r="AB26" s="32" t="str">
        <f ca="1">IF(SUMPRODUCT((ListeB='recap S1'!$B26)*(OFFSET(ListeB,,4)='recap S1'!AB$3)*(OFFSET(ListeB,,1)='recap S1'!AB$2))&gt;0,SUMPRODUCT((ListeB='recap S1'!$B26)*(OFFSET(ListeB,,4)='recap S1'!AB$3)*(OFFSET(ListeB,,1)='recap S1'!AB$2)),"")</f>
        <v/>
      </c>
      <c r="AC26" s="32" t="str">
        <f ca="1">IF(SUMPRODUCT((ListeB='recap S1'!$B26)*(OFFSET(ListeB,,4)='recap S1'!AC$3)*(OFFSET(ListeB,,1)='recap S1'!AC$2))&gt;0,SUMPRODUCT((ListeB='recap S1'!$B26)*(OFFSET(ListeB,,4)='recap S1'!AC$3)*(OFFSET(ListeB,,1)='recap S1'!AC$2)),"")</f>
        <v/>
      </c>
      <c r="AD26" s="32" t="str">
        <f ca="1">IF(SUMPRODUCT((ListeB='recap S1'!$B26)*(OFFSET(ListeB,,4)='recap S1'!AD$3)*(OFFSET(ListeB,,1)='recap S1'!AD$2))&gt;0,SUMPRODUCT((ListeB='recap S1'!$B26)*(OFFSET(ListeB,,4)='recap S1'!AD$3)*(OFFSET(ListeB,,1)='recap S1'!AD$2)),"")</f>
        <v/>
      </c>
      <c r="AE26" s="32" t="str">
        <f ca="1">IF(SUMPRODUCT((ListeB='recap S1'!$B26)*(OFFSET(ListeB,,4)='recap S1'!AE$3)*(OFFSET(ListeB,,1)='recap S1'!AE$2))&gt;0,SUMPRODUCT((ListeB='recap S1'!$B26)*(OFFSET(ListeB,,4)='recap S1'!AE$3)*(OFFSET(ListeB,,1)='recap S1'!AE$2)),"")</f>
        <v/>
      </c>
      <c r="AF26" s="32" t="str">
        <f ca="1">IF(SUMPRODUCT((ListeB='recap S1'!$B26)*(OFFSET(ListeB,,4)='recap S1'!AF$3)*(OFFSET(ListeB,,1)='recap S1'!AF$2))&gt;0,SUMPRODUCT((ListeB='recap S1'!$B26)*(OFFSET(ListeB,,4)='recap S1'!AF$3)*(OFFSET(ListeB,,1)='recap S1'!AF$2)),"")</f>
        <v/>
      </c>
      <c r="AG26" s="32" t="str">
        <f ca="1">IF(SUMPRODUCT((ListeB='recap S1'!$B26)*(OFFSET(ListeB,,4)='recap S1'!AG$3)*(OFFSET(ListeB,,1)='recap S1'!AG$2))&gt;0,SUMPRODUCT((ListeB='recap S1'!$B26)*(OFFSET(ListeB,,4)='recap S1'!AG$3)*(OFFSET(ListeB,,1)='recap S1'!AG$2)),"")</f>
        <v/>
      </c>
      <c r="AH26" s="32" t="str">
        <f ca="1">IF(SUMPRODUCT((ListeB='recap S1'!$B26)*(OFFSET(ListeB,,4)='recap S1'!AH$3)*(OFFSET(ListeB,,1)='recap S1'!AH$2))&gt;0,SUMPRODUCT((ListeB='recap S1'!$B26)*(OFFSET(ListeB,,4)='recap S1'!AH$3)*(OFFSET(ListeB,,1)='recap S1'!AH$2)),"")</f>
        <v/>
      </c>
      <c r="AI26" s="32" t="str">
        <f ca="1">IF(SUMPRODUCT((ListeB='recap S1'!$B26)*(OFFSET(ListeB,,4)='recap S1'!AI$3)*(OFFSET(ListeB,,1)='recap S1'!AI$2))&gt;0,SUMPRODUCT((ListeB='recap S1'!$B26)*(OFFSET(ListeB,,4)='recap S1'!AI$3)*(OFFSET(ListeB,,1)='recap S1'!AI$2)),"")</f>
        <v/>
      </c>
      <c r="AJ26" s="32" t="str">
        <f ca="1">IF(SUMPRODUCT((ListeB='recap S1'!$B26)*(OFFSET(ListeB,,4)='recap S1'!AJ$3)*(OFFSET(ListeB,,1)='recap S1'!AJ$2))&gt;0,SUMPRODUCT((ListeB='recap S1'!$B26)*(OFFSET(ListeB,,4)='recap S1'!AJ$3)*(OFFSET(ListeB,,1)='recap S1'!AJ$2)),"")</f>
        <v/>
      </c>
      <c r="AK26" s="32" t="str">
        <f ca="1">IF(SUMPRODUCT((ListeB='recap S1'!$B26)*(OFFSET(ListeB,,4)='recap S1'!AK$3)*(OFFSET(ListeB,,1)='recap S1'!AK$2))&gt;0,SUMPRODUCT((ListeB='recap S1'!$B26)*(OFFSET(ListeB,,4)='recap S1'!AK$3)*(OFFSET(ListeB,,1)='recap S1'!AK$2)),"")</f>
        <v/>
      </c>
      <c r="AL26" s="32" t="str">
        <f ca="1">IF(SUMPRODUCT((ListeB='recap S1'!$B26)*(OFFSET(ListeB,,4)='recap S1'!AL$3)*(OFFSET(ListeB,,1)='recap S1'!AL$2))&gt;0,SUMPRODUCT((ListeB='recap S1'!$B26)*(OFFSET(ListeB,,4)='recap S1'!AL$3)*(OFFSET(ListeB,,1)='recap S1'!AL$2)),"")</f>
        <v/>
      </c>
      <c r="AM26" s="32" t="str">
        <f ca="1">IF(SUMPRODUCT((ListeB='recap S1'!$B26)*(OFFSET(ListeB,,4)='recap S1'!AM$3)*(OFFSET(ListeB,,1)='recap S1'!AM$2))&gt;0,SUMPRODUCT((ListeB='recap S1'!$B26)*(OFFSET(ListeB,,4)='recap S1'!AM$3)*(OFFSET(ListeB,,1)='recap S1'!AM$2)),"")</f>
        <v/>
      </c>
      <c r="AN26" s="32" t="str">
        <f ca="1">IF(SUMPRODUCT((ListeB='recap S1'!$B26)*(OFFSET(ListeB,,4)='recap S1'!AN$3)*(OFFSET(ListeB,,1)='recap S1'!AN$2))&gt;0,SUMPRODUCT((ListeB='recap S1'!$B26)*(OFFSET(ListeB,,4)='recap S1'!AN$3)*(OFFSET(ListeB,,1)='recap S1'!AN$2)),"")</f>
        <v/>
      </c>
      <c r="AO26" s="32" t="str">
        <f ca="1">IF(SUMPRODUCT((ListeB='recap S1'!$B26)*(OFFSET(ListeB,,4)='recap S1'!AO$3)*(OFFSET(ListeB,,1)='recap S1'!AO$2))&gt;0,SUMPRODUCT((ListeB='recap S1'!$B26)*(OFFSET(ListeB,,4)='recap S1'!AO$3)*(OFFSET(ListeB,,1)='recap S1'!AO$2)),"")</f>
        <v/>
      </c>
      <c r="AP26" s="32" t="str">
        <f ca="1">IF(SUMPRODUCT((ListeB='recap S1'!$B26)*(OFFSET(ListeB,,4)='recap S1'!AP$3)*(OFFSET(ListeB,,1)='recap S1'!AP$2))&gt;0,SUMPRODUCT((ListeB='recap S1'!$B26)*(OFFSET(ListeB,,4)='recap S1'!AP$3)*(OFFSET(ListeB,,1)='recap S1'!AP$2)),"")</f>
        <v/>
      </c>
      <c r="AQ26" s="32" t="str">
        <f ca="1">IF(SUMPRODUCT((ListeB='recap S1'!$B26)*(OFFSET(ListeB,,4)='recap S1'!AQ$3)*(OFFSET(ListeB,,1)='recap S1'!AQ$2))&gt;0,SUMPRODUCT((ListeB='recap S1'!$B26)*(OFFSET(ListeB,,4)='recap S1'!AQ$3)*(OFFSET(ListeB,,1)='recap S1'!AQ$2)),"")</f>
        <v/>
      </c>
      <c r="AR26" s="32" t="str">
        <f ca="1">IF(SUMPRODUCT((ListeB='recap S1'!$B26)*(OFFSET(ListeB,,4)='recap S1'!AR$3)*(OFFSET(ListeB,,1)='recap S1'!AR$2))&gt;0,SUMPRODUCT((ListeB='recap S1'!$B26)*(OFFSET(ListeB,,4)='recap S1'!AR$3)*(OFFSET(ListeB,,1)='recap S1'!AR$2)),"")</f>
        <v/>
      </c>
      <c r="AS26" s="32" t="str">
        <f ca="1">IF(SUMPRODUCT((ListeB='recap S1'!$B26)*(OFFSET(ListeB,,4)='recap S1'!AS$3)*(OFFSET(ListeB,,1)='recap S1'!AS$2))&gt;0,SUMPRODUCT((ListeB='recap S1'!$B26)*(OFFSET(ListeB,,4)='recap S1'!AS$3)*(OFFSET(ListeB,,1)='recap S1'!AS$2)),"")</f>
        <v/>
      </c>
      <c r="AT26" s="32" t="str">
        <f ca="1">IF(SUMPRODUCT((ListeB='recap S1'!$B26)*(OFFSET(ListeB,,4)='recap S1'!AT$3)*(OFFSET(ListeB,,1)='recap S1'!AT$2))&gt;0,SUMPRODUCT((ListeB='recap S1'!$B26)*(OFFSET(ListeB,,4)='recap S1'!AT$3)*(OFFSET(ListeB,,1)='recap S1'!AT$2)),"")</f>
        <v/>
      </c>
      <c r="AU26" s="32" t="str">
        <f ca="1">IF(SUMPRODUCT((ListeB='recap S1'!$B26)*(OFFSET(ListeB,,4)='recap S1'!AU$3)*(OFFSET(ListeB,,1)='recap S1'!AU$2))&gt;0,SUMPRODUCT((ListeB='recap S1'!$B26)*(OFFSET(ListeB,,4)='recap S1'!AU$3)*(OFFSET(ListeB,,1)='recap S1'!AU$2)),"")</f>
        <v/>
      </c>
      <c r="AV26" s="32" t="str">
        <f ca="1">IF(SUMPRODUCT((ListeB='recap S1'!$B26)*(OFFSET(ListeB,,4)='recap S1'!AV$3)*(OFFSET(ListeB,,1)='recap S1'!AV$2))&gt;0,SUMPRODUCT((ListeB='recap S1'!$B26)*(OFFSET(ListeB,,4)='recap S1'!AV$3)*(OFFSET(ListeB,,1)='recap S1'!AV$2)),"")</f>
        <v/>
      </c>
      <c r="AW26" s="32" t="str">
        <f ca="1">IF(SUMPRODUCT((ListeB='recap S1'!$B26)*(OFFSET(ListeB,,4)='recap S1'!AW$3)*(OFFSET(ListeB,,1)='recap S1'!AW$2))&gt;0,SUMPRODUCT((ListeB='recap S1'!$B26)*(OFFSET(ListeB,,4)='recap S1'!AW$3)*(OFFSET(ListeB,,1)='recap S1'!AW$2)),"")</f>
        <v/>
      </c>
      <c r="AX26" s="32" t="str">
        <f ca="1">IF(SUMPRODUCT((ListeB='recap S1'!$B26)*(OFFSET(ListeB,,4)='recap S1'!AX$3)*(OFFSET(ListeB,,1)='recap S1'!AX$2))&gt;0,SUMPRODUCT((ListeB='recap S1'!$B26)*(OFFSET(ListeB,,4)='recap S1'!AX$3)*(OFFSET(ListeB,,1)='recap S1'!AX$2)),"")</f>
        <v/>
      </c>
      <c r="AY26" s="32" t="str">
        <f ca="1">IF(SUMPRODUCT((ListeB='recap S1'!$B26)*(OFFSET(ListeB,,4)='recap S1'!AY$3)*(OFFSET(ListeB,,1)='recap S1'!AY$2))&gt;0,SUMPRODUCT((ListeB='recap S1'!$B26)*(OFFSET(ListeB,,4)='recap S1'!AY$3)*(OFFSET(ListeB,,1)='recap S1'!AY$2)),"")</f>
        <v/>
      </c>
      <c r="AZ26" s="32">
        <f t="shared" ca="1" si="0"/>
        <v>0</v>
      </c>
    </row>
    <row r="27" spans="1:52">
      <c r="A27" s="41" t="str">
        <f>IF('SEANCE 1'!$B25&lt;&gt;"",'SEANCE 1'!$A25,"")</f>
        <v/>
      </c>
      <c r="B27" s="41" t="str">
        <f t="array" aca="1" ref="B27" ca="1">IF(ISNA(INDEX(ListeB,MATCH(0,COUNTIF($B$3:B26,ListeB),0))),"",INDEX(ListeB,MATCH(0,COUNTIF($B$3:B26,ListeB),0)))</f>
        <v/>
      </c>
      <c r="C27" s="32" t="str">
        <f ca="1">IF(SUMPRODUCT((ListeB='recap S1'!$B27)*(OFFSET(ListeB,,4)='recap S1'!C$3)*(OFFSET(ListeB,,1)='recap S1'!C$2))&gt;0,SUMPRODUCT((ListeB='recap S1'!$B27)*(OFFSET(ListeB,,4)='recap S1'!C$3)*(OFFSET(ListeB,,1)='recap S1'!C$2)),"")</f>
        <v/>
      </c>
      <c r="D27" s="32" t="str">
        <f ca="1">IF(SUMPRODUCT((ListeB='recap S1'!$B27)*(OFFSET(ListeB,,4)='recap S1'!D$3)*(OFFSET(ListeB,,1)='recap S1'!D$2))&gt;0,SUMPRODUCT((ListeB='recap S1'!$B27)*(OFFSET(ListeB,,4)='recap S1'!D$3)*(OFFSET(ListeB,,1)='recap S1'!D$2)),"")</f>
        <v/>
      </c>
      <c r="E27" s="32" t="str">
        <f ca="1">IF(SUMPRODUCT((ListeB='recap S1'!$B27)*(OFFSET(ListeB,,4)='recap S1'!E$3)*(OFFSET(ListeB,,1)='recap S1'!E$2))&gt;0,SUMPRODUCT((ListeB='recap S1'!$B27)*(OFFSET(ListeB,,4)='recap S1'!E$3)*(OFFSET(ListeB,,1)='recap S1'!E$2)),"")</f>
        <v/>
      </c>
      <c r="F27" s="32" t="str">
        <f ca="1">IF(SUMPRODUCT((ListeB='recap S1'!$B27)*(OFFSET(ListeB,,4)='recap S1'!F$3)*(OFFSET(ListeB,,1)='recap S1'!F$2))&gt;0,SUMPRODUCT((ListeB='recap S1'!$B27)*(OFFSET(ListeB,,4)='recap S1'!F$3)*(OFFSET(ListeB,,1)='recap S1'!F$2)),"")</f>
        <v/>
      </c>
      <c r="G27" s="32" t="str">
        <f ca="1">IF(SUMPRODUCT((ListeB='recap S1'!$B27)*(OFFSET(ListeB,,4)='recap S1'!G$3)*(OFFSET(ListeB,,1)='recap S1'!G$2))&gt;0,SUMPRODUCT((ListeB='recap S1'!$B27)*(OFFSET(ListeB,,4)='recap S1'!G$3)*(OFFSET(ListeB,,1)='recap S1'!G$2)),"")</f>
        <v/>
      </c>
      <c r="H27" s="32" t="str">
        <f ca="1">IF(SUMPRODUCT((ListeB='recap S1'!$B27)*(OFFSET(ListeB,,4)='recap S1'!H$3)*(OFFSET(ListeB,,1)='recap S1'!H$2))&gt;0,SUMPRODUCT((ListeB='recap S1'!$B27)*(OFFSET(ListeB,,4)='recap S1'!H$3)*(OFFSET(ListeB,,1)='recap S1'!H$2)),"")</f>
        <v/>
      </c>
      <c r="I27" s="32" t="str">
        <f ca="1">IF(SUMPRODUCT((ListeB='recap S1'!$B27)*(OFFSET(ListeB,,4)='recap S1'!I$3)*(OFFSET(ListeB,,1)='recap S1'!I$2))&gt;0,SUMPRODUCT((ListeB='recap S1'!$B27)*(OFFSET(ListeB,,4)='recap S1'!I$3)*(OFFSET(ListeB,,1)='recap S1'!I$2)),"")</f>
        <v/>
      </c>
      <c r="J27" s="32" t="str">
        <f ca="1">IF(SUMPRODUCT((ListeB='recap S1'!$B27)*(OFFSET(ListeB,,4)='recap S1'!J$3)*(OFFSET(ListeB,,1)='recap S1'!J$2))&gt;0,SUMPRODUCT((ListeB='recap S1'!$B27)*(OFFSET(ListeB,,4)='recap S1'!J$3)*(OFFSET(ListeB,,1)='recap S1'!J$2)),"")</f>
        <v/>
      </c>
      <c r="K27" s="32" t="str">
        <f ca="1">IF(SUMPRODUCT((ListeB='recap S1'!$B27)*(OFFSET(ListeB,,4)='recap S1'!K$3)*(OFFSET(ListeB,,1)='recap S1'!K$2))&gt;0,SUMPRODUCT((ListeB='recap S1'!$B27)*(OFFSET(ListeB,,4)='recap S1'!K$3)*(OFFSET(ListeB,,1)='recap S1'!K$2)),"")</f>
        <v/>
      </c>
      <c r="L27" s="32" t="str">
        <f ca="1">IF(SUMPRODUCT((ListeB='recap S1'!$B27)*(OFFSET(ListeB,,4)='recap S1'!L$3)*(OFFSET(ListeB,,1)='recap S1'!L$2))&gt;0,SUMPRODUCT((ListeB='recap S1'!$B27)*(OFFSET(ListeB,,4)='recap S1'!L$3)*(OFFSET(ListeB,,1)='recap S1'!L$2)),"")</f>
        <v/>
      </c>
      <c r="M27" s="32" t="str">
        <f ca="1">IF(SUMPRODUCT((ListeB='recap S1'!$B27)*(OFFSET(ListeB,,4)='recap S1'!M$3)*(OFFSET(ListeB,,1)='recap S1'!M$2))&gt;0,SUMPRODUCT((ListeB='recap S1'!$B27)*(OFFSET(ListeB,,4)='recap S1'!M$3)*(OFFSET(ListeB,,1)='recap S1'!M$2)),"")</f>
        <v/>
      </c>
      <c r="N27" s="32" t="str">
        <f ca="1">IF(SUMPRODUCT((ListeB='recap S1'!$B27)*(OFFSET(ListeB,,4)='recap S1'!N$3)*(OFFSET(ListeB,,1)='recap S1'!N$2))&gt;0,SUMPRODUCT((ListeB='recap S1'!$B27)*(OFFSET(ListeB,,4)='recap S1'!N$3)*(OFFSET(ListeB,,1)='recap S1'!N$2)),"")</f>
        <v/>
      </c>
      <c r="O27" s="32" t="str">
        <f ca="1">IF(SUMPRODUCT((ListeB='recap S1'!$B27)*(OFFSET(ListeB,,4)='recap S1'!O$3)*(OFFSET(ListeB,,1)='recap S1'!O$2))&gt;0,SUMPRODUCT((ListeB='recap S1'!$B27)*(OFFSET(ListeB,,4)='recap S1'!O$3)*(OFFSET(ListeB,,1)='recap S1'!O$2)),"")</f>
        <v/>
      </c>
      <c r="P27" s="32" t="str">
        <f ca="1">IF(SUMPRODUCT((ListeB='recap S1'!$B27)*(OFFSET(ListeB,,4)='recap S1'!P$3)*(OFFSET(ListeB,,1)='recap S1'!P$2))&gt;0,SUMPRODUCT((ListeB='recap S1'!$B27)*(OFFSET(ListeB,,4)='recap S1'!P$3)*(OFFSET(ListeB,,1)='recap S1'!P$2)),"")</f>
        <v/>
      </c>
      <c r="Q27" s="32" t="str">
        <f ca="1">IF(SUMPRODUCT((ListeB='recap S1'!$B27)*(OFFSET(ListeB,,4)='recap S1'!Q$3)*(OFFSET(ListeB,,1)='recap S1'!Q$2))&gt;0,SUMPRODUCT((ListeB='recap S1'!$B27)*(OFFSET(ListeB,,4)='recap S1'!Q$3)*(OFFSET(ListeB,,1)='recap S1'!Q$2)),"")</f>
        <v/>
      </c>
      <c r="R27" s="32" t="str">
        <f ca="1">IF(SUMPRODUCT((ListeB='recap S1'!$B27)*(OFFSET(ListeB,,4)='recap S1'!R$3)*(OFFSET(ListeB,,1)='recap S1'!R$2))&gt;0,SUMPRODUCT((ListeB='recap S1'!$B27)*(OFFSET(ListeB,,4)='recap S1'!R$3)*(OFFSET(ListeB,,1)='recap S1'!R$2)),"")</f>
        <v/>
      </c>
      <c r="S27" s="32" t="str">
        <f ca="1">IF(SUMPRODUCT((ListeB='recap S1'!$B27)*(OFFSET(ListeB,,4)='recap S1'!S$3)*(OFFSET(ListeB,,1)='recap S1'!S$2))&gt;0,SUMPRODUCT((ListeB='recap S1'!$B27)*(OFFSET(ListeB,,4)='recap S1'!S$3)*(OFFSET(ListeB,,1)='recap S1'!S$2)),"")</f>
        <v/>
      </c>
      <c r="T27" s="32" t="str">
        <f ca="1">IF(SUMPRODUCT((ListeB='recap S1'!$B27)*(OFFSET(ListeB,,4)='recap S1'!T$3)*(OFFSET(ListeB,,1)='recap S1'!T$2))&gt;0,SUMPRODUCT((ListeB='recap S1'!$B27)*(OFFSET(ListeB,,4)='recap S1'!T$3)*(OFFSET(ListeB,,1)='recap S1'!T$2)),"")</f>
        <v/>
      </c>
      <c r="U27" s="32" t="str">
        <f ca="1">IF(SUMPRODUCT((ListeB='recap S1'!$B27)*(OFFSET(ListeB,,4)='recap S1'!U$3)*(OFFSET(ListeB,,1)='recap S1'!U$2))&gt;0,SUMPRODUCT((ListeB='recap S1'!$B27)*(OFFSET(ListeB,,4)='recap S1'!U$3)*(OFFSET(ListeB,,1)='recap S1'!U$2)),"")</f>
        <v/>
      </c>
      <c r="V27" s="32" t="str">
        <f ca="1">IF(SUMPRODUCT((ListeB='recap S1'!$B27)*(OFFSET(ListeB,,4)='recap S1'!V$3)*(OFFSET(ListeB,,1)='recap S1'!V$2))&gt;0,SUMPRODUCT((ListeB='recap S1'!$B27)*(OFFSET(ListeB,,4)='recap S1'!V$3)*(OFFSET(ListeB,,1)='recap S1'!V$2)),"")</f>
        <v/>
      </c>
      <c r="W27" s="32" t="str">
        <f ca="1">IF(SUMPRODUCT((ListeB='recap S1'!$B27)*(OFFSET(ListeB,,4)='recap S1'!W$3)*(OFFSET(ListeB,,1)='recap S1'!W$2))&gt;0,SUMPRODUCT((ListeB='recap S1'!$B27)*(OFFSET(ListeB,,4)='recap S1'!W$3)*(OFFSET(ListeB,,1)='recap S1'!W$2)),"")</f>
        <v/>
      </c>
      <c r="X27" s="32" t="str">
        <f ca="1">IF(SUMPRODUCT((ListeB='recap S1'!$B27)*(OFFSET(ListeB,,4)='recap S1'!X$3)*(OFFSET(ListeB,,1)='recap S1'!X$2))&gt;0,SUMPRODUCT((ListeB='recap S1'!$B27)*(OFFSET(ListeB,,4)='recap S1'!X$3)*(OFFSET(ListeB,,1)='recap S1'!X$2)),"")</f>
        <v/>
      </c>
      <c r="Y27" s="32" t="str">
        <f ca="1">IF(SUMPRODUCT((ListeB='recap S1'!$B27)*(OFFSET(ListeB,,4)='recap S1'!Y$3)*(OFFSET(ListeB,,1)='recap S1'!Y$2))&gt;0,SUMPRODUCT((ListeB='recap S1'!$B27)*(OFFSET(ListeB,,4)='recap S1'!Y$3)*(OFFSET(ListeB,,1)='recap S1'!Y$2)),"")</f>
        <v/>
      </c>
      <c r="Z27" s="32" t="str">
        <f ca="1">IF(SUMPRODUCT((ListeB='recap S1'!$B27)*(OFFSET(ListeB,,4)='recap S1'!Z$3)*(OFFSET(ListeB,,1)='recap S1'!Z$2))&gt;0,SUMPRODUCT((ListeB='recap S1'!$B27)*(OFFSET(ListeB,,4)='recap S1'!Z$3)*(OFFSET(ListeB,,1)='recap S1'!Z$2)),"")</f>
        <v/>
      </c>
      <c r="AA27" s="32" t="str">
        <f ca="1">IF(SUMPRODUCT((ListeB='recap S1'!$B27)*(OFFSET(ListeB,,4)='recap S1'!AA$3)*(OFFSET(ListeB,,1)='recap S1'!AA$2))&gt;0,SUMPRODUCT((ListeB='recap S1'!$B27)*(OFFSET(ListeB,,4)='recap S1'!AA$3)*(OFFSET(ListeB,,1)='recap S1'!AA$2)),"")</f>
        <v/>
      </c>
      <c r="AB27" s="32" t="str">
        <f ca="1">IF(SUMPRODUCT((ListeB='recap S1'!$B27)*(OFFSET(ListeB,,4)='recap S1'!AB$3)*(OFFSET(ListeB,,1)='recap S1'!AB$2))&gt;0,SUMPRODUCT((ListeB='recap S1'!$B27)*(OFFSET(ListeB,,4)='recap S1'!AB$3)*(OFFSET(ListeB,,1)='recap S1'!AB$2)),"")</f>
        <v/>
      </c>
      <c r="AC27" s="32" t="str">
        <f ca="1">IF(SUMPRODUCT((ListeB='recap S1'!$B27)*(OFFSET(ListeB,,4)='recap S1'!AC$3)*(OFFSET(ListeB,,1)='recap S1'!AC$2))&gt;0,SUMPRODUCT((ListeB='recap S1'!$B27)*(OFFSET(ListeB,,4)='recap S1'!AC$3)*(OFFSET(ListeB,,1)='recap S1'!AC$2)),"")</f>
        <v/>
      </c>
      <c r="AD27" s="32" t="str">
        <f ca="1">IF(SUMPRODUCT((ListeB='recap S1'!$B27)*(OFFSET(ListeB,,4)='recap S1'!AD$3)*(OFFSET(ListeB,,1)='recap S1'!AD$2))&gt;0,SUMPRODUCT((ListeB='recap S1'!$B27)*(OFFSET(ListeB,,4)='recap S1'!AD$3)*(OFFSET(ListeB,,1)='recap S1'!AD$2)),"")</f>
        <v/>
      </c>
      <c r="AE27" s="32" t="str">
        <f ca="1">IF(SUMPRODUCT((ListeB='recap S1'!$B27)*(OFFSET(ListeB,,4)='recap S1'!AE$3)*(OFFSET(ListeB,,1)='recap S1'!AE$2))&gt;0,SUMPRODUCT((ListeB='recap S1'!$B27)*(OFFSET(ListeB,,4)='recap S1'!AE$3)*(OFFSET(ListeB,,1)='recap S1'!AE$2)),"")</f>
        <v/>
      </c>
      <c r="AF27" s="32" t="str">
        <f ca="1">IF(SUMPRODUCT((ListeB='recap S1'!$B27)*(OFFSET(ListeB,,4)='recap S1'!AF$3)*(OFFSET(ListeB,,1)='recap S1'!AF$2))&gt;0,SUMPRODUCT((ListeB='recap S1'!$B27)*(OFFSET(ListeB,,4)='recap S1'!AF$3)*(OFFSET(ListeB,,1)='recap S1'!AF$2)),"")</f>
        <v/>
      </c>
      <c r="AG27" s="32" t="str">
        <f ca="1">IF(SUMPRODUCT((ListeB='recap S1'!$B27)*(OFFSET(ListeB,,4)='recap S1'!AG$3)*(OFFSET(ListeB,,1)='recap S1'!AG$2))&gt;0,SUMPRODUCT((ListeB='recap S1'!$B27)*(OFFSET(ListeB,,4)='recap S1'!AG$3)*(OFFSET(ListeB,,1)='recap S1'!AG$2)),"")</f>
        <v/>
      </c>
      <c r="AH27" s="32" t="str">
        <f ca="1">IF(SUMPRODUCT((ListeB='recap S1'!$B27)*(OFFSET(ListeB,,4)='recap S1'!AH$3)*(OFFSET(ListeB,,1)='recap S1'!AH$2))&gt;0,SUMPRODUCT((ListeB='recap S1'!$B27)*(OFFSET(ListeB,,4)='recap S1'!AH$3)*(OFFSET(ListeB,,1)='recap S1'!AH$2)),"")</f>
        <v/>
      </c>
      <c r="AI27" s="32" t="str">
        <f ca="1">IF(SUMPRODUCT((ListeB='recap S1'!$B27)*(OFFSET(ListeB,,4)='recap S1'!AI$3)*(OFFSET(ListeB,,1)='recap S1'!AI$2))&gt;0,SUMPRODUCT((ListeB='recap S1'!$B27)*(OFFSET(ListeB,,4)='recap S1'!AI$3)*(OFFSET(ListeB,,1)='recap S1'!AI$2)),"")</f>
        <v/>
      </c>
      <c r="AJ27" s="32" t="str">
        <f ca="1">IF(SUMPRODUCT((ListeB='recap S1'!$B27)*(OFFSET(ListeB,,4)='recap S1'!AJ$3)*(OFFSET(ListeB,,1)='recap S1'!AJ$2))&gt;0,SUMPRODUCT((ListeB='recap S1'!$B27)*(OFFSET(ListeB,,4)='recap S1'!AJ$3)*(OFFSET(ListeB,,1)='recap S1'!AJ$2)),"")</f>
        <v/>
      </c>
      <c r="AK27" s="32" t="str">
        <f ca="1">IF(SUMPRODUCT((ListeB='recap S1'!$B27)*(OFFSET(ListeB,,4)='recap S1'!AK$3)*(OFFSET(ListeB,,1)='recap S1'!AK$2))&gt;0,SUMPRODUCT((ListeB='recap S1'!$B27)*(OFFSET(ListeB,,4)='recap S1'!AK$3)*(OFFSET(ListeB,,1)='recap S1'!AK$2)),"")</f>
        <v/>
      </c>
      <c r="AL27" s="32" t="str">
        <f ca="1">IF(SUMPRODUCT((ListeB='recap S1'!$B27)*(OFFSET(ListeB,,4)='recap S1'!AL$3)*(OFFSET(ListeB,,1)='recap S1'!AL$2))&gt;0,SUMPRODUCT((ListeB='recap S1'!$B27)*(OFFSET(ListeB,,4)='recap S1'!AL$3)*(OFFSET(ListeB,,1)='recap S1'!AL$2)),"")</f>
        <v/>
      </c>
      <c r="AM27" s="32" t="str">
        <f ca="1">IF(SUMPRODUCT((ListeB='recap S1'!$B27)*(OFFSET(ListeB,,4)='recap S1'!AM$3)*(OFFSET(ListeB,,1)='recap S1'!AM$2))&gt;0,SUMPRODUCT((ListeB='recap S1'!$B27)*(OFFSET(ListeB,,4)='recap S1'!AM$3)*(OFFSET(ListeB,,1)='recap S1'!AM$2)),"")</f>
        <v/>
      </c>
      <c r="AN27" s="32" t="str">
        <f ca="1">IF(SUMPRODUCT((ListeB='recap S1'!$B27)*(OFFSET(ListeB,,4)='recap S1'!AN$3)*(OFFSET(ListeB,,1)='recap S1'!AN$2))&gt;0,SUMPRODUCT((ListeB='recap S1'!$B27)*(OFFSET(ListeB,,4)='recap S1'!AN$3)*(OFFSET(ListeB,,1)='recap S1'!AN$2)),"")</f>
        <v/>
      </c>
      <c r="AO27" s="32" t="str">
        <f ca="1">IF(SUMPRODUCT((ListeB='recap S1'!$B27)*(OFFSET(ListeB,,4)='recap S1'!AO$3)*(OFFSET(ListeB,,1)='recap S1'!AO$2))&gt;0,SUMPRODUCT((ListeB='recap S1'!$B27)*(OFFSET(ListeB,,4)='recap S1'!AO$3)*(OFFSET(ListeB,,1)='recap S1'!AO$2)),"")</f>
        <v/>
      </c>
      <c r="AP27" s="32" t="str">
        <f ca="1">IF(SUMPRODUCT((ListeB='recap S1'!$B27)*(OFFSET(ListeB,,4)='recap S1'!AP$3)*(OFFSET(ListeB,,1)='recap S1'!AP$2))&gt;0,SUMPRODUCT((ListeB='recap S1'!$B27)*(OFFSET(ListeB,,4)='recap S1'!AP$3)*(OFFSET(ListeB,,1)='recap S1'!AP$2)),"")</f>
        <v/>
      </c>
      <c r="AQ27" s="32" t="str">
        <f ca="1">IF(SUMPRODUCT((ListeB='recap S1'!$B27)*(OFFSET(ListeB,,4)='recap S1'!AQ$3)*(OFFSET(ListeB,,1)='recap S1'!AQ$2))&gt;0,SUMPRODUCT((ListeB='recap S1'!$B27)*(OFFSET(ListeB,,4)='recap S1'!AQ$3)*(OFFSET(ListeB,,1)='recap S1'!AQ$2)),"")</f>
        <v/>
      </c>
      <c r="AR27" s="32" t="str">
        <f ca="1">IF(SUMPRODUCT((ListeB='recap S1'!$B27)*(OFFSET(ListeB,,4)='recap S1'!AR$3)*(OFFSET(ListeB,,1)='recap S1'!AR$2))&gt;0,SUMPRODUCT((ListeB='recap S1'!$B27)*(OFFSET(ListeB,,4)='recap S1'!AR$3)*(OFFSET(ListeB,,1)='recap S1'!AR$2)),"")</f>
        <v/>
      </c>
      <c r="AS27" s="32" t="str">
        <f ca="1">IF(SUMPRODUCT((ListeB='recap S1'!$B27)*(OFFSET(ListeB,,4)='recap S1'!AS$3)*(OFFSET(ListeB,,1)='recap S1'!AS$2))&gt;0,SUMPRODUCT((ListeB='recap S1'!$B27)*(OFFSET(ListeB,,4)='recap S1'!AS$3)*(OFFSET(ListeB,,1)='recap S1'!AS$2)),"")</f>
        <v/>
      </c>
      <c r="AT27" s="32" t="str">
        <f ca="1">IF(SUMPRODUCT((ListeB='recap S1'!$B27)*(OFFSET(ListeB,,4)='recap S1'!AT$3)*(OFFSET(ListeB,,1)='recap S1'!AT$2))&gt;0,SUMPRODUCT((ListeB='recap S1'!$B27)*(OFFSET(ListeB,,4)='recap S1'!AT$3)*(OFFSET(ListeB,,1)='recap S1'!AT$2)),"")</f>
        <v/>
      </c>
      <c r="AU27" s="32" t="str">
        <f ca="1">IF(SUMPRODUCT((ListeB='recap S1'!$B27)*(OFFSET(ListeB,,4)='recap S1'!AU$3)*(OFFSET(ListeB,,1)='recap S1'!AU$2))&gt;0,SUMPRODUCT((ListeB='recap S1'!$B27)*(OFFSET(ListeB,,4)='recap S1'!AU$3)*(OFFSET(ListeB,,1)='recap S1'!AU$2)),"")</f>
        <v/>
      </c>
      <c r="AV27" s="32" t="str">
        <f ca="1">IF(SUMPRODUCT((ListeB='recap S1'!$B27)*(OFFSET(ListeB,,4)='recap S1'!AV$3)*(OFFSET(ListeB,,1)='recap S1'!AV$2))&gt;0,SUMPRODUCT((ListeB='recap S1'!$B27)*(OFFSET(ListeB,,4)='recap S1'!AV$3)*(OFFSET(ListeB,,1)='recap S1'!AV$2)),"")</f>
        <v/>
      </c>
      <c r="AW27" s="32" t="str">
        <f ca="1">IF(SUMPRODUCT((ListeB='recap S1'!$B27)*(OFFSET(ListeB,,4)='recap S1'!AW$3)*(OFFSET(ListeB,,1)='recap S1'!AW$2))&gt;0,SUMPRODUCT((ListeB='recap S1'!$B27)*(OFFSET(ListeB,,4)='recap S1'!AW$3)*(OFFSET(ListeB,,1)='recap S1'!AW$2)),"")</f>
        <v/>
      </c>
      <c r="AX27" s="32" t="str">
        <f ca="1">IF(SUMPRODUCT((ListeB='recap S1'!$B27)*(OFFSET(ListeB,,4)='recap S1'!AX$3)*(OFFSET(ListeB,,1)='recap S1'!AX$2))&gt;0,SUMPRODUCT((ListeB='recap S1'!$B27)*(OFFSET(ListeB,,4)='recap S1'!AX$3)*(OFFSET(ListeB,,1)='recap S1'!AX$2)),"")</f>
        <v/>
      </c>
      <c r="AY27" s="32" t="str">
        <f ca="1">IF(SUMPRODUCT((ListeB='recap S1'!$B27)*(OFFSET(ListeB,,4)='recap S1'!AY$3)*(OFFSET(ListeB,,1)='recap S1'!AY$2))&gt;0,SUMPRODUCT((ListeB='recap S1'!$B27)*(OFFSET(ListeB,,4)='recap S1'!AY$3)*(OFFSET(ListeB,,1)='recap S1'!AY$2)),"")</f>
        <v/>
      </c>
      <c r="AZ27" s="32">
        <f t="shared" ca="1" si="0"/>
        <v>0</v>
      </c>
    </row>
    <row r="28" spans="1:52">
      <c r="A28" s="41" t="str">
        <f>IF('SEANCE 1'!$B26&lt;&gt;"",'SEANCE 1'!$A26,"")</f>
        <v/>
      </c>
      <c r="B28" s="41" t="str">
        <f t="array" aca="1" ref="B28" ca="1">IF(ISNA(INDEX(ListeB,MATCH(0,COUNTIF($B$3:B27,ListeB),0))),"",INDEX(ListeB,MATCH(0,COUNTIF($B$3:B27,ListeB),0)))</f>
        <v/>
      </c>
      <c r="C28" s="32" t="str">
        <f ca="1">IF(SUMPRODUCT((ListeB='recap S1'!$B28)*(OFFSET(ListeB,,4)='recap S1'!C$3)*(OFFSET(ListeB,,1)='recap S1'!C$2))&gt;0,SUMPRODUCT((ListeB='recap S1'!$B28)*(OFFSET(ListeB,,4)='recap S1'!C$3)*(OFFSET(ListeB,,1)='recap S1'!C$2)),"")</f>
        <v/>
      </c>
      <c r="D28" s="32" t="str">
        <f ca="1">IF(SUMPRODUCT((ListeB='recap S1'!$B28)*(OFFSET(ListeB,,4)='recap S1'!D$3)*(OFFSET(ListeB,,1)='recap S1'!D$2))&gt;0,SUMPRODUCT((ListeB='recap S1'!$B28)*(OFFSET(ListeB,,4)='recap S1'!D$3)*(OFFSET(ListeB,,1)='recap S1'!D$2)),"")</f>
        <v/>
      </c>
      <c r="E28" s="32" t="str">
        <f ca="1">IF(SUMPRODUCT((ListeB='recap S1'!$B28)*(OFFSET(ListeB,,4)='recap S1'!E$3)*(OFFSET(ListeB,,1)='recap S1'!E$2))&gt;0,SUMPRODUCT((ListeB='recap S1'!$B28)*(OFFSET(ListeB,,4)='recap S1'!E$3)*(OFFSET(ListeB,,1)='recap S1'!E$2)),"")</f>
        <v/>
      </c>
      <c r="F28" s="32" t="str">
        <f ca="1">IF(SUMPRODUCT((ListeB='recap S1'!$B28)*(OFFSET(ListeB,,4)='recap S1'!F$3)*(OFFSET(ListeB,,1)='recap S1'!F$2))&gt;0,SUMPRODUCT((ListeB='recap S1'!$B28)*(OFFSET(ListeB,,4)='recap S1'!F$3)*(OFFSET(ListeB,,1)='recap S1'!F$2)),"")</f>
        <v/>
      </c>
      <c r="G28" s="32" t="str">
        <f ca="1">IF(SUMPRODUCT((ListeB='recap S1'!$B28)*(OFFSET(ListeB,,4)='recap S1'!G$3)*(OFFSET(ListeB,,1)='recap S1'!G$2))&gt;0,SUMPRODUCT((ListeB='recap S1'!$B28)*(OFFSET(ListeB,,4)='recap S1'!G$3)*(OFFSET(ListeB,,1)='recap S1'!G$2)),"")</f>
        <v/>
      </c>
      <c r="H28" s="32" t="str">
        <f ca="1">IF(SUMPRODUCT((ListeB='recap S1'!$B28)*(OFFSET(ListeB,,4)='recap S1'!H$3)*(OFFSET(ListeB,,1)='recap S1'!H$2))&gt;0,SUMPRODUCT((ListeB='recap S1'!$B28)*(OFFSET(ListeB,,4)='recap S1'!H$3)*(OFFSET(ListeB,,1)='recap S1'!H$2)),"")</f>
        <v/>
      </c>
      <c r="I28" s="32" t="str">
        <f ca="1">IF(SUMPRODUCT((ListeB='recap S1'!$B28)*(OFFSET(ListeB,,4)='recap S1'!I$3)*(OFFSET(ListeB,,1)='recap S1'!I$2))&gt;0,SUMPRODUCT((ListeB='recap S1'!$B28)*(OFFSET(ListeB,,4)='recap S1'!I$3)*(OFFSET(ListeB,,1)='recap S1'!I$2)),"")</f>
        <v/>
      </c>
      <c r="J28" s="32" t="str">
        <f ca="1">IF(SUMPRODUCT((ListeB='recap S1'!$B28)*(OFFSET(ListeB,,4)='recap S1'!J$3)*(OFFSET(ListeB,,1)='recap S1'!J$2))&gt;0,SUMPRODUCT((ListeB='recap S1'!$B28)*(OFFSET(ListeB,,4)='recap S1'!J$3)*(OFFSET(ListeB,,1)='recap S1'!J$2)),"")</f>
        <v/>
      </c>
      <c r="K28" s="32" t="str">
        <f ca="1">IF(SUMPRODUCT((ListeB='recap S1'!$B28)*(OFFSET(ListeB,,4)='recap S1'!K$3)*(OFFSET(ListeB,,1)='recap S1'!K$2))&gt;0,SUMPRODUCT((ListeB='recap S1'!$B28)*(OFFSET(ListeB,,4)='recap S1'!K$3)*(OFFSET(ListeB,,1)='recap S1'!K$2)),"")</f>
        <v/>
      </c>
      <c r="L28" s="32" t="str">
        <f ca="1">IF(SUMPRODUCT((ListeB='recap S1'!$B28)*(OFFSET(ListeB,,4)='recap S1'!L$3)*(OFFSET(ListeB,,1)='recap S1'!L$2))&gt;0,SUMPRODUCT((ListeB='recap S1'!$B28)*(OFFSET(ListeB,,4)='recap S1'!L$3)*(OFFSET(ListeB,,1)='recap S1'!L$2)),"")</f>
        <v/>
      </c>
      <c r="M28" s="32" t="str">
        <f ca="1">IF(SUMPRODUCT((ListeB='recap S1'!$B28)*(OFFSET(ListeB,,4)='recap S1'!M$3)*(OFFSET(ListeB,,1)='recap S1'!M$2))&gt;0,SUMPRODUCT((ListeB='recap S1'!$B28)*(OFFSET(ListeB,,4)='recap S1'!M$3)*(OFFSET(ListeB,,1)='recap S1'!M$2)),"")</f>
        <v/>
      </c>
      <c r="N28" s="32" t="str">
        <f ca="1">IF(SUMPRODUCT((ListeB='recap S1'!$B28)*(OFFSET(ListeB,,4)='recap S1'!N$3)*(OFFSET(ListeB,,1)='recap S1'!N$2))&gt;0,SUMPRODUCT((ListeB='recap S1'!$B28)*(OFFSET(ListeB,,4)='recap S1'!N$3)*(OFFSET(ListeB,,1)='recap S1'!N$2)),"")</f>
        <v/>
      </c>
      <c r="O28" s="32" t="str">
        <f ca="1">IF(SUMPRODUCT((ListeB='recap S1'!$B28)*(OFFSET(ListeB,,4)='recap S1'!O$3)*(OFFSET(ListeB,,1)='recap S1'!O$2))&gt;0,SUMPRODUCT((ListeB='recap S1'!$B28)*(OFFSET(ListeB,,4)='recap S1'!O$3)*(OFFSET(ListeB,,1)='recap S1'!O$2)),"")</f>
        <v/>
      </c>
      <c r="P28" s="32" t="str">
        <f ca="1">IF(SUMPRODUCT((ListeB='recap S1'!$B28)*(OFFSET(ListeB,,4)='recap S1'!P$3)*(OFFSET(ListeB,,1)='recap S1'!P$2))&gt;0,SUMPRODUCT((ListeB='recap S1'!$B28)*(OFFSET(ListeB,,4)='recap S1'!P$3)*(OFFSET(ListeB,,1)='recap S1'!P$2)),"")</f>
        <v/>
      </c>
      <c r="Q28" s="32" t="str">
        <f ca="1">IF(SUMPRODUCT((ListeB='recap S1'!$B28)*(OFFSET(ListeB,,4)='recap S1'!Q$3)*(OFFSET(ListeB,,1)='recap S1'!Q$2))&gt;0,SUMPRODUCT((ListeB='recap S1'!$B28)*(OFFSET(ListeB,,4)='recap S1'!Q$3)*(OFFSET(ListeB,,1)='recap S1'!Q$2)),"")</f>
        <v/>
      </c>
      <c r="R28" s="32" t="str">
        <f ca="1">IF(SUMPRODUCT((ListeB='recap S1'!$B28)*(OFFSET(ListeB,,4)='recap S1'!R$3)*(OFFSET(ListeB,,1)='recap S1'!R$2))&gt;0,SUMPRODUCT((ListeB='recap S1'!$B28)*(OFFSET(ListeB,,4)='recap S1'!R$3)*(OFFSET(ListeB,,1)='recap S1'!R$2)),"")</f>
        <v/>
      </c>
      <c r="S28" s="32" t="str">
        <f ca="1">IF(SUMPRODUCT((ListeB='recap S1'!$B28)*(OFFSET(ListeB,,4)='recap S1'!S$3)*(OFFSET(ListeB,,1)='recap S1'!S$2))&gt;0,SUMPRODUCT((ListeB='recap S1'!$B28)*(OFFSET(ListeB,,4)='recap S1'!S$3)*(OFFSET(ListeB,,1)='recap S1'!S$2)),"")</f>
        <v/>
      </c>
      <c r="T28" s="32" t="str">
        <f ca="1">IF(SUMPRODUCT((ListeB='recap S1'!$B28)*(OFFSET(ListeB,,4)='recap S1'!T$3)*(OFFSET(ListeB,,1)='recap S1'!T$2))&gt;0,SUMPRODUCT((ListeB='recap S1'!$B28)*(OFFSET(ListeB,,4)='recap S1'!T$3)*(OFFSET(ListeB,,1)='recap S1'!T$2)),"")</f>
        <v/>
      </c>
      <c r="U28" s="32" t="str">
        <f ca="1">IF(SUMPRODUCT((ListeB='recap S1'!$B28)*(OFFSET(ListeB,,4)='recap S1'!U$3)*(OFFSET(ListeB,,1)='recap S1'!U$2))&gt;0,SUMPRODUCT((ListeB='recap S1'!$B28)*(OFFSET(ListeB,,4)='recap S1'!U$3)*(OFFSET(ListeB,,1)='recap S1'!U$2)),"")</f>
        <v/>
      </c>
      <c r="V28" s="32" t="str">
        <f ca="1">IF(SUMPRODUCT((ListeB='recap S1'!$B28)*(OFFSET(ListeB,,4)='recap S1'!V$3)*(OFFSET(ListeB,,1)='recap S1'!V$2))&gt;0,SUMPRODUCT((ListeB='recap S1'!$B28)*(OFFSET(ListeB,,4)='recap S1'!V$3)*(OFFSET(ListeB,,1)='recap S1'!V$2)),"")</f>
        <v/>
      </c>
      <c r="W28" s="32" t="str">
        <f ca="1">IF(SUMPRODUCT((ListeB='recap S1'!$B28)*(OFFSET(ListeB,,4)='recap S1'!W$3)*(OFFSET(ListeB,,1)='recap S1'!W$2))&gt;0,SUMPRODUCT((ListeB='recap S1'!$B28)*(OFFSET(ListeB,,4)='recap S1'!W$3)*(OFFSET(ListeB,,1)='recap S1'!W$2)),"")</f>
        <v/>
      </c>
      <c r="X28" s="32" t="str">
        <f ca="1">IF(SUMPRODUCT((ListeB='recap S1'!$B28)*(OFFSET(ListeB,,4)='recap S1'!X$3)*(OFFSET(ListeB,,1)='recap S1'!X$2))&gt;0,SUMPRODUCT((ListeB='recap S1'!$B28)*(OFFSET(ListeB,,4)='recap S1'!X$3)*(OFFSET(ListeB,,1)='recap S1'!X$2)),"")</f>
        <v/>
      </c>
      <c r="Y28" s="32" t="str">
        <f ca="1">IF(SUMPRODUCT((ListeB='recap S1'!$B28)*(OFFSET(ListeB,,4)='recap S1'!Y$3)*(OFFSET(ListeB,,1)='recap S1'!Y$2))&gt;0,SUMPRODUCT((ListeB='recap S1'!$B28)*(OFFSET(ListeB,,4)='recap S1'!Y$3)*(OFFSET(ListeB,,1)='recap S1'!Y$2)),"")</f>
        <v/>
      </c>
      <c r="Z28" s="32" t="str">
        <f ca="1">IF(SUMPRODUCT((ListeB='recap S1'!$B28)*(OFFSET(ListeB,,4)='recap S1'!Z$3)*(OFFSET(ListeB,,1)='recap S1'!Z$2))&gt;0,SUMPRODUCT((ListeB='recap S1'!$B28)*(OFFSET(ListeB,,4)='recap S1'!Z$3)*(OFFSET(ListeB,,1)='recap S1'!Z$2)),"")</f>
        <v/>
      </c>
      <c r="AA28" s="32" t="str">
        <f ca="1">IF(SUMPRODUCT((ListeB='recap S1'!$B28)*(OFFSET(ListeB,,4)='recap S1'!AA$3)*(OFFSET(ListeB,,1)='recap S1'!AA$2))&gt;0,SUMPRODUCT((ListeB='recap S1'!$B28)*(OFFSET(ListeB,,4)='recap S1'!AA$3)*(OFFSET(ListeB,,1)='recap S1'!AA$2)),"")</f>
        <v/>
      </c>
      <c r="AB28" s="32" t="str">
        <f ca="1">IF(SUMPRODUCT((ListeB='recap S1'!$B28)*(OFFSET(ListeB,,4)='recap S1'!AB$3)*(OFFSET(ListeB,,1)='recap S1'!AB$2))&gt;0,SUMPRODUCT((ListeB='recap S1'!$B28)*(OFFSET(ListeB,,4)='recap S1'!AB$3)*(OFFSET(ListeB,,1)='recap S1'!AB$2)),"")</f>
        <v/>
      </c>
      <c r="AC28" s="32" t="str">
        <f ca="1">IF(SUMPRODUCT((ListeB='recap S1'!$B28)*(OFFSET(ListeB,,4)='recap S1'!AC$3)*(OFFSET(ListeB,,1)='recap S1'!AC$2))&gt;0,SUMPRODUCT((ListeB='recap S1'!$B28)*(OFFSET(ListeB,,4)='recap S1'!AC$3)*(OFFSET(ListeB,,1)='recap S1'!AC$2)),"")</f>
        <v/>
      </c>
      <c r="AD28" s="32" t="str">
        <f ca="1">IF(SUMPRODUCT((ListeB='recap S1'!$B28)*(OFFSET(ListeB,,4)='recap S1'!AD$3)*(OFFSET(ListeB,,1)='recap S1'!AD$2))&gt;0,SUMPRODUCT((ListeB='recap S1'!$B28)*(OFFSET(ListeB,,4)='recap S1'!AD$3)*(OFFSET(ListeB,,1)='recap S1'!AD$2)),"")</f>
        <v/>
      </c>
      <c r="AE28" s="32" t="str">
        <f ca="1">IF(SUMPRODUCT((ListeB='recap S1'!$B28)*(OFFSET(ListeB,,4)='recap S1'!AE$3)*(OFFSET(ListeB,,1)='recap S1'!AE$2))&gt;0,SUMPRODUCT((ListeB='recap S1'!$B28)*(OFFSET(ListeB,,4)='recap S1'!AE$3)*(OFFSET(ListeB,,1)='recap S1'!AE$2)),"")</f>
        <v/>
      </c>
      <c r="AF28" s="32" t="str">
        <f ca="1">IF(SUMPRODUCT((ListeB='recap S1'!$B28)*(OFFSET(ListeB,,4)='recap S1'!AF$3)*(OFFSET(ListeB,,1)='recap S1'!AF$2))&gt;0,SUMPRODUCT((ListeB='recap S1'!$B28)*(OFFSET(ListeB,,4)='recap S1'!AF$3)*(OFFSET(ListeB,,1)='recap S1'!AF$2)),"")</f>
        <v/>
      </c>
      <c r="AG28" s="32" t="str">
        <f ca="1">IF(SUMPRODUCT((ListeB='recap S1'!$B28)*(OFFSET(ListeB,,4)='recap S1'!AG$3)*(OFFSET(ListeB,,1)='recap S1'!AG$2))&gt;0,SUMPRODUCT((ListeB='recap S1'!$B28)*(OFFSET(ListeB,,4)='recap S1'!AG$3)*(OFFSET(ListeB,,1)='recap S1'!AG$2)),"")</f>
        <v/>
      </c>
      <c r="AH28" s="32" t="str">
        <f ca="1">IF(SUMPRODUCT((ListeB='recap S1'!$B28)*(OFFSET(ListeB,,4)='recap S1'!AH$3)*(OFFSET(ListeB,,1)='recap S1'!AH$2))&gt;0,SUMPRODUCT((ListeB='recap S1'!$B28)*(OFFSET(ListeB,,4)='recap S1'!AH$3)*(OFFSET(ListeB,,1)='recap S1'!AH$2)),"")</f>
        <v/>
      </c>
      <c r="AI28" s="32" t="str">
        <f ca="1">IF(SUMPRODUCT((ListeB='recap S1'!$B28)*(OFFSET(ListeB,,4)='recap S1'!AI$3)*(OFFSET(ListeB,,1)='recap S1'!AI$2))&gt;0,SUMPRODUCT((ListeB='recap S1'!$B28)*(OFFSET(ListeB,,4)='recap S1'!AI$3)*(OFFSET(ListeB,,1)='recap S1'!AI$2)),"")</f>
        <v/>
      </c>
      <c r="AJ28" s="32" t="str">
        <f ca="1">IF(SUMPRODUCT((ListeB='recap S1'!$B28)*(OFFSET(ListeB,,4)='recap S1'!AJ$3)*(OFFSET(ListeB,,1)='recap S1'!AJ$2))&gt;0,SUMPRODUCT((ListeB='recap S1'!$B28)*(OFFSET(ListeB,,4)='recap S1'!AJ$3)*(OFFSET(ListeB,,1)='recap S1'!AJ$2)),"")</f>
        <v/>
      </c>
      <c r="AK28" s="32" t="str">
        <f ca="1">IF(SUMPRODUCT((ListeB='recap S1'!$B28)*(OFFSET(ListeB,,4)='recap S1'!AK$3)*(OFFSET(ListeB,,1)='recap S1'!AK$2))&gt;0,SUMPRODUCT((ListeB='recap S1'!$B28)*(OFFSET(ListeB,,4)='recap S1'!AK$3)*(OFFSET(ListeB,,1)='recap S1'!AK$2)),"")</f>
        <v/>
      </c>
      <c r="AL28" s="32" t="str">
        <f ca="1">IF(SUMPRODUCT((ListeB='recap S1'!$B28)*(OFFSET(ListeB,,4)='recap S1'!AL$3)*(OFFSET(ListeB,,1)='recap S1'!AL$2))&gt;0,SUMPRODUCT((ListeB='recap S1'!$B28)*(OFFSET(ListeB,,4)='recap S1'!AL$3)*(OFFSET(ListeB,,1)='recap S1'!AL$2)),"")</f>
        <v/>
      </c>
      <c r="AM28" s="32" t="str">
        <f ca="1">IF(SUMPRODUCT((ListeB='recap S1'!$B28)*(OFFSET(ListeB,,4)='recap S1'!AM$3)*(OFFSET(ListeB,,1)='recap S1'!AM$2))&gt;0,SUMPRODUCT((ListeB='recap S1'!$B28)*(OFFSET(ListeB,,4)='recap S1'!AM$3)*(OFFSET(ListeB,,1)='recap S1'!AM$2)),"")</f>
        <v/>
      </c>
      <c r="AN28" s="32" t="str">
        <f ca="1">IF(SUMPRODUCT((ListeB='recap S1'!$B28)*(OFFSET(ListeB,,4)='recap S1'!AN$3)*(OFFSET(ListeB,,1)='recap S1'!AN$2))&gt;0,SUMPRODUCT((ListeB='recap S1'!$B28)*(OFFSET(ListeB,,4)='recap S1'!AN$3)*(OFFSET(ListeB,,1)='recap S1'!AN$2)),"")</f>
        <v/>
      </c>
      <c r="AO28" s="32" t="str">
        <f ca="1">IF(SUMPRODUCT((ListeB='recap S1'!$B28)*(OFFSET(ListeB,,4)='recap S1'!AO$3)*(OFFSET(ListeB,,1)='recap S1'!AO$2))&gt;0,SUMPRODUCT((ListeB='recap S1'!$B28)*(OFFSET(ListeB,,4)='recap S1'!AO$3)*(OFFSET(ListeB,,1)='recap S1'!AO$2)),"")</f>
        <v/>
      </c>
      <c r="AP28" s="32" t="str">
        <f ca="1">IF(SUMPRODUCT((ListeB='recap S1'!$B28)*(OFFSET(ListeB,,4)='recap S1'!AP$3)*(OFFSET(ListeB,,1)='recap S1'!AP$2))&gt;0,SUMPRODUCT((ListeB='recap S1'!$B28)*(OFFSET(ListeB,,4)='recap S1'!AP$3)*(OFFSET(ListeB,,1)='recap S1'!AP$2)),"")</f>
        <v/>
      </c>
      <c r="AQ28" s="32" t="str">
        <f ca="1">IF(SUMPRODUCT((ListeB='recap S1'!$B28)*(OFFSET(ListeB,,4)='recap S1'!AQ$3)*(OFFSET(ListeB,,1)='recap S1'!AQ$2))&gt;0,SUMPRODUCT((ListeB='recap S1'!$B28)*(OFFSET(ListeB,,4)='recap S1'!AQ$3)*(OFFSET(ListeB,,1)='recap S1'!AQ$2)),"")</f>
        <v/>
      </c>
      <c r="AR28" s="32" t="str">
        <f ca="1">IF(SUMPRODUCT((ListeB='recap S1'!$B28)*(OFFSET(ListeB,,4)='recap S1'!AR$3)*(OFFSET(ListeB,,1)='recap S1'!AR$2))&gt;0,SUMPRODUCT((ListeB='recap S1'!$B28)*(OFFSET(ListeB,,4)='recap S1'!AR$3)*(OFFSET(ListeB,,1)='recap S1'!AR$2)),"")</f>
        <v/>
      </c>
      <c r="AS28" s="32" t="str">
        <f ca="1">IF(SUMPRODUCT((ListeB='recap S1'!$B28)*(OFFSET(ListeB,,4)='recap S1'!AS$3)*(OFFSET(ListeB,,1)='recap S1'!AS$2))&gt;0,SUMPRODUCT((ListeB='recap S1'!$B28)*(OFFSET(ListeB,,4)='recap S1'!AS$3)*(OFFSET(ListeB,,1)='recap S1'!AS$2)),"")</f>
        <v/>
      </c>
      <c r="AT28" s="32" t="str">
        <f ca="1">IF(SUMPRODUCT((ListeB='recap S1'!$B28)*(OFFSET(ListeB,,4)='recap S1'!AT$3)*(OFFSET(ListeB,,1)='recap S1'!AT$2))&gt;0,SUMPRODUCT((ListeB='recap S1'!$B28)*(OFFSET(ListeB,,4)='recap S1'!AT$3)*(OFFSET(ListeB,,1)='recap S1'!AT$2)),"")</f>
        <v/>
      </c>
      <c r="AU28" s="32" t="str">
        <f ca="1">IF(SUMPRODUCT((ListeB='recap S1'!$B28)*(OFFSET(ListeB,,4)='recap S1'!AU$3)*(OFFSET(ListeB,,1)='recap S1'!AU$2))&gt;0,SUMPRODUCT((ListeB='recap S1'!$B28)*(OFFSET(ListeB,,4)='recap S1'!AU$3)*(OFFSET(ListeB,,1)='recap S1'!AU$2)),"")</f>
        <v/>
      </c>
      <c r="AV28" s="32" t="str">
        <f ca="1">IF(SUMPRODUCT((ListeB='recap S1'!$B28)*(OFFSET(ListeB,,4)='recap S1'!AV$3)*(OFFSET(ListeB,,1)='recap S1'!AV$2))&gt;0,SUMPRODUCT((ListeB='recap S1'!$B28)*(OFFSET(ListeB,,4)='recap S1'!AV$3)*(OFFSET(ListeB,,1)='recap S1'!AV$2)),"")</f>
        <v/>
      </c>
      <c r="AW28" s="32" t="str">
        <f ca="1">IF(SUMPRODUCT((ListeB='recap S1'!$B28)*(OFFSET(ListeB,,4)='recap S1'!AW$3)*(OFFSET(ListeB,,1)='recap S1'!AW$2))&gt;0,SUMPRODUCT((ListeB='recap S1'!$B28)*(OFFSET(ListeB,,4)='recap S1'!AW$3)*(OFFSET(ListeB,,1)='recap S1'!AW$2)),"")</f>
        <v/>
      </c>
      <c r="AX28" s="32" t="str">
        <f ca="1">IF(SUMPRODUCT((ListeB='recap S1'!$B28)*(OFFSET(ListeB,,4)='recap S1'!AX$3)*(OFFSET(ListeB,,1)='recap S1'!AX$2))&gt;0,SUMPRODUCT((ListeB='recap S1'!$B28)*(OFFSET(ListeB,,4)='recap S1'!AX$3)*(OFFSET(ListeB,,1)='recap S1'!AX$2)),"")</f>
        <v/>
      </c>
      <c r="AY28" s="32" t="str">
        <f ca="1">IF(SUMPRODUCT((ListeB='recap S1'!$B28)*(OFFSET(ListeB,,4)='recap S1'!AY$3)*(OFFSET(ListeB,,1)='recap S1'!AY$2))&gt;0,SUMPRODUCT((ListeB='recap S1'!$B28)*(OFFSET(ListeB,,4)='recap S1'!AY$3)*(OFFSET(ListeB,,1)='recap S1'!AY$2)),"")</f>
        <v/>
      </c>
      <c r="AZ28" s="32">
        <f t="shared" ca="1" si="0"/>
        <v>0</v>
      </c>
    </row>
    <row r="29" spans="1:52">
      <c r="A29" s="41" t="str">
        <f>IF('SEANCE 1'!$B27&lt;&gt;"",'SEANCE 1'!$A27,"")</f>
        <v/>
      </c>
      <c r="B29" s="41" t="str">
        <f t="array" aca="1" ref="B29" ca="1">IF(ISNA(INDEX(ListeB,MATCH(0,COUNTIF($B$3:B28,ListeB),0))),"",INDEX(ListeB,MATCH(0,COUNTIF($B$3:B28,ListeB),0)))</f>
        <v/>
      </c>
      <c r="C29" s="32" t="str">
        <f ca="1">IF(SUMPRODUCT((ListeB='recap S1'!$B29)*(OFFSET(ListeB,,4)='recap S1'!C$3)*(OFFSET(ListeB,,1)='recap S1'!C$2))&gt;0,SUMPRODUCT((ListeB='recap S1'!$B29)*(OFFSET(ListeB,,4)='recap S1'!C$3)*(OFFSET(ListeB,,1)='recap S1'!C$2)),"")</f>
        <v/>
      </c>
      <c r="D29" s="32" t="str">
        <f ca="1">IF(SUMPRODUCT((ListeB='recap S1'!$B29)*(OFFSET(ListeB,,4)='recap S1'!D$3)*(OFFSET(ListeB,,1)='recap S1'!D$2))&gt;0,SUMPRODUCT((ListeB='recap S1'!$B29)*(OFFSET(ListeB,,4)='recap S1'!D$3)*(OFFSET(ListeB,,1)='recap S1'!D$2)),"")</f>
        <v/>
      </c>
      <c r="E29" s="32" t="str">
        <f ca="1">IF(SUMPRODUCT((ListeB='recap S1'!$B29)*(OFFSET(ListeB,,4)='recap S1'!E$3)*(OFFSET(ListeB,,1)='recap S1'!E$2))&gt;0,SUMPRODUCT((ListeB='recap S1'!$B29)*(OFFSET(ListeB,,4)='recap S1'!E$3)*(OFFSET(ListeB,,1)='recap S1'!E$2)),"")</f>
        <v/>
      </c>
      <c r="F29" s="32" t="str">
        <f ca="1">IF(SUMPRODUCT((ListeB='recap S1'!$B29)*(OFFSET(ListeB,,4)='recap S1'!F$3)*(OFFSET(ListeB,,1)='recap S1'!F$2))&gt;0,SUMPRODUCT((ListeB='recap S1'!$B29)*(OFFSET(ListeB,,4)='recap S1'!F$3)*(OFFSET(ListeB,,1)='recap S1'!F$2)),"")</f>
        <v/>
      </c>
      <c r="G29" s="32" t="str">
        <f ca="1">IF(SUMPRODUCT((ListeB='recap S1'!$B29)*(OFFSET(ListeB,,4)='recap S1'!G$3)*(OFFSET(ListeB,,1)='recap S1'!G$2))&gt;0,SUMPRODUCT((ListeB='recap S1'!$B29)*(OFFSET(ListeB,,4)='recap S1'!G$3)*(OFFSET(ListeB,,1)='recap S1'!G$2)),"")</f>
        <v/>
      </c>
      <c r="H29" s="32" t="str">
        <f ca="1">IF(SUMPRODUCT((ListeB='recap S1'!$B29)*(OFFSET(ListeB,,4)='recap S1'!H$3)*(OFFSET(ListeB,,1)='recap S1'!H$2))&gt;0,SUMPRODUCT((ListeB='recap S1'!$B29)*(OFFSET(ListeB,,4)='recap S1'!H$3)*(OFFSET(ListeB,,1)='recap S1'!H$2)),"")</f>
        <v/>
      </c>
      <c r="I29" s="32" t="str">
        <f ca="1">IF(SUMPRODUCT((ListeB='recap S1'!$B29)*(OFFSET(ListeB,,4)='recap S1'!I$3)*(OFFSET(ListeB,,1)='recap S1'!I$2))&gt;0,SUMPRODUCT((ListeB='recap S1'!$B29)*(OFFSET(ListeB,,4)='recap S1'!I$3)*(OFFSET(ListeB,,1)='recap S1'!I$2)),"")</f>
        <v/>
      </c>
      <c r="J29" s="32" t="str">
        <f ca="1">IF(SUMPRODUCT((ListeB='recap S1'!$B29)*(OFFSET(ListeB,,4)='recap S1'!J$3)*(OFFSET(ListeB,,1)='recap S1'!J$2))&gt;0,SUMPRODUCT((ListeB='recap S1'!$B29)*(OFFSET(ListeB,,4)='recap S1'!J$3)*(OFFSET(ListeB,,1)='recap S1'!J$2)),"")</f>
        <v/>
      </c>
      <c r="K29" s="32" t="str">
        <f ca="1">IF(SUMPRODUCT((ListeB='recap S1'!$B29)*(OFFSET(ListeB,,4)='recap S1'!K$3)*(OFFSET(ListeB,,1)='recap S1'!K$2))&gt;0,SUMPRODUCT((ListeB='recap S1'!$B29)*(OFFSET(ListeB,,4)='recap S1'!K$3)*(OFFSET(ListeB,,1)='recap S1'!K$2)),"")</f>
        <v/>
      </c>
      <c r="L29" s="32" t="str">
        <f ca="1">IF(SUMPRODUCT((ListeB='recap S1'!$B29)*(OFFSET(ListeB,,4)='recap S1'!L$3)*(OFFSET(ListeB,,1)='recap S1'!L$2))&gt;0,SUMPRODUCT((ListeB='recap S1'!$B29)*(OFFSET(ListeB,,4)='recap S1'!L$3)*(OFFSET(ListeB,,1)='recap S1'!L$2)),"")</f>
        <v/>
      </c>
      <c r="M29" s="32" t="str">
        <f ca="1">IF(SUMPRODUCT((ListeB='recap S1'!$B29)*(OFFSET(ListeB,,4)='recap S1'!M$3)*(OFFSET(ListeB,,1)='recap S1'!M$2))&gt;0,SUMPRODUCT((ListeB='recap S1'!$B29)*(OFFSET(ListeB,,4)='recap S1'!M$3)*(OFFSET(ListeB,,1)='recap S1'!M$2)),"")</f>
        <v/>
      </c>
      <c r="N29" s="32" t="str">
        <f ca="1">IF(SUMPRODUCT((ListeB='recap S1'!$B29)*(OFFSET(ListeB,,4)='recap S1'!N$3)*(OFFSET(ListeB,,1)='recap S1'!N$2))&gt;0,SUMPRODUCT((ListeB='recap S1'!$B29)*(OFFSET(ListeB,,4)='recap S1'!N$3)*(OFFSET(ListeB,,1)='recap S1'!N$2)),"")</f>
        <v/>
      </c>
      <c r="O29" s="32" t="str">
        <f ca="1">IF(SUMPRODUCT((ListeB='recap S1'!$B29)*(OFFSET(ListeB,,4)='recap S1'!O$3)*(OFFSET(ListeB,,1)='recap S1'!O$2))&gt;0,SUMPRODUCT((ListeB='recap S1'!$B29)*(OFFSET(ListeB,,4)='recap S1'!O$3)*(OFFSET(ListeB,,1)='recap S1'!O$2)),"")</f>
        <v/>
      </c>
      <c r="P29" s="32" t="str">
        <f ca="1">IF(SUMPRODUCT((ListeB='recap S1'!$B29)*(OFFSET(ListeB,,4)='recap S1'!P$3)*(OFFSET(ListeB,,1)='recap S1'!P$2))&gt;0,SUMPRODUCT((ListeB='recap S1'!$B29)*(OFFSET(ListeB,,4)='recap S1'!P$3)*(OFFSET(ListeB,,1)='recap S1'!P$2)),"")</f>
        <v/>
      </c>
      <c r="Q29" s="32" t="str">
        <f ca="1">IF(SUMPRODUCT((ListeB='recap S1'!$B29)*(OFFSET(ListeB,,4)='recap S1'!Q$3)*(OFFSET(ListeB,,1)='recap S1'!Q$2))&gt;0,SUMPRODUCT((ListeB='recap S1'!$B29)*(OFFSET(ListeB,,4)='recap S1'!Q$3)*(OFFSET(ListeB,,1)='recap S1'!Q$2)),"")</f>
        <v/>
      </c>
      <c r="R29" s="32" t="str">
        <f ca="1">IF(SUMPRODUCT((ListeB='recap S1'!$B29)*(OFFSET(ListeB,,4)='recap S1'!R$3)*(OFFSET(ListeB,,1)='recap S1'!R$2))&gt;0,SUMPRODUCT((ListeB='recap S1'!$B29)*(OFFSET(ListeB,,4)='recap S1'!R$3)*(OFFSET(ListeB,,1)='recap S1'!R$2)),"")</f>
        <v/>
      </c>
      <c r="S29" s="32" t="str">
        <f ca="1">IF(SUMPRODUCT((ListeB='recap S1'!$B29)*(OFFSET(ListeB,,4)='recap S1'!S$3)*(OFFSET(ListeB,,1)='recap S1'!S$2))&gt;0,SUMPRODUCT((ListeB='recap S1'!$B29)*(OFFSET(ListeB,,4)='recap S1'!S$3)*(OFFSET(ListeB,,1)='recap S1'!S$2)),"")</f>
        <v/>
      </c>
      <c r="T29" s="32" t="str">
        <f ca="1">IF(SUMPRODUCT((ListeB='recap S1'!$B29)*(OFFSET(ListeB,,4)='recap S1'!T$3)*(OFFSET(ListeB,,1)='recap S1'!T$2))&gt;0,SUMPRODUCT((ListeB='recap S1'!$B29)*(OFFSET(ListeB,,4)='recap S1'!T$3)*(OFFSET(ListeB,,1)='recap S1'!T$2)),"")</f>
        <v/>
      </c>
      <c r="U29" s="32" t="str">
        <f ca="1">IF(SUMPRODUCT((ListeB='recap S1'!$B29)*(OFFSET(ListeB,,4)='recap S1'!U$3)*(OFFSET(ListeB,,1)='recap S1'!U$2))&gt;0,SUMPRODUCT((ListeB='recap S1'!$B29)*(OFFSET(ListeB,,4)='recap S1'!U$3)*(OFFSET(ListeB,,1)='recap S1'!U$2)),"")</f>
        <v/>
      </c>
      <c r="V29" s="32" t="str">
        <f ca="1">IF(SUMPRODUCT((ListeB='recap S1'!$B29)*(OFFSET(ListeB,,4)='recap S1'!V$3)*(OFFSET(ListeB,,1)='recap S1'!V$2))&gt;0,SUMPRODUCT((ListeB='recap S1'!$B29)*(OFFSET(ListeB,,4)='recap S1'!V$3)*(OFFSET(ListeB,,1)='recap S1'!V$2)),"")</f>
        <v/>
      </c>
      <c r="W29" s="32" t="str">
        <f ca="1">IF(SUMPRODUCT((ListeB='recap S1'!$B29)*(OFFSET(ListeB,,4)='recap S1'!W$3)*(OFFSET(ListeB,,1)='recap S1'!W$2))&gt;0,SUMPRODUCT((ListeB='recap S1'!$B29)*(OFFSET(ListeB,,4)='recap S1'!W$3)*(OFFSET(ListeB,,1)='recap S1'!W$2)),"")</f>
        <v/>
      </c>
      <c r="X29" s="32" t="str">
        <f ca="1">IF(SUMPRODUCT((ListeB='recap S1'!$B29)*(OFFSET(ListeB,,4)='recap S1'!X$3)*(OFFSET(ListeB,,1)='recap S1'!X$2))&gt;0,SUMPRODUCT((ListeB='recap S1'!$B29)*(OFFSET(ListeB,,4)='recap S1'!X$3)*(OFFSET(ListeB,,1)='recap S1'!X$2)),"")</f>
        <v/>
      </c>
      <c r="Y29" s="32" t="str">
        <f ca="1">IF(SUMPRODUCT((ListeB='recap S1'!$B29)*(OFFSET(ListeB,,4)='recap S1'!Y$3)*(OFFSET(ListeB,,1)='recap S1'!Y$2))&gt;0,SUMPRODUCT((ListeB='recap S1'!$B29)*(OFFSET(ListeB,,4)='recap S1'!Y$3)*(OFFSET(ListeB,,1)='recap S1'!Y$2)),"")</f>
        <v/>
      </c>
      <c r="Z29" s="32" t="str">
        <f ca="1">IF(SUMPRODUCT((ListeB='recap S1'!$B29)*(OFFSET(ListeB,,4)='recap S1'!Z$3)*(OFFSET(ListeB,,1)='recap S1'!Z$2))&gt;0,SUMPRODUCT((ListeB='recap S1'!$B29)*(OFFSET(ListeB,,4)='recap S1'!Z$3)*(OFFSET(ListeB,,1)='recap S1'!Z$2)),"")</f>
        <v/>
      </c>
      <c r="AA29" s="32" t="str">
        <f ca="1">IF(SUMPRODUCT((ListeB='recap S1'!$B29)*(OFFSET(ListeB,,4)='recap S1'!AA$3)*(OFFSET(ListeB,,1)='recap S1'!AA$2))&gt;0,SUMPRODUCT((ListeB='recap S1'!$B29)*(OFFSET(ListeB,,4)='recap S1'!AA$3)*(OFFSET(ListeB,,1)='recap S1'!AA$2)),"")</f>
        <v/>
      </c>
      <c r="AB29" s="32" t="str">
        <f ca="1">IF(SUMPRODUCT((ListeB='recap S1'!$B29)*(OFFSET(ListeB,,4)='recap S1'!AB$3)*(OFFSET(ListeB,,1)='recap S1'!AB$2))&gt;0,SUMPRODUCT((ListeB='recap S1'!$B29)*(OFFSET(ListeB,,4)='recap S1'!AB$3)*(OFFSET(ListeB,,1)='recap S1'!AB$2)),"")</f>
        <v/>
      </c>
      <c r="AC29" s="32" t="str">
        <f ca="1">IF(SUMPRODUCT((ListeB='recap S1'!$B29)*(OFFSET(ListeB,,4)='recap S1'!AC$3)*(OFFSET(ListeB,,1)='recap S1'!AC$2))&gt;0,SUMPRODUCT((ListeB='recap S1'!$B29)*(OFFSET(ListeB,,4)='recap S1'!AC$3)*(OFFSET(ListeB,,1)='recap S1'!AC$2)),"")</f>
        <v/>
      </c>
      <c r="AD29" s="32" t="str">
        <f ca="1">IF(SUMPRODUCT((ListeB='recap S1'!$B29)*(OFFSET(ListeB,,4)='recap S1'!AD$3)*(OFFSET(ListeB,,1)='recap S1'!AD$2))&gt;0,SUMPRODUCT((ListeB='recap S1'!$B29)*(OFFSET(ListeB,,4)='recap S1'!AD$3)*(OFFSET(ListeB,,1)='recap S1'!AD$2)),"")</f>
        <v/>
      </c>
      <c r="AE29" s="32" t="str">
        <f ca="1">IF(SUMPRODUCT((ListeB='recap S1'!$B29)*(OFFSET(ListeB,,4)='recap S1'!AE$3)*(OFFSET(ListeB,,1)='recap S1'!AE$2))&gt;0,SUMPRODUCT((ListeB='recap S1'!$B29)*(OFFSET(ListeB,,4)='recap S1'!AE$3)*(OFFSET(ListeB,,1)='recap S1'!AE$2)),"")</f>
        <v/>
      </c>
      <c r="AF29" s="32" t="str">
        <f ca="1">IF(SUMPRODUCT((ListeB='recap S1'!$B29)*(OFFSET(ListeB,,4)='recap S1'!AF$3)*(OFFSET(ListeB,,1)='recap S1'!AF$2))&gt;0,SUMPRODUCT((ListeB='recap S1'!$B29)*(OFFSET(ListeB,,4)='recap S1'!AF$3)*(OFFSET(ListeB,,1)='recap S1'!AF$2)),"")</f>
        <v/>
      </c>
      <c r="AG29" s="32" t="str">
        <f ca="1">IF(SUMPRODUCT((ListeB='recap S1'!$B29)*(OFFSET(ListeB,,4)='recap S1'!AG$3)*(OFFSET(ListeB,,1)='recap S1'!AG$2))&gt;0,SUMPRODUCT((ListeB='recap S1'!$B29)*(OFFSET(ListeB,,4)='recap S1'!AG$3)*(OFFSET(ListeB,,1)='recap S1'!AG$2)),"")</f>
        <v/>
      </c>
      <c r="AH29" s="32" t="str">
        <f ca="1">IF(SUMPRODUCT((ListeB='recap S1'!$B29)*(OFFSET(ListeB,,4)='recap S1'!AH$3)*(OFFSET(ListeB,,1)='recap S1'!AH$2))&gt;0,SUMPRODUCT((ListeB='recap S1'!$B29)*(OFFSET(ListeB,,4)='recap S1'!AH$3)*(OFFSET(ListeB,,1)='recap S1'!AH$2)),"")</f>
        <v/>
      </c>
      <c r="AI29" s="32" t="str">
        <f ca="1">IF(SUMPRODUCT((ListeB='recap S1'!$B29)*(OFFSET(ListeB,,4)='recap S1'!AI$3)*(OFFSET(ListeB,,1)='recap S1'!AI$2))&gt;0,SUMPRODUCT((ListeB='recap S1'!$B29)*(OFFSET(ListeB,,4)='recap S1'!AI$3)*(OFFSET(ListeB,,1)='recap S1'!AI$2)),"")</f>
        <v/>
      </c>
      <c r="AJ29" s="32" t="str">
        <f ca="1">IF(SUMPRODUCT((ListeB='recap S1'!$B29)*(OFFSET(ListeB,,4)='recap S1'!AJ$3)*(OFFSET(ListeB,,1)='recap S1'!AJ$2))&gt;0,SUMPRODUCT((ListeB='recap S1'!$B29)*(OFFSET(ListeB,,4)='recap S1'!AJ$3)*(OFFSET(ListeB,,1)='recap S1'!AJ$2)),"")</f>
        <v/>
      </c>
      <c r="AK29" s="32" t="str">
        <f ca="1">IF(SUMPRODUCT((ListeB='recap S1'!$B29)*(OFFSET(ListeB,,4)='recap S1'!AK$3)*(OFFSET(ListeB,,1)='recap S1'!AK$2))&gt;0,SUMPRODUCT((ListeB='recap S1'!$B29)*(OFFSET(ListeB,,4)='recap S1'!AK$3)*(OFFSET(ListeB,,1)='recap S1'!AK$2)),"")</f>
        <v/>
      </c>
      <c r="AL29" s="32" t="str">
        <f ca="1">IF(SUMPRODUCT((ListeB='recap S1'!$B29)*(OFFSET(ListeB,,4)='recap S1'!AL$3)*(OFFSET(ListeB,,1)='recap S1'!AL$2))&gt;0,SUMPRODUCT((ListeB='recap S1'!$B29)*(OFFSET(ListeB,,4)='recap S1'!AL$3)*(OFFSET(ListeB,,1)='recap S1'!AL$2)),"")</f>
        <v/>
      </c>
      <c r="AM29" s="32" t="str">
        <f ca="1">IF(SUMPRODUCT((ListeB='recap S1'!$B29)*(OFFSET(ListeB,,4)='recap S1'!AM$3)*(OFFSET(ListeB,,1)='recap S1'!AM$2))&gt;0,SUMPRODUCT((ListeB='recap S1'!$B29)*(OFFSET(ListeB,,4)='recap S1'!AM$3)*(OFFSET(ListeB,,1)='recap S1'!AM$2)),"")</f>
        <v/>
      </c>
      <c r="AN29" s="32" t="str">
        <f ca="1">IF(SUMPRODUCT((ListeB='recap S1'!$B29)*(OFFSET(ListeB,,4)='recap S1'!AN$3)*(OFFSET(ListeB,,1)='recap S1'!AN$2))&gt;0,SUMPRODUCT((ListeB='recap S1'!$B29)*(OFFSET(ListeB,,4)='recap S1'!AN$3)*(OFFSET(ListeB,,1)='recap S1'!AN$2)),"")</f>
        <v/>
      </c>
      <c r="AO29" s="32" t="str">
        <f ca="1">IF(SUMPRODUCT((ListeB='recap S1'!$B29)*(OFFSET(ListeB,,4)='recap S1'!AO$3)*(OFFSET(ListeB,,1)='recap S1'!AO$2))&gt;0,SUMPRODUCT((ListeB='recap S1'!$B29)*(OFFSET(ListeB,,4)='recap S1'!AO$3)*(OFFSET(ListeB,,1)='recap S1'!AO$2)),"")</f>
        <v/>
      </c>
      <c r="AP29" s="32" t="str">
        <f ca="1">IF(SUMPRODUCT((ListeB='recap S1'!$B29)*(OFFSET(ListeB,,4)='recap S1'!AP$3)*(OFFSET(ListeB,,1)='recap S1'!AP$2))&gt;0,SUMPRODUCT((ListeB='recap S1'!$B29)*(OFFSET(ListeB,,4)='recap S1'!AP$3)*(OFFSET(ListeB,,1)='recap S1'!AP$2)),"")</f>
        <v/>
      </c>
      <c r="AQ29" s="32" t="str">
        <f ca="1">IF(SUMPRODUCT((ListeB='recap S1'!$B29)*(OFFSET(ListeB,,4)='recap S1'!AQ$3)*(OFFSET(ListeB,,1)='recap S1'!AQ$2))&gt;0,SUMPRODUCT((ListeB='recap S1'!$B29)*(OFFSET(ListeB,,4)='recap S1'!AQ$3)*(OFFSET(ListeB,,1)='recap S1'!AQ$2)),"")</f>
        <v/>
      </c>
      <c r="AR29" s="32" t="str">
        <f ca="1">IF(SUMPRODUCT((ListeB='recap S1'!$B29)*(OFFSET(ListeB,,4)='recap S1'!AR$3)*(OFFSET(ListeB,,1)='recap S1'!AR$2))&gt;0,SUMPRODUCT((ListeB='recap S1'!$B29)*(OFFSET(ListeB,,4)='recap S1'!AR$3)*(OFFSET(ListeB,,1)='recap S1'!AR$2)),"")</f>
        <v/>
      </c>
      <c r="AS29" s="32" t="str">
        <f ca="1">IF(SUMPRODUCT((ListeB='recap S1'!$B29)*(OFFSET(ListeB,,4)='recap S1'!AS$3)*(OFFSET(ListeB,,1)='recap S1'!AS$2))&gt;0,SUMPRODUCT((ListeB='recap S1'!$B29)*(OFFSET(ListeB,,4)='recap S1'!AS$3)*(OFFSET(ListeB,,1)='recap S1'!AS$2)),"")</f>
        <v/>
      </c>
      <c r="AT29" s="32" t="str">
        <f ca="1">IF(SUMPRODUCT((ListeB='recap S1'!$B29)*(OFFSET(ListeB,,4)='recap S1'!AT$3)*(OFFSET(ListeB,,1)='recap S1'!AT$2))&gt;0,SUMPRODUCT((ListeB='recap S1'!$B29)*(OFFSET(ListeB,,4)='recap S1'!AT$3)*(OFFSET(ListeB,,1)='recap S1'!AT$2)),"")</f>
        <v/>
      </c>
      <c r="AU29" s="32" t="str">
        <f ca="1">IF(SUMPRODUCT((ListeB='recap S1'!$B29)*(OFFSET(ListeB,,4)='recap S1'!AU$3)*(OFFSET(ListeB,,1)='recap S1'!AU$2))&gt;0,SUMPRODUCT((ListeB='recap S1'!$B29)*(OFFSET(ListeB,,4)='recap S1'!AU$3)*(OFFSET(ListeB,,1)='recap S1'!AU$2)),"")</f>
        <v/>
      </c>
      <c r="AV29" s="32" t="str">
        <f ca="1">IF(SUMPRODUCT((ListeB='recap S1'!$B29)*(OFFSET(ListeB,,4)='recap S1'!AV$3)*(OFFSET(ListeB,,1)='recap S1'!AV$2))&gt;0,SUMPRODUCT((ListeB='recap S1'!$B29)*(OFFSET(ListeB,,4)='recap S1'!AV$3)*(OFFSET(ListeB,,1)='recap S1'!AV$2)),"")</f>
        <v/>
      </c>
      <c r="AW29" s="32" t="str">
        <f ca="1">IF(SUMPRODUCT((ListeB='recap S1'!$B29)*(OFFSET(ListeB,,4)='recap S1'!AW$3)*(OFFSET(ListeB,,1)='recap S1'!AW$2))&gt;0,SUMPRODUCT((ListeB='recap S1'!$B29)*(OFFSET(ListeB,,4)='recap S1'!AW$3)*(OFFSET(ListeB,,1)='recap S1'!AW$2)),"")</f>
        <v/>
      </c>
      <c r="AX29" s="32" t="str">
        <f ca="1">IF(SUMPRODUCT((ListeB='recap S1'!$B29)*(OFFSET(ListeB,,4)='recap S1'!AX$3)*(OFFSET(ListeB,,1)='recap S1'!AX$2))&gt;0,SUMPRODUCT((ListeB='recap S1'!$B29)*(OFFSET(ListeB,,4)='recap S1'!AX$3)*(OFFSET(ListeB,,1)='recap S1'!AX$2)),"")</f>
        <v/>
      </c>
      <c r="AY29" s="32" t="str">
        <f ca="1">IF(SUMPRODUCT((ListeB='recap S1'!$B29)*(OFFSET(ListeB,,4)='recap S1'!AY$3)*(OFFSET(ListeB,,1)='recap S1'!AY$2))&gt;0,SUMPRODUCT((ListeB='recap S1'!$B29)*(OFFSET(ListeB,,4)='recap S1'!AY$3)*(OFFSET(ListeB,,1)='recap S1'!AY$2)),"")</f>
        <v/>
      </c>
      <c r="AZ29" s="32">
        <f t="shared" ca="1" si="0"/>
        <v>0</v>
      </c>
    </row>
    <row r="30" spans="1:52">
      <c r="A30" s="41" t="str">
        <f>IF('SEANCE 1'!$B28&lt;&gt;"",'SEANCE 1'!$A28,"")</f>
        <v/>
      </c>
      <c r="B30" s="41" t="str">
        <f t="array" aca="1" ref="B30" ca="1">IF(ISNA(INDEX(ListeB,MATCH(0,COUNTIF($B$3:B29,ListeB),0))),"",INDEX(ListeB,MATCH(0,COUNTIF($B$3:B29,ListeB),0)))</f>
        <v/>
      </c>
      <c r="C30" s="32" t="str">
        <f ca="1">IF(SUMPRODUCT((ListeB='recap S1'!$B30)*(OFFSET(ListeB,,4)='recap S1'!C$3)*(OFFSET(ListeB,,1)='recap S1'!C$2))&gt;0,SUMPRODUCT((ListeB='recap S1'!$B30)*(OFFSET(ListeB,,4)='recap S1'!C$3)*(OFFSET(ListeB,,1)='recap S1'!C$2)),"")</f>
        <v/>
      </c>
      <c r="D30" s="32" t="str">
        <f ca="1">IF(SUMPRODUCT((ListeB='recap S1'!$B30)*(OFFSET(ListeB,,4)='recap S1'!D$3)*(OFFSET(ListeB,,1)='recap S1'!D$2))&gt;0,SUMPRODUCT((ListeB='recap S1'!$B30)*(OFFSET(ListeB,,4)='recap S1'!D$3)*(OFFSET(ListeB,,1)='recap S1'!D$2)),"")</f>
        <v/>
      </c>
      <c r="E30" s="32" t="str">
        <f ca="1">IF(SUMPRODUCT((ListeB='recap S1'!$B30)*(OFFSET(ListeB,,4)='recap S1'!E$3)*(OFFSET(ListeB,,1)='recap S1'!E$2))&gt;0,SUMPRODUCT((ListeB='recap S1'!$B30)*(OFFSET(ListeB,,4)='recap S1'!E$3)*(OFFSET(ListeB,,1)='recap S1'!E$2)),"")</f>
        <v/>
      </c>
      <c r="F30" s="32" t="str">
        <f ca="1">IF(SUMPRODUCT((ListeB='recap S1'!$B30)*(OFFSET(ListeB,,4)='recap S1'!F$3)*(OFFSET(ListeB,,1)='recap S1'!F$2))&gt;0,SUMPRODUCT((ListeB='recap S1'!$B30)*(OFFSET(ListeB,,4)='recap S1'!F$3)*(OFFSET(ListeB,,1)='recap S1'!F$2)),"")</f>
        <v/>
      </c>
      <c r="G30" s="32" t="str">
        <f ca="1">IF(SUMPRODUCT((ListeB='recap S1'!$B30)*(OFFSET(ListeB,,4)='recap S1'!G$3)*(OFFSET(ListeB,,1)='recap S1'!G$2))&gt;0,SUMPRODUCT((ListeB='recap S1'!$B30)*(OFFSET(ListeB,,4)='recap S1'!G$3)*(OFFSET(ListeB,,1)='recap S1'!G$2)),"")</f>
        <v/>
      </c>
      <c r="H30" s="32" t="str">
        <f ca="1">IF(SUMPRODUCT((ListeB='recap S1'!$B30)*(OFFSET(ListeB,,4)='recap S1'!H$3)*(OFFSET(ListeB,,1)='recap S1'!H$2))&gt;0,SUMPRODUCT((ListeB='recap S1'!$B30)*(OFFSET(ListeB,,4)='recap S1'!H$3)*(OFFSET(ListeB,,1)='recap S1'!H$2)),"")</f>
        <v/>
      </c>
      <c r="I30" s="32" t="str">
        <f ca="1">IF(SUMPRODUCT((ListeB='recap S1'!$B30)*(OFFSET(ListeB,,4)='recap S1'!I$3)*(OFFSET(ListeB,,1)='recap S1'!I$2))&gt;0,SUMPRODUCT((ListeB='recap S1'!$B30)*(OFFSET(ListeB,,4)='recap S1'!I$3)*(OFFSET(ListeB,,1)='recap S1'!I$2)),"")</f>
        <v/>
      </c>
      <c r="J30" s="32" t="str">
        <f ca="1">IF(SUMPRODUCT((ListeB='recap S1'!$B30)*(OFFSET(ListeB,,4)='recap S1'!J$3)*(OFFSET(ListeB,,1)='recap S1'!J$2))&gt;0,SUMPRODUCT((ListeB='recap S1'!$B30)*(OFFSET(ListeB,,4)='recap S1'!J$3)*(OFFSET(ListeB,,1)='recap S1'!J$2)),"")</f>
        <v/>
      </c>
      <c r="K30" s="32" t="str">
        <f ca="1">IF(SUMPRODUCT((ListeB='recap S1'!$B30)*(OFFSET(ListeB,,4)='recap S1'!K$3)*(OFFSET(ListeB,,1)='recap S1'!K$2))&gt;0,SUMPRODUCT((ListeB='recap S1'!$B30)*(OFFSET(ListeB,,4)='recap S1'!K$3)*(OFFSET(ListeB,,1)='recap S1'!K$2)),"")</f>
        <v/>
      </c>
      <c r="L30" s="32" t="str">
        <f ca="1">IF(SUMPRODUCT((ListeB='recap S1'!$B30)*(OFFSET(ListeB,,4)='recap S1'!L$3)*(OFFSET(ListeB,,1)='recap S1'!L$2))&gt;0,SUMPRODUCT((ListeB='recap S1'!$B30)*(OFFSET(ListeB,,4)='recap S1'!L$3)*(OFFSET(ListeB,,1)='recap S1'!L$2)),"")</f>
        <v/>
      </c>
      <c r="M30" s="32" t="str">
        <f ca="1">IF(SUMPRODUCT((ListeB='recap S1'!$B30)*(OFFSET(ListeB,,4)='recap S1'!M$3)*(OFFSET(ListeB,,1)='recap S1'!M$2))&gt;0,SUMPRODUCT((ListeB='recap S1'!$B30)*(OFFSET(ListeB,,4)='recap S1'!M$3)*(OFFSET(ListeB,,1)='recap S1'!M$2)),"")</f>
        <v/>
      </c>
      <c r="N30" s="32" t="str">
        <f ca="1">IF(SUMPRODUCT((ListeB='recap S1'!$B30)*(OFFSET(ListeB,,4)='recap S1'!N$3)*(OFFSET(ListeB,,1)='recap S1'!N$2))&gt;0,SUMPRODUCT((ListeB='recap S1'!$B30)*(OFFSET(ListeB,,4)='recap S1'!N$3)*(OFFSET(ListeB,,1)='recap S1'!N$2)),"")</f>
        <v/>
      </c>
      <c r="O30" s="32" t="str">
        <f ca="1">IF(SUMPRODUCT((ListeB='recap S1'!$B30)*(OFFSET(ListeB,,4)='recap S1'!O$3)*(OFFSET(ListeB,,1)='recap S1'!O$2))&gt;0,SUMPRODUCT((ListeB='recap S1'!$B30)*(OFFSET(ListeB,,4)='recap S1'!O$3)*(OFFSET(ListeB,,1)='recap S1'!O$2)),"")</f>
        <v/>
      </c>
      <c r="P30" s="32" t="str">
        <f ca="1">IF(SUMPRODUCT((ListeB='recap S1'!$B30)*(OFFSET(ListeB,,4)='recap S1'!P$3)*(OFFSET(ListeB,,1)='recap S1'!P$2))&gt;0,SUMPRODUCT((ListeB='recap S1'!$B30)*(OFFSET(ListeB,,4)='recap S1'!P$3)*(OFFSET(ListeB,,1)='recap S1'!P$2)),"")</f>
        <v/>
      </c>
      <c r="Q30" s="32" t="str">
        <f ca="1">IF(SUMPRODUCT((ListeB='recap S1'!$B30)*(OFFSET(ListeB,,4)='recap S1'!Q$3)*(OFFSET(ListeB,,1)='recap S1'!Q$2))&gt;0,SUMPRODUCT((ListeB='recap S1'!$B30)*(OFFSET(ListeB,,4)='recap S1'!Q$3)*(OFFSET(ListeB,,1)='recap S1'!Q$2)),"")</f>
        <v/>
      </c>
      <c r="R30" s="32" t="str">
        <f ca="1">IF(SUMPRODUCT((ListeB='recap S1'!$B30)*(OFFSET(ListeB,,4)='recap S1'!R$3)*(OFFSET(ListeB,,1)='recap S1'!R$2))&gt;0,SUMPRODUCT((ListeB='recap S1'!$B30)*(OFFSET(ListeB,,4)='recap S1'!R$3)*(OFFSET(ListeB,,1)='recap S1'!R$2)),"")</f>
        <v/>
      </c>
      <c r="S30" s="32" t="str">
        <f ca="1">IF(SUMPRODUCT((ListeB='recap S1'!$B30)*(OFFSET(ListeB,,4)='recap S1'!S$3)*(OFFSET(ListeB,,1)='recap S1'!S$2))&gt;0,SUMPRODUCT((ListeB='recap S1'!$B30)*(OFFSET(ListeB,,4)='recap S1'!S$3)*(OFFSET(ListeB,,1)='recap S1'!S$2)),"")</f>
        <v/>
      </c>
      <c r="T30" s="32" t="str">
        <f ca="1">IF(SUMPRODUCT((ListeB='recap S1'!$B30)*(OFFSET(ListeB,,4)='recap S1'!T$3)*(OFFSET(ListeB,,1)='recap S1'!T$2))&gt;0,SUMPRODUCT((ListeB='recap S1'!$B30)*(OFFSET(ListeB,,4)='recap S1'!T$3)*(OFFSET(ListeB,,1)='recap S1'!T$2)),"")</f>
        <v/>
      </c>
      <c r="U30" s="32" t="str">
        <f ca="1">IF(SUMPRODUCT((ListeB='recap S1'!$B30)*(OFFSET(ListeB,,4)='recap S1'!U$3)*(OFFSET(ListeB,,1)='recap S1'!U$2))&gt;0,SUMPRODUCT((ListeB='recap S1'!$B30)*(OFFSET(ListeB,,4)='recap S1'!U$3)*(OFFSET(ListeB,,1)='recap S1'!U$2)),"")</f>
        <v/>
      </c>
      <c r="V30" s="32" t="str">
        <f ca="1">IF(SUMPRODUCT((ListeB='recap S1'!$B30)*(OFFSET(ListeB,,4)='recap S1'!V$3)*(OFFSET(ListeB,,1)='recap S1'!V$2))&gt;0,SUMPRODUCT((ListeB='recap S1'!$B30)*(OFFSET(ListeB,,4)='recap S1'!V$3)*(OFFSET(ListeB,,1)='recap S1'!V$2)),"")</f>
        <v/>
      </c>
      <c r="W30" s="32" t="str">
        <f ca="1">IF(SUMPRODUCT((ListeB='recap S1'!$B30)*(OFFSET(ListeB,,4)='recap S1'!W$3)*(OFFSET(ListeB,,1)='recap S1'!W$2))&gt;0,SUMPRODUCT((ListeB='recap S1'!$B30)*(OFFSET(ListeB,,4)='recap S1'!W$3)*(OFFSET(ListeB,,1)='recap S1'!W$2)),"")</f>
        <v/>
      </c>
      <c r="X30" s="32" t="str">
        <f ca="1">IF(SUMPRODUCT((ListeB='recap S1'!$B30)*(OFFSET(ListeB,,4)='recap S1'!X$3)*(OFFSET(ListeB,,1)='recap S1'!X$2))&gt;0,SUMPRODUCT((ListeB='recap S1'!$B30)*(OFFSET(ListeB,,4)='recap S1'!X$3)*(OFFSET(ListeB,,1)='recap S1'!X$2)),"")</f>
        <v/>
      </c>
      <c r="Y30" s="32" t="str">
        <f ca="1">IF(SUMPRODUCT((ListeB='recap S1'!$B30)*(OFFSET(ListeB,,4)='recap S1'!Y$3)*(OFFSET(ListeB,,1)='recap S1'!Y$2))&gt;0,SUMPRODUCT((ListeB='recap S1'!$B30)*(OFFSET(ListeB,,4)='recap S1'!Y$3)*(OFFSET(ListeB,,1)='recap S1'!Y$2)),"")</f>
        <v/>
      </c>
      <c r="Z30" s="32" t="str">
        <f ca="1">IF(SUMPRODUCT((ListeB='recap S1'!$B30)*(OFFSET(ListeB,,4)='recap S1'!Z$3)*(OFFSET(ListeB,,1)='recap S1'!Z$2))&gt;0,SUMPRODUCT((ListeB='recap S1'!$B30)*(OFFSET(ListeB,,4)='recap S1'!Z$3)*(OFFSET(ListeB,,1)='recap S1'!Z$2)),"")</f>
        <v/>
      </c>
      <c r="AA30" s="32" t="str">
        <f ca="1">IF(SUMPRODUCT((ListeB='recap S1'!$B30)*(OFFSET(ListeB,,4)='recap S1'!AA$3)*(OFFSET(ListeB,,1)='recap S1'!AA$2))&gt;0,SUMPRODUCT((ListeB='recap S1'!$B30)*(OFFSET(ListeB,,4)='recap S1'!AA$3)*(OFFSET(ListeB,,1)='recap S1'!AA$2)),"")</f>
        <v/>
      </c>
      <c r="AB30" s="32" t="str">
        <f ca="1">IF(SUMPRODUCT((ListeB='recap S1'!$B30)*(OFFSET(ListeB,,4)='recap S1'!AB$3)*(OFFSET(ListeB,,1)='recap S1'!AB$2))&gt;0,SUMPRODUCT((ListeB='recap S1'!$B30)*(OFFSET(ListeB,,4)='recap S1'!AB$3)*(OFFSET(ListeB,,1)='recap S1'!AB$2)),"")</f>
        <v/>
      </c>
      <c r="AC30" s="32" t="str">
        <f ca="1">IF(SUMPRODUCT((ListeB='recap S1'!$B30)*(OFFSET(ListeB,,4)='recap S1'!AC$3)*(OFFSET(ListeB,,1)='recap S1'!AC$2))&gt;0,SUMPRODUCT((ListeB='recap S1'!$B30)*(OFFSET(ListeB,,4)='recap S1'!AC$3)*(OFFSET(ListeB,,1)='recap S1'!AC$2)),"")</f>
        <v/>
      </c>
      <c r="AD30" s="32" t="str">
        <f ca="1">IF(SUMPRODUCT((ListeB='recap S1'!$B30)*(OFFSET(ListeB,,4)='recap S1'!AD$3)*(OFFSET(ListeB,,1)='recap S1'!AD$2))&gt;0,SUMPRODUCT((ListeB='recap S1'!$B30)*(OFFSET(ListeB,,4)='recap S1'!AD$3)*(OFFSET(ListeB,,1)='recap S1'!AD$2)),"")</f>
        <v/>
      </c>
      <c r="AE30" s="32" t="str">
        <f ca="1">IF(SUMPRODUCT((ListeB='recap S1'!$B30)*(OFFSET(ListeB,,4)='recap S1'!AE$3)*(OFFSET(ListeB,,1)='recap S1'!AE$2))&gt;0,SUMPRODUCT((ListeB='recap S1'!$B30)*(OFFSET(ListeB,,4)='recap S1'!AE$3)*(OFFSET(ListeB,,1)='recap S1'!AE$2)),"")</f>
        <v/>
      </c>
      <c r="AF30" s="32" t="str">
        <f ca="1">IF(SUMPRODUCT((ListeB='recap S1'!$B30)*(OFFSET(ListeB,,4)='recap S1'!AF$3)*(OFFSET(ListeB,,1)='recap S1'!AF$2))&gt;0,SUMPRODUCT((ListeB='recap S1'!$B30)*(OFFSET(ListeB,,4)='recap S1'!AF$3)*(OFFSET(ListeB,,1)='recap S1'!AF$2)),"")</f>
        <v/>
      </c>
      <c r="AG30" s="32" t="str">
        <f ca="1">IF(SUMPRODUCT((ListeB='recap S1'!$B30)*(OFFSET(ListeB,,4)='recap S1'!AG$3)*(OFFSET(ListeB,,1)='recap S1'!AG$2))&gt;0,SUMPRODUCT((ListeB='recap S1'!$B30)*(OFFSET(ListeB,,4)='recap S1'!AG$3)*(OFFSET(ListeB,,1)='recap S1'!AG$2)),"")</f>
        <v/>
      </c>
      <c r="AH30" s="32" t="str">
        <f ca="1">IF(SUMPRODUCT((ListeB='recap S1'!$B30)*(OFFSET(ListeB,,4)='recap S1'!AH$3)*(OFFSET(ListeB,,1)='recap S1'!AH$2))&gt;0,SUMPRODUCT((ListeB='recap S1'!$B30)*(OFFSET(ListeB,,4)='recap S1'!AH$3)*(OFFSET(ListeB,,1)='recap S1'!AH$2)),"")</f>
        <v/>
      </c>
      <c r="AI30" s="32" t="str">
        <f ca="1">IF(SUMPRODUCT((ListeB='recap S1'!$B30)*(OFFSET(ListeB,,4)='recap S1'!AI$3)*(OFFSET(ListeB,,1)='recap S1'!AI$2))&gt;0,SUMPRODUCT((ListeB='recap S1'!$B30)*(OFFSET(ListeB,,4)='recap S1'!AI$3)*(OFFSET(ListeB,,1)='recap S1'!AI$2)),"")</f>
        <v/>
      </c>
      <c r="AJ30" s="32" t="str">
        <f ca="1">IF(SUMPRODUCT((ListeB='recap S1'!$B30)*(OFFSET(ListeB,,4)='recap S1'!AJ$3)*(OFFSET(ListeB,,1)='recap S1'!AJ$2))&gt;0,SUMPRODUCT((ListeB='recap S1'!$B30)*(OFFSET(ListeB,,4)='recap S1'!AJ$3)*(OFFSET(ListeB,,1)='recap S1'!AJ$2)),"")</f>
        <v/>
      </c>
      <c r="AK30" s="32" t="str">
        <f ca="1">IF(SUMPRODUCT((ListeB='recap S1'!$B30)*(OFFSET(ListeB,,4)='recap S1'!AK$3)*(OFFSET(ListeB,,1)='recap S1'!AK$2))&gt;0,SUMPRODUCT((ListeB='recap S1'!$B30)*(OFFSET(ListeB,,4)='recap S1'!AK$3)*(OFFSET(ListeB,,1)='recap S1'!AK$2)),"")</f>
        <v/>
      </c>
      <c r="AL30" s="32" t="str">
        <f ca="1">IF(SUMPRODUCT((ListeB='recap S1'!$B30)*(OFFSET(ListeB,,4)='recap S1'!AL$3)*(OFFSET(ListeB,,1)='recap S1'!AL$2))&gt;0,SUMPRODUCT((ListeB='recap S1'!$B30)*(OFFSET(ListeB,,4)='recap S1'!AL$3)*(OFFSET(ListeB,,1)='recap S1'!AL$2)),"")</f>
        <v/>
      </c>
      <c r="AM30" s="32" t="str">
        <f ca="1">IF(SUMPRODUCT((ListeB='recap S1'!$B30)*(OFFSET(ListeB,,4)='recap S1'!AM$3)*(OFFSET(ListeB,,1)='recap S1'!AM$2))&gt;0,SUMPRODUCT((ListeB='recap S1'!$B30)*(OFFSET(ListeB,,4)='recap S1'!AM$3)*(OFFSET(ListeB,,1)='recap S1'!AM$2)),"")</f>
        <v/>
      </c>
      <c r="AN30" s="32" t="str">
        <f ca="1">IF(SUMPRODUCT((ListeB='recap S1'!$B30)*(OFFSET(ListeB,,4)='recap S1'!AN$3)*(OFFSET(ListeB,,1)='recap S1'!AN$2))&gt;0,SUMPRODUCT((ListeB='recap S1'!$B30)*(OFFSET(ListeB,,4)='recap S1'!AN$3)*(OFFSET(ListeB,,1)='recap S1'!AN$2)),"")</f>
        <v/>
      </c>
      <c r="AO30" s="32" t="str">
        <f ca="1">IF(SUMPRODUCT((ListeB='recap S1'!$B30)*(OFFSET(ListeB,,4)='recap S1'!AO$3)*(OFFSET(ListeB,,1)='recap S1'!AO$2))&gt;0,SUMPRODUCT((ListeB='recap S1'!$B30)*(OFFSET(ListeB,,4)='recap S1'!AO$3)*(OFFSET(ListeB,,1)='recap S1'!AO$2)),"")</f>
        <v/>
      </c>
      <c r="AP30" s="32" t="str">
        <f ca="1">IF(SUMPRODUCT((ListeB='recap S1'!$B30)*(OFFSET(ListeB,,4)='recap S1'!AP$3)*(OFFSET(ListeB,,1)='recap S1'!AP$2))&gt;0,SUMPRODUCT((ListeB='recap S1'!$B30)*(OFFSET(ListeB,,4)='recap S1'!AP$3)*(OFFSET(ListeB,,1)='recap S1'!AP$2)),"")</f>
        <v/>
      </c>
      <c r="AQ30" s="32" t="str">
        <f ca="1">IF(SUMPRODUCT((ListeB='recap S1'!$B30)*(OFFSET(ListeB,,4)='recap S1'!AQ$3)*(OFFSET(ListeB,,1)='recap S1'!AQ$2))&gt;0,SUMPRODUCT((ListeB='recap S1'!$B30)*(OFFSET(ListeB,,4)='recap S1'!AQ$3)*(OFFSET(ListeB,,1)='recap S1'!AQ$2)),"")</f>
        <v/>
      </c>
      <c r="AR30" s="32" t="str">
        <f ca="1">IF(SUMPRODUCT((ListeB='recap S1'!$B30)*(OFFSET(ListeB,,4)='recap S1'!AR$3)*(OFFSET(ListeB,,1)='recap S1'!AR$2))&gt;0,SUMPRODUCT((ListeB='recap S1'!$B30)*(OFFSET(ListeB,,4)='recap S1'!AR$3)*(OFFSET(ListeB,,1)='recap S1'!AR$2)),"")</f>
        <v/>
      </c>
      <c r="AS30" s="32" t="str">
        <f ca="1">IF(SUMPRODUCT((ListeB='recap S1'!$B30)*(OFFSET(ListeB,,4)='recap S1'!AS$3)*(OFFSET(ListeB,,1)='recap S1'!AS$2))&gt;0,SUMPRODUCT((ListeB='recap S1'!$B30)*(OFFSET(ListeB,,4)='recap S1'!AS$3)*(OFFSET(ListeB,,1)='recap S1'!AS$2)),"")</f>
        <v/>
      </c>
      <c r="AT30" s="32" t="str">
        <f ca="1">IF(SUMPRODUCT((ListeB='recap S1'!$B30)*(OFFSET(ListeB,,4)='recap S1'!AT$3)*(OFFSET(ListeB,,1)='recap S1'!AT$2))&gt;0,SUMPRODUCT((ListeB='recap S1'!$B30)*(OFFSET(ListeB,,4)='recap S1'!AT$3)*(OFFSET(ListeB,,1)='recap S1'!AT$2)),"")</f>
        <v/>
      </c>
      <c r="AU30" s="32" t="str">
        <f ca="1">IF(SUMPRODUCT((ListeB='recap S1'!$B30)*(OFFSET(ListeB,,4)='recap S1'!AU$3)*(OFFSET(ListeB,,1)='recap S1'!AU$2))&gt;0,SUMPRODUCT((ListeB='recap S1'!$B30)*(OFFSET(ListeB,,4)='recap S1'!AU$3)*(OFFSET(ListeB,,1)='recap S1'!AU$2)),"")</f>
        <v/>
      </c>
      <c r="AV30" s="32" t="str">
        <f ca="1">IF(SUMPRODUCT((ListeB='recap S1'!$B30)*(OFFSET(ListeB,,4)='recap S1'!AV$3)*(OFFSET(ListeB,,1)='recap S1'!AV$2))&gt;0,SUMPRODUCT((ListeB='recap S1'!$B30)*(OFFSET(ListeB,,4)='recap S1'!AV$3)*(OFFSET(ListeB,,1)='recap S1'!AV$2)),"")</f>
        <v/>
      </c>
      <c r="AW30" s="32" t="str">
        <f ca="1">IF(SUMPRODUCT((ListeB='recap S1'!$B30)*(OFFSET(ListeB,,4)='recap S1'!AW$3)*(OFFSET(ListeB,,1)='recap S1'!AW$2))&gt;0,SUMPRODUCT((ListeB='recap S1'!$B30)*(OFFSET(ListeB,,4)='recap S1'!AW$3)*(OFFSET(ListeB,,1)='recap S1'!AW$2)),"")</f>
        <v/>
      </c>
      <c r="AX30" s="32" t="str">
        <f ca="1">IF(SUMPRODUCT((ListeB='recap S1'!$B30)*(OFFSET(ListeB,,4)='recap S1'!AX$3)*(OFFSET(ListeB,,1)='recap S1'!AX$2))&gt;0,SUMPRODUCT((ListeB='recap S1'!$B30)*(OFFSET(ListeB,,4)='recap S1'!AX$3)*(OFFSET(ListeB,,1)='recap S1'!AX$2)),"")</f>
        <v/>
      </c>
      <c r="AY30" s="32" t="str">
        <f ca="1">IF(SUMPRODUCT((ListeB='recap S1'!$B30)*(OFFSET(ListeB,,4)='recap S1'!AY$3)*(OFFSET(ListeB,,1)='recap S1'!AY$2))&gt;0,SUMPRODUCT((ListeB='recap S1'!$B30)*(OFFSET(ListeB,,4)='recap S1'!AY$3)*(OFFSET(ListeB,,1)='recap S1'!AY$2)),"")</f>
        <v/>
      </c>
      <c r="AZ30" s="32">
        <f t="shared" ca="1" si="0"/>
        <v>0</v>
      </c>
    </row>
    <row r="31" spans="1:52">
      <c r="A31" s="41" t="str">
        <f>IF('SEANCE 1'!$B29&lt;&gt;"",'SEANCE 1'!$A29,"")</f>
        <v/>
      </c>
      <c r="B31" s="41" t="str">
        <f t="array" aca="1" ref="B31" ca="1">IF(ISNA(INDEX(ListeB,MATCH(0,COUNTIF($B$3:B30,ListeB),0))),"",INDEX(ListeB,MATCH(0,COUNTIF($B$3:B30,ListeB),0)))</f>
        <v/>
      </c>
      <c r="C31" s="32" t="str">
        <f ca="1">IF(SUMPRODUCT((ListeB='recap S1'!$B31)*(OFFSET(ListeB,,4)='recap S1'!C$3)*(OFFSET(ListeB,,1)='recap S1'!C$2))&gt;0,SUMPRODUCT((ListeB='recap S1'!$B31)*(OFFSET(ListeB,,4)='recap S1'!C$3)*(OFFSET(ListeB,,1)='recap S1'!C$2)),"")</f>
        <v/>
      </c>
      <c r="D31" s="32" t="str">
        <f ca="1">IF(SUMPRODUCT((ListeB='recap S1'!$B31)*(OFFSET(ListeB,,4)='recap S1'!D$3)*(OFFSET(ListeB,,1)='recap S1'!D$2))&gt;0,SUMPRODUCT((ListeB='recap S1'!$B31)*(OFFSET(ListeB,,4)='recap S1'!D$3)*(OFFSET(ListeB,,1)='recap S1'!D$2)),"")</f>
        <v/>
      </c>
      <c r="E31" s="32" t="str">
        <f ca="1">IF(SUMPRODUCT((ListeB='recap S1'!$B31)*(OFFSET(ListeB,,4)='recap S1'!E$3)*(OFFSET(ListeB,,1)='recap S1'!E$2))&gt;0,SUMPRODUCT((ListeB='recap S1'!$B31)*(OFFSET(ListeB,,4)='recap S1'!E$3)*(OFFSET(ListeB,,1)='recap S1'!E$2)),"")</f>
        <v/>
      </c>
      <c r="F31" s="32" t="str">
        <f ca="1">IF(SUMPRODUCT((ListeB='recap S1'!$B31)*(OFFSET(ListeB,,4)='recap S1'!F$3)*(OFFSET(ListeB,,1)='recap S1'!F$2))&gt;0,SUMPRODUCT((ListeB='recap S1'!$B31)*(OFFSET(ListeB,,4)='recap S1'!F$3)*(OFFSET(ListeB,,1)='recap S1'!F$2)),"")</f>
        <v/>
      </c>
      <c r="G31" s="32" t="str">
        <f ca="1">IF(SUMPRODUCT((ListeB='recap S1'!$B31)*(OFFSET(ListeB,,4)='recap S1'!G$3)*(OFFSET(ListeB,,1)='recap S1'!G$2))&gt;0,SUMPRODUCT((ListeB='recap S1'!$B31)*(OFFSET(ListeB,,4)='recap S1'!G$3)*(OFFSET(ListeB,,1)='recap S1'!G$2)),"")</f>
        <v/>
      </c>
      <c r="H31" s="32" t="str">
        <f ca="1">IF(SUMPRODUCT((ListeB='recap S1'!$B31)*(OFFSET(ListeB,,4)='recap S1'!H$3)*(OFFSET(ListeB,,1)='recap S1'!H$2))&gt;0,SUMPRODUCT((ListeB='recap S1'!$B31)*(OFFSET(ListeB,,4)='recap S1'!H$3)*(OFFSET(ListeB,,1)='recap S1'!H$2)),"")</f>
        <v/>
      </c>
      <c r="I31" s="32" t="str">
        <f ca="1">IF(SUMPRODUCT((ListeB='recap S1'!$B31)*(OFFSET(ListeB,,4)='recap S1'!I$3)*(OFFSET(ListeB,,1)='recap S1'!I$2))&gt;0,SUMPRODUCT((ListeB='recap S1'!$B31)*(OFFSET(ListeB,,4)='recap S1'!I$3)*(OFFSET(ListeB,,1)='recap S1'!I$2)),"")</f>
        <v/>
      </c>
      <c r="J31" s="32" t="str">
        <f ca="1">IF(SUMPRODUCT((ListeB='recap S1'!$B31)*(OFFSET(ListeB,,4)='recap S1'!J$3)*(OFFSET(ListeB,,1)='recap S1'!J$2))&gt;0,SUMPRODUCT((ListeB='recap S1'!$B31)*(OFFSET(ListeB,,4)='recap S1'!J$3)*(OFFSET(ListeB,,1)='recap S1'!J$2)),"")</f>
        <v/>
      </c>
      <c r="K31" s="32" t="str">
        <f ca="1">IF(SUMPRODUCT((ListeB='recap S1'!$B31)*(OFFSET(ListeB,,4)='recap S1'!K$3)*(OFFSET(ListeB,,1)='recap S1'!K$2))&gt;0,SUMPRODUCT((ListeB='recap S1'!$B31)*(OFFSET(ListeB,,4)='recap S1'!K$3)*(OFFSET(ListeB,,1)='recap S1'!K$2)),"")</f>
        <v/>
      </c>
      <c r="L31" s="32" t="str">
        <f ca="1">IF(SUMPRODUCT((ListeB='recap S1'!$B31)*(OFFSET(ListeB,,4)='recap S1'!L$3)*(OFFSET(ListeB,,1)='recap S1'!L$2))&gt;0,SUMPRODUCT((ListeB='recap S1'!$B31)*(OFFSET(ListeB,,4)='recap S1'!L$3)*(OFFSET(ListeB,,1)='recap S1'!L$2)),"")</f>
        <v/>
      </c>
      <c r="M31" s="32" t="str">
        <f ca="1">IF(SUMPRODUCT((ListeB='recap S1'!$B31)*(OFFSET(ListeB,,4)='recap S1'!M$3)*(OFFSET(ListeB,,1)='recap S1'!M$2))&gt;0,SUMPRODUCT((ListeB='recap S1'!$B31)*(OFFSET(ListeB,,4)='recap S1'!M$3)*(OFFSET(ListeB,,1)='recap S1'!M$2)),"")</f>
        <v/>
      </c>
      <c r="N31" s="32" t="str">
        <f ca="1">IF(SUMPRODUCT((ListeB='recap S1'!$B31)*(OFFSET(ListeB,,4)='recap S1'!N$3)*(OFFSET(ListeB,,1)='recap S1'!N$2))&gt;0,SUMPRODUCT((ListeB='recap S1'!$B31)*(OFFSET(ListeB,,4)='recap S1'!N$3)*(OFFSET(ListeB,,1)='recap S1'!N$2)),"")</f>
        <v/>
      </c>
      <c r="O31" s="32" t="str">
        <f ca="1">IF(SUMPRODUCT((ListeB='recap S1'!$B31)*(OFFSET(ListeB,,4)='recap S1'!O$3)*(OFFSET(ListeB,,1)='recap S1'!O$2))&gt;0,SUMPRODUCT((ListeB='recap S1'!$B31)*(OFFSET(ListeB,,4)='recap S1'!O$3)*(OFFSET(ListeB,,1)='recap S1'!O$2)),"")</f>
        <v/>
      </c>
      <c r="P31" s="32" t="str">
        <f ca="1">IF(SUMPRODUCT((ListeB='recap S1'!$B31)*(OFFSET(ListeB,,4)='recap S1'!P$3)*(OFFSET(ListeB,,1)='recap S1'!P$2))&gt;0,SUMPRODUCT((ListeB='recap S1'!$B31)*(OFFSET(ListeB,,4)='recap S1'!P$3)*(OFFSET(ListeB,,1)='recap S1'!P$2)),"")</f>
        <v/>
      </c>
      <c r="Q31" s="32" t="str">
        <f ca="1">IF(SUMPRODUCT((ListeB='recap S1'!$B31)*(OFFSET(ListeB,,4)='recap S1'!Q$3)*(OFFSET(ListeB,,1)='recap S1'!Q$2))&gt;0,SUMPRODUCT((ListeB='recap S1'!$B31)*(OFFSET(ListeB,,4)='recap S1'!Q$3)*(OFFSET(ListeB,,1)='recap S1'!Q$2)),"")</f>
        <v/>
      </c>
      <c r="R31" s="32" t="str">
        <f ca="1">IF(SUMPRODUCT((ListeB='recap S1'!$B31)*(OFFSET(ListeB,,4)='recap S1'!R$3)*(OFFSET(ListeB,,1)='recap S1'!R$2))&gt;0,SUMPRODUCT((ListeB='recap S1'!$B31)*(OFFSET(ListeB,,4)='recap S1'!R$3)*(OFFSET(ListeB,,1)='recap S1'!R$2)),"")</f>
        <v/>
      </c>
      <c r="S31" s="32" t="str">
        <f ca="1">IF(SUMPRODUCT((ListeB='recap S1'!$B31)*(OFFSET(ListeB,,4)='recap S1'!S$3)*(OFFSET(ListeB,,1)='recap S1'!S$2))&gt;0,SUMPRODUCT((ListeB='recap S1'!$B31)*(OFFSET(ListeB,,4)='recap S1'!S$3)*(OFFSET(ListeB,,1)='recap S1'!S$2)),"")</f>
        <v/>
      </c>
      <c r="T31" s="32" t="str">
        <f ca="1">IF(SUMPRODUCT((ListeB='recap S1'!$B31)*(OFFSET(ListeB,,4)='recap S1'!T$3)*(OFFSET(ListeB,,1)='recap S1'!T$2))&gt;0,SUMPRODUCT((ListeB='recap S1'!$B31)*(OFFSET(ListeB,,4)='recap S1'!T$3)*(OFFSET(ListeB,,1)='recap S1'!T$2)),"")</f>
        <v/>
      </c>
      <c r="U31" s="32" t="str">
        <f ca="1">IF(SUMPRODUCT((ListeB='recap S1'!$B31)*(OFFSET(ListeB,,4)='recap S1'!U$3)*(OFFSET(ListeB,,1)='recap S1'!U$2))&gt;0,SUMPRODUCT((ListeB='recap S1'!$B31)*(OFFSET(ListeB,,4)='recap S1'!U$3)*(OFFSET(ListeB,,1)='recap S1'!U$2)),"")</f>
        <v/>
      </c>
      <c r="V31" s="32" t="str">
        <f ca="1">IF(SUMPRODUCT((ListeB='recap S1'!$B31)*(OFFSET(ListeB,,4)='recap S1'!V$3)*(OFFSET(ListeB,,1)='recap S1'!V$2))&gt;0,SUMPRODUCT((ListeB='recap S1'!$B31)*(OFFSET(ListeB,,4)='recap S1'!V$3)*(OFFSET(ListeB,,1)='recap S1'!V$2)),"")</f>
        <v/>
      </c>
      <c r="W31" s="32" t="str">
        <f ca="1">IF(SUMPRODUCT((ListeB='recap S1'!$B31)*(OFFSET(ListeB,,4)='recap S1'!W$3)*(OFFSET(ListeB,,1)='recap S1'!W$2))&gt;0,SUMPRODUCT((ListeB='recap S1'!$B31)*(OFFSET(ListeB,,4)='recap S1'!W$3)*(OFFSET(ListeB,,1)='recap S1'!W$2)),"")</f>
        <v/>
      </c>
      <c r="X31" s="32" t="str">
        <f ca="1">IF(SUMPRODUCT((ListeB='recap S1'!$B31)*(OFFSET(ListeB,,4)='recap S1'!X$3)*(OFFSET(ListeB,,1)='recap S1'!X$2))&gt;0,SUMPRODUCT((ListeB='recap S1'!$B31)*(OFFSET(ListeB,,4)='recap S1'!X$3)*(OFFSET(ListeB,,1)='recap S1'!X$2)),"")</f>
        <v/>
      </c>
      <c r="Y31" s="32" t="str">
        <f ca="1">IF(SUMPRODUCT((ListeB='recap S1'!$B31)*(OFFSET(ListeB,,4)='recap S1'!Y$3)*(OFFSET(ListeB,,1)='recap S1'!Y$2))&gt;0,SUMPRODUCT((ListeB='recap S1'!$B31)*(OFFSET(ListeB,,4)='recap S1'!Y$3)*(OFFSET(ListeB,,1)='recap S1'!Y$2)),"")</f>
        <v/>
      </c>
      <c r="Z31" s="32" t="str">
        <f ca="1">IF(SUMPRODUCT((ListeB='recap S1'!$B31)*(OFFSET(ListeB,,4)='recap S1'!Z$3)*(OFFSET(ListeB,,1)='recap S1'!Z$2))&gt;0,SUMPRODUCT((ListeB='recap S1'!$B31)*(OFFSET(ListeB,,4)='recap S1'!Z$3)*(OFFSET(ListeB,,1)='recap S1'!Z$2)),"")</f>
        <v/>
      </c>
      <c r="AA31" s="32" t="str">
        <f ca="1">IF(SUMPRODUCT((ListeB='recap S1'!$B31)*(OFFSET(ListeB,,4)='recap S1'!AA$3)*(OFFSET(ListeB,,1)='recap S1'!AA$2))&gt;0,SUMPRODUCT((ListeB='recap S1'!$B31)*(OFFSET(ListeB,,4)='recap S1'!AA$3)*(OFFSET(ListeB,,1)='recap S1'!AA$2)),"")</f>
        <v/>
      </c>
      <c r="AB31" s="32" t="str">
        <f ca="1">IF(SUMPRODUCT((ListeB='recap S1'!$B31)*(OFFSET(ListeB,,4)='recap S1'!AB$3)*(OFFSET(ListeB,,1)='recap S1'!AB$2))&gt;0,SUMPRODUCT((ListeB='recap S1'!$B31)*(OFFSET(ListeB,,4)='recap S1'!AB$3)*(OFFSET(ListeB,,1)='recap S1'!AB$2)),"")</f>
        <v/>
      </c>
      <c r="AC31" s="32" t="str">
        <f ca="1">IF(SUMPRODUCT((ListeB='recap S1'!$B31)*(OFFSET(ListeB,,4)='recap S1'!AC$3)*(OFFSET(ListeB,,1)='recap S1'!AC$2))&gt;0,SUMPRODUCT((ListeB='recap S1'!$B31)*(OFFSET(ListeB,,4)='recap S1'!AC$3)*(OFFSET(ListeB,,1)='recap S1'!AC$2)),"")</f>
        <v/>
      </c>
      <c r="AD31" s="32" t="str">
        <f ca="1">IF(SUMPRODUCT((ListeB='recap S1'!$B31)*(OFFSET(ListeB,,4)='recap S1'!AD$3)*(OFFSET(ListeB,,1)='recap S1'!AD$2))&gt;0,SUMPRODUCT((ListeB='recap S1'!$B31)*(OFFSET(ListeB,,4)='recap S1'!AD$3)*(OFFSET(ListeB,,1)='recap S1'!AD$2)),"")</f>
        <v/>
      </c>
      <c r="AE31" s="32" t="str">
        <f ca="1">IF(SUMPRODUCT((ListeB='recap S1'!$B31)*(OFFSET(ListeB,,4)='recap S1'!AE$3)*(OFFSET(ListeB,,1)='recap S1'!AE$2))&gt;0,SUMPRODUCT((ListeB='recap S1'!$B31)*(OFFSET(ListeB,,4)='recap S1'!AE$3)*(OFFSET(ListeB,,1)='recap S1'!AE$2)),"")</f>
        <v/>
      </c>
      <c r="AF31" s="32" t="str">
        <f ca="1">IF(SUMPRODUCT((ListeB='recap S1'!$B31)*(OFFSET(ListeB,,4)='recap S1'!AF$3)*(OFFSET(ListeB,,1)='recap S1'!AF$2))&gt;0,SUMPRODUCT((ListeB='recap S1'!$B31)*(OFFSET(ListeB,,4)='recap S1'!AF$3)*(OFFSET(ListeB,,1)='recap S1'!AF$2)),"")</f>
        <v/>
      </c>
      <c r="AG31" s="32" t="str">
        <f ca="1">IF(SUMPRODUCT((ListeB='recap S1'!$B31)*(OFFSET(ListeB,,4)='recap S1'!AG$3)*(OFFSET(ListeB,,1)='recap S1'!AG$2))&gt;0,SUMPRODUCT((ListeB='recap S1'!$B31)*(OFFSET(ListeB,,4)='recap S1'!AG$3)*(OFFSET(ListeB,,1)='recap S1'!AG$2)),"")</f>
        <v/>
      </c>
      <c r="AH31" s="32" t="str">
        <f ca="1">IF(SUMPRODUCT((ListeB='recap S1'!$B31)*(OFFSET(ListeB,,4)='recap S1'!AH$3)*(OFFSET(ListeB,,1)='recap S1'!AH$2))&gt;0,SUMPRODUCT((ListeB='recap S1'!$B31)*(OFFSET(ListeB,,4)='recap S1'!AH$3)*(OFFSET(ListeB,,1)='recap S1'!AH$2)),"")</f>
        <v/>
      </c>
      <c r="AI31" s="32" t="str">
        <f ca="1">IF(SUMPRODUCT((ListeB='recap S1'!$B31)*(OFFSET(ListeB,,4)='recap S1'!AI$3)*(OFFSET(ListeB,,1)='recap S1'!AI$2))&gt;0,SUMPRODUCT((ListeB='recap S1'!$B31)*(OFFSET(ListeB,,4)='recap S1'!AI$3)*(OFFSET(ListeB,,1)='recap S1'!AI$2)),"")</f>
        <v/>
      </c>
      <c r="AJ31" s="32" t="str">
        <f ca="1">IF(SUMPRODUCT((ListeB='recap S1'!$B31)*(OFFSET(ListeB,,4)='recap S1'!AJ$3)*(OFFSET(ListeB,,1)='recap S1'!AJ$2))&gt;0,SUMPRODUCT((ListeB='recap S1'!$B31)*(OFFSET(ListeB,,4)='recap S1'!AJ$3)*(OFFSET(ListeB,,1)='recap S1'!AJ$2)),"")</f>
        <v/>
      </c>
      <c r="AK31" s="32" t="str">
        <f ca="1">IF(SUMPRODUCT((ListeB='recap S1'!$B31)*(OFFSET(ListeB,,4)='recap S1'!AK$3)*(OFFSET(ListeB,,1)='recap S1'!AK$2))&gt;0,SUMPRODUCT((ListeB='recap S1'!$B31)*(OFFSET(ListeB,,4)='recap S1'!AK$3)*(OFFSET(ListeB,,1)='recap S1'!AK$2)),"")</f>
        <v/>
      </c>
      <c r="AL31" s="32" t="str">
        <f ca="1">IF(SUMPRODUCT((ListeB='recap S1'!$B31)*(OFFSET(ListeB,,4)='recap S1'!AL$3)*(OFFSET(ListeB,,1)='recap S1'!AL$2))&gt;0,SUMPRODUCT((ListeB='recap S1'!$B31)*(OFFSET(ListeB,,4)='recap S1'!AL$3)*(OFFSET(ListeB,,1)='recap S1'!AL$2)),"")</f>
        <v/>
      </c>
      <c r="AM31" s="32" t="str">
        <f ca="1">IF(SUMPRODUCT((ListeB='recap S1'!$B31)*(OFFSET(ListeB,,4)='recap S1'!AM$3)*(OFFSET(ListeB,,1)='recap S1'!AM$2))&gt;0,SUMPRODUCT((ListeB='recap S1'!$B31)*(OFFSET(ListeB,,4)='recap S1'!AM$3)*(OFFSET(ListeB,,1)='recap S1'!AM$2)),"")</f>
        <v/>
      </c>
      <c r="AN31" s="32" t="str">
        <f ca="1">IF(SUMPRODUCT((ListeB='recap S1'!$B31)*(OFFSET(ListeB,,4)='recap S1'!AN$3)*(OFFSET(ListeB,,1)='recap S1'!AN$2))&gt;0,SUMPRODUCT((ListeB='recap S1'!$B31)*(OFFSET(ListeB,,4)='recap S1'!AN$3)*(OFFSET(ListeB,,1)='recap S1'!AN$2)),"")</f>
        <v/>
      </c>
      <c r="AO31" s="32" t="str">
        <f ca="1">IF(SUMPRODUCT((ListeB='recap S1'!$B31)*(OFFSET(ListeB,,4)='recap S1'!AO$3)*(OFFSET(ListeB,,1)='recap S1'!AO$2))&gt;0,SUMPRODUCT((ListeB='recap S1'!$B31)*(OFFSET(ListeB,,4)='recap S1'!AO$3)*(OFFSET(ListeB,,1)='recap S1'!AO$2)),"")</f>
        <v/>
      </c>
      <c r="AP31" s="32" t="str">
        <f ca="1">IF(SUMPRODUCT((ListeB='recap S1'!$B31)*(OFFSET(ListeB,,4)='recap S1'!AP$3)*(OFFSET(ListeB,,1)='recap S1'!AP$2))&gt;0,SUMPRODUCT((ListeB='recap S1'!$B31)*(OFFSET(ListeB,,4)='recap S1'!AP$3)*(OFFSET(ListeB,,1)='recap S1'!AP$2)),"")</f>
        <v/>
      </c>
      <c r="AQ31" s="32" t="str">
        <f ca="1">IF(SUMPRODUCT((ListeB='recap S1'!$B31)*(OFFSET(ListeB,,4)='recap S1'!AQ$3)*(OFFSET(ListeB,,1)='recap S1'!AQ$2))&gt;0,SUMPRODUCT((ListeB='recap S1'!$B31)*(OFFSET(ListeB,,4)='recap S1'!AQ$3)*(OFFSET(ListeB,,1)='recap S1'!AQ$2)),"")</f>
        <v/>
      </c>
      <c r="AR31" s="32" t="str">
        <f ca="1">IF(SUMPRODUCT((ListeB='recap S1'!$B31)*(OFFSET(ListeB,,4)='recap S1'!AR$3)*(OFFSET(ListeB,,1)='recap S1'!AR$2))&gt;0,SUMPRODUCT((ListeB='recap S1'!$B31)*(OFFSET(ListeB,,4)='recap S1'!AR$3)*(OFFSET(ListeB,,1)='recap S1'!AR$2)),"")</f>
        <v/>
      </c>
      <c r="AS31" s="32" t="str">
        <f ca="1">IF(SUMPRODUCT((ListeB='recap S1'!$B31)*(OFFSET(ListeB,,4)='recap S1'!AS$3)*(OFFSET(ListeB,,1)='recap S1'!AS$2))&gt;0,SUMPRODUCT((ListeB='recap S1'!$B31)*(OFFSET(ListeB,,4)='recap S1'!AS$3)*(OFFSET(ListeB,,1)='recap S1'!AS$2)),"")</f>
        <v/>
      </c>
      <c r="AT31" s="32" t="str">
        <f ca="1">IF(SUMPRODUCT((ListeB='recap S1'!$B31)*(OFFSET(ListeB,,4)='recap S1'!AT$3)*(OFFSET(ListeB,,1)='recap S1'!AT$2))&gt;0,SUMPRODUCT((ListeB='recap S1'!$B31)*(OFFSET(ListeB,,4)='recap S1'!AT$3)*(OFFSET(ListeB,,1)='recap S1'!AT$2)),"")</f>
        <v/>
      </c>
      <c r="AU31" s="32" t="str">
        <f ca="1">IF(SUMPRODUCT((ListeB='recap S1'!$B31)*(OFFSET(ListeB,,4)='recap S1'!AU$3)*(OFFSET(ListeB,,1)='recap S1'!AU$2))&gt;0,SUMPRODUCT((ListeB='recap S1'!$B31)*(OFFSET(ListeB,,4)='recap S1'!AU$3)*(OFFSET(ListeB,,1)='recap S1'!AU$2)),"")</f>
        <v/>
      </c>
      <c r="AV31" s="32" t="str">
        <f ca="1">IF(SUMPRODUCT((ListeB='recap S1'!$B31)*(OFFSET(ListeB,,4)='recap S1'!AV$3)*(OFFSET(ListeB,,1)='recap S1'!AV$2))&gt;0,SUMPRODUCT((ListeB='recap S1'!$B31)*(OFFSET(ListeB,,4)='recap S1'!AV$3)*(OFFSET(ListeB,,1)='recap S1'!AV$2)),"")</f>
        <v/>
      </c>
      <c r="AW31" s="32" t="str">
        <f ca="1">IF(SUMPRODUCT((ListeB='recap S1'!$B31)*(OFFSET(ListeB,,4)='recap S1'!AW$3)*(OFFSET(ListeB,,1)='recap S1'!AW$2))&gt;0,SUMPRODUCT((ListeB='recap S1'!$B31)*(OFFSET(ListeB,,4)='recap S1'!AW$3)*(OFFSET(ListeB,,1)='recap S1'!AW$2)),"")</f>
        <v/>
      </c>
      <c r="AX31" s="32" t="str">
        <f ca="1">IF(SUMPRODUCT((ListeB='recap S1'!$B31)*(OFFSET(ListeB,,4)='recap S1'!AX$3)*(OFFSET(ListeB,,1)='recap S1'!AX$2))&gt;0,SUMPRODUCT((ListeB='recap S1'!$B31)*(OFFSET(ListeB,,4)='recap S1'!AX$3)*(OFFSET(ListeB,,1)='recap S1'!AX$2)),"")</f>
        <v/>
      </c>
      <c r="AY31" s="32" t="str">
        <f ca="1">IF(SUMPRODUCT((ListeB='recap S1'!$B31)*(OFFSET(ListeB,,4)='recap S1'!AY$3)*(OFFSET(ListeB,,1)='recap S1'!AY$2))&gt;0,SUMPRODUCT((ListeB='recap S1'!$B31)*(OFFSET(ListeB,,4)='recap S1'!AY$3)*(OFFSET(ListeB,,1)='recap S1'!AY$2)),"")</f>
        <v/>
      </c>
      <c r="AZ31" s="32">
        <f t="shared" ca="1" si="0"/>
        <v>0</v>
      </c>
    </row>
    <row r="32" spans="1:52">
      <c r="A32" s="41" t="str">
        <f>IF('SEANCE 1'!$B30&lt;&gt;"",'SEANCE 1'!$A30,"")</f>
        <v/>
      </c>
      <c r="B32" s="41" t="str">
        <f t="array" aca="1" ref="B32" ca="1">IF(ISNA(INDEX(ListeB,MATCH(0,COUNTIF($B$3:B31,ListeB),0))),"",INDEX(ListeB,MATCH(0,COUNTIF($B$3:B31,ListeB),0)))</f>
        <v/>
      </c>
      <c r="C32" s="32" t="str">
        <f ca="1">IF(SUMPRODUCT((ListeB='recap S1'!$B32)*(OFFSET(ListeB,,4)='recap S1'!C$3)*(OFFSET(ListeB,,1)='recap S1'!C$2))&gt;0,SUMPRODUCT((ListeB='recap S1'!$B32)*(OFFSET(ListeB,,4)='recap S1'!C$3)*(OFFSET(ListeB,,1)='recap S1'!C$2)),"")</f>
        <v/>
      </c>
      <c r="D32" s="32" t="str">
        <f ca="1">IF(SUMPRODUCT((ListeB='recap S1'!$B32)*(OFFSET(ListeB,,4)='recap S1'!D$3)*(OFFSET(ListeB,,1)='recap S1'!D$2))&gt;0,SUMPRODUCT((ListeB='recap S1'!$B32)*(OFFSET(ListeB,,4)='recap S1'!D$3)*(OFFSET(ListeB,,1)='recap S1'!D$2)),"")</f>
        <v/>
      </c>
      <c r="E32" s="32" t="str">
        <f ca="1">IF(SUMPRODUCT((ListeB='recap S1'!$B32)*(OFFSET(ListeB,,4)='recap S1'!E$3)*(OFFSET(ListeB,,1)='recap S1'!E$2))&gt;0,SUMPRODUCT((ListeB='recap S1'!$B32)*(OFFSET(ListeB,,4)='recap S1'!E$3)*(OFFSET(ListeB,,1)='recap S1'!E$2)),"")</f>
        <v/>
      </c>
      <c r="F32" s="32" t="str">
        <f ca="1">IF(SUMPRODUCT((ListeB='recap S1'!$B32)*(OFFSET(ListeB,,4)='recap S1'!F$3)*(OFFSET(ListeB,,1)='recap S1'!F$2))&gt;0,SUMPRODUCT((ListeB='recap S1'!$B32)*(OFFSET(ListeB,,4)='recap S1'!F$3)*(OFFSET(ListeB,,1)='recap S1'!F$2)),"")</f>
        <v/>
      </c>
      <c r="G32" s="32" t="str">
        <f ca="1">IF(SUMPRODUCT((ListeB='recap S1'!$B32)*(OFFSET(ListeB,,4)='recap S1'!G$3)*(OFFSET(ListeB,,1)='recap S1'!G$2))&gt;0,SUMPRODUCT((ListeB='recap S1'!$B32)*(OFFSET(ListeB,,4)='recap S1'!G$3)*(OFFSET(ListeB,,1)='recap S1'!G$2)),"")</f>
        <v/>
      </c>
      <c r="H32" s="32" t="str">
        <f ca="1">IF(SUMPRODUCT((ListeB='recap S1'!$B32)*(OFFSET(ListeB,,4)='recap S1'!H$3)*(OFFSET(ListeB,,1)='recap S1'!H$2))&gt;0,SUMPRODUCT((ListeB='recap S1'!$B32)*(OFFSET(ListeB,,4)='recap S1'!H$3)*(OFFSET(ListeB,,1)='recap S1'!H$2)),"")</f>
        <v/>
      </c>
      <c r="I32" s="32" t="str">
        <f ca="1">IF(SUMPRODUCT((ListeB='recap S1'!$B32)*(OFFSET(ListeB,,4)='recap S1'!I$3)*(OFFSET(ListeB,,1)='recap S1'!I$2))&gt;0,SUMPRODUCT((ListeB='recap S1'!$B32)*(OFFSET(ListeB,,4)='recap S1'!I$3)*(OFFSET(ListeB,,1)='recap S1'!I$2)),"")</f>
        <v/>
      </c>
      <c r="J32" s="32" t="str">
        <f ca="1">IF(SUMPRODUCT((ListeB='recap S1'!$B32)*(OFFSET(ListeB,,4)='recap S1'!J$3)*(OFFSET(ListeB,,1)='recap S1'!J$2))&gt;0,SUMPRODUCT((ListeB='recap S1'!$B32)*(OFFSET(ListeB,,4)='recap S1'!J$3)*(OFFSET(ListeB,,1)='recap S1'!J$2)),"")</f>
        <v/>
      </c>
      <c r="K32" s="32" t="str">
        <f ca="1">IF(SUMPRODUCT((ListeB='recap S1'!$B32)*(OFFSET(ListeB,,4)='recap S1'!K$3)*(OFFSET(ListeB,,1)='recap S1'!K$2))&gt;0,SUMPRODUCT((ListeB='recap S1'!$B32)*(OFFSET(ListeB,,4)='recap S1'!K$3)*(OFFSET(ListeB,,1)='recap S1'!K$2)),"")</f>
        <v/>
      </c>
      <c r="L32" s="32" t="str">
        <f ca="1">IF(SUMPRODUCT((ListeB='recap S1'!$B32)*(OFFSET(ListeB,,4)='recap S1'!L$3)*(OFFSET(ListeB,,1)='recap S1'!L$2))&gt;0,SUMPRODUCT((ListeB='recap S1'!$B32)*(OFFSET(ListeB,,4)='recap S1'!L$3)*(OFFSET(ListeB,,1)='recap S1'!L$2)),"")</f>
        <v/>
      </c>
      <c r="M32" s="32" t="str">
        <f ca="1">IF(SUMPRODUCT((ListeB='recap S1'!$B32)*(OFFSET(ListeB,,4)='recap S1'!M$3)*(OFFSET(ListeB,,1)='recap S1'!M$2))&gt;0,SUMPRODUCT((ListeB='recap S1'!$B32)*(OFFSET(ListeB,,4)='recap S1'!M$3)*(OFFSET(ListeB,,1)='recap S1'!M$2)),"")</f>
        <v/>
      </c>
      <c r="N32" s="32" t="str">
        <f ca="1">IF(SUMPRODUCT((ListeB='recap S1'!$B32)*(OFFSET(ListeB,,4)='recap S1'!N$3)*(OFFSET(ListeB,,1)='recap S1'!N$2))&gt;0,SUMPRODUCT((ListeB='recap S1'!$B32)*(OFFSET(ListeB,,4)='recap S1'!N$3)*(OFFSET(ListeB,,1)='recap S1'!N$2)),"")</f>
        <v/>
      </c>
      <c r="O32" s="32" t="str">
        <f ca="1">IF(SUMPRODUCT((ListeB='recap S1'!$B32)*(OFFSET(ListeB,,4)='recap S1'!O$3)*(OFFSET(ListeB,,1)='recap S1'!O$2))&gt;0,SUMPRODUCT((ListeB='recap S1'!$B32)*(OFFSET(ListeB,,4)='recap S1'!O$3)*(OFFSET(ListeB,,1)='recap S1'!O$2)),"")</f>
        <v/>
      </c>
      <c r="P32" s="32" t="str">
        <f ca="1">IF(SUMPRODUCT((ListeB='recap S1'!$B32)*(OFFSET(ListeB,,4)='recap S1'!P$3)*(OFFSET(ListeB,,1)='recap S1'!P$2))&gt;0,SUMPRODUCT((ListeB='recap S1'!$B32)*(OFFSET(ListeB,,4)='recap S1'!P$3)*(OFFSET(ListeB,,1)='recap S1'!P$2)),"")</f>
        <v/>
      </c>
      <c r="Q32" s="32" t="str">
        <f ca="1">IF(SUMPRODUCT((ListeB='recap S1'!$B32)*(OFFSET(ListeB,,4)='recap S1'!Q$3)*(OFFSET(ListeB,,1)='recap S1'!Q$2))&gt;0,SUMPRODUCT((ListeB='recap S1'!$B32)*(OFFSET(ListeB,,4)='recap S1'!Q$3)*(OFFSET(ListeB,,1)='recap S1'!Q$2)),"")</f>
        <v/>
      </c>
      <c r="R32" s="32" t="str">
        <f ca="1">IF(SUMPRODUCT((ListeB='recap S1'!$B32)*(OFFSET(ListeB,,4)='recap S1'!R$3)*(OFFSET(ListeB,,1)='recap S1'!R$2))&gt;0,SUMPRODUCT((ListeB='recap S1'!$B32)*(OFFSET(ListeB,,4)='recap S1'!R$3)*(OFFSET(ListeB,,1)='recap S1'!R$2)),"")</f>
        <v/>
      </c>
      <c r="S32" s="32" t="str">
        <f ca="1">IF(SUMPRODUCT((ListeB='recap S1'!$B32)*(OFFSET(ListeB,,4)='recap S1'!S$3)*(OFFSET(ListeB,,1)='recap S1'!S$2))&gt;0,SUMPRODUCT((ListeB='recap S1'!$B32)*(OFFSET(ListeB,,4)='recap S1'!S$3)*(OFFSET(ListeB,,1)='recap S1'!S$2)),"")</f>
        <v/>
      </c>
      <c r="T32" s="32" t="str">
        <f ca="1">IF(SUMPRODUCT((ListeB='recap S1'!$B32)*(OFFSET(ListeB,,4)='recap S1'!T$3)*(OFFSET(ListeB,,1)='recap S1'!T$2))&gt;0,SUMPRODUCT((ListeB='recap S1'!$B32)*(OFFSET(ListeB,,4)='recap S1'!T$3)*(OFFSET(ListeB,,1)='recap S1'!T$2)),"")</f>
        <v/>
      </c>
      <c r="U32" s="32" t="str">
        <f ca="1">IF(SUMPRODUCT((ListeB='recap S1'!$B32)*(OFFSET(ListeB,,4)='recap S1'!U$3)*(OFFSET(ListeB,,1)='recap S1'!U$2))&gt;0,SUMPRODUCT((ListeB='recap S1'!$B32)*(OFFSET(ListeB,,4)='recap S1'!U$3)*(OFFSET(ListeB,,1)='recap S1'!U$2)),"")</f>
        <v/>
      </c>
      <c r="V32" s="32" t="str">
        <f ca="1">IF(SUMPRODUCT((ListeB='recap S1'!$B32)*(OFFSET(ListeB,,4)='recap S1'!V$3)*(OFFSET(ListeB,,1)='recap S1'!V$2))&gt;0,SUMPRODUCT((ListeB='recap S1'!$B32)*(OFFSET(ListeB,,4)='recap S1'!V$3)*(OFFSET(ListeB,,1)='recap S1'!V$2)),"")</f>
        <v/>
      </c>
      <c r="W32" s="32" t="str">
        <f ca="1">IF(SUMPRODUCT((ListeB='recap S1'!$B32)*(OFFSET(ListeB,,4)='recap S1'!W$3)*(OFFSET(ListeB,,1)='recap S1'!W$2))&gt;0,SUMPRODUCT((ListeB='recap S1'!$B32)*(OFFSET(ListeB,,4)='recap S1'!W$3)*(OFFSET(ListeB,,1)='recap S1'!W$2)),"")</f>
        <v/>
      </c>
      <c r="X32" s="32" t="str">
        <f ca="1">IF(SUMPRODUCT((ListeB='recap S1'!$B32)*(OFFSET(ListeB,,4)='recap S1'!X$3)*(OFFSET(ListeB,,1)='recap S1'!X$2))&gt;0,SUMPRODUCT((ListeB='recap S1'!$B32)*(OFFSET(ListeB,,4)='recap S1'!X$3)*(OFFSET(ListeB,,1)='recap S1'!X$2)),"")</f>
        <v/>
      </c>
      <c r="Y32" s="32" t="str">
        <f ca="1">IF(SUMPRODUCT((ListeB='recap S1'!$B32)*(OFFSET(ListeB,,4)='recap S1'!Y$3)*(OFFSET(ListeB,,1)='recap S1'!Y$2))&gt;0,SUMPRODUCT((ListeB='recap S1'!$B32)*(OFFSET(ListeB,,4)='recap S1'!Y$3)*(OFFSET(ListeB,,1)='recap S1'!Y$2)),"")</f>
        <v/>
      </c>
      <c r="Z32" s="32" t="str">
        <f ca="1">IF(SUMPRODUCT((ListeB='recap S1'!$B32)*(OFFSET(ListeB,,4)='recap S1'!Z$3)*(OFFSET(ListeB,,1)='recap S1'!Z$2))&gt;0,SUMPRODUCT((ListeB='recap S1'!$B32)*(OFFSET(ListeB,,4)='recap S1'!Z$3)*(OFFSET(ListeB,,1)='recap S1'!Z$2)),"")</f>
        <v/>
      </c>
      <c r="AA32" s="32" t="str">
        <f ca="1">IF(SUMPRODUCT((ListeB='recap S1'!$B32)*(OFFSET(ListeB,,4)='recap S1'!AA$3)*(OFFSET(ListeB,,1)='recap S1'!AA$2))&gt;0,SUMPRODUCT((ListeB='recap S1'!$B32)*(OFFSET(ListeB,,4)='recap S1'!AA$3)*(OFFSET(ListeB,,1)='recap S1'!AA$2)),"")</f>
        <v/>
      </c>
      <c r="AB32" s="32" t="str">
        <f ca="1">IF(SUMPRODUCT((ListeB='recap S1'!$B32)*(OFFSET(ListeB,,4)='recap S1'!AB$3)*(OFFSET(ListeB,,1)='recap S1'!AB$2))&gt;0,SUMPRODUCT((ListeB='recap S1'!$B32)*(OFFSET(ListeB,,4)='recap S1'!AB$3)*(OFFSET(ListeB,,1)='recap S1'!AB$2)),"")</f>
        <v/>
      </c>
      <c r="AC32" s="32" t="str">
        <f ca="1">IF(SUMPRODUCT((ListeB='recap S1'!$B32)*(OFFSET(ListeB,,4)='recap S1'!AC$3)*(OFFSET(ListeB,,1)='recap S1'!AC$2))&gt;0,SUMPRODUCT((ListeB='recap S1'!$B32)*(OFFSET(ListeB,,4)='recap S1'!AC$3)*(OFFSET(ListeB,,1)='recap S1'!AC$2)),"")</f>
        <v/>
      </c>
      <c r="AD32" s="32" t="str">
        <f ca="1">IF(SUMPRODUCT((ListeB='recap S1'!$B32)*(OFFSET(ListeB,,4)='recap S1'!AD$3)*(OFFSET(ListeB,,1)='recap S1'!AD$2))&gt;0,SUMPRODUCT((ListeB='recap S1'!$B32)*(OFFSET(ListeB,,4)='recap S1'!AD$3)*(OFFSET(ListeB,,1)='recap S1'!AD$2)),"")</f>
        <v/>
      </c>
      <c r="AE32" s="32" t="str">
        <f ca="1">IF(SUMPRODUCT((ListeB='recap S1'!$B32)*(OFFSET(ListeB,,4)='recap S1'!AE$3)*(OFFSET(ListeB,,1)='recap S1'!AE$2))&gt;0,SUMPRODUCT((ListeB='recap S1'!$B32)*(OFFSET(ListeB,,4)='recap S1'!AE$3)*(OFFSET(ListeB,,1)='recap S1'!AE$2)),"")</f>
        <v/>
      </c>
      <c r="AF32" s="32" t="str">
        <f ca="1">IF(SUMPRODUCT((ListeB='recap S1'!$B32)*(OFFSET(ListeB,,4)='recap S1'!AF$3)*(OFFSET(ListeB,,1)='recap S1'!AF$2))&gt;0,SUMPRODUCT((ListeB='recap S1'!$B32)*(OFFSET(ListeB,,4)='recap S1'!AF$3)*(OFFSET(ListeB,,1)='recap S1'!AF$2)),"")</f>
        <v/>
      </c>
      <c r="AG32" s="32" t="str">
        <f ca="1">IF(SUMPRODUCT((ListeB='recap S1'!$B32)*(OFFSET(ListeB,,4)='recap S1'!AG$3)*(OFFSET(ListeB,,1)='recap S1'!AG$2))&gt;0,SUMPRODUCT((ListeB='recap S1'!$B32)*(OFFSET(ListeB,,4)='recap S1'!AG$3)*(OFFSET(ListeB,,1)='recap S1'!AG$2)),"")</f>
        <v/>
      </c>
      <c r="AH32" s="32" t="str">
        <f ca="1">IF(SUMPRODUCT((ListeB='recap S1'!$B32)*(OFFSET(ListeB,,4)='recap S1'!AH$3)*(OFFSET(ListeB,,1)='recap S1'!AH$2))&gt;0,SUMPRODUCT((ListeB='recap S1'!$B32)*(OFFSET(ListeB,,4)='recap S1'!AH$3)*(OFFSET(ListeB,,1)='recap S1'!AH$2)),"")</f>
        <v/>
      </c>
      <c r="AI32" s="32" t="str">
        <f ca="1">IF(SUMPRODUCT((ListeB='recap S1'!$B32)*(OFFSET(ListeB,,4)='recap S1'!AI$3)*(OFFSET(ListeB,,1)='recap S1'!AI$2))&gt;0,SUMPRODUCT((ListeB='recap S1'!$B32)*(OFFSET(ListeB,,4)='recap S1'!AI$3)*(OFFSET(ListeB,,1)='recap S1'!AI$2)),"")</f>
        <v/>
      </c>
      <c r="AJ32" s="32" t="str">
        <f ca="1">IF(SUMPRODUCT((ListeB='recap S1'!$B32)*(OFFSET(ListeB,,4)='recap S1'!AJ$3)*(OFFSET(ListeB,,1)='recap S1'!AJ$2))&gt;0,SUMPRODUCT((ListeB='recap S1'!$B32)*(OFFSET(ListeB,,4)='recap S1'!AJ$3)*(OFFSET(ListeB,,1)='recap S1'!AJ$2)),"")</f>
        <v/>
      </c>
      <c r="AK32" s="32" t="str">
        <f ca="1">IF(SUMPRODUCT((ListeB='recap S1'!$B32)*(OFFSET(ListeB,,4)='recap S1'!AK$3)*(OFFSET(ListeB,,1)='recap S1'!AK$2))&gt;0,SUMPRODUCT((ListeB='recap S1'!$B32)*(OFFSET(ListeB,,4)='recap S1'!AK$3)*(OFFSET(ListeB,,1)='recap S1'!AK$2)),"")</f>
        <v/>
      </c>
      <c r="AL32" s="32" t="str">
        <f ca="1">IF(SUMPRODUCT((ListeB='recap S1'!$B32)*(OFFSET(ListeB,,4)='recap S1'!AL$3)*(OFFSET(ListeB,,1)='recap S1'!AL$2))&gt;0,SUMPRODUCT((ListeB='recap S1'!$B32)*(OFFSET(ListeB,,4)='recap S1'!AL$3)*(OFFSET(ListeB,,1)='recap S1'!AL$2)),"")</f>
        <v/>
      </c>
      <c r="AM32" s="32" t="str">
        <f ca="1">IF(SUMPRODUCT((ListeB='recap S1'!$B32)*(OFFSET(ListeB,,4)='recap S1'!AM$3)*(OFFSET(ListeB,,1)='recap S1'!AM$2))&gt;0,SUMPRODUCT((ListeB='recap S1'!$B32)*(OFFSET(ListeB,,4)='recap S1'!AM$3)*(OFFSET(ListeB,,1)='recap S1'!AM$2)),"")</f>
        <v/>
      </c>
      <c r="AN32" s="32" t="str">
        <f ca="1">IF(SUMPRODUCT((ListeB='recap S1'!$B32)*(OFFSET(ListeB,,4)='recap S1'!AN$3)*(OFFSET(ListeB,,1)='recap S1'!AN$2))&gt;0,SUMPRODUCT((ListeB='recap S1'!$B32)*(OFFSET(ListeB,,4)='recap S1'!AN$3)*(OFFSET(ListeB,,1)='recap S1'!AN$2)),"")</f>
        <v/>
      </c>
      <c r="AO32" s="32" t="str">
        <f ca="1">IF(SUMPRODUCT((ListeB='recap S1'!$B32)*(OFFSET(ListeB,,4)='recap S1'!AO$3)*(OFFSET(ListeB,,1)='recap S1'!AO$2))&gt;0,SUMPRODUCT((ListeB='recap S1'!$B32)*(OFFSET(ListeB,,4)='recap S1'!AO$3)*(OFFSET(ListeB,,1)='recap S1'!AO$2)),"")</f>
        <v/>
      </c>
      <c r="AP32" s="32" t="str">
        <f ca="1">IF(SUMPRODUCT((ListeB='recap S1'!$B32)*(OFFSET(ListeB,,4)='recap S1'!AP$3)*(OFFSET(ListeB,,1)='recap S1'!AP$2))&gt;0,SUMPRODUCT((ListeB='recap S1'!$B32)*(OFFSET(ListeB,,4)='recap S1'!AP$3)*(OFFSET(ListeB,,1)='recap S1'!AP$2)),"")</f>
        <v/>
      </c>
      <c r="AQ32" s="32" t="str">
        <f ca="1">IF(SUMPRODUCT((ListeB='recap S1'!$B32)*(OFFSET(ListeB,,4)='recap S1'!AQ$3)*(OFFSET(ListeB,,1)='recap S1'!AQ$2))&gt;0,SUMPRODUCT((ListeB='recap S1'!$B32)*(OFFSET(ListeB,,4)='recap S1'!AQ$3)*(OFFSET(ListeB,,1)='recap S1'!AQ$2)),"")</f>
        <v/>
      </c>
      <c r="AR32" s="32" t="str">
        <f ca="1">IF(SUMPRODUCT((ListeB='recap S1'!$B32)*(OFFSET(ListeB,,4)='recap S1'!AR$3)*(OFFSET(ListeB,,1)='recap S1'!AR$2))&gt;0,SUMPRODUCT((ListeB='recap S1'!$B32)*(OFFSET(ListeB,,4)='recap S1'!AR$3)*(OFFSET(ListeB,,1)='recap S1'!AR$2)),"")</f>
        <v/>
      </c>
      <c r="AS32" s="32" t="str">
        <f ca="1">IF(SUMPRODUCT((ListeB='recap S1'!$B32)*(OFFSET(ListeB,,4)='recap S1'!AS$3)*(OFFSET(ListeB,,1)='recap S1'!AS$2))&gt;0,SUMPRODUCT((ListeB='recap S1'!$B32)*(OFFSET(ListeB,,4)='recap S1'!AS$3)*(OFFSET(ListeB,,1)='recap S1'!AS$2)),"")</f>
        <v/>
      </c>
      <c r="AT32" s="32" t="str">
        <f ca="1">IF(SUMPRODUCT((ListeB='recap S1'!$B32)*(OFFSET(ListeB,,4)='recap S1'!AT$3)*(OFFSET(ListeB,,1)='recap S1'!AT$2))&gt;0,SUMPRODUCT((ListeB='recap S1'!$B32)*(OFFSET(ListeB,,4)='recap S1'!AT$3)*(OFFSET(ListeB,,1)='recap S1'!AT$2)),"")</f>
        <v/>
      </c>
      <c r="AU32" s="32" t="str">
        <f ca="1">IF(SUMPRODUCT((ListeB='recap S1'!$B32)*(OFFSET(ListeB,,4)='recap S1'!AU$3)*(OFFSET(ListeB,,1)='recap S1'!AU$2))&gt;0,SUMPRODUCT((ListeB='recap S1'!$B32)*(OFFSET(ListeB,,4)='recap S1'!AU$3)*(OFFSET(ListeB,,1)='recap S1'!AU$2)),"")</f>
        <v/>
      </c>
      <c r="AV32" s="32" t="str">
        <f ca="1">IF(SUMPRODUCT((ListeB='recap S1'!$B32)*(OFFSET(ListeB,,4)='recap S1'!AV$3)*(OFFSET(ListeB,,1)='recap S1'!AV$2))&gt;0,SUMPRODUCT((ListeB='recap S1'!$B32)*(OFFSET(ListeB,,4)='recap S1'!AV$3)*(OFFSET(ListeB,,1)='recap S1'!AV$2)),"")</f>
        <v/>
      </c>
      <c r="AW32" s="32" t="str">
        <f ca="1">IF(SUMPRODUCT((ListeB='recap S1'!$B32)*(OFFSET(ListeB,,4)='recap S1'!AW$3)*(OFFSET(ListeB,,1)='recap S1'!AW$2))&gt;0,SUMPRODUCT((ListeB='recap S1'!$B32)*(OFFSET(ListeB,,4)='recap S1'!AW$3)*(OFFSET(ListeB,,1)='recap S1'!AW$2)),"")</f>
        <v/>
      </c>
      <c r="AX32" s="32" t="str">
        <f ca="1">IF(SUMPRODUCT((ListeB='recap S1'!$B32)*(OFFSET(ListeB,,4)='recap S1'!AX$3)*(OFFSET(ListeB,,1)='recap S1'!AX$2))&gt;0,SUMPRODUCT((ListeB='recap S1'!$B32)*(OFFSET(ListeB,,4)='recap S1'!AX$3)*(OFFSET(ListeB,,1)='recap S1'!AX$2)),"")</f>
        <v/>
      </c>
      <c r="AY32" s="32" t="str">
        <f ca="1">IF(SUMPRODUCT((ListeB='recap S1'!$B32)*(OFFSET(ListeB,,4)='recap S1'!AY$3)*(OFFSET(ListeB,,1)='recap S1'!AY$2))&gt;0,SUMPRODUCT((ListeB='recap S1'!$B32)*(OFFSET(ListeB,,4)='recap S1'!AY$3)*(OFFSET(ListeB,,1)='recap S1'!AY$2)),"")</f>
        <v/>
      </c>
      <c r="AZ32" s="32">
        <f t="shared" ca="1" si="0"/>
        <v>0</v>
      </c>
    </row>
    <row r="33" spans="1:52">
      <c r="A33" s="41" t="str">
        <f>IF('SEANCE 1'!$B31&lt;&gt;"",'SEANCE 1'!$A31,"")</f>
        <v/>
      </c>
      <c r="B33" s="41" t="str">
        <f t="array" aca="1" ref="B33" ca="1">IF(ISNA(INDEX(ListeB,MATCH(0,COUNTIF($B$3:B32,ListeB),0))),"",INDEX(ListeB,MATCH(0,COUNTIF($B$3:B32,ListeB),0)))</f>
        <v/>
      </c>
      <c r="C33" s="32" t="str">
        <f ca="1">IF(SUMPRODUCT((ListeB='recap S1'!$B33)*(OFFSET(ListeB,,4)='recap S1'!C$3)*(OFFSET(ListeB,,1)='recap S1'!C$2))&gt;0,SUMPRODUCT((ListeB='recap S1'!$B33)*(OFFSET(ListeB,,4)='recap S1'!C$3)*(OFFSET(ListeB,,1)='recap S1'!C$2)),"")</f>
        <v/>
      </c>
      <c r="D33" s="32" t="str">
        <f ca="1">IF(SUMPRODUCT((ListeB='recap S1'!$B33)*(OFFSET(ListeB,,4)='recap S1'!D$3)*(OFFSET(ListeB,,1)='recap S1'!D$2))&gt;0,SUMPRODUCT((ListeB='recap S1'!$B33)*(OFFSET(ListeB,,4)='recap S1'!D$3)*(OFFSET(ListeB,,1)='recap S1'!D$2)),"")</f>
        <v/>
      </c>
      <c r="E33" s="32" t="str">
        <f ca="1">IF(SUMPRODUCT((ListeB='recap S1'!$B33)*(OFFSET(ListeB,,4)='recap S1'!E$3)*(OFFSET(ListeB,,1)='recap S1'!E$2))&gt;0,SUMPRODUCT((ListeB='recap S1'!$B33)*(OFFSET(ListeB,,4)='recap S1'!E$3)*(OFFSET(ListeB,,1)='recap S1'!E$2)),"")</f>
        <v/>
      </c>
      <c r="F33" s="32" t="str">
        <f ca="1">IF(SUMPRODUCT((ListeB='recap S1'!$B33)*(OFFSET(ListeB,,4)='recap S1'!F$3)*(OFFSET(ListeB,,1)='recap S1'!F$2))&gt;0,SUMPRODUCT((ListeB='recap S1'!$B33)*(OFFSET(ListeB,,4)='recap S1'!F$3)*(OFFSET(ListeB,,1)='recap S1'!F$2)),"")</f>
        <v/>
      </c>
      <c r="G33" s="32" t="str">
        <f ca="1">IF(SUMPRODUCT((ListeB='recap S1'!$B33)*(OFFSET(ListeB,,4)='recap S1'!G$3)*(OFFSET(ListeB,,1)='recap S1'!G$2))&gt;0,SUMPRODUCT((ListeB='recap S1'!$B33)*(OFFSET(ListeB,,4)='recap S1'!G$3)*(OFFSET(ListeB,,1)='recap S1'!G$2)),"")</f>
        <v/>
      </c>
      <c r="H33" s="32" t="str">
        <f ca="1">IF(SUMPRODUCT((ListeB='recap S1'!$B33)*(OFFSET(ListeB,,4)='recap S1'!H$3)*(OFFSET(ListeB,,1)='recap S1'!H$2))&gt;0,SUMPRODUCT((ListeB='recap S1'!$B33)*(OFFSET(ListeB,,4)='recap S1'!H$3)*(OFFSET(ListeB,,1)='recap S1'!H$2)),"")</f>
        <v/>
      </c>
      <c r="I33" s="32" t="str">
        <f ca="1">IF(SUMPRODUCT((ListeB='recap S1'!$B33)*(OFFSET(ListeB,,4)='recap S1'!I$3)*(OFFSET(ListeB,,1)='recap S1'!I$2))&gt;0,SUMPRODUCT((ListeB='recap S1'!$B33)*(OFFSET(ListeB,,4)='recap S1'!I$3)*(OFFSET(ListeB,,1)='recap S1'!I$2)),"")</f>
        <v/>
      </c>
      <c r="J33" s="32" t="str">
        <f ca="1">IF(SUMPRODUCT((ListeB='recap S1'!$B33)*(OFFSET(ListeB,,4)='recap S1'!J$3)*(OFFSET(ListeB,,1)='recap S1'!J$2))&gt;0,SUMPRODUCT((ListeB='recap S1'!$B33)*(OFFSET(ListeB,,4)='recap S1'!J$3)*(OFFSET(ListeB,,1)='recap S1'!J$2)),"")</f>
        <v/>
      </c>
      <c r="K33" s="32" t="str">
        <f ca="1">IF(SUMPRODUCT((ListeB='recap S1'!$B33)*(OFFSET(ListeB,,4)='recap S1'!K$3)*(OFFSET(ListeB,,1)='recap S1'!K$2))&gt;0,SUMPRODUCT((ListeB='recap S1'!$B33)*(OFFSET(ListeB,,4)='recap S1'!K$3)*(OFFSET(ListeB,,1)='recap S1'!K$2)),"")</f>
        <v/>
      </c>
      <c r="L33" s="32" t="str">
        <f ca="1">IF(SUMPRODUCT((ListeB='recap S1'!$B33)*(OFFSET(ListeB,,4)='recap S1'!L$3)*(OFFSET(ListeB,,1)='recap S1'!L$2))&gt;0,SUMPRODUCT((ListeB='recap S1'!$B33)*(OFFSET(ListeB,,4)='recap S1'!L$3)*(OFFSET(ListeB,,1)='recap S1'!L$2)),"")</f>
        <v/>
      </c>
      <c r="M33" s="32" t="str">
        <f ca="1">IF(SUMPRODUCT((ListeB='recap S1'!$B33)*(OFFSET(ListeB,,4)='recap S1'!M$3)*(OFFSET(ListeB,,1)='recap S1'!M$2))&gt;0,SUMPRODUCT((ListeB='recap S1'!$B33)*(OFFSET(ListeB,,4)='recap S1'!M$3)*(OFFSET(ListeB,,1)='recap S1'!M$2)),"")</f>
        <v/>
      </c>
      <c r="N33" s="32" t="str">
        <f ca="1">IF(SUMPRODUCT((ListeB='recap S1'!$B33)*(OFFSET(ListeB,,4)='recap S1'!N$3)*(OFFSET(ListeB,,1)='recap S1'!N$2))&gt;0,SUMPRODUCT((ListeB='recap S1'!$B33)*(OFFSET(ListeB,,4)='recap S1'!N$3)*(OFFSET(ListeB,,1)='recap S1'!N$2)),"")</f>
        <v/>
      </c>
      <c r="O33" s="32" t="str">
        <f ca="1">IF(SUMPRODUCT((ListeB='recap S1'!$B33)*(OFFSET(ListeB,,4)='recap S1'!O$3)*(OFFSET(ListeB,,1)='recap S1'!O$2))&gt;0,SUMPRODUCT((ListeB='recap S1'!$B33)*(OFFSET(ListeB,,4)='recap S1'!O$3)*(OFFSET(ListeB,,1)='recap S1'!O$2)),"")</f>
        <v/>
      </c>
      <c r="P33" s="32" t="str">
        <f ca="1">IF(SUMPRODUCT((ListeB='recap S1'!$B33)*(OFFSET(ListeB,,4)='recap S1'!P$3)*(OFFSET(ListeB,,1)='recap S1'!P$2))&gt;0,SUMPRODUCT((ListeB='recap S1'!$B33)*(OFFSET(ListeB,,4)='recap S1'!P$3)*(OFFSET(ListeB,,1)='recap S1'!P$2)),"")</f>
        <v/>
      </c>
      <c r="Q33" s="32" t="str">
        <f ca="1">IF(SUMPRODUCT((ListeB='recap S1'!$B33)*(OFFSET(ListeB,,4)='recap S1'!Q$3)*(OFFSET(ListeB,,1)='recap S1'!Q$2))&gt;0,SUMPRODUCT((ListeB='recap S1'!$B33)*(OFFSET(ListeB,,4)='recap S1'!Q$3)*(OFFSET(ListeB,,1)='recap S1'!Q$2)),"")</f>
        <v/>
      </c>
      <c r="R33" s="32" t="str">
        <f ca="1">IF(SUMPRODUCT((ListeB='recap S1'!$B33)*(OFFSET(ListeB,,4)='recap S1'!R$3)*(OFFSET(ListeB,,1)='recap S1'!R$2))&gt;0,SUMPRODUCT((ListeB='recap S1'!$B33)*(OFFSET(ListeB,,4)='recap S1'!R$3)*(OFFSET(ListeB,,1)='recap S1'!R$2)),"")</f>
        <v/>
      </c>
      <c r="S33" s="32" t="str">
        <f ca="1">IF(SUMPRODUCT((ListeB='recap S1'!$B33)*(OFFSET(ListeB,,4)='recap S1'!S$3)*(OFFSET(ListeB,,1)='recap S1'!S$2))&gt;0,SUMPRODUCT((ListeB='recap S1'!$B33)*(OFFSET(ListeB,,4)='recap S1'!S$3)*(OFFSET(ListeB,,1)='recap S1'!S$2)),"")</f>
        <v/>
      </c>
      <c r="T33" s="32" t="str">
        <f ca="1">IF(SUMPRODUCT((ListeB='recap S1'!$B33)*(OFFSET(ListeB,,4)='recap S1'!T$3)*(OFFSET(ListeB,,1)='recap S1'!T$2))&gt;0,SUMPRODUCT((ListeB='recap S1'!$B33)*(OFFSET(ListeB,,4)='recap S1'!T$3)*(OFFSET(ListeB,,1)='recap S1'!T$2)),"")</f>
        <v/>
      </c>
      <c r="U33" s="32" t="str">
        <f ca="1">IF(SUMPRODUCT((ListeB='recap S1'!$B33)*(OFFSET(ListeB,,4)='recap S1'!U$3)*(OFFSET(ListeB,,1)='recap S1'!U$2))&gt;0,SUMPRODUCT((ListeB='recap S1'!$B33)*(OFFSET(ListeB,,4)='recap S1'!U$3)*(OFFSET(ListeB,,1)='recap S1'!U$2)),"")</f>
        <v/>
      </c>
      <c r="V33" s="32" t="str">
        <f ca="1">IF(SUMPRODUCT((ListeB='recap S1'!$B33)*(OFFSET(ListeB,,4)='recap S1'!V$3)*(OFFSET(ListeB,,1)='recap S1'!V$2))&gt;0,SUMPRODUCT((ListeB='recap S1'!$B33)*(OFFSET(ListeB,,4)='recap S1'!V$3)*(OFFSET(ListeB,,1)='recap S1'!V$2)),"")</f>
        <v/>
      </c>
      <c r="W33" s="32" t="str">
        <f ca="1">IF(SUMPRODUCT((ListeB='recap S1'!$B33)*(OFFSET(ListeB,,4)='recap S1'!W$3)*(OFFSET(ListeB,,1)='recap S1'!W$2))&gt;0,SUMPRODUCT((ListeB='recap S1'!$B33)*(OFFSET(ListeB,,4)='recap S1'!W$3)*(OFFSET(ListeB,,1)='recap S1'!W$2)),"")</f>
        <v/>
      </c>
      <c r="X33" s="32" t="str">
        <f ca="1">IF(SUMPRODUCT((ListeB='recap S1'!$B33)*(OFFSET(ListeB,,4)='recap S1'!X$3)*(OFFSET(ListeB,,1)='recap S1'!X$2))&gt;0,SUMPRODUCT((ListeB='recap S1'!$B33)*(OFFSET(ListeB,,4)='recap S1'!X$3)*(OFFSET(ListeB,,1)='recap S1'!X$2)),"")</f>
        <v/>
      </c>
      <c r="Y33" s="32" t="str">
        <f ca="1">IF(SUMPRODUCT((ListeB='recap S1'!$B33)*(OFFSET(ListeB,,4)='recap S1'!Y$3)*(OFFSET(ListeB,,1)='recap S1'!Y$2))&gt;0,SUMPRODUCT((ListeB='recap S1'!$B33)*(OFFSET(ListeB,,4)='recap S1'!Y$3)*(OFFSET(ListeB,,1)='recap S1'!Y$2)),"")</f>
        <v/>
      </c>
      <c r="Z33" s="32" t="str">
        <f ca="1">IF(SUMPRODUCT((ListeB='recap S1'!$B33)*(OFFSET(ListeB,,4)='recap S1'!Z$3)*(OFFSET(ListeB,,1)='recap S1'!Z$2))&gt;0,SUMPRODUCT((ListeB='recap S1'!$B33)*(OFFSET(ListeB,,4)='recap S1'!Z$3)*(OFFSET(ListeB,,1)='recap S1'!Z$2)),"")</f>
        <v/>
      </c>
      <c r="AA33" s="32" t="str">
        <f ca="1">IF(SUMPRODUCT((ListeB='recap S1'!$B33)*(OFFSET(ListeB,,4)='recap S1'!AA$3)*(OFFSET(ListeB,,1)='recap S1'!AA$2))&gt;0,SUMPRODUCT((ListeB='recap S1'!$B33)*(OFFSET(ListeB,,4)='recap S1'!AA$3)*(OFFSET(ListeB,,1)='recap S1'!AA$2)),"")</f>
        <v/>
      </c>
      <c r="AB33" s="32" t="str">
        <f ca="1">IF(SUMPRODUCT((ListeB='recap S1'!$B33)*(OFFSET(ListeB,,4)='recap S1'!AB$3)*(OFFSET(ListeB,,1)='recap S1'!AB$2))&gt;0,SUMPRODUCT((ListeB='recap S1'!$B33)*(OFFSET(ListeB,,4)='recap S1'!AB$3)*(OFFSET(ListeB,,1)='recap S1'!AB$2)),"")</f>
        <v/>
      </c>
      <c r="AC33" s="32" t="str">
        <f ca="1">IF(SUMPRODUCT((ListeB='recap S1'!$B33)*(OFFSET(ListeB,,4)='recap S1'!AC$3)*(OFFSET(ListeB,,1)='recap S1'!AC$2))&gt;0,SUMPRODUCT((ListeB='recap S1'!$B33)*(OFFSET(ListeB,,4)='recap S1'!AC$3)*(OFFSET(ListeB,,1)='recap S1'!AC$2)),"")</f>
        <v/>
      </c>
      <c r="AD33" s="32" t="str">
        <f ca="1">IF(SUMPRODUCT((ListeB='recap S1'!$B33)*(OFFSET(ListeB,,4)='recap S1'!AD$3)*(OFFSET(ListeB,,1)='recap S1'!AD$2))&gt;0,SUMPRODUCT((ListeB='recap S1'!$B33)*(OFFSET(ListeB,,4)='recap S1'!AD$3)*(OFFSET(ListeB,,1)='recap S1'!AD$2)),"")</f>
        <v/>
      </c>
      <c r="AE33" s="32" t="str">
        <f ca="1">IF(SUMPRODUCT((ListeB='recap S1'!$B33)*(OFFSET(ListeB,,4)='recap S1'!AE$3)*(OFFSET(ListeB,,1)='recap S1'!AE$2))&gt;0,SUMPRODUCT((ListeB='recap S1'!$B33)*(OFFSET(ListeB,,4)='recap S1'!AE$3)*(OFFSET(ListeB,,1)='recap S1'!AE$2)),"")</f>
        <v/>
      </c>
      <c r="AF33" s="32" t="str">
        <f ca="1">IF(SUMPRODUCT((ListeB='recap S1'!$B33)*(OFFSET(ListeB,,4)='recap S1'!AF$3)*(OFFSET(ListeB,,1)='recap S1'!AF$2))&gt;0,SUMPRODUCT((ListeB='recap S1'!$B33)*(OFFSET(ListeB,,4)='recap S1'!AF$3)*(OFFSET(ListeB,,1)='recap S1'!AF$2)),"")</f>
        <v/>
      </c>
      <c r="AG33" s="32" t="str">
        <f ca="1">IF(SUMPRODUCT((ListeB='recap S1'!$B33)*(OFFSET(ListeB,,4)='recap S1'!AG$3)*(OFFSET(ListeB,,1)='recap S1'!AG$2))&gt;0,SUMPRODUCT((ListeB='recap S1'!$B33)*(OFFSET(ListeB,,4)='recap S1'!AG$3)*(OFFSET(ListeB,,1)='recap S1'!AG$2)),"")</f>
        <v/>
      </c>
      <c r="AH33" s="32" t="str">
        <f ca="1">IF(SUMPRODUCT((ListeB='recap S1'!$B33)*(OFFSET(ListeB,,4)='recap S1'!AH$3)*(OFFSET(ListeB,,1)='recap S1'!AH$2))&gt;0,SUMPRODUCT((ListeB='recap S1'!$B33)*(OFFSET(ListeB,,4)='recap S1'!AH$3)*(OFFSET(ListeB,,1)='recap S1'!AH$2)),"")</f>
        <v/>
      </c>
      <c r="AI33" s="32" t="str">
        <f ca="1">IF(SUMPRODUCT((ListeB='recap S1'!$B33)*(OFFSET(ListeB,,4)='recap S1'!AI$3)*(OFFSET(ListeB,,1)='recap S1'!AI$2))&gt;0,SUMPRODUCT((ListeB='recap S1'!$B33)*(OFFSET(ListeB,,4)='recap S1'!AI$3)*(OFFSET(ListeB,,1)='recap S1'!AI$2)),"")</f>
        <v/>
      </c>
      <c r="AJ33" s="32" t="str">
        <f ca="1">IF(SUMPRODUCT((ListeB='recap S1'!$B33)*(OFFSET(ListeB,,4)='recap S1'!AJ$3)*(OFFSET(ListeB,,1)='recap S1'!AJ$2))&gt;0,SUMPRODUCT((ListeB='recap S1'!$B33)*(OFFSET(ListeB,,4)='recap S1'!AJ$3)*(OFFSET(ListeB,,1)='recap S1'!AJ$2)),"")</f>
        <v/>
      </c>
      <c r="AK33" s="32" t="str">
        <f ca="1">IF(SUMPRODUCT((ListeB='recap S1'!$B33)*(OFFSET(ListeB,,4)='recap S1'!AK$3)*(OFFSET(ListeB,,1)='recap S1'!AK$2))&gt;0,SUMPRODUCT((ListeB='recap S1'!$B33)*(OFFSET(ListeB,,4)='recap S1'!AK$3)*(OFFSET(ListeB,,1)='recap S1'!AK$2)),"")</f>
        <v/>
      </c>
      <c r="AL33" s="32" t="str">
        <f ca="1">IF(SUMPRODUCT((ListeB='recap S1'!$B33)*(OFFSET(ListeB,,4)='recap S1'!AL$3)*(OFFSET(ListeB,,1)='recap S1'!AL$2))&gt;0,SUMPRODUCT((ListeB='recap S1'!$B33)*(OFFSET(ListeB,,4)='recap S1'!AL$3)*(OFFSET(ListeB,,1)='recap S1'!AL$2)),"")</f>
        <v/>
      </c>
      <c r="AM33" s="32" t="str">
        <f ca="1">IF(SUMPRODUCT((ListeB='recap S1'!$B33)*(OFFSET(ListeB,,4)='recap S1'!AM$3)*(OFFSET(ListeB,,1)='recap S1'!AM$2))&gt;0,SUMPRODUCT((ListeB='recap S1'!$B33)*(OFFSET(ListeB,,4)='recap S1'!AM$3)*(OFFSET(ListeB,,1)='recap S1'!AM$2)),"")</f>
        <v/>
      </c>
      <c r="AN33" s="32" t="str">
        <f ca="1">IF(SUMPRODUCT((ListeB='recap S1'!$B33)*(OFFSET(ListeB,,4)='recap S1'!AN$3)*(OFFSET(ListeB,,1)='recap S1'!AN$2))&gt;0,SUMPRODUCT((ListeB='recap S1'!$B33)*(OFFSET(ListeB,,4)='recap S1'!AN$3)*(OFFSET(ListeB,,1)='recap S1'!AN$2)),"")</f>
        <v/>
      </c>
      <c r="AO33" s="32" t="str">
        <f ca="1">IF(SUMPRODUCT((ListeB='recap S1'!$B33)*(OFFSET(ListeB,,4)='recap S1'!AO$3)*(OFFSET(ListeB,,1)='recap S1'!AO$2))&gt;0,SUMPRODUCT((ListeB='recap S1'!$B33)*(OFFSET(ListeB,,4)='recap S1'!AO$3)*(OFFSET(ListeB,,1)='recap S1'!AO$2)),"")</f>
        <v/>
      </c>
      <c r="AP33" s="32" t="str">
        <f ca="1">IF(SUMPRODUCT((ListeB='recap S1'!$B33)*(OFFSET(ListeB,,4)='recap S1'!AP$3)*(OFFSET(ListeB,,1)='recap S1'!AP$2))&gt;0,SUMPRODUCT((ListeB='recap S1'!$B33)*(OFFSET(ListeB,,4)='recap S1'!AP$3)*(OFFSET(ListeB,,1)='recap S1'!AP$2)),"")</f>
        <v/>
      </c>
      <c r="AQ33" s="32" t="str">
        <f ca="1">IF(SUMPRODUCT((ListeB='recap S1'!$B33)*(OFFSET(ListeB,,4)='recap S1'!AQ$3)*(OFFSET(ListeB,,1)='recap S1'!AQ$2))&gt;0,SUMPRODUCT((ListeB='recap S1'!$B33)*(OFFSET(ListeB,,4)='recap S1'!AQ$3)*(OFFSET(ListeB,,1)='recap S1'!AQ$2)),"")</f>
        <v/>
      </c>
      <c r="AR33" s="32" t="str">
        <f ca="1">IF(SUMPRODUCT((ListeB='recap S1'!$B33)*(OFFSET(ListeB,,4)='recap S1'!AR$3)*(OFFSET(ListeB,,1)='recap S1'!AR$2))&gt;0,SUMPRODUCT((ListeB='recap S1'!$B33)*(OFFSET(ListeB,,4)='recap S1'!AR$3)*(OFFSET(ListeB,,1)='recap S1'!AR$2)),"")</f>
        <v/>
      </c>
      <c r="AS33" s="32" t="str">
        <f ca="1">IF(SUMPRODUCT((ListeB='recap S1'!$B33)*(OFFSET(ListeB,,4)='recap S1'!AS$3)*(OFFSET(ListeB,,1)='recap S1'!AS$2))&gt;0,SUMPRODUCT((ListeB='recap S1'!$B33)*(OFFSET(ListeB,,4)='recap S1'!AS$3)*(OFFSET(ListeB,,1)='recap S1'!AS$2)),"")</f>
        <v/>
      </c>
      <c r="AT33" s="32" t="str">
        <f ca="1">IF(SUMPRODUCT((ListeB='recap S1'!$B33)*(OFFSET(ListeB,,4)='recap S1'!AT$3)*(OFFSET(ListeB,,1)='recap S1'!AT$2))&gt;0,SUMPRODUCT((ListeB='recap S1'!$B33)*(OFFSET(ListeB,,4)='recap S1'!AT$3)*(OFFSET(ListeB,,1)='recap S1'!AT$2)),"")</f>
        <v/>
      </c>
      <c r="AU33" s="32" t="str">
        <f ca="1">IF(SUMPRODUCT((ListeB='recap S1'!$B33)*(OFFSET(ListeB,,4)='recap S1'!AU$3)*(OFFSET(ListeB,,1)='recap S1'!AU$2))&gt;0,SUMPRODUCT((ListeB='recap S1'!$B33)*(OFFSET(ListeB,,4)='recap S1'!AU$3)*(OFFSET(ListeB,,1)='recap S1'!AU$2)),"")</f>
        <v/>
      </c>
      <c r="AV33" s="32" t="str">
        <f ca="1">IF(SUMPRODUCT((ListeB='recap S1'!$B33)*(OFFSET(ListeB,,4)='recap S1'!AV$3)*(OFFSET(ListeB,,1)='recap S1'!AV$2))&gt;0,SUMPRODUCT((ListeB='recap S1'!$B33)*(OFFSET(ListeB,,4)='recap S1'!AV$3)*(OFFSET(ListeB,,1)='recap S1'!AV$2)),"")</f>
        <v/>
      </c>
      <c r="AW33" s="32" t="str">
        <f ca="1">IF(SUMPRODUCT((ListeB='recap S1'!$B33)*(OFFSET(ListeB,,4)='recap S1'!AW$3)*(OFFSET(ListeB,,1)='recap S1'!AW$2))&gt;0,SUMPRODUCT((ListeB='recap S1'!$B33)*(OFFSET(ListeB,,4)='recap S1'!AW$3)*(OFFSET(ListeB,,1)='recap S1'!AW$2)),"")</f>
        <v/>
      </c>
      <c r="AX33" s="32" t="str">
        <f ca="1">IF(SUMPRODUCT((ListeB='recap S1'!$B33)*(OFFSET(ListeB,,4)='recap S1'!AX$3)*(OFFSET(ListeB,,1)='recap S1'!AX$2))&gt;0,SUMPRODUCT((ListeB='recap S1'!$B33)*(OFFSET(ListeB,,4)='recap S1'!AX$3)*(OFFSET(ListeB,,1)='recap S1'!AX$2)),"")</f>
        <v/>
      </c>
      <c r="AY33" s="32" t="str">
        <f ca="1">IF(SUMPRODUCT((ListeB='recap S1'!$B33)*(OFFSET(ListeB,,4)='recap S1'!AY$3)*(OFFSET(ListeB,,1)='recap S1'!AY$2))&gt;0,SUMPRODUCT((ListeB='recap S1'!$B33)*(OFFSET(ListeB,,4)='recap S1'!AY$3)*(OFFSET(ListeB,,1)='recap S1'!AY$2)),"")</f>
        <v/>
      </c>
      <c r="AZ33" s="32">
        <f t="shared" ca="1" si="0"/>
        <v>0</v>
      </c>
    </row>
    <row r="34" spans="1:52">
      <c r="A34" s="41" t="str">
        <f>IF('SEANCE 1'!$B32&lt;&gt;"",'SEANCE 1'!$A32,"")</f>
        <v/>
      </c>
      <c r="B34" s="41" t="str">
        <f t="array" aca="1" ref="B34" ca="1">IF(ISNA(INDEX(ListeB,MATCH(0,COUNTIF($B$3:B33,ListeB),0))),"",INDEX(ListeB,MATCH(0,COUNTIF($B$3:B33,ListeB),0)))</f>
        <v/>
      </c>
      <c r="C34" s="32" t="str">
        <f ca="1">IF(SUMPRODUCT((ListeB='recap S1'!$B34)*(OFFSET(ListeB,,4)='recap S1'!C$3)*(OFFSET(ListeB,,1)='recap S1'!C$2))&gt;0,SUMPRODUCT((ListeB='recap S1'!$B34)*(OFFSET(ListeB,,4)='recap S1'!C$3)*(OFFSET(ListeB,,1)='recap S1'!C$2)),"")</f>
        <v/>
      </c>
      <c r="D34" s="32" t="str">
        <f ca="1">IF(SUMPRODUCT((ListeB='recap S1'!$B34)*(OFFSET(ListeB,,4)='recap S1'!D$3)*(OFFSET(ListeB,,1)='recap S1'!D$2))&gt;0,SUMPRODUCT((ListeB='recap S1'!$B34)*(OFFSET(ListeB,,4)='recap S1'!D$3)*(OFFSET(ListeB,,1)='recap S1'!D$2)),"")</f>
        <v/>
      </c>
      <c r="E34" s="32" t="str">
        <f ca="1">IF(SUMPRODUCT((ListeB='recap S1'!$B34)*(OFFSET(ListeB,,4)='recap S1'!E$3)*(OFFSET(ListeB,,1)='recap S1'!E$2))&gt;0,SUMPRODUCT((ListeB='recap S1'!$B34)*(OFFSET(ListeB,,4)='recap S1'!E$3)*(OFFSET(ListeB,,1)='recap S1'!E$2)),"")</f>
        <v/>
      </c>
      <c r="F34" s="32" t="str">
        <f ca="1">IF(SUMPRODUCT((ListeB='recap S1'!$B34)*(OFFSET(ListeB,,4)='recap S1'!F$3)*(OFFSET(ListeB,,1)='recap S1'!F$2))&gt;0,SUMPRODUCT((ListeB='recap S1'!$B34)*(OFFSET(ListeB,,4)='recap S1'!F$3)*(OFFSET(ListeB,,1)='recap S1'!F$2)),"")</f>
        <v/>
      </c>
      <c r="G34" s="32" t="str">
        <f ca="1">IF(SUMPRODUCT((ListeB='recap S1'!$B34)*(OFFSET(ListeB,,4)='recap S1'!G$3)*(OFFSET(ListeB,,1)='recap S1'!G$2))&gt;0,SUMPRODUCT((ListeB='recap S1'!$B34)*(OFFSET(ListeB,,4)='recap S1'!G$3)*(OFFSET(ListeB,,1)='recap S1'!G$2)),"")</f>
        <v/>
      </c>
      <c r="H34" s="32" t="str">
        <f ca="1">IF(SUMPRODUCT((ListeB='recap S1'!$B34)*(OFFSET(ListeB,,4)='recap S1'!H$3)*(OFFSET(ListeB,,1)='recap S1'!H$2))&gt;0,SUMPRODUCT((ListeB='recap S1'!$B34)*(OFFSET(ListeB,,4)='recap S1'!H$3)*(OFFSET(ListeB,,1)='recap S1'!H$2)),"")</f>
        <v/>
      </c>
      <c r="I34" s="32" t="str">
        <f ca="1">IF(SUMPRODUCT((ListeB='recap S1'!$B34)*(OFFSET(ListeB,,4)='recap S1'!I$3)*(OFFSET(ListeB,,1)='recap S1'!I$2))&gt;0,SUMPRODUCT((ListeB='recap S1'!$B34)*(OFFSET(ListeB,,4)='recap S1'!I$3)*(OFFSET(ListeB,,1)='recap S1'!I$2)),"")</f>
        <v/>
      </c>
      <c r="J34" s="32" t="str">
        <f ca="1">IF(SUMPRODUCT((ListeB='recap S1'!$B34)*(OFFSET(ListeB,,4)='recap S1'!J$3)*(OFFSET(ListeB,,1)='recap S1'!J$2))&gt;0,SUMPRODUCT((ListeB='recap S1'!$B34)*(OFFSET(ListeB,,4)='recap S1'!J$3)*(OFFSET(ListeB,,1)='recap S1'!J$2)),"")</f>
        <v/>
      </c>
      <c r="K34" s="32" t="str">
        <f ca="1">IF(SUMPRODUCT((ListeB='recap S1'!$B34)*(OFFSET(ListeB,,4)='recap S1'!K$3)*(OFFSET(ListeB,,1)='recap S1'!K$2))&gt;0,SUMPRODUCT((ListeB='recap S1'!$B34)*(OFFSET(ListeB,,4)='recap S1'!K$3)*(OFFSET(ListeB,,1)='recap S1'!K$2)),"")</f>
        <v/>
      </c>
      <c r="L34" s="32" t="str">
        <f ca="1">IF(SUMPRODUCT((ListeB='recap S1'!$B34)*(OFFSET(ListeB,,4)='recap S1'!L$3)*(OFFSET(ListeB,,1)='recap S1'!L$2))&gt;0,SUMPRODUCT((ListeB='recap S1'!$B34)*(OFFSET(ListeB,,4)='recap S1'!L$3)*(OFFSET(ListeB,,1)='recap S1'!L$2)),"")</f>
        <v/>
      </c>
      <c r="M34" s="32" t="str">
        <f ca="1">IF(SUMPRODUCT((ListeB='recap S1'!$B34)*(OFFSET(ListeB,,4)='recap S1'!M$3)*(OFFSET(ListeB,,1)='recap S1'!M$2))&gt;0,SUMPRODUCT((ListeB='recap S1'!$B34)*(OFFSET(ListeB,,4)='recap S1'!M$3)*(OFFSET(ListeB,,1)='recap S1'!M$2)),"")</f>
        <v/>
      </c>
      <c r="N34" s="32" t="str">
        <f ca="1">IF(SUMPRODUCT((ListeB='recap S1'!$B34)*(OFFSET(ListeB,,4)='recap S1'!N$3)*(OFFSET(ListeB,,1)='recap S1'!N$2))&gt;0,SUMPRODUCT((ListeB='recap S1'!$B34)*(OFFSET(ListeB,,4)='recap S1'!N$3)*(OFFSET(ListeB,,1)='recap S1'!N$2)),"")</f>
        <v/>
      </c>
      <c r="O34" s="32" t="str">
        <f ca="1">IF(SUMPRODUCT((ListeB='recap S1'!$B34)*(OFFSET(ListeB,,4)='recap S1'!O$3)*(OFFSET(ListeB,,1)='recap S1'!O$2))&gt;0,SUMPRODUCT((ListeB='recap S1'!$B34)*(OFFSET(ListeB,,4)='recap S1'!O$3)*(OFFSET(ListeB,,1)='recap S1'!O$2)),"")</f>
        <v/>
      </c>
      <c r="P34" s="32" t="str">
        <f ca="1">IF(SUMPRODUCT((ListeB='recap S1'!$B34)*(OFFSET(ListeB,,4)='recap S1'!P$3)*(OFFSET(ListeB,,1)='recap S1'!P$2))&gt;0,SUMPRODUCT((ListeB='recap S1'!$B34)*(OFFSET(ListeB,,4)='recap S1'!P$3)*(OFFSET(ListeB,,1)='recap S1'!P$2)),"")</f>
        <v/>
      </c>
      <c r="Q34" s="32" t="str">
        <f ca="1">IF(SUMPRODUCT((ListeB='recap S1'!$B34)*(OFFSET(ListeB,,4)='recap S1'!Q$3)*(OFFSET(ListeB,,1)='recap S1'!Q$2))&gt;0,SUMPRODUCT((ListeB='recap S1'!$B34)*(OFFSET(ListeB,,4)='recap S1'!Q$3)*(OFFSET(ListeB,,1)='recap S1'!Q$2)),"")</f>
        <v/>
      </c>
      <c r="R34" s="32" t="str">
        <f ca="1">IF(SUMPRODUCT((ListeB='recap S1'!$B34)*(OFFSET(ListeB,,4)='recap S1'!R$3)*(OFFSET(ListeB,,1)='recap S1'!R$2))&gt;0,SUMPRODUCT((ListeB='recap S1'!$B34)*(OFFSET(ListeB,,4)='recap S1'!R$3)*(OFFSET(ListeB,,1)='recap S1'!R$2)),"")</f>
        <v/>
      </c>
      <c r="S34" s="32" t="str">
        <f ca="1">IF(SUMPRODUCT((ListeB='recap S1'!$B34)*(OFFSET(ListeB,,4)='recap S1'!S$3)*(OFFSET(ListeB,,1)='recap S1'!S$2))&gt;0,SUMPRODUCT((ListeB='recap S1'!$B34)*(OFFSET(ListeB,,4)='recap S1'!S$3)*(OFFSET(ListeB,,1)='recap S1'!S$2)),"")</f>
        <v/>
      </c>
      <c r="T34" s="32" t="str">
        <f ca="1">IF(SUMPRODUCT((ListeB='recap S1'!$B34)*(OFFSET(ListeB,,4)='recap S1'!T$3)*(OFFSET(ListeB,,1)='recap S1'!T$2))&gt;0,SUMPRODUCT((ListeB='recap S1'!$B34)*(OFFSET(ListeB,,4)='recap S1'!T$3)*(OFFSET(ListeB,,1)='recap S1'!T$2)),"")</f>
        <v/>
      </c>
      <c r="U34" s="32" t="str">
        <f ca="1">IF(SUMPRODUCT((ListeB='recap S1'!$B34)*(OFFSET(ListeB,,4)='recap S1'!U$3)*(OFFSET(ListeB,,1)='recap S1'!U$2))&gt;0,SUMPRODUCT((ListeB='recap S1'!$B34)*(OFFSET(ListeB,,4)='recap S1'!U$3)*(OFFSET(ListeB,,1)='recap S1'!U$2)),"")</f>
        <v/>
      </c>
      <c r="V34" s="32" t="str">
        <f ca="1">IF(SUMPRODUCT((ListeB='recap S1'!$B34)*(OFFSET(ListeB,,4)='recap S1'!V$3)*(OFFSET(ListeB,,1)='recap S1'!V$2))&gt;0,SUMPRODUCT((ListeB='recap S1'!$B34)*(OFFSET(ListeB,,4)='recap S1'!V$3)*(OFFSET(ListeB,,1)='recap S1'!V$2)),"")</f>
        <v/>
      </c>
      <c r="W34" s="32" t="str">
        <f ca="1">IF(SUMPRODUCT((ListeB='recap S1'!$B34)*(OFFSET(ListeB,,4)='recap S1'!W$3)*(OFFSET(ListeB,,1)='recap S1'!W$2))&gt;0,SUMPRODUCT((ListeB='recap S1'!$B34)*(OFFSET(ListeB,,4)='recap S1'!W$3)*(OFFSET(ListeB,,1)='recap S1'!W$2)),"")</f>
        <v/>
      </c>
      <c r="X34" s="32" t="str">
        <f ca="1">IF(SUMPRODUCT((ListeB='recap S1'!$B34)*(OFFSET(ListeB,,4)='recap S1'!X$3)*(OFFSET(ListeB,,1)='recap S1'!X$2))&gt;0,SUMPRODUCT((ListeB='recap S1'!$B34)*(OFFSET(ListeB,,4)='recap S1'!X$3)*(OFFSET(ListeB,,1)='recap S1'!X$2)),"")</f>
        <v/>
      </c>
      <c r="Y34" s="32" t="str">
        <f ca="1">IF(SUMPRODUCT((ListeB='recap S1'!$B34)*(OFFSET(ListeB,,4)='recap S1'!Y$3)*(OFFSET(ListeB,,1)='recap S1'!Y$2))&gt;0,SUMPRODUCT((ListeB='recap S1'!$B34)*(OFFSET(ListeB,,4)='recap S1'!Y$3)*(OFFSET(ListeB,,1)='recap S1'!Y$2)),"")</f>
        <v/>
      </c>
      <c r="Z34" s="32" t="str">
        <f ca="1">IF(SUMPRODUCT((ListeB='recap S1'!$B34)*(OFFSET(ListeB,,4)='recap S1'!Z$3)*(OFFSET(ListeB,,1)='recap S1'!Z$2))&gt;0,SUMPRODUCT((ListeB='recap S1'!$B34)*(OFFSET(ListeB,,4)='recap S1'!Z$3)*(OFFSET(ListeB,,1)='recap S1'!Z$2)),"")</f>
        <v/>
      </c>
      <c r="AA34" s="32" t="str">
        <f ca="1">IF(SUMPRODUCT((ListeB='recap S1'!$B34)*(OFFSET(ListeB,,4)='recap S1'!AA$3)*(OFFSET(ListeB,,1)='recap S1'!AA$2))&gt;0,SUMPRODUCT((ListeB='recap S1'!$B34)*(OFFSET(ListeB,,4)='recap S1'!AA$3)*(OFFSET(ListeB,,1)='recap S1'!AA$2)),"")</f>
        <v/>
      </c>
      <c r="AB34" s="32" t="str">
        <f ca="1">IF(SUMPRODUCT((ListeB='recap S1'!$B34)*(OFFSET(ListeB,,4)='recap S1'!AB$3)*(OFFSET(ListeB,,1)='recap S1'!AB$2))&gt;0,SUMPRODUCT((ListeB='recap S1'!$B34)*(OFFSET(ListeB,,4)='recap S1'!AB$3)*(OFFSET(ListeB,,1)='recap S1'!AB$2)),"")</f>
        <v/>
      </c>
      <c r="AC34" s="32" t="str">
        <f ca="1">IF(SUMPRODUCT((ListeB='recap S1'!$B34)*(OFFSET(ListeB,,4)='recap S1'!AC$3)*(OFFSET(ListeB,,1)='recap S1'!AC$2))&gt;0,SUMPRODUCT((ListeB='recap S1'!$B34)*(OFFSET(ListeB,,4)='recap S1'!AC$3)*(OFFSET(ListeB,,1)='recap S1'!AC$2)),"")</f>
        <v/>
      </c>
      <c r="AD34" s="32" t="str">
        <f ca="1">IF(SUMPRODUCT((ListeB='recap S1'!$B34)*(OFFSET(ListeB,,4)='recap S1'!AD$3)*(OFFSET(ListeB,,1)='recap S1'!AD$2))&gt;0,SUMPRODUCT((ListeB='recap S1'!$B34)*(OFFSET(ListeB,,4)='recap S1'!AD$3)*(OFFSET(ListeB,,1)='recap S1'!AD$2)),"")</f>
        <v/>
      </c>
      <c r="AE34" s="32" t="str">
        <f ca="1">IF(SUMPRODUCT((ListeB='recap S1'!$B34)*(OFFSET(ListeB,,4)='recap S1'!AE$3)*(OFFSET(ListeB,,1)='recap S1'!AE$2))&gt;0,SUMPRODUCT((ListeB='recap S1'!$B34)*(OFFSET(ListeB,,4)='recap S1'!AE$3)*(OFFSET(ListeB,,1)='recap S1'!AE$2)),"")</f>
        <v/>
      </c>
      <c r="AF34" s="32" t="str">
        <f ca="1">IF(SUMPRODUCT((ListeB='recap S1'!$B34)*(OFFSET(ListeB,,4)='recap S1'!AF$3)*(OFFSET(ListeB,,1)='recap S1'!AF$2))&gt;0,SUMPRODUCT((ListeB='recap S1'!$B34)*(OFFSET(ListeB,,4)='recap S1'!AF$3)*(OFFSET(ListeB,,1)='recap S1'!AF$2)),"")</f>
        <v/>
      </c>
      <c r="AG34" s="32" t="str">
        <f ca="1">IF(SUMPRODUCT((ListeB='recap S1'!$B34)*(OFFSET(ListeB,,4)='recap S1'!AG$3)*(OFFSET(ListeB,,1)='recap S1'!AG$2))&gt;0,SUMPRODUCT((ListeB='recap S1'!$B34)*(OFFSET(ListeB,,4)='recap S1'!AG$3)*(OFFSET(ListeB,,1)='recap S1'!AG$2)),"")</f>
        <v/>
      </c>
      <c r="AH34" s="32" t="str">
        <f ca="1">IF(SUMPRODUCT((ListeB='recap S1'!$B34)*(OFFSET(ListeB,,4)='recap S1'!AH$3)*(OFFSET(ListeB,,1)='recap S1'!AH$2))&gt;0,SUMPRODUCT((ListeB='recap S1'!$B34)*(OFFSET(ListeB,,4)='recap S1'!AH$3)*(OFFSET(ListeB,,1)='recap S1'!AH$2)),"")</f>
        <v/>
      </c>
      <c r="AI34" s="32" t="str">
        <f ca="1">IF(SUMPRODUCT((ListeB='recap S1'!$B34)*(OFFSET(ListeB,,4)='recap S1'!AI$3)*(OFFSET(ListeB,,1)='recap S1'!AI$2))&gt;0,SUMPRODUCT((ListeB='recap S1'!$B34)*(OFFSET(ListeB,,4)='recap S1'!AI$3)*(OFFSET(ListeB,,1)='recap S1'!AI$2)),"")</f>
        <v/>
      </c>
      <c r="AJ34" s="32" t="str">
        <f ca="1">IF(SUMPRODUCT((ListeB='recap S1'!$B34)*(OFFSET(ListeB,,4)='recap S1'!AJ$3)*(OFFSET(ListeB,,1)='recap S1'!AJ$2))&gt;0,SUMPRODUCT((ListeB='recap S1'!$B34)*(OFFSET(ListeB,,4)='recap S1'!AJ$3)*(OFFSET(ListeB,,1)='recap S1'!AJ$2)),"")</f>
        <v/>
      </c>
      <c r="AK34" s="32" t="str">
        <f ca="1">IF(SUMPRODUCT((ListeB='recap S1'!$B34)*(OFFSET(ListeB,,4)='recap S1'!AK$3)*(OFFSET(ListeB,,1)='recap S1'!AK$2))&gt;0,SUMPRODUCT((ListeB='recap S1'!$B34)*(OFFSET(ListeB,,4)='recap S1'!AK$3)*(OFFSET(ListeB,,1)='recap S1'!AK$2)),"")</f>
        <v/>
      </c>
      <c r="AL34" s="32" t="str">
        <f ca="1">IF(SUMPRODUCT((ListeB='recap S1'!$B34)*(OFFSET(ListeB,,4)='recap S1'!AL$3)*(OFFSET(ListeB,,1)='recap S1'!AL$2))&gt;0,SUMPRODUCT((ListeB='recap S1'!$B34)*(OFFSET(ListeB,,4)='recap S1'!AL$3)*(OFFSET(ListeB,,1)='recap S1'!AL$2)),"")</f>
        <v/>
      </c>
      <c r="AM34" s="32" t="str">
        <f ca="1">IF(SUMPRODUCT((ListeB='recap S1'!$B34)*(OFFSET(ListeB,,4)='recap S1'!AM$3)*(OFFSET(ListeB,,1)='recap S1'!AM$2))&gt;0,SUMPRODUCT((ListeB='recap S1'!$B34)*(OFFSET(ListeB,,4)='recap S1'!AM$3)*(OFFSET(ListeB,,1)='recap S1'!AM$2)),"")</f>
        <v/>
      </c>
      <c r="AN34" s="32" t="str">
        <f ca="1">IF(SUMPRODUCT((ListeB='recap S1'!$B34)*(OFFSET(ListeB,,4)='recap S1'!AN$3)*(OFFSET(ListeB,,1)='recap S1'!AN$2))&gt;0,SUMPRODUCT((ListeB='recap S1'!$B34)*(OFFSET(ListeB,,4)='recap S1'!AN$3)*(OFFSET(ListeB,,1)='recap S1'!AN$2)),"")</f>
        <v/>
      </c>
      <c r="AO34" s="32" t="str">
        <f ca="1">IF(SUMPRODUCT((ListeB='recap S1'!$B34)*(OFFSET(ListeB,,4)='recap S1'!AO$3)*(OFFSET(ListeB,,1)='recap S1'!AO$2))&gt;0,SUMPRODUCT((ListeB='recap S1'!$B34)*(OFFSET(ListeB,,4)='recap S1'!AO$3)*(OFFSET(ListeB,,1)='recap S1'!AO$2)),"")</f>
        <v/>
      </c>
      <c r="AP34" s="32" t="str">
        <f ca="1">IF(SUMPRODUCT((ListeB='recap S1'!$B34)*(OFFSET(ListeB,,4)='recap S1'!AP$3)*(OFFSET(ListeB,,1)='recap S1'!AP$2))&gt;0,SUMPRODUCT((ListeB='recap S1'!$B34)*(OFFSET(ListeB,,4)='recap S1'!AP$3)*(OFFSET(ListeB,,1)='recap S1'!AP$2)),"")</f>
        <v/>
      </c>
      <c r="AQ34" s="32" t="str">
        <f ca="1">IF(SUMPRODUCT((ListeB='recap S1'!$B34)*(OFFSET(ListeB,,4)='recap S1'!AQ$3)*(OFFSET(ListeB,,1)='recap S1'!AQ$2))&gt;0,SUMPRODUCT((ListeB='recap S1'!$B34)*(OFFSET(ListeB,,4)='recap S1'!AQ$3)*(OFFSET(ListeB,,1)='recap S1'!AQ$2)),"")</f>
        <v/>
      </c>
      <c r="AR34" s="32" t="str">
        <f ca="1">IF(SUMPRODUCT((ListeB='recap S1'!$B34)*(OFFSET(ListeB,,4)='recap S1'!AR$3)*(OFFSET(ListeB,,1)='recap S1'!AR$2))&gt;0,SUMPRODUCT((ListeB='recap S1'!$B34)*(OFFSET(ListeB,,4)='recap S1'!AR$3)*(OFFSET(ListeB,,1)='recap S1'!AR$2)),"")</f>
        <v/>
      </c>
      <c r="AS34" s="32" t="str">
        <f ca="1">IF(SUMPRODUCT((ListeB='recap S1'!$B34)*(OFFSET(ListeB,,4)='recap S1'!AS$3)*(OFFSET(ListeB,,1)='recap S1'!AS$2))&gt;0,SUMPRODUCT((ListeB='recap S1'!$B34)*(OFFSET(ListeB,,4)='recap S1'!AS$3)*(OFFSET(ListeB,,1)='recap S1'!AS$2)),"")</f>
        <v/>
      </c>
      <c r="AT34" s="32" t="str">
        <f ca="1">IF(SUMPRODUCT((ListeB='recap S1'!$B34)*(OFFSET(ListeB,,4)='recap S1'!AT$3)*(OFFSET(ListeB,,1)='recap S1'!AT$2))&gt;0,SUMPRODUCT((ListeB='recap S1'!$B34)*(OFFSET(ListeB,,4)='recap S1'!AT$3)*(OFFSET(ListeB,,1)='recap S1'!AT$2)),"")</f>
        <v/>
      </c>
      <c r="AU34" s="32" t="str">
        <f ca="1">IF(SUMPRODUCT((ListeB='recap S1'!$B34)*(OFFSET(ListeB,,4)='recap S1'!AU$3)*(OFFSET(ListeB,,1)='recap S1'!AU$2))&gt;0,SUMPRODUCT((ListeB='recap S1'!$B34)*(OFFSET(ListeB,,4)='recap S1'!AU$3)*(OFFSET(ListeB,,1)='recap S1'!AU$2)),"")</f>
        <v/>
      </c>
      <c r="AV34" s="32" t="str">
        <f ca="1">IF(SUMPRODUCT((ListeB='recap S1'!$B34)*(OFFSET(ListeB,,4)='recap S1'!AV$3)*(OFFSET(ListeB,,1)='recap S1'!AV$2))&gt;0,SUMPRODUCT((ListeB='recap S1'!$B34)*(OFFSET(ListeB,,4)='recap S1'!AV$3)*(OFFSET(ListeB,,1)='recap S1'!AV$2)),"")</f>
        <v/>
      </c>
      <c r="AW34" s="32" t="str">
        <f ca="1">IF(SUMPRODUCT((ListeB='recap S1'!$B34)*(OFFSET(ListeB,,4)='recap S1'!AW$3)*(OFFSET(ListeB,,1)='recap S1'!AW$2))&gt;0,SUMPRODUCT((ListeB='recap S1'!$B34)*(OFFSET(ListeB,,4)='recap S1'!AW$3)*(OFFSET(ListeB,,1)='recap S1'!AW$2)),"")</f>
        <v/>
      </c>
      <c r="AX34" s="32" t="str">
        <f ca="1">IF(SUMPRODUCT((ListeB='recap S1'!$B34)*(OFFSET(ListeB,,4)='recap S1'!AX$3)*(OFFSET(ListeB,,1)='recap S1'!AX$2))&gt;0,SUMPRODUCT((ListeB='recap S1'!$B34)*(OFFSET(ListeB,,4)='recap S1'!AX$3)*(OFFSET(ListeB,,1)='recap S1'!AX$2)),"")</f>
        <v/>
      </c>
      <c r="AY34" s="32" t="str">
        <f ca="1">IF(SUMPRODUCT((ListeB='recap S1'!$B34)*(OFFSET(ListeB,,4)='recap S1'!AY$3)*(OFFSET(ListeB,,1)='recap S1'!AY$2))&gt;0,SUMPRODUCT((ListeB='recap S1'!$B34)*(OFFSET(ListeB,,4)='recap S1'!AY$3)*(OFFSET(ListeB,,1)='recap S1'!AY$2)),"")</f>
        <v/>
      </c>
      <c r="AZ34" s="32">
        <f t="shared" ca="1" si="0"/>
        <v>0</v>
      </c>
    </row>
    <row r="35" spans="1:52">
      <c r="A35" s="41" t="str">
        <f>IF('SEANCE 1'!$B33&lt;&gt;"",'SEANCE 1'!$A33,"")</f>
        <v/>
      </c>
      <c r="B35" s="41" t="str">
        <f t="array" aca="1" ref="B35" ca="1">IF(ISNA(INDEX(ListeB,MATCH(0,COUNTIF($B$3:B34,ListeB),0))),"",INDEX(ListeB,MATCH(0,COUNTIF($B$3:B34,ListeB),0)))</f>
        <v/>
      </c>
      <c r="C35" s="32" t="str">
        <f ca="1">IF(SUMPRODUCT((ListeB='recap S1'!$B35)*(OFFSET(ListeB,,4)='recap S1'!C$3)*(OFFSET(ListeB,,1)='recap S1'!C$2))&gt;0,SUMPRODUCT((ListeB='recap S1'!$B35)*(OFFSET(ListeB,,4)='recap S1'!C$3)*(OFFSET(ListeB,,1)='recap S1'!C$2)),"")</f>
        <v/>
      </c>
      <c r="D35" s="32" t="str">
        <f ca="1">IF(SUMPRODUCT((ListeB='recap S1'!$B35)*(OFFSET(ListeB,,4)='recap S1'!D$3)*(OFFSET(ListeB,,1)='recap S1'!D$2))&gt;0,SUMPRODUCT((ListeB='recap S1'!$B35)*(OFFSET(ListeB,,4)='recap S1'!D$3)*(OFFSET(ListeB,,1)='recap S1'!D$2)),"")</f>
        <v/>
      </c>
      <c r="E35" s="32" t="str">
        <f ca="1">IF(SUMPRODUCT((ListeB='recap S1'!$B35)*(OFFSET(ListeB,,4)='recap S1'!E$3)*(OFFSET(ListeB,,1)='recap S1'!E$2))&gt;0,SUMPRODUCT((ListeB='recap S1'!$B35)*(OFFSET(ListeB,,4)='recap S1'!E$3)*(OFFSET(ListeB,,1)='recap S1'!E$2)),"")</f>
        <v/>
      </c>
      <c r="F35" s="32" t="str">
        <f ca="1">IF(SUMPRODUCT((ListeB='recap S1'!$B35)*(OFFSET(ListeB,,4)='recap S1'!F$3)*(OFFSET(ListeB,,1)='recap S1'!F$2))&gt;0,SUMPRODUCT((ListeB='recap S1'!$B35)*(OFFSET(ListeB,,4)='recap S1'!F$3)*(OFFSET(ListeB,,1)='recap S1'!F$2)),"")</f>
        <v/>
      </c>
      <c r="G35" s="32" t="str">
        <f ca="1">IF(SUMPRODUCT((ListeB='recap S1'!$B35)*(OFFSET(ListeB,,4)='recap S1'!G$3)*(OFFSET(ListeB,,1)='recap S1'!G$2))&gt;0,SUMPRODUCT((ListeB='recap S1'!$B35)*(OFFSET(ListeB,,4)='recap S1'!G$3)*(OFFSET(ListeB,,1)='recap S1'!G$2)),"")</f>
        <v/>
      </c>
      <c r="H35" s="32" t="str">
        <f ca="1">IF(SUMPRODUCT((ListeB='recap S1'!$B35)*(OFFSET(ListeB,,4)='recap S1'!H$3)*(OFFSET(ListeB,,1)='recap S1'!H$2))&gt;0,SUMPRODUCT((ListeB='recap S1'!$B35)*(OFFSET(ListeB,,4)='recap S1'!H$3)*(OFFSET(ListeB,,1)='recap S1'!H$2)),"")</f>
        <v/>
      </c>
      <c r="I35" s="32" t="str">
        <f ca="1">IF(SUMPRODUCT((ListeB='recap S1'!$B35)*(OFFSET(ListeB,,4)='recap S1'!I$3)*(OFFSET(ListeB,,1)='recap S1'!I$2))&gt;0,SUMPRODUCT((ListeB='recap S1'!$B35)*(OFFSET(ListeB,,4)='recap S1'!I$3)*(OFFSET(ListeB,,1)='recap S1'!I$2)),"")</f>
        <v/>
      </c>
      <c r="J35" s="32" t="str">
        <f ca="1">IF(SUMPRODUCT((ListeB='recap S1'!$B35)*(OFFSET(ListeB,,4)='recap S1'!J$3)*(OFFSET(ListeB,,1)='recap S1'!J$2))&gt;0,SUMPRODUCT((ListeB='recap S1'!$B35)*(OFFSET(ListeB,,4)='recap S1'!J$3)*(OFFSET(ListeB,,1)='recap S1'!J$2)),"")</f>
        <v/>
      </c>
      <c r="K35" s="32" t="str">
        <f ca="1">IF(SUMPRODUCT((ListeB='recap S1'!$B35)*(OFFSET(ListeB,,4)='recap S1'!K$3)*(OFFSET(ListeB,,1)='recap S1'!K$2))&gt;0,SUMPRODUCT((ListeB='recap S1'!$B35)*(OFFSET(ListeB,,4)='recap S1'!K$3)*(OFFSET(ListeB,,1)='recap S1'!K$2)),"")</f>
        <v/>
      </c>
      <c r="L35" s="32" t="str">
        <f ca="1">IF(SUMPRODUCT((ListeB='recap S1'!$B35)*(OFFSET(ListeB,,4)='recap S1'!L$3)*(OFFSET(ListeB,,1)='recap S1'!L$2))&gt;0,SUMPRODUCT((ListeB='recap S1'!$B35)*(OFFSET(ListeB,,4)='recap S1'!L$3)*(OFFSET(ListeB,,1)='recap S1'!L$2)),"")</f>
        <v/>
      </c>
      <c r="M35" s="32" t="str">
        <f ca="1">IF(SUMPRODUCT((ListeB='recap S1'!$B35)*(OFFSET(ListeB,,4)='recap S1'!M$3)*(OFFSET(ListeB,,1)='recap S1'!M$2))&gt;0,SUMPRODUCT((ListeB='recap S1'!$B35)*(OFFSET(ListeB,,4)='recap S1'!M$3)*(OFFSET(ListeB,,1)='recap S1'!M$2)),"")</f>
        <v/>
      </c>
      <c r="N35" s="32" t="str">
        <f ca="1">IF(SUMPRODUCT((ListeB='recap S1'!$B35)*(OFFSET(ListeB,,4)='recap S1'!N$3)*(OFFSET(ListeB,,1)='recap S1'!N$2))&gt;0,SUMPRODUCT((ListeB='recap S1'!$B35)*(OFFSET(ListeB,,4)='recap S1'!N$3)*(OFFSET(ListeB,,1)='recap S1'!N$2)),"")</f>
        <v/>
      </c>
      <c r="O35" s="32" t="str">
        <f ca="1">IF(SUMPRODUCT((ListeB='recap S1'!$B35)*(OFFSET(ListeB,,4)='recap S1'!O$3)*(OFFSET(ListeB,,1)='recap S1'!O$2))&gt;0,SUMPRODUCT((ListeB='recap S1'!$B35)*(OFFSET(ListeB,,4)='recap S1'!O$3)*(OFFSET(ListeB,,1)='recap S1'!O$2)),"")</f>
        <v/>
      </c>
      <c r="P35" s="32" t="str">
        <f ca="1">IF(SUMPRODUCT((ListeB='recap S1'!$B35)*(OFFSET(ListeB,,4)='recap S1'!P$3)*(OFFSET(ListeB,,1)='recap S1'!P$2))&gt;0,SUMPRODUCT((ListeB='recap S1'!$B35)*(OFFSET(ListeB,,4)='recap S1'!P$3)*(OFFSET(ListeB,,1)='recap S1'!P$2)),"")</f>
        <v/>
      </c>
      <c r="Q35" s="32" t="str">
        <f ca="1">IF(SUMPRODUCT((ListeB='recap S1'!$B35)*(OFFSET(ListeB,,4)='recap S1'!Q$3)*(OFFSET(ListeB,,1)='recap S1'!Q$2))&gt;0,SUMPRODUCT((ListeB='recap S1'!$B35)*(OFFSET(ListeB,,4)='recap S1'!Q$3)*(OFFSET(ListeB,,1)='recap S1'!Q$2)),"")</f>
        <v/>
      </c>
      <c r="R35" s="32" t="str">
        <f ca="1">IF(SUMPRODUCT((ListeB='recap S1'!$B35)*(OFFSET(ListeB,,4)='recap S1'!R$3)*(OFFSET(ListeB,,1)='recap S1'!R$2))&gt;0,SUMPRODUCT((ListeB='recap S1'!$B35)*(OFFSET(ListeB,,4)='recap S1'!R$3)*(OFFSET(ListeB,,1)='recap S1'!R$2)),"")</f>
        <v/>
      </c>
      <c r="S35" s="32" t="str">
        <f ca="1">IF(SUMPRODUCT((ListeB='recap S1'!$B35)*(OFFSET(ListeB,,4)='recap S1'!S$3)*(OFFSET(ListeB,,1)='recap S1'!S$2))&gt;0,SUMPRODUCT((ListeB='recap S1'!$B35)*(OFFSET(ListeB,,4)='recap S1'!S$3)*(OFFSET(ListeB,,1)='recap S1'!S$2)),"")</f>
        <v/>
      </c>
      <c r="T35" s="32" t="str">
        <f ca="1">IF(SUMPRODUCT((ListeB='recap S1'!$B35)*(OFFSET(ListeB,,4)='recap S1'!T$3)*(OFFSET(ListeB,,1)='recap S1'!T$2))&gt;0,SUMPRODUCT((ListeB='recap S1'!$B35)*(OFFSET(ListeB,,4)='recap S1'!T$3)*(OFFSET(ListeB,,1)='recap S1'!T$2)),"")</f>
        <v/>
      </c>
      <c r="U35" s="32" t="str">
        <f ca="1">IF(SUMPRODUCT((ListeB='recap S1'!$B35)*(OFFSET(ListeB,,4)='recap S1'!U$3)*(OFFSET(ListeB,,1)='recap S1'!U$2))&gt;0,SUMPRODUCT((ListeB='recap S1'!$B35)*(OFFSET(ListeB,,4)='recap S1'!U$3)*(OFFSET(ListeB,,1)='recap S1'!U$2)),"")</f>
        <v/>
      </c>
      <c r="V35" s="32" t="str">
        <f ca="1">IF(SUMPRODUCT((ListeB='recap S1'!$B35)*(OFFSET(ListeB,,4)='recap S1'!V$3)*(OFFSET(ListeB,,1)='recap S1'!V$2))&gt;0,SUMPRODUCT((ListeB='recap S1'!$B35)*(OFFSET(ListeB,,4)='recap S1'!V$3)*(OFFSET(ListeB,,1)='recap S1'!V$2)),"")</f>
        <v/>
      </c>
      <c r="W35" s="32" t="str">
        <f ca="1">IF(SUMPRODUCT((ListeB='recap S1'!$B35)*(OFFSET(ListeB,,4)='recap S1'!W$3)*(OFFSET(ListeB,,1)='recap S1'!W$2))&gt;0,SUMPRODUCT((ListeB='recap S1'!$B35)*(OFFSET(ListeB,,4)='recap S1'!W$3)*(OFFSET(ListeB,,1)='recap S1'!W$2)),"")</f>
        <v/>
      </c>
      <c r="X35" s="32" t="str">
        <f ca="1">IF(SUMPRODUCT((ListeB='recap S1'!$B35)*(OFFSET(ListeB,,4)='recap S1'!X$3)*(OFFSET(ListeB,,1)='recap S1'!X$2))&gt;0,SUMPRODUCT((ListeB='recap S1'!$B35)*(OFFSET(ListeB,,4)='recap S1'!X$3)*(OFFSET(ListeB,,1)='recap S1'!X$2)),"")</f>
        <v/>
      </c>
      <c r="Y35" s="32" t="str">
        <f ca="1">IF(SUMPRODUCT((ListeB='recap S1'!$B35)*(OFFSET(ListeB,,4)='recap S1'!Y$3)*(OFFSET(ListeB,,1)='recap S1'!Y$2))&gt;0,SUMPRODUCT((ListeB='recap S1'!$B35)*(OFFSET(ListeB,,4)='recap S1'!Y$3)*(OFFSET(ListeB,,1)='recap S1'!Y$2)),"")</f>
        <v/>
      </c>
      <c r="Z35" s="32" t="str">
        <f ca="1">IF(SUMPRODUCT((ListeB='recap S1'!$B35)*(OFFSET(ListeB,,4)='recap S1'!Z$3)*(OFFSET(ListeB,,1)='recap S1'!Z$2))&gt;0,SUMPRODUCT((ListeB='recap S1'!$B35)*(OFFSET(ListeB,,4)='recap S1'!Z$3)*(OFFSET(ListeB,,1)='recap S1'!Z$2)),"")</f>
        <v/>
      </c>
      <c r="AA35" s="32" t="str">
        <f ca="1">IF(SUMPRODUCT((ListeB='recap S1'!$B35)*(OFFSET(ListeB,,4)='recap S1'!AA$3)*(OFFSET(ListeB,,1)='recap S1'!AA$2))&gt;0,SUMPRODUCT((ListeB='recap S1'!$B35)*(OFFSET(ListeB,,4)='recap S1'!AA$3)*(OFFSET(ListeB,,1)='recap S1'!AA$2)),"")</f>
        <v/>
      </c>
      <c r="AB35" s="32" t="str">
        <f ca="1">IF(SUMPRODUCT((ListeB='recap S1'!$B35)*(OFFSET(ListeB,,4)='recap S1'!AB$3)*(OFFSET(ListeB,,1)='recap S1'!AB$2))&gt;0,SUMPRODUCT((ListeB='recap S1'!$B35)*(OFFSET(ListeB,,4)='recap S1'!AB$3)*(OFFSET(ListeB,,1)='recap S1'!AB$2)),"")</f>
        <v/>
      </c>
      <c r="AC35" s="32" t="str">
        <f ca="1">IF(SUMPRODUCT((ListeB='recap S1'!$B35)*(OFFSET(ListeB,,4)='recap S1'!AC$3)*(OFFSET(ListeB,,1)='recap S1'!AC$2))&gt;0,SUMPRODUCT((ListeB='recap S1'!$B35)*(OFFSET(ListeB,,4)='recap S1'!AC$3)*(OFFSET(ListeB,,1)='recap S1'!AC$2)),"")</f>
        <v/>
      </c>
      <c r="AD35" s="32" t="str">
        <f ca="1">IF(SUMPRODUCT((ListeB='recap S1'!$B35)*(OFFSET(ListeB,,4)='recap S1'!AD$3)*(OFFSET(ListeB,,1)='recap S1'!AD$2))&gt;0,SUMPRODUCT((ListeB='recap S1'!$B35)*(OFFSET(ListeB,,4)='recap S1'!AD$3)*(OFFSET(ListeB,,1)='recap S1'!AD$2)),"")</f>
        <v/>
      </c>
      <c r="AE35" s="32" t="str">
        <f ca="1">IF(SUMPRODUCT((ListeB='recap S1'!$B35)*(OFFSET(ListeB,,4)='recap S1'!AE$3)*(OFFSET(ListeB,,1)='recap S1'!AE$2))&gt;0,SUMPRODUCT((ListeB='recap S1'!$B35)*(OFFSET(ListeB,,4)='recap S1'!AE$3)*(OFFSET(ListeB,,1)='recap S1'!AE$2)),"")</f>
        <v/>
      </c>
      <c r="AF35" s="32" t="str">
        <f ca="1">IF(SUMPRODUCT((ListeB='recap S1'!$B35)*(OFFSET(ListeB,,4)='recap S1'!AF$3)*(OFFSET(ListeB,,1)='recap S1'!AF$2))&gt;0,SUMPRODUCT((ListeB='recap S1'!$B35)*(OFFSET(ListeB,,4)='recap S1'!AF$3)*(OFFSET(ListeB,,1)='recap S1'!AF$2)),"")</f>
        <v/>
      </c>
      <c r="AG35" s="32" t="str">
        <f ca="1">IF(SUMPRODUCT((ListeB='recap S1'!$B35)*(OFFSET(ListeB,,4)='recap S1'!AG$3)*(OFFSET(ListeB,,1)='recap S1'!AG$2))&gt;0,SUMPRODUCT((ListeB='recap S1'!$B35)*(OFFSET(ListeB,,4)='recap S1'!AG$3)*(OFFSET(ListeB,,1)='recap S1'!AG$2)),"")</f>
        <v/>
      </c>
      <c r="AH35" s="32" t="str">
        <f ca="1">IF(SUMPRODUCT((ListeB='recap S1'!$B35)*(OFFSET(ListeB,,4)='recap S1'!AH$3)*(OFFSET(ListeB,,1)='recap S1'!AH$2))&gt;0,SUMPRODUCT((ListeB='recap S1'!$B35)*(OFFSET(ListeB,,4)='recap S1'!AH$3)*(OFFSET(ListeB,,1)='recap S1'!AH$2)),"")</f>
        <v/>
      </c>
      <c r="AI35" s="32" t="str">
        <f ca="1">IF(SUMPRODUCT((ListeB='recap S1'!$B35)*(OFFSET(ListeB,,4)='recap S1'!AI$3)*(OFFSET(ListeB,,1)='recap S1'!AI$2))&gt;0,SUMPRODUCT((ListeB='recap S1'!$B35)*(OFFSET(ListeB,,4)='recap S1'!AI$3)*(OFFSET(ListeB,,1)='recap S1'!AI$2)),"")</f>
        <v/>
      </c>
      <c r="AJ35" s="32" t="str">
        <f ca="1">IF(SUMPRODUCT((ListeB='recap S1'!$B35)*(OFFSET(ListeB,,4)='recap S1'!AJ$3)*(OFFSET(ListeB,,1)='recap S1'!AJ$2))&gt;0,SUMPRODUCT((ListeB='recap S1'!$B35)*(OFFSET(ListeB,,4)='recap S1'!AJ$3)*(OFFSET(ListeB,,1)='recap S1'!AJ$2)),"")</f>
        <v/>
      </c>
      <c r="AK35" s="32" t="str">
        <f ca="1">IF(SUMPRODUCT((ListeB='recap S1'!$B35)*(OFFSET(ListeB,,4)='recap S1'!AK$3)*(OFFSET(ListeB,,1)='recap S1'!AK$2))&gt;0,SUMPRODUCT((ListeB='recap S1'!$B35)*(OFFSET(ListeB,,4)='recap S1'!AK$3)*(OFFSET(ListeB,,1)='recap S1'!AK$2)),"")</f>
        <v/>
      </c>
      <c r="AL35" s="32" t="str">
        <f ca="1">IF(SUMPRODUCT((ListeB='recap S1'!$B35)*(OFFSET(ListeB,,4)='recap S1'!AL$3)*(OFFSET(ListeB,,1)='recap S1'!AL$2))&gt;0,SUMPRODUCT((ListeB='recap S1'!$B35)*(OFFSET(ListeB,,4)='recap S1'!AL$3)*(OFFSET(ListeB,,1)='recap S1'!AL$2)),"")</f>
        <v/>
      </c>
      <c r="AM35" s="32" t="str">
        <f ca="1">IF(SUMPRODUCT((ListeB='recap S1'!$B35)*(OFFSET(ListeB,,4)='recap S1'!AM$3)*(OFFSET(ListeB,,1)='recap S1'!AM$2))&gt;0,SUMPRODUCT((ListeB='recap S1'!$B35)*(OFFSET(ListeB,,4)='recap S1'!AM$3)*(OFFSET(ListeB,,1)='recap S1'!AM$2)),"")</f>
        <v/>
      </c>
      <c r="AN35" s="32" t="str">
        <f ca="1">IF(SUMPRODUCT((ListeB='recap S1'!$B35)*(OFFSET(ListeB,,4)='recap S1'!AN$3)*(OFFSET(ListeB,,1)='recap S1'!AN$2))&gt;0,SUMPRODUCT((ListeB='recap S1'!$B35)*(OFFSET(ListeB,,4)='recap S1'!AN$3)*(OFFSET(ListeB,,1)='recap S1'!AN$2)),"")</f>
        <v/>
      </c>
      <c r="AO35" s="32" t="str">
        <f ca="1">IF(SUMPRODUCT((ListeB='recap S1'!$B35)*(OFFSET(ListeB,,4)='recap S1'!AO$3)*(OFFSET(ListeB,,1)='recap S1'!AO$2))&gt;0,SUMPRODUCT((ListeB='recap S1'!$B35)*(OFFSET(ListeB,,4)='recap S1'!AO$3)*(OFFSET(ListeB,,1)='recap S1'!AO$2)),"")</f>
        <v/>
      </c>
      <c r="AP35" s="32" t="str">
        <f ca="1">IF(SUMPRODUCT((ListeB='recap S1'!$B35)*(OFFSET(ListeB,,4)='recap S1'!AP$3)*(OFFSET(ListeB,,1)='recap S1'!AP$2))&gt;0,SUMPRODUCT((ListeB='recap S1'!$B35)*(OFFSET(ListeB,,4)='recap S1'!AP$3)*(OFFSET(ListeB,,1)='recap S1'!AP$2)),"")</f>
        <v/>
      </c>
      <c r="AQ35" s="32" t="str">
        <f ca="1">IF(SUMPRODUCT((ListeB='recap S1'!$B35)*(OFFSET(ListeB,,4)='recap S1'!AQ$3)*(OFFSET(ListeB,,1)='recap S1'!AQ$2))&gt;0,SUMPRODUCT((ListeB='recap S1'!$B35)*(OFFSET(ListeB,,4)='recap S1'!AQ$3)*(OFFSET(ListeB,,1)='recap S1'!AQ$2)),"")</f>
        <v/>
      </c>
      <c r="AR35" s="32" t="str">
        <f ca="1">IF(SUMPRODUCT((ListeB='recap S1'!$B35)*(OFFSET(ListeB,,4)='recap S1'!AR$3)*(OFFSET(ListeB,,1)='recap S1'!AR$2))&gt;0,SUMPRODUCT((ListeB='recap S1'!$B35)*(OFFSET(ListeB,,4)='recap S1'!AR$3)*(OFFSET(ListeB,,1)='recap S1'!AR$2)),"")</f>
        <v/>
      </c>
      <c r="AS35" s="32" t="str">
        <f ca="1">IF(SUMPRODUCT((ListeB='recap S1'!$B35)*(OFFSET(ListeB,,4)='recap S1'!AS$3)*(OFFSET(ListeB,,1)='recap S1'!AS$2))&gt;0,SUMPRODUCT((ListeB='recap S1'!$B35)*(OFFSET(ListeB,,4)='recap S1'!AS$3)*(OFFSET(ListeB,,1)='recap S1'!AS$2)),"")</f>
        <v/>
      </c>
      <c r="AT35" s="32" t="str">
        <f ca="1">IF(SUMPRODUCT((ListeB='recap S1'!$B35)*(OFFSET(ListeB,,4)='recap S1'!AT$3)*(OFFSET(ListeB,,1)='recap S1'!AT$2))&gt;0,SUMPRODUCT((ListeB='recap S1'!$B35)*(OFFSET(ListeB,,4)='recap S1'!AT$3)*(OFFSET(ListeB,,1)='recap S1'!AT$2)),"")</f>
        <v/>
      </c>
      <c r="AU35" s="32" t="str">
        <f ca="1">IF(SUMPRODUCT((ListeB='recap S1'!$B35)*(OFFSET(ListeB,,4)='recap S1'!AU$3)*(OFFSET(ListeB,,1)='recap S1'!AU$2))&gt;0,SUMPRODUCT((ListeB='recap S1'!$B35)*(OFFSET(ListeB,,4)='recap S1'!AU$3)*(OFFSET(ListeB,,1)='recap S1'!AU$2)),"")</f>
        <v/>
      </c>
      <c r="AV35" s="32" t="str">
        <f ca="1">IF(SUMPRODUCT((ListeB='recap S1'!$B35)*(OFFSET(ListeB,,4)='recap S1'!AV$3)*(OFFSET(ListeB,,1)='recap S1'!AV$2))&gt;0,SUMPRODUCT((ListeB='recap S1'!$B35)*(OFFSET(ListeB,,4)='recap S1'!AV$3)*(OFFSET(ListeB,,1)='recap S1'!AV$2)),"")</f>
        <v/>
      </c>
      <c r="AW35" s="32" t="str">
        <f ca="1">IF(SUMPRODUCT((ListeB='recap S1'!$B35)*(OFFSET(ListeB,,4)='recap S1'!AW$3)*(OFFSET(ListeB,,1)='recap S1'!AW$2))&gt;0,SUMPRODUCT((ListeB='recap S1'!$B35)*(OFFSET(ListeB,,4)='recap S1'!AW$3)*(OFFSET(ListeB,,1)='recap S1'!AW$2)),"")</f>
        <v/>
      </c>
      <c r="AX35" s="32" t="str">
        <f ca="1">IF(SUMPRODUCT((ListeB='recap S1'!$B35)*(OFFSET(ListeB,,4)='recap S1'!AX$3)*(OFFSET(ListeB,,1)='recap S1'!AX$2))&gt;0,SUMPRODUCT((ListeB='recap S1'!$B35)*(OFFSET(ListeB,,4)='recap S1'!AX$3)*(OFFSET(ListeB,,1)='recap S1'!AX$2)),"")</f>
        <v/>
      </c>
      <c r="AY35" s="32" t="str">
        <f ca="1">IF(SUMPRODUCT((ListeB='recap S1'!$B35)*(OFFSET(ListeB,,4)='recap S1'!AY$3)*(OFFSET(ListeB,,1)='recap S1'!AY$2))&gt;0,SUMPRODUCT((ListeB='recap S1'!$B35)*(OFFSET(ListeB,,4)='recap S1'!AY$3)*(OFFSET(ListeB,,1)='recap S1'!AY$2)),"")</f>
        <v/>
      </c>
      <c r="AZ35" s="32">
        <f t="shared" ca="1" si="0"/>
        <v>0</v>
      </c>
    </row>
    <row r="36" spans="1:52">
      <c r="A36" s="41" t="str">
        <f>IF('SEANCE 1'!$B34&lt;&gt;"",'SEANCE 1'!$A34,"")</f>
        <v/>
      </c>
      <c r="B36" s="41" t="str">
        <f t="array" aca="1" ref="B36" ca="1">IF(ISNA(INDEX(ListeB,MATCH(0,COUNTIF($B$3:B35,ListeB),0))),"",INDEX(ListeB,MATCH(0,COUNTIF($B$3:B35,ListeB),0)))</f>
        <v/>
      </c>
      <c r="C36" s="32" t="str">
        <f ca="1">IF(SUMPRODUCT((ListeB='recap S1'!$B36)*(OFFSET(ListeB,,4)='recap S1'!C$3)*(OFFSET(ListeB,,1)='recap S1'!C$2))&gt;0,SUMPRODUCT((ListeB='recap S1'!$B36)*(OFFSET(ListeB,,4)='recap S1'!C$3)*(OFFSET(ListeB,,1)='recap S1'!C$2)),"")</f>
        <v/>
      </c>
      <c r="D36" s="32" t="str">
        <f ca="1">IF(SUMPRODUCT((ListeB='recap S1'!$B36)*(OFFSET(ListeB,,4)='recap S1'!D$3)*(OFFSET(ListeB,,1)='recap S1'!D$2))&gt;0,SUMPRODUCT((ListeB='recap S1'!$B36)*(OFFSET(ListeB,,4)='recap S1'!D$3)*(OFFSET(ListeB,,1)='recap S1'!D$2)),"")</f>
        <v/>
      </c>
      <c r="E36" s="32" t="str">
        <f ca="1">IF(SUMPRODUCT((ListeB='recap S1'!$B36)*(OFFSET(ListeB,,4)='recap S1'!E$3)*(OFFSET(ListeB,,1)='recap S1'!E$2))&gt;0,SUMPRODUCT((ListeB='recap S1'!$B36)*(OFFSET(ListeB,,4)='recap S1'!E$3)*(OFFSET(ListeB,,1)='recap S1'!E$2)),"")</f>
        <v/>
      </c>
      <c r="F36" s="32" t="str">
        <f ca="1">IF(SUMPRODUCT((ListeB='recap S1'!$B36)*(OFFSET(ListeB,,4)='recap S1'!F$3)*(OFFSET(ListeB,,1)='recap S1'!F$2))&gt;0,SUMPRODUCT((ListeB='recap S1'!$B36)*(OFFSET(ListeB,,4)='recap S1'!F$3)*(OFFSET(ListeB,,1)='recap S1'!F$2)),"")</f>
        <v/>
      </c>
      <c r="G36" s="32" t="str">
        <f ca="1">IF(SUMPRODUCT((ListeB='recap S1'!$B36)*(OFFSET(ListeB,,4)='recap S1'!G$3)*(OFFSET(ListeB,,1)='recap S1'!G$2))&gt;0,SUMPRODUCT((ListeB='recap S1'!$B36)*(OFFSET(ListeB,,4)='recap S1'!G$3)*(OFFSET(ListeB,,1)='recap S1'!G$2)),"")</f>
        <v/>
      </c>
      <c r="H36" s="32" t="str">
        <f ca="1">IF(SUMPRODUCT((ListeB='recap S1'!$B36)*(OFFSET(ListeB,,4)='recap S1'!H$3)*(OFFSET(ListeB,,1)='recap S1'!H$2))&gt;0,SUMPRODUCT((ListeB='recap S1'!$B36)*(OFFSET(ListeB,,4)='recap S1'!H$3)*(OFFSET(ListeB,,1)='recap S1'!H$2)),"")</f>
        <v/>
      </c>
      <c r="I36" s="32" t="str">
        <f ca="1">IF(SUMPRODUCT((ListeB='recap S1'!$B36)*(OFFSET(ListeB,,4)='recap S1'!I$3)*(OFFSET(ListeB,,1)='recap S1'!I$2))&gt;0,SUMPRODUCT((ListeB='recap S1'!$B36)*(OFFSET(ListeB,,4)='recap S1'!I$3)*(OFFSET(ListeB,,1)='recap S1'!I$2)),"")</f>
        <v/>
      </c>
      <c r="J36" s="32" t="str">
        <f ca="1">IF(SUMPRODUCT((ListeB='recap S1'!$B36)*(OFFSET(ListeB,,4)='recap S1'!J$3)*(OFFSET(ListeB,,1)='recap S1'!J$2))&gt;0,SUMPRODUCT((ListeB='recap S1'!$B36)*(OFFSET(ListeB,,4)='recap S1'!J$3)*(OFFSET(ListeB,,1)='recap S1'!J$2)),"")</f>
        <v/>
      </c>
      <c r="K36" s="32" t="str">
        <f ca="1">IF(SUMPRODUCT((ListeB='recap S1'!$B36)*(OFFSET(ListeB,,4)='recap S1'!K$3)*(OFFSET(ListeB,,1)='recap S1'!K$2))&gt;0,SUMPRODUCT((ListeB='recap S1'!$B36)*(OFFSET(ListeB,,4)='recap S1'!K$3)*(OFFSET(ListeB,,1)='recap S1'!K$2)),"")</f>
        <v/>
      </c>
      <c r="L36" s="32" t="str">
        <f ca="1">IF(SUMPRODUCT((ListeB='recap S1'!$B36)*(OFFSET(ListeB,,4)='recap S1'!L$3)*(OFFSET(ListeB,,1)='recap S1'!L$2))&gt;0,SUMPRODUCT((ListeB='recap S1'!$B36)*(OFFSET(ListeB,,4)='recap S1'!L$3)*(OFFSET(ListeB,,1)='recap S1'!L$2)),"")</f>
        <v/>
      </c>
      <c r="M36" s="32" t="str">
        <f ca="1">IF(SUMPRODUCT((ListeB='recap S1'!$B36)*(OFFSET(ListeB,,4)='recap S1'!M$3)*(OFFSET(ListeB,,1)='recap S1'!M$2))&gt;0,SUMPRODUCT((ListeB='recap S1'!$B36)*(OFFSET(ListeB,,4)='recap S1'!M$3)*(OFFSET(ListeB,,1)='recap S1'!M$2)),"")</f>
        <v/>
      </c>
      <c r="N36" s="32" t="str">
        <f ca="1">IF(SUMPRODUCT((ListeB='recap S1'!$B36)*(OFFSET(ListeB,,4)='recap S1'!N$3)*(OFFSET(ListeB,,1)='recap S1'!N$2))&gt;0,SUMPRODUCT((ListeB='recap S1'!$B36)*(OFFSET(ListeB,,4)='recap S1'!N$3)*(OFFSET(ListeB,,1)='recap S1'!N$2)),"")</f>
        <v/>
      </c>
      <c r="O36" s="32" t="str">
        <f ca="1">IF(SUMPRODUCT((ListeB='recap S1'!$B36)*(OFFSET(ListeB,,4)='recap S1'!O$3)*(OFFSET(ListeB,,1)='recap S1'!O$2))&gt;0,SUMPRODUCT((ListeB='recap S1'!$B36)*(OFFSET(ListeB,,4)='recap S1'!O$3)*(OFFSET(ListeB,,1)='recap S1'!O$2)),"")</f>
        <v/>
      </c>
      <c r="P36" s="32" t="str">
        <f ca="1">IF(SUMPRODUCT((ListeB='recap S1'!$B36)*(OFFSET(ListeB,,4)='recap S1'!P$3)*(OFFSET(ListeB,,1)='recap S1'!P$2))&gt;0,SUMPRODUCT((ListeB='recap S1'!$B36)*(OFFSET(ListeB,,4)='recap S1'!P$3)*(OFFSET(ListeB,,1)='recap S1'!P$2)),"")</f>
        <v/>
      </c>
      <c r="Q36" s="32" t="str">
        <f ca="1">IF(SUMPRODUCT((ListeB='recap S1'!$B36)*(OFFSET(ListeB,,4)='recap S1'!Q$3)*(OFFSET(ListeB,,1)='recap S1'!Q$2))&gt;0,SUMPRODUCT((ListeB='recap S1'!$B36)*(OFFSET(ListeB,,4)='recap S1'!Q$3)*(OFFSET(ListeB,,1)='recap S1'!Q$2)),"")</f>
        <v/>
      </c>
      <c r="R36" s="32" t="str">
        <f ca="1">IF(SUMPRODUCT((ListeB='recap S1'!$B36)*(OFFSET(ListeB,,4)='recap S1'!R$3)*(OFFSET(ListeB,,1)='recap S1'!R$2))&gt;0,SUMPRODUCT((ListeB='recap S1'!$B36)*(OFFSET(ListeB,,4)='recap S1'!R$3)*(OFFSET(ListeB,,1)='recap S1'!R$2)),"")</f>
        <v/>
      </c>
      <c r="S36" s="32" t="str">
        <f ca="1">IF(SUMPRODUCT((ListeB='recap S1'!$B36)*(OFFSET(ListeB,,4)='recap S1'!S$3)*(OFFSET(ListeB,,1)='recap S1'!S$2))&gt;0,SUMPRODUCT((ListeB='recap S1'!$B36)*(OFFSET(ListeB,,4)='recap S1'!S$3)*(OFFSET(ListeB,,1)='recap S1'!S$2)),"")</f>
        <v/>
      </c>
      <c r="T36" s="32" t="str">
        <f ca="1">IF(SUMPRODUCT((ListeB='recap S1'!$B36)*(OFFSET(ListeB,,4)='recap S1'!T$3)*(OFFSET(ListeB,,1)='recap S1'!T$2))&gt;0,SUMPRODUCT((ListeB='recap S1'!$B36)*(OFFSET(ListeB,,4)='recap S1'!T$3)*(OFFSET(ListeB,,1)='recap S1'!T$2)),"")</f>
        <v/>
      </c>
      <c r="U36" s="32" t="str">
        <f ca="1">IF(SUMPRODUCT((ListeB='recap S1'!$B36)*(OFFSET(ListeB,,4)='recap S1'!U$3)*(OFFSET(ListeB,,1)='recap S1'!U$2))&gt;0,SUMPRODUCT((ListeB='recap S1'!$B36)*(OFFSET(ListeB,,4)='recap S1'!U$3)*(OFFSET(ListeB,,1)='recap S1'!U$2)),"")</f>
        <v/>
      </c>
      <c r="V36" s="32" t="str">
        <f ca="1">IF(SUMPRODUCT((ListeB='recap S1'!$B36)*(OFFSET(ListeB,,4)='recap S1'!V$3)*(OFFSET(ListeB,,1)='recap S1'!V$2))&gt;0,SUMPRODUCT((ListeB='recap S1'!$B36)*(OFFSET(ListeB,,4)='recap S1'!V$3)*(OFFSET(ListeB,,1)='recap S1'!V$2)),"")</f>
        <v/>
      </c>
      <c r="W36" s="32" t="str">
        <f ca="1">IF(SUMPRODUCT((ListeB='recap S1'!$B36)*(OFFSET(ListeB,,4)='recap S1'!W$3)*(OFFSET(ListeB,,1)='recap S1'!W$2))&gt;0,SUMPRODUCT((ListeB='recap S1'!$B36)*(OFFSET(ListeB,,4)='recap S1'!W$3)*(OFFSET(ListeB,,1)='recap S1'!W$2)),"")</f>
        <v/>
      </c>
      <c r="X36" s="32" t="str">
        <f ca="1">IF(SUMPRODUCT((ListeB='recap S1'!$B36)*(OFFSET(ListeB,,4)='recap S1'!X$3)*(OFFSET(ListeB,,1)='recap S1'!X$2))&gt;0,SUMPRODUCT((ListeB='recap S1'!$B36)*(OFFSET(ListeB,,4)='recap S1'!X$3)*(OFFSET(ListeB,,1)='recap S1'!X$2)),"")</f>
        <v/>
      </c>
      <c r="Y36" s="32" t="str">
        <f ca="1">IF(SUMPRODUCT((ListeB='recap S1'!$B36)*(OFFSET(ListeB,,4)='recap S1'!Y$3)*(OFFSET(ListeB,,1)='recap S1'!Y$2))&gt;0,SUMPRODUCT((ListeB='recap S1'!$B36)*(OFFSET(ListeB,,4)='recap S1'!Y$3)*(OFFSET(ListeB,,1)='recap S1'!Y$2)),"")</f>
        <v/>
      </c>
      <c r="Z36" s="32" t="str">
        <f ca="1">IF(SUMPRODUCT((ListeB='recap S1'!$B36)*(OFFSET(ListeB,,4)='recap S1'!Z$3)*(OFFSET(ListeB,,1)='recap S1'!Z$2))&gt;0,SUMPRODUCT((ListeB='recap S1'!$B36)*(OFFSET(ListeB,,4)='recap S1'!Z$3)*(OFFSET(ListeB,,1)='recap S1'!Z$2)),"")</f>
        <v/>
      </c>
      <c r="AA36" s="32" t="str">
        <f ca="1">IF(SUMPRODUCT((ListeB='recap S1'!$B36)*(OFFSET(ListeB,,4)='recap S1'!AA$3)*(OFFSET(ListeB,,1)='recap S1'!AA$2))&gt;0,SUMPRODUCT((ListeB='recap S1'!$B36)*(OFFSET(ListeB,,4)='recap S1'!AA$3)*(OFFSET(ListeB,,1)='recap S1'!AA$2)),"")</f>
        <v/>
      </c>
      <c r="AB36" s="32" t="str">
        <f ca="1">IF(SUMPRODUCT((ListeB='recap S1'!$B36)*(OFFSET(ListeB,,4)='recap S1'!AB$3)*(OFFSET(ListeB,,1)='recap S1'!AB$2))&gt;0,SUMPRODUCT((ListeB='recap S1'!$B36)*(OFFSET(ListeB,,4)='recap S1'!AB$3)*(OFFSET(ListeB,,1)='recap S1'!AB$2)),"")</f>
        <v/>
      </c>
      <c r="AC36" s="32" t="str">
        <f ca="1">IF(SUMPRODUCT((ListeB='recap S1'!$B36)*(OFFSET(ListeB,,4)='recap S1'!AC$3)*(OFFSET(ListeB,,1)='recap S1'!AC$2))&gt;0,SUMPRODUCT((ListeB='recap S1'!$B36)*(OFFSET(ListeB,,4)='recap S1'!AC$3)*(OFFSET(ListeB,,1)='recap S1'!AC$2)),"")</f>
        <v/>
      </c>
      <c r="AD36" s="32" t="str">
        <f ca="1">IF(SUMPRODUCT((ListeB='recap S1'!$B36)*(OFFSET(ListeB,,4)='recap S1'!AD$3)*(OFFSET(ListeB,,1)='recap S1'!AD$2))&gt;0,SUMPRODUCT((ListeB='recap S1'!$B36)*(OFFSET(ListeB,,4)='recap S1'!AD$3)*(OFFSET(ListeB,,1)='recap S1'!AD$2)),"")</f>
        <v/>
      </c>
      <c r="AE36" s="32" t="str">
        <f ca="1">IF(SUMPRODUCT((ListeB='recap S1'!$B36)*(OFFSET(ListeB,,4)='recap S1'!AE$3)*(OFFSET(ListeB,,1)='recap S1'!AE$2))&gt;0,SUMPRODUCT((ListeB='recap S1'!$B36)*(OFFSET(ListeB,,4)='recap S1'!AE$3)*(OFFSET(ListeB,,1)='recap S1'!AE$2)),"")</f>
        <v/>
      </c>
      <c r="AF36" s="32" t="str">
        <f ca="1">IF(SUMPRODUCT((ListeB='recap S1'!$B36)*(OFFSET(ListeB,,4)='recap S1'!AF$3)*(OFFSET(ListeB,,1)='recap S1'!AF$2))&gt;0,SUMPRODUCT((ListeB='recap S1'!$B36)*(OFFSET(ListeB,,4)='recap S1'!AF$3)*(OFFSET(ListeB,,1)='recap S1'!AF$2)),"")</f>
        <v/>
      </c>
      <c r="AG36" s="32" t="str">
        <f ca="1">IF(SUMPRODUCT((ListeB='recap S1'!$B36)*(OFFSET(ListeB,,4)='recap S1'!AG$3)*(OFFSET(ListeB,,1)='recap S1'!AG$2))&gt;0,SUMPRODUCT((ListeB='recap S1'!$B36)*(OFFSET(ListeB,,4)='recap S1'!AG$3)*(OFFSET(ListeB,,1)='recap S1'!AG$2)),"")</f>
        <v/>
      </c>
      <c r="AH36" s="32" t="str">
        <f ca="1">IF(SUMPRODUCT((ListeB='recap S1'!$B36)*(OFFSET(ListeB,,4)='recap S1'!AH$3)*(OFFSET(ListeB,,1)='recap S1'!AH$2))&gt;0,SUMPRODUCT((ListeB='recap S1'!$B36)*(OFFSET(ListeB,,4)='recap S1'!AH$3)*(OFFSET(ListeB,,1)='recap S1'!AH$2)),"")</f>
        <v/>
      </c>
      <c r="AI36" s="32" t="str">
        <f ca="1">IF(SUMPRODUCT((ListeB='recap S1'!$B36)*(OFFSET(ListeB,,4)='recap S1'!AI$3)*(OFFSET(ListeB,,1)='recap S1'!AI$2))&gt;0,SUMPRODUCT((ListeB='recap S1'!$B36)*(OFFSET(ListeB,,4)='recap S1'!AI$3)*(OFFSET(ListeB,,1)='recap S1'!AI$2)),"")</f>
        <v/>
      </c>
      <c r="AJ36" s="32" t="str">
        <f ca="1">IF(SUMPRODUCT((ListeB='recap S1'!$B36)*(OFFSET(ListeB,,4)='recap S1'!AJ$3)*(OFFSET(ListeB,,1)='recap S1'!AJ$2))&gt;0,SUMPRODUCT((ListeB='recap S1'!$B36)*(OFFSET(ListeB,,4)='recap S1'!AJ$3)*(OFFSET(ListeB,,1)='recap S1'!AJ$2)),"")</f>
        <v/>
      </c>
      <c r="AK36" s="32" t="str">
        <f ca="1">IF(SUMPRODUCT((ListeB='recap S1'!$B36)*(OFFSET(ListeB,,4)='recap S1'!AK$3)*(OFFSET(ListeB,,1)='recap S1'!AK$2))&gt;0,SUMPRODUCT((ListeB='recap S1'!$B36)*(OFFSET(ListeB,,4)='recap S1'!AK$3)*(OFFSET(ListeB,,1)='recap S1'!AK$2)),"")</f>
        <v/>
      </c>
      <c r="AL36" s="32" t="str">
        <f ca="1">IF(SUMPRODUCT((ListeB='recap S1'!$B36)*(OFFSET(ListeB,,4)='recap S1'!AL$3)*(OFFSET(ListeB,,1)='recap S1'!AL$2))&gt;0,SUMPRODUCT((ListeB='recap S1'!$B36)*(OFFSET(ListeB,,4)='recap S1'!AL$3)*(OFFSET(ListeB,,1)='recap S1'!AL$2)),"")</f>
        <v/>
      </c>
      <c r="AM36" s="32" t="str">
        <f ca="1">IF(SUMPRODUCT((ListeB='recap S1'!$B36)*(OFFSET(ListeB,,4)='recap S1'!AM$3)*(OFFSET(ListeB,,1)='recap S1'!AM$2))&gt;0,SUMPRODUCT((ListeB='recap S1'!$B36)*(OFFSET(ListeB,,4)='recap S1'!AM$3)*(OFFSET(ListeB,,1)='recap S1'!AM$2)),"")</f>
        <v/>
      </c>
      <c r="AN36" s="32" t="str">
        <f ca="1">IF(SUMPRODUCT((ListeB='recap S1'!$B36)*(OFFSET(ListeB,,4)='recap S1'!AN$3)*(OFFSET(ListeB,,1)='recap S1'!AN$2))&gt;0,SUMPRODUCT((ListeB='recap S1'!$B36)*(OFFSET(ListeB,,4)='recap S1'!AN$3)*(OFFSET(ListeB,,1)='recap S1'!AN$2)),"")</f>
        <v/>
      </c>
      <c r="AO36" s="32" t="str">
        <f ca="1">IF(SUMPRODUCT((ListeB='recap S1'!$B36)*(OFFSET(ListeB,,4)='recap S1'!AO$3)*(OFFSET(ListeB,,1)='recap S1'!AO$2))&gt;0,SUMPRODUCT((ListeB='recap S1'!$B36)*(OFFSET(ListeB,,4)='recap S1'!AO$3)*(OFFSET(ListeB,,1)='recap S1'!AO$2)),"")</f>
        <v/>
      </c>
      <c r="AP36" s="32" t="str">
        <f ca="1">IF(SUMPRODUCT((ListeB='recap S1'!$B36)*(OFFSET(ListeB,,4)='recap S1'!AP$3)*(OFFSET(ListeB,,1)='recap S1'!AP$2))&gt;0,SUMPRODUCT((ListeB='recap S1'!$B36)*(OFFSET(ListeB,,4)='recap S1'!AP$3)*(OFFSET(ListeB,,1)='recap S1'!AP$2)),"")</f>
        <v/>
      </c>
      <c r="AQ36" s="32" t="str">
        <f ca="1">IF(SUMPRODUCT((ListeB='recap S1'!$B36)*(OFFSET(ListeB,,4)='recap S1'!AQ$3)*(OFFSET(ListeB,,1)='recap S1'!AQ$2))&gt;0,SUMPRODUCT((ListeB='recap S1'!$B36)*(OFFSET(ListeB,,4)='recap S1'!AQ$3)*(OFFSET(ListeB,,1)='recap S1'!AQ$2)),"")</f>
        <v/>
      </c>
      <c r="AR36" s="32" t="str">
        <f ca="1">IF(SUMPRODUCT((ListeB='recap S1'!$B36)*(OFFSET(ListeB,,4)='recap S1'!AR$3)*(OFFSET(ListeB,,1)='recap S1'!AR$2))&gt;0,SUMPRODUCT((ListeB='recap S1'!$B36)*(OFFSET(ListeB,,4)='recap S1'!AR$3)*(OFFSET(ListeB,,1)='recap S1'!AR$2)),"")</f>
        <v/>
      </c>
      <c r="AS36" s="32" t="str">
        <f ca="1">IF(SUMPRODUCT((ListeB='recap S1'!$B36)*(OFFSET(ListeB,,4)='recap S1'!AS$3)*(OFFSET(ListeB,,1)='recap S1'!AS$2))&gt;0,SUMPRODUCT((ListeB='recap S1'!$B36)*(OFFSET(ListeB,,4)='recap S1'!AS$3)*(OFFSET(ListeB,,1)='recap S1'!AS$2)),"")</f>
        <v/>
      </c>
      <c r="AT36" s="32" t="str">
        <f ca="1">IF(SUMPRODUCT((ListeB='recap S1'!$B36)*(OFFSET(ListeB,,4)='recap S1'!AT$3)*(OFFSET(ListeB,,1)='recap S1'!AT$2))&gt;0,SUMPRODUCT((ListeB='recap S1'!$B36)*(OFFSET(ListeB,,4)='recap S1'!AT$3)*(OFFSET(ListeB,,1)='recap S1'!AT$2)),"")</f>
        <v/>
      </c>
      <c r="AU36" s="32" t="str">
        <f ca="1">IF(SUMPRODUCT((ListeB='recap S1'!$B36)*(OFFSET(ListeB,,4)='recap S1'!AU$3)*(OFFSET(ListeB,,1)='recap S1'!AU$2))&gt;0,SUMPRODUCT((ListeB='recap S1'!$B36)*(OFFSET(ListeB,,4)='recap S1'!AU$3)*(OFFSET(ListeB,,1)='recap S1'!AU$2)),"")</f>
        <v/>
      </c>
      <c r="AV36" s="32" t="str">
        <f ca="1">IF(SUMPRODUCT((ListeB='recap S1'!$B36)*(OFFSET(ListeB,,4)='recap S1'!AV$3)*(OFFSET(ListeB,,1)='recap S1'!AV$2))&gt;0,SUMPRODUCT((ListeB='recap S1'!$B36)*(OFFSET(ListeB,,4)='recap S1'!AV$3)*(OFFSET(ListeB,,1)='recap S1'!AV$2)),"")</f>
        <v/>
      </c>
      <c r="AW36" s="32" t="str">
        <f ca="1">IF(SUMPRODUCT((ListeB='recap S1'!$B36)*(OFFSET(ListeB,,4)='recap S1'!AW$3)*(OFFSET(ListeB,,1)='recap S1'!AW$2))&gt;0,SUMPRODUCT((ListeB='recap S1'!$B36)*(OFFSET(ListeB,,4)='recap S1'!AW$3)*(OFFSET(ListeB,,1)='recap S1'!AW$2)),"")</f>
        <v/>
      </c>
      <c r="AX36" s="32" t="str">
        <f ca="1">IF(SUMPRODUCT((ListeB='recap S1'!$B36)*(OFFSET(ListeB,,4)='recap S1'!AX$3)*(OFFSET(ListeB,,1)='recap S1'!AX$2))&gt;0,SUMPRODUCT((ListeB='recap S1'!$B36)*(OFFSET(ListeB,,4)='recap S1'!AX$3)*(OFFSET(ListeB,,1)='recap S1'!AX$2)),"")</f>
        <v/>
      </c>
      <c r="AY36" s="32" t="str">
        <f ca="1">IF(SUMPRODUCT((ListeB='recap S1'!$B36)*(OFFSET(ListeB,,4)='recap S1'!AY$3)*(OFFSET(ListeB,,1)='recap S1'!AY$2))&gt;0,SUMPRODUCT((ListeB='recap S1'!$B36)*(OFFSET(ListeB,,4)='recap S1'!AY$3)*(OFFSET(ListeB,,1)='recap S1'!AY$2)),"")</f>
        <v/>
      </c>
      <c r="AZ36" s="32">
        <f t="shared" ref="AZ36:AZ67" ca="1" si="1">SUMPRODUCT(C36:AX36)</f>
        <v>0</v>
      </c>
    </row>
    <row r="37" spans="1:52">
      <c r="A37" s="41" t="str">
        <f>IF('SEANCE 1'!$B35&lt;&gt;"",'SEANCE 1'!$A35,"")</f>
        <v/>
      </c>
      <c r="B37" s="41" t="str">
        <f t="array" aca="1" ref="B37" ca="1">IF(ISNA(INDEX(ListeB,MATCH(0,COUNTIF($B$3:B36,ListeB),0))),"",INDEX(ListeB,MATCH(0,COUNTIF($B$3:B36,ListeB),0)))</f>
        <v/>
      </c>
      <c r="C37" s="32" t="str">
        <f ca="1">IF(SUMPRODUCT((ListeB='recap S1'!$B37)*(OFFSET(ListeB,,4)='recap S1'!C$3)*(OFFSET(ListeB,,1)='recap S1'!C$2))&gt;0,SUMPRODUCT((ListeB='recap S1'!$B37)*(OFFSET(ListeB,,4)='recap S1'!C$3)*(OFFSET(ListeB,,1)='recap S1'!C$2)),"")</f>
        <v/>
      </c>
      <c r="D37" s="32" t="str">
        <f ca="1">IF(SUMPRODUCT((ListeB='recap S1'!$B37)*(OFFSET(ListeB,,4)='recap S1'!D$3)*(OFFSET(ListeB,,1)='recap S1'!D$2))&gt;0,SUMPRODUCT((ListeB='recap S1'!$B37)*(OFFSET(ListeB,,4)='recap S1'!D$3)*(OFFSET(ListeB,,1)='recap S1'!D$2)),"")</f>
        <v/>
      </c>
      <c r="E37" s="32" t="str">
        <f ca="1">IF(SUMPRODUCT((ListeB='recap S1'!$B37)*(OFFSET(ListeB,,4)='recap S1'!E$3)*(OFFSET(ListeB,,1)='recap S1'!E$2))&gt;0,SUMPRODUCT((ListeB='recap S1'!$B37)*(OFFSET(ListeB,,4)='recap S1'!E$3)*(OFFSET(ListeB,,1)='recap S1'!E$2)),"")</f>
        <v/>
      </c>
      <c r="F37" s="32" t="str">
        <f ca="1">IF(SUMPRODUCT((ListeB='recap S1'!$B37)*(OFFSET(ListeB,,4)='recap S1'!F$3)*(OFFSET(ListeB,,1)='recap S1'!F$2))&gt;0,SUMPRODUCT((ListeB='recap S1'!$B37)*(OFFSET(ListeB,,4)='recap S1'!F$3)*(OFFSET(ListeB,,1)='recap S1'!F$2)),"")</f>
        <v/>
      </c>
      <c r="G37" s="32" t="str">
        <f ca="1">IF(SUMPRODUCT((ListeB='recap S1'!$B37)*(OFFSET(ListeB,,4)='recap S1'!G$3)*(OFFSET(ListeB,,1)='recap S1'!G$2))&gt;0,SUMPRODUCT((ListeB='recap S1'!$B37)*(OFFSET(ListeB,,4)='recap S1'!G$3)*(OFFSET(ListeB,,1)='recap S1'!G$2)),"")</f>
        <v/>
      </c>
      <c r="H37" s="32" t="str">
        <f ca="1">IF(SUMPRODUCT((ListeB='recap S1'!$B37)*(OFFSET(ListeB,,4)='recap S1'!H$3)*(OFFSET(ListeB,,1)='recap S1'!H$2))&gt;0,SUMPRODUCT((ListeB='recap S1'!$B37)*(OFFSET(ListeB,,4)='recap S1'!H$3)*(OFFSET(ListeB,,1)='recap S1'!H$2)),"")</f>
        <v/>
      </c>
      <c r="I37" s="32" t="str">
        <f ca="1">IF(SUMPRODUCT((ListeB='recap S1'!$B37)*(OFFSET(ListeB,,4)='recap S1'!I$3)*(OFFSET(ListeB,,1)='recap S1'!I$2))&gt;0,SUMPRODUCT((ListeB='recap S1'!$B37)*(OFFSET(ListeB,,4)='recap S1'!I$3)*(OFFSET(ListeB,,1)='recap S1'!I$2)),"")</f>
        <v/>
      </c>
      <c r="J37" s="32" t="str">
        <f ca="1">IF(SUMPRODUCT((ListeB='recap S1'!$B37)*(OFFSET(ListeB,,4)='recap S1'!J$3)*(OFFSET(ListeB,,1)='recap S1'!J$2))&gt;0,SUMPRODUCT((ListeB='recap S1'!$B37)*(OFFSET(ListeB,,4)='recap S1'!J$3)*(OFFSET(ListeB,,1)='recap S1'!J$2)),"")</f>
        <v/>
      </c>
      <c r="K37" s="32" t="str">
        <f ca="1">IF(SUMPRODUCT((ListeB='recap S1'!$B37)*(OFFSET(ListeB,,4)='recap S1'!K$3)*(OFFSET(ListeB,,1)='recap S1'!K$2))&gt;0,SUMPRODUCT((ListeB='recap S1'!$B37)*(OFFSET(ListeB,,4)='recap S1'!K$3)*(OFFSET(ListeB,,1)='recap S1'!K$2)),"")</f>
        <v/>
      </c>
      <c r="L37" s="32" t="str">
        <f ca="1">IF(SUMPRODUCT((ListeB='recap S1'!$B37)*(OFFSET(ListeB,,4)='recap S1'!L$3)*(OFFSET(ListeB,,1)='recap S1'!L$2))&gt;0,SUMPRODUCT((ListeB='recap S1'!$B37)*(OFFSET(ListeB,,4)='recap S1'!L$3)*(OFFSET(ListeB,,1)='recap S1'!L$2)),"")</f>
        <v/>
      </c>
      <c r="M37" s="32" t="str">
        <f ca="1">IF(SUMPRODUCT((ListeB='recap S1'!$B37)*(OFFSET(ListeB,,4)='recap S1'!M$3)*(OFFSET(ListeB,,1)='recap S1'!M$2))&gt;0,SUMPRODUCT((ListeB='recap S1'!$B37)*(OFFSET(ListeB,,4)='recap S1'!M$3)*(OFFSET(ListeB,,1)='recap S1'!M$2)),"")</f>
        <v/>
      </c>
      <c r="N37" s="32" t="str">
        <f ca="1">IF(SUMPRODUCT((ListeB='recap S1'!$B37)*(OFFSET(ListeB,,4)='recap S1'!N$3)*(OFFSET(ListeB,,1)='recap S1'!N$2))&gt;0,SUMPRODUCT((ListeB='recap S1'!$B37)*(OFFSET(ListeB,,4)='recap S1'!N$3)*(OFFSET(ListeB,,1)='recap S1'!N$2)),"")</f>
        <v/>
      </c>
      <c r="O37" s="32" t="str">
        <f ca="1">IF(SUMPRODUCT((ListeB='recap S1'!$B37)*(OFFSET(ListeB,,4)='recap S1'!O$3)*(OFFSET(ListeB,,1)='recap S1'!O$2))&gt;0,SUMPRODUCT((ListeB='recap S1'!$B37)*(OFFSET(ListeB,,4)='recap S1'!O$3)*(OFFSET(ListeB,,1)='recap S1'!O$2)),"")</f>
        <v/>
      </c>
      <c r="P37" s="32" t="str">
        <f ca="1">IF(SUMPRODUCT((ListeB='recap S1'!$B37)*(OFFSET(ListeB,,4)='recap S1'!P$3)*(OFFSET(ListeB,,1)='recap S1'!P$2))&gt;0,SUMPRODUCT((ListeB='recap S1'!$B37)*(OFFSET(ListeB,,4)='recap S1'!P$3)*(OFFSET(ListeB,,1)='recap S1'!P$2)),"")</f>
        <v/>
      </c>
      <c r="Q37" s="32" t="str">
        <f ca="1">IF(SUMPRODUCT((ListeB='recap S1'!$B37)*(OFFSET(ListeB,,4)='recap S1'!Q$3)*(OFFSET(ListeB,,1)='recap S1'!Q$2))&gt;0,SUMPRODUCT((ListeB='recap S1'!$B37)*(OFFSET(ListeB,,4)='recap S1'!Q$3)*(OFFSET(ListeB,,1)='recap S1'!Q$2)),"")</f>
        <v/>
      </c>
      <c r="R37" s="32" t="str">
        <f ca="1">IF(SUMPRODUCT((ListeB='recap S1'!$B37)*(OFFSET(ListeB,,4)='recap S1'!R$3)*(OFFSET(ListeB,,1)='recap S1'!R$2))&gt;0,SUMPRODUCT((ListeB='recap S1'!$B37)*(OFFSET(ListeB,,4)='recap S1'!R$3)*(OFFSET(ListeB,,1)='recap S1'!R$2)),"")</f>
        <v/>
      </c>
      <c r="S37" s="32" t="str">
        <f ca="1">IF(SUMPRODUCT((ListeB='recap S1'!$B37)*(OFFSET(ListeB,,4)='recap S1'!S$3)*(OFFSET(ListeB,,1)='recap S1'!S$2))&gt;0,SUMPRODUCT((ListeB='recap S1'!$B37)*(OFFSET(ListeB,,4)='recap S1'!S$3)*(OFFSET(ListeB,,1)='recap S1'!S$2)),"")</f>
        <v/>
      </c>
      <c r="T37" s="32" t="str">
        <f ca="1">IF(SUMPRODUCT((ListeB='recap S1'!$B37)*(OFFSET(ListeB,,4)='recap S1'!T$3)*(OFFSET(ListeB,,1)='recap S1'!T$2))&gt;0,SUMPRODUCT((ListeB='recap S1'!$B37)*(OFFSET(ListeB,,4)='recap S1'!T$3)*(OFFSET(ListeB,,1)='recap S1'!T$2)),"")</f>
        <v/>
      </c>
      <c r="U37" s="32" t="str">
        <f ca="1">IF(SUMPRODUCT((ListeB='recap S1'!$B37)*(OFFSET(ListeB,,4)='recap S1'!U$3)*(OFFSET(ListeB,,1)='recap S1'!U$2))&gt;0,SUMPRODUCT((ListeB='recap S1'!$B37)*(OFFSET(ListeB,,4)='recap S1'!U$3)*(OFFSET(ListeB,,1)='recap S1'!U$2)),"")</f>
        <v/>
      </c>
      <c r="V37" s="32" t="str">
        <f ca="1">IF(SUMPRODUCT((ListeB='recap S1'!$B37)*(OFFSET(ListeB,,4)='recap S1'!V$3)*(OFFSET(ListeB,,1)='recap S1'!V$2))&gt;0,SUMPRODUCT((ListeB='recap S1'!$B37)*(OFFSET(ListeB,,4)='recap S1'!V$3)*(OFFSET(ListeB,,1)='recap S1'!V$2)),"")</f>
        <v/>
      </c>
      <c r="W37" s="32" t="str">
        <f ca="1">IF(SUMPRODUCT((ListeB='recap S1'!$B37)*(OFFSET(ListeB,,4)='recap S1'!W$3)*(OFFSET(ListeB,,1)='recap S1'!W$2))&gt;0,SUMPRODUCT((ListeB='recap S1'!$B37)*(OFFSET(ListeB,,4)='recap S1'!W$3)*(OFFSET(ListeB,,1)='recap S1'!W$2)),"")</f>
        <v/>
      </c>
      <c r="X37" s="32" t="str">
        <f ca="1">IF(SUMPRODUCT((ListeB='recap S1'!$B37)*(OFFSET(ListeB,,4)='recap S1'!X$3)*(OFFSET(ListeB,,1)='recap S1'!X$2))&gt;0,SUMPRODUCT((ListeB='recap S1'!$B37)*(OFFSET(ListeB,,4)='recap S1'!X$3)*(OFFSET(ListeB,,1)='recap S1'!X$2)),"")</f>
        <v/>
      </c>
      <c r="Y37" s="32" t="str">
        <f ca="1">IF(SUMPRODUCT((ListeB='recap S1'!$B37)*(OFFSET(ListeB,,4)='recap S1'!Y$3)*(OFFSET(ListeB,,1)='recap S1'!Y$2))&gt;0,SUMPRODUCT((ListeB='recap S1'!$B37)*(OFFSET(ListeB,,4)='recap S1'!Y$3)*(OFFSET(ListeB,,1)='recap S1'!Y$2)),"")</f>
        <v/>
      </c>
      <c r="Z37" s="32" t="str">
        <f ca="1">IF(SUMPRODUCT((ListeB='recap S1'!$B37)*(OFFSET(ListeB,,4)='recap S1'!Z$3)*(OFFSET(ListeB,,1)='recap S1'!Z$2))&gt;0,SUMPRODUCT((ListeB='recap S1'!$B37)*(OFFSET(ListeB,,4)='recap S1'!Z$3)*(OFFSET(ListeB,,1)='recap S1'!Z$2)),"")</f>
        <v/>
      </c>
      <c r="AA37" s="32" t="str">
        <f ca="1">IF(SUMPRODUCT((ListeB='recap S1'!$B37)*(OFFSET(ListeB,,4)='recap S1'!AA$3)*(OFFSET(ListeB,,1)='recap S1'!AA$2))&gt;0,SUMPRODUCT((ListeB='recap S1'!$B37)*(OFFSET(ListeB,,4)='recap S1'!AA$3)*(OFFSET(ListeB,,1)='recap S1'!AA$2)),"")</f>
        <v/>
      </c>
      <c r="AB37" s="32" t="str">
        <f ca="1">IF(SUMPRODUCT((ListeB='recap S1'!$B37)*(OFFSET(ListeB,,4)='recap S1'!AB$3)*(OFFSET(ListeB,,1)='recap S1'!AB$2))&gt;0,SUMPRODUCT((ListeB='recap S1'!$B37)*(OFFSET(ListeB,,4)='recap S1'!AB$3)*(OFFSET(ListeB,,1)='recap S1'!AB$2)),"")</f>
        <v/>
      </c>
      <c r="AC37" s="32" t="str">
        <f ca="1">IF(SUMPRODUCT((ListeB='recap S1'!$B37)*(OFFSET(ListeB,,4)='recap S1'!AC$3)*(OFFSET(ListeB,,1)='recap S1'!AC$2))&gt;0,SUMPRODUCT((ListeB='recap S1'!$B37)*(OFFSET(ListeB,,4)='recap S1'!AC$3)*(OFFSET(ListeB,,1)='recap S1'!AC$2)),"")</f>
        <v/>
      </c>
      <c r="AD37" s="32" t="str">
        <f ca="1">IF(SUMPRODUCT((ListeB='recap S1'!$B37)*(OFFSET(ListeB,,4)='recap S1'!AD$3)*(OFFSET(ListeB,,1)='recap S1'!AD$2))&gt;0,SUMPRODUCT((ListeB='recap S1'!$B37)*(OFFSET(ListeB,,4)='recap S1'!AD$3)*(OFFSET(ListeB,,1)='recap S1'!AD$2)),"")</f>
        <v/>
      </c>
      <c r="AE37" s="32" t="str">
        <f ca="1">IF(SUMPRODUCT((ListeB='recap S1'!$B37)*(OFFSET(ListeB,,4)='recap S1'!AE$3)*(OFFSET(ListeB,,1)='recap S1'!AE$2))&gt;0,SUMPRODUCT((ListeB='recap S1'!$B37)*(OFFSET(ListeB,,4)='recap S1'!AE$3)*(OFFSET(ListeB,,1)='recap S1'!AE$2)),"")</f>
        <v/>
      </c>
      <c r="AF37" s="32" t="str">
        <f ca="1">IF(SUMPRODUCT((ListeB='recap S1'!$B37)*(OFFSET(ListeB,,4)='recap S1'!AF$3)*(OFFSET(ListeB,,1)='recap S1'!AF$2))&gt;0,SUMPRODUCT((ListeB='recap S1'!$B37)*(OFFSET(ListeB,,4)='recap S1'!AF$3)*(OFFSET(ListeB,,1)='recap S1'!AF$2)),"")</f>
        <v/>
      </c>
      <c r="AG37" s="32" t="str">
        <f ca="1">IF(SUMPRODUCT((ListeB='recap S1'!$B37)*(OFFSET(ListeB,,4)='recap S1'!AG$3)*(OFFSET(ListeB,,1)='recap S1'!AG$2))&gt;0,SUMPRODUCT((ListeB='recap S1'!$B37)*(OFFSET(ListeB,,4)='recap S1'!AG$3)*(OFFSET(ListeB,,1)='recap S1'!AG$2)),"")</f>
        <v/>
      </c>
      <c r="AH37" s="32" t="str">
        <f ca="1">IF(SUMPRODUCT((ListeB='recap S1'!$B37)*(OFFSET(ListeB,,4)='recap S1'!AH$3)*(OFFSET(ListeB,,1)='recap S1'!AH$2))&gt;0,SUMPRODUCT((ListeB='recap S1'!$B37)*(OFFSET(ListeB,,4)='recap S1'!AH$3)*(OFFSET(ListeB,,1)='recap S1'!AH$2)),"")</f>
        <v/>
      </c>
      <c r="AI37" s="32" t="str">
        <f ca="1">IF(SUMPRODUCT((ListeB='recap S1'!$B37)*(OFFSET(ListeB,,4)='recap S1'!AI$3)*(OFFSET(ListeB,,1)='recap S1'!AI$2))&gt;0,SUMPRODUCT((ListeB='recap S1'!$B37)*(OFFSET(ListeB,,4)='recap S1'!AI$3)*(OFFSET(ListeB,,1)='recap S1'!AI$2)),"")</f>
        <v/>
      </c>
      <c r="AJ37" s="32" t="str">
        <f ca="1">IF(SUMPRODUCT((ListeB='recap S1'!$B37)*(OFFSET(ListeB,,4)='recap S1'!AJ$3)*(OFFSET(ListeB,,1)='recap S1'!AJ$2))&gt;0,SUMPRODUCT((ListeB='recap S1'!$B37)*(OFFSET(ListeB,,4)='recap S1'!AJ$3)*(OFFSET(ListeB,,1)='recap S1'!AJ$2)),"")</f>
        <v/>
      </c>
      <c r="AK37" s="32" t="str">
        <f ca="1">IF(SUMPRODUCT((ListeB='recap S1'!$B37)*(OFFSET(ListeB,,4)='recap S1'!AK$3)*(OFFSET(ListeB,,1)='recap S1'!AK$2))&gt;0,SUMPRODUCT((ListeB='recap S1'!$B37)*(OFFSET(ListeB,,4)='recap S1'!AK$3)*(OFFSET(ListeB,,1)='recap S1'!AK$2)),"")</f>
        <v/>
      </c>
      <c r="AL37" s="32" t="str">
        <f ca="1">IF(SUMPRODUCT((ListeB='recap S1'!$B37)*(OFFSET(ListeB,,4)='recap S1'!AL$3)*(OFFSET(ListeB,,1)='recap S1'!AL$2))&gt;0,SUMPRODUCT((ListeB='recap S1'!$B37)*(OFFSET(ListeB,,4)='recap S1'!AL$3)*(OFFSET(ListeB,,1)='recap S1'!AL$2)),"")</f>
        <v/>
      </c>
      <c r="AM37" s="32" t="str">
        <f ca="1">IF(SUMPRODUCT((ListeB='recap S1'!$B37)*(OFFSET(ListeB,,4)='recap S1'!AM$3)*(OFFSET(ListeB,,1)='recap S1'!AM$2))&gt;0,SUMPRODUCT((ListeB='recap S1'!$B37)*(OFFSET(ListeB,,4)='recap S1'!AM$3)*(OFFSET(ListeB,,1)='recap S1'!AM$2)),"")</f>
        <v/>
      </c>
      <c r="AN37" s="32" t="str">
        <f ca="1">IF(SUMPRODUCT((ListeB='recap S1'!$B37)*(OFFSET(ListeB,,4)='recap S1'!AN$3)*(OFFSET(ListeB,,1)='recap S1'!AN$2))&gt;0,SUMPRODUCT((ListeB='recap S1'!$B37)*(OFFSET(ListeB,,4)='recap S1'!AN$3)*(OFFSET(ListeB,,1)='recap S1'!AN$2)),"")</f>
        <v/>
      </c>
      <c r="AO37" s="32" t="str">
        <f ca="1">IF(SUMPRODUCT((ListeB='recap S1'!$B37)*(OFFSET(ListeB,,4)='recap S1'!AO$3)*(OFFSET(ListeB,,1)='recap S1'!AO$2))&gt;0,SUMPRODUCT((ListeB='recap S1'!$B37)*(OFFSET(ListeB,,4)='recap S1'!AO$3)*(OFFSET(ListeB,,1)='recap S1'!AO$2)),"")</f>
        <v/>
      </c>
      <c r="AP37" s="32" t="str">
        <f ca="1">IF(SUMPRODUCT((ListeB='recap S1'!$B37)*(OFFSET(ListeB,,4)='recap S1'!AP$3)*(OFFSET(ListeB,,1)='recap S1'!AP$2))&gt;0,SUMPRODUCT((ListeB='recap S1'!$B37)*(OFFSET(ListeB,,4)='recap S1'!AP$3)*(OFFSET(ListeB,,1)='recap S1'!AP$2)),"")</f>
        <v/>
      </c>
      <c r="AQ37" s="32" t="str">
        <f ca="1">IF(SUMPRODUCT((ListeB='recap S1'!$B37)*(OFFSET(ListeB,,4)='recap S1'!AQ$3)*(OFFSET(ListeB,,1)='recap S1'!AQ$2))&gt;0,SUMPRODUCT((ListeB='recap S1'!$B37)*(OFFSET(ListeB,,4)='recap S1'!AQ$3)*(OFFSET(ListeB,,1)='recap S1'!AQ$2)),"")</f>
        <v/>
      </c>
      <c r="AR37" s="32" t="str">
        <f ca="1">IF(SUMPRODUCT((ListeB='recap S1'!$B37)*(OFFSET(ListeB,,4)='recap S1'!AR$3)*(OFFSET(ListeB,,1)='recap S1'!AR$2))&gt;0,SUMPRODUCT((ListeB='recap S1'!$B37)*(OFFSET(ListeB,,4)='recap S1'!AR$3)*(OFFSET(ListeB,,1)='recap S1'!AR$2)),"")</f>
        <v/>
      </c>
      <c r="AS37" s="32" t="str">
        <f ca="1">IF(SUMPRODUCT((ListeB='recap S1'!$B37)*(OFFSET(ListeB,,4)='recap S1'!AS$3)*(OFFSET(ListeB,,1)='recap S1'!AS$2))&gt;0,SUMPRODUCT((ListeB='recap S1'!$B37)*(OFFSET(ListeB,,4)='recap S1'!AS$3)*(OFFSET(ListeB,,1)='recap S1'!AS$2)),"")</f>
        <v/>
      </c>
      <c r="AT37" s="32" t="str">
        <f ca="1">IF(SUMPRODUCT((ListeB='recap S1'!$B37)*(OFFSET(ListeB,,4)='recap S1'!AT$3)*(OFFSET(ListeB,,1)='recap S1'!AT$2))&gt;0,SUMPRODUCT((ListeB='recap S1'!$B37)*(OFFSET(ListeB,,4)='recap S1'!AT$3)*(OFFSET(ListeB,,1)='recap S1'!AT$2)),"")</f>
        <v/>
      </c>
      <c r="AU37" s="32" t="str">
        <f ca="1">IF(SUMPRODUCT((ListeB='recap S1'!$B37)*(OFFSET(ListeB,,4)='recap S1'!AU$3)*(OFFSET(ListeB,,1)='recap S1'!AU$2))&gt;0,SUMPRODUCT((ListeB='recap S1'!$B37)*(OFFSET(ListeB,,4)='recap S1'!AU$3)*(OFFSET(ListeB,,1)='recap S1'!AU$2)),"")</f>
        <v/>
      </c>
      <c r="AV37" s="32" t="str">
        <f ca="1">IF(SUMPRODUCT((ListeB='recap S1'!$B37)*(OFFSET(ListeB,,4)='recap S1'!AV$3)*(OFFSET(ListeB,,1)='recap S1'!AV$2))&gt;0,SUMPRODUCT((ListeB='recap S1'!$B37)*(OFFSET(ListeB,,4)='recap S1'!AV$3)*(OFFSET(ListeB,,1)='recap S1'!AV$2)),"")</f>
        <v/>
      </c>
      <c r="AW37" s="32" t="str">
        <f ca="1">IF(SUMPRODUCT((ListeB='recap S1'!$B37)*(OFFSET(ListeB,,4)='recap S1'!AW$3)*(OFFSET(ListeB,,1)='recap S1'!AW$2))&gt;0,SUMPRODUCT((ListeB='recap S1'!$B37)*(OFFSET(ListeB,,4)='recap S1'!AW$3)*(OFFSET(ListeB,,1)='recap S1'!AW$2)),"")</f>
        <v/>
      </c>
      <c r="AX37" s="32" t="str">
        <f ca="1">IF(SUMPRODUCT((ListeB='recap S1'!$B37)*(OFFSET(ListeB,,4)='recap S1'!AX$3)*(OFFSET(ListeB,,1)='recap S1'!AX$2))&gt;0,SUMPRODUCT((ListeB='recap S1'!$B37)*(OFFSET(ListeB,,4)='recap S1'!AX$3)*(OFFSET(ListeB,,1)='recap S1'!AX$2)),"")</f>
        <v/>
      </c>
      <c r="AY37" s="32" t="str">
        <f ca="1">IF(SUMPRODUCT((ListeB='recap S1'!$B37)*(OFFSET(ListeB,,4)='recap S1'!AY$3)*(OFFSET(ListeB,,1)='recap S1'!AY$2))&gt;0,SUMPRODUCT((ListeB='recap S1'!$B37)*(OFFSET(ListeB,,4)='recap S1'!AY$3)*(OFFSET(ListeB,,1)='recap S1'!AY$2)),"")</f>
        <v/>
      </c>
      <c r="AZ37" s="32">
        <f t="shared" ca="1" si="1"/>
        <v>0</v>
      </c>
    </row>
    <row r="38" spans="1:52">
      <c r="A38" s="41" t="str">
        <f>IF('SEANCE 1'!$B36&lt;&gt;"",'SEANCE 1'!$A36,"")</f>
        <v/>
      </c>
      <c r="B38" s="41" t="str">
        <f t="array" aca="1" ref="B38" ca="1">IF(ISNA(INDEX(ListeB,MATCH(0,COUNTIF($B$3:B37,ListeB),0))),"",INDEX(ListeB,MATCH(0,COUNTIF($B$3:B37,ListeB),0)))</f>
        <v/>
      </c>
      <c r="C38" s="32" t="str">
        <f ca="1">IF(SUMPRODUCT((ListeB='recap S1'!$B38)*(OFFSET(ListeB,,4)='recap S1'!C$3)*(OFFSET(ListeB,,1)='recap S1'!C$2))&gt;0,SUMPRODUCT((ListeB='recap S1'!$B38)*(OFFSET(ListeB,,4)='recap S1'!C$3)*(OFFSET(ListeB,,1)='recap S1'!C$2)),"")</f>
        <v/>
      </c>
      <c r="D38" s="32" t="str">
        <f ca="1">IF(SUMPRODUCT((ListeB='recap S1'!$B38)*(OFFSET(ListeB,,4)='recap S1'!D$3)*(OFFSET(ListeB,,1)='recap S1'!D$2))&gt;0,SUMPRODUCT((ListeB='recap S1'!$B38)*(OFFSET(ListeB,,4)='recap S1'!D$3)*(OFFSET(ListeB,,1)='recap S1'!D$2)),"")</f>
        <v/>
      </c>
      <c r="E38" s="32" t="str">
        <f ca="1">IF(SUMPRODUCT((ListeB='recap S1'!$B38)*(OFFSET(ListeB,,4)='recap S1'!E$3)*(OFFSET(ListeB,,1)='recap S1'!E$2))&gt;0,SUMPRODUCT((ListeB='recap S1'!$B38)*(OFFSET(ListeB,,4)='recap S1'!E$3)*(OFFSET(ListeB,,1)='recap S1'!E$2)),"")</f>
        <v/>
      </c>
      <c r="F38" s="32" t="str">
        <f ca="1">IF(SUMPRODUCT((ListeB='recap S1'!$B38)*(OFFSET(ListeB,,4)='recap S1'!F$3)*(OFFSET(ListeB,,1)='recap S1'!F$2))&gt;0,SUMPRODUCT((ListeB='recap S1'!$B38)*(OFFSET(ListeB,,4)='recap S1'!F$3)*(OFFSET(ListeB,,1)='recap S1'!F$2)),"")</f>
        <v/>
      </c>
      <c r="G38" s="32" t="str">
        <f ca="1">IF(SUMPRODUCT((ListeB='recap S1'!$B38)*(OFFSET(ListeB,,4)='recap S1'!G$3)*(OFFSET(ListeB,,1)='recap S1'!G$2))&gt;0,SUMPRODUCT((ListeB='recap S1'!$B38)*(OFFSET(ListeB,,4)='recap S1'!G$3)*(OFFSET(ListeB,,1)='recap S1'!G$2)),"")</f>
        <v/>
      </c>
      <c r="H38" s="32" t="str">
        <f ca="1">IF(SUMPRODUCT((ListeB='recap S1'!$B38)*(OFFSET(ListeB,,4)='recap S1'!H$3)*(OFFSET(ListeB,,1)='recap S1'!H$2))&gt;0,SUMPRODUCT((ListeB='recap S1'!$B38)*(OFFSET(ListeB,,4)='recap S1'!H$3)*(OFFSET(ListeB,,1)='recap S1'!H$2)),"")</f>
        <v/>
      </c>
      <c r="I38" s="32" t="str">
        <f ca="1">IF(SUMPRODUCT((ListeB='recap S1'!$B38)*(OFFSET(ListeB,,4)='recap S1'!I$3)*(OFFSET(ListeB,,1)='recap S1'!I$2))&gt;0,SUMPRODUCT((ListeB='recap S1'!$B38)*(OFFSET(ListeB,,4)='recap S1'!I$3)*(OFFSET(ListeB,,1)='recap S1'!I$2)),"")</f>
        <v/>
      </c>
      <c r="J38" s="32" t="str">
        <f ca="1">IF(SUMPRODUCT((ListeB='recap S1'!$B38)*(OFFSET(ListeB,,4)='recap S1'!J$3)*(OFFSET(ListeB,,1)='recap S1'!J$2))&gt;0,SUMPRODUCT((ListeB='recap S1'!$B38)*(OFFSET(ListeB,,4)='recap S1'!J$3)*(OFFSET(ListeB,,1)='recap S1'!J$2)),"")</f>
        <v/>
      </c>
      <c r="K38" s="32" t="str">
        <f ca="1">IF(SUMPRODUCT((ListeB='recap S1'!$B38)*(OFFSET(ListeB,,4)='recap S1'!K$3)*(OFFSET(ListeB,,1)='recap S1'!K$2))&gt;0,SUMPRODUCT((ListeB='recap S1'!$B38)*(OFFSET(ListeB,,4)='recap S1'!K$3)*(OFFSET(ListeB,,1)='recap S1'!K$2)),"")</f>
        <v/>
      </c>
      <c r="L38" s="32" t="str">
        <f ca="1">IF(SUMPRODUCT((ListeB='recap S1'!$B38)*(OFFSET(ListeB,,4)='recap S1'!L$3)*(OFFSET(ListeB,,1)='recap S1'!L$2))&gt;0,SUMPRODUCT((ListeB='recap S1'!$B38)*(OFFSET(ListeB,,4)='recap S1'!L$3)*(OFFSET(ListeB,,1)='recap S1'!L$2)),"")</f>
        <v/>
      </c>
      <c r="M38" s="32" t="str">
        <f ca="1">IF(SUMPRODUCT((ListeB='recap S1'!$B38)*(OFFSET(ListeB,,4)='recap S1'!M$3)*(OFFSET(ListeB,,1)='recap S1'!M$2))&gt;0,SUMPRODUCT((ListeB='recap S1'!$B38)*(OFFSET(ListeB,,4)='recap S1'!M$3)*(OFFSET(ListeB,,1)='recap S1'!M$2)),"")</f>
        <v/>
      </c>
      <c r="N38" s="32" t="str">
        <f ca="1">IF(SUMPRODUCT((ListeB='recap S1'!$B38)*(OFFSET(ListeB,,4)='recap S1'!N$3)*(OFFSET(ListeB,,1)='recap S1'!N$2))&gt;0,SUMPRODUCT((ListeB='recap S1'!$B38)*(OFFSET(ListeB,,4)='recap S1'!N$3)*(OFFSET(ListeB,,1)='recap S1'!N$2)),"")</f>
        <v/>
      </c>
      <c r="O38" s="32" t="str">
        <f ca="1">IF(SUMPRODUCT((ListeB='recap S1'!$B38)*(OFFSET(ListeB,,4)='recap S1'!O$3)*(OFFSET(ListeB,,1)='recap S1'!O$2))&gt;0,SUMPRODUCT((ListeB='recap S1'!$B38)*(OFFSET(ListeB,,4)='recap S1'!O$3)*(OFFSET(ListeB,,1)='recap S1'!O$2)),"")</f>
        <v/>
      </c>
      <c r="P38" s="32" t="str">
        <f ca="1">IF(SUMPRODUCT((ListeB='recap S1'!$B38)*(OFFSET(ListeB,,4)='recap S1'!P$3)*(OFFSET(ListeB,,1)='recap S1'!P$2))&gt;0,SUMPRODUCT((ListeB='recap S1'!$B38)*(OFFSET(ListeB,,4)='recap S1'!P$3)*(OFFSET(ListeB,,1)='recap S1'!P$2)),"")</f>
        <v/>
      </c>
      <c r="Q38" s="32" t="str">
        <f ca="1">IF(SUMPRODUCT((ListeB='recap S1'!$B38)*(OFFSET(ListeB,,4)='recap S1'!Q$3)*(OFFSET(ListeB,,1)='recap S1'!Q$2))&gt;0,SUMPRODUCT((ListeB='recap S1'!$B38)*(OFFSET(ListeB,,4)='recap S1'!Q$3)*(OFFSET(ListeB,,1)='recap S1'!Q$2)),"")</f>
        <v/>
      </c>
      <c r="R38" s="32" t="str">
        <f ca="1">IF(SUMPRODUCT((ListeB='recap S1'!$B38)*(OFFSET(ListeB,,4)='recap S1'!R$3)*(OFFSET(ListeB,,1)='recap S1'!R$2))&gt;0,SUMPRODUCT((ListeB='recap S1'!$B38)*(OFFSET(ListeB,,4)='recap S1'!R$3)*(OFFSET(ListeB,,1)='recap S1'!R$2)),"")</f>
        <v/>
      </c>
      <c r="S38" s="32" t="str">
        <f ca="1">IF(SUMPRODUCT((ListeB='recap S1'!$B38)*(OFFSET(ListeB,,4)='recap S1'!S$3)*(OFFSET(ListeB,,1)='recap S1'!S$2))&gt;0,SUMPRODUCT((ListeB='recap S1'!$B38)*(OFFSET(ListeB,,4)='recap S1'!S$3)*(OFFSET(ListeB,,1)='recap S1'!S$2)),"")</f>
        <v/>
      </c>
      <c r="T38" s="32" t="str">
        <f ca="1">IF(SUMPRODUCT((ListeB='recap S1'!$B38)*(OFFSET(ListeB,,4)='recap S1'!T$3)*(OFFSET(ListeB,,1)='recap S1'!T$2))&gt;0,SUMPRODUCT((ListeB='recap S1'!$B38)*(OFFSET(ListeB,,4)='recap S1'!T$3)*(OFFSET(ListeB,,1)='recap S1'!T$2)),"")</f>
        <v/>
      </c>
      <c r="U38" s="32" t="str">
        <f ca="1">IF(SUMPRODUCT((ListeB='recap S1'!$B38)*(OFFSET(ListeB,,4)='recap S1'!U$3)*(OFFSET(ListeB,,1)='recap S1'!U$2))&gt;0,SUMPRODUCT((ListeB='recap S1'!$B38)*(OFFSET(ListeB,,4)='recap S1'!U$3)*(OFFSET(ListeB,,1)='recap S1'!U$2)),"")</f>
        <v/>
      </c>
      <c r="V38" s="32" t="str">
        <f ca="1">IF(SUMPRODUCT((ListeB='recap S1'!$B38)*(OFFSET(ListeB,,4)='recap S1'!V$3)*(OFFSET(ListeB,,1)='recap S1'!V$2))&gt;0,SUMPRODUCT((ListeB='recap S1'!$B38)*(OFFSET(ListeB,,4)='recap S1'!V$3)*(OFFSET(ListeB,,1)='recap S1'!V$2)),"")</f>
        <v/>
      </c>
      <c r="W38" s="32" t="str">
        <f ca="1">IF(SUMPRODUCT((ListeB='recap S1'!$B38)*(OFFSET(ListeB,,4)='recap S1'!W$3)*(OFFSET(ListeB,,1)='recap S1'!W$2))&gt;0,SUMPRODUCT((ListeB='recap S1'!$B38)*(OFFSET(ListeB,,4)='recap S1'!W$3)*(OFFSET(ListeB,,1)='recap S1'!W$2)),"")</f>
        <v/>
      </c>
      <c r="X38" s="32" t="str">
        <f ca="1">IF(SUMPRODUCT((ListeB='recap S1'!$B38)*(OFFSET(ListeB,,4)='recap S1'!X$3)*(OFFSET(ListeB,,1)='recap S1'!X$2))&gt;0,SUMPRODUCT((ListeB='recap S1'!$B38)*(OFFSET(ListeB,,4)='recap S1'!X$3)*(OFFSET(ListeB,,1)='recap S1'!X$2)),"")</f>
        <v/>
      </c>
      <c r="Y38" s="32" t="str">
        <f ca="1">IF(SUMPRODUCT((ListeB='recap S1'!$B38)*(OFFSET(ListeB,,4)='recap S1'!Y$3)*(OFFSET(ListeB,,1)='recap S1'!Y$2))&gt;0,SUMPRODUCT((ListeB='recap S1'!$B38)*(OFFSET(ListeB,,4)='recap S1'!Y$3)*(OFFSET(ListeB,,1)='recap S1'!Y$2)),"")</f>
        <v/>
      </c>
      <c r="Z38" s="32" t="str">
        <f ca="1">IF(SUMPRODUCT((ListeB='recap S1'!$B38)*(OFFSET(ListeB,,4)='recap S1'!Z$3)*(OFFSET(ListeB,,1)='recap S1'!Z$2))&gt;0,SUMPRODUCT((ListeB='recap S1'!$B38)*(OFFSET(ListeB,,4)='recap S1'!Z$3)*(OFFSET(ListeB,,1)='recap S1'!Z$2)),"")</f>
        <v/>
      </c>
      <c r="AA38" s="32" t="str">
        <f ca="1">IF(SUMPRODUCT((ListeB='recap S1'!$B38)*(OFFSET(ListeB,,4)='recap S1'!AA$3)*(OFFSET(ListeB,,1)='recap S1'!AA$2))&gt;0,SUMPRODUCT((ListeB='recap S1'!$B38)*(OFFSET(ListeB,,4)='recap S1'!AA$3)*(OFFSET(ListeB,,1)='recap S1'!AA$2)),"")</f>
        <v/>
      </c>
      <c r="AB38" s="32" t="str">
        <f ca="1">IF(SUMPRODUCT((ListeB='recap S1'!$B38)*(OFFSET(ListeB,,4)='recap S1'!AB$3)*(OFFSET(ListeB,,1)='recap S1'!AB$2))&gt;0,SUMPRODUCT((ListeB='recap S1'!$B38)*(OFFSET(ListeB,,4)='recap S1'!AB$3)*(OFFSET(ListeB,,1)='recap S1'!AB$2)),"")</f>
        <v/>
      </c>
      <c r="AC38" s="32" t="str">
        <f ca="1">IF(SUMPRODUCT((ListeB='recap S1'!$B38)*(OFFSET(ListeB,,4)='recap S1'!AC$3)*(OFFSET(ListeB,,1)='recap S1'!AC$2))&gt;0,SUMPRODUCT((ListeB='recap S1'!$B38)*(OFFSET(ListeB,,4)='recap S1'!AC$3)*(OFFSET(ListeB,,1)='recap S1'!AC$2)),"")</f>
        <v/>
      </c>
      <c r="AD38" s="32" t="str">
        <f ca="1">IF(SUMPRODUCT((ListeB='recap S1'!$B38)*(OFFSET(ListeB,,4)='recap S1'!AD$3)*(OFFSET(ListeB,,1)='recap S1'!AD$2))&gt;0,SUMPRODUCT((ListeB='recap S1'!$B38)*(OFFSET(ListeB,,4)='recap S1'!AD$3)*(OFFSET(ListeB,,1)='recap S1'!AD$2)),"")</f>
        <v/>
      </c>
      <c r="AE38" s="32" t="str">
        <f ca="1">IF(SUMPRODUCT((ListeB='recap S1'!$B38)*(OFFSET(ListeB,,4)='recap S1'!AE$3)*(OFFSET(ListeB,,1)='recap S1'!AE$2))&gt;0,SUMPRODUCT((ListeB='recap S1'!$B38)*(OFFSET(ListeB,,4)='recap S1'!AE$3)*(OFFSET(ListeB,,1)='recap S1'!AE$2)),"")</f>
        <v/>
      </c>
      <c r="AF38" s="32" t="str">
        <f ca="1">IF(SUMPRODUCT((ListeB='recap S1'!$B38)*(OFFSET(ListeB,,4)='recap S1'!AF$3)*(OFFSET(ListeB,,1)='recap S1'!AF$2))&gt;0,SUMPRODUCT((ListeB='recap S1'!$B38)*(OFFSET(ListeB,,4)='recap S1'!AF$3)*(OFFSET(ListeB,,1)='recap S1'!AF$2)),"")</f>
        <v/>
      </c>
      <c r="AG38" s="32" t="str">
        <f ca="1">IF(SUMPRODUCT((ListeB='recap S1'!$B38)*(OFFSET(ListeB,,4)='recap S1'!AG$3)*(OFFSET(ListeB,,1)='recap S1'!AG$2))&gt;0,SUMPRODUCT((ListeB='recap S1'!$B38)*(OFFSET(ListeB,,4)='recap S1'!AG$3)*(OFFSET(ListeB,,1)='recap S1'!AG$2)),"")</f>
        <v/>
      </c>
      <c r="AH38" s="32" t="str">
        <f ca="1">IF(SUMPRODUCT((ListeB='recap S1'!$B38)*(OFFSET(ListeB,,4)='recap S1'!AH$3)*(OFFSET(ListeB,,1)='recap S1'!AH$2))&gt;0,SUMPRODUCT((ListeB='recap S1'!$B38)*(OFFSET(ListeB,,4)='recap S1'!AH$3)*(OFFSET(ListeB,,1)='recap S1'!AH$2)),"")</f>
        <v/>
      </c>
      <c r="AI38" s="32" t="str">
        <f ca="1">IF(SUMPRODUCT((ListeB='recap S1'!$B38)*(OFFSET(ListeB,,4)='recap S1'!AI$3)*(OFFSET(ListeB,,1)='recap S1'!AI$2))&gt;0,SUMPRODUCT((ListeB='recap S1'!$B38)*(OFFSET(ListeB,,4)='recap S1'!AI$3)*(OFFSET(ListeB,,1)='recap S1'!AI$2)),"")</f>
        <v/>
      </c>
      <c r="AJ38" s="32" t="str">
        <f ca="1">IF(SUMPRODUCT((ListeB='recap S1'!$B38)*(OFFSET(ListeB,,4)='recap S1'!AJ$3)*(OFFSET(ListeB,,1)='recap S1'!AJ$2))&gt;0,SUMPRODUCT((ListeB='recap S1'!$B38)*(OFFSET(ListeB,,4)='recap S1'!AJ$3)*(OFFSET(ListeB,,1)='recap S1'!AJ$2)),"")</f>
        <v/>
      </c>
      <c r="AK38" s="32" t="str">
        <f ca="1">IF(SUMPRODUCT((ListeB='recap S1'!$B38)*(OFFSET(ListeB,,4)='recap S1'!AK$3)*(OFFSET(ListeB,,1)='recap S1'!AK$2))&gt;0,SUMPRODUCT((ListeB='recap S1'!$B38)*(OFFSET(ListeB,,4)='recap S1'!AK$3)*(OFFSET(ListeB,,1)='recap S1'!AK$2)),"")</f>
        <v/>
      </c>
      <c r="AL38" s="32" t="str">
        <f ca="1">IF(SUMPRODUCT((ListeB='recap S1'!$B38)*(OFFSET(ListeB,,4)='recap S1'!AL$3)*(OFFSET(ListeB,,1)='recap S1'!AL$2))&gt;0,SUMPRODUCT((ListeB='recap S1'!$B38)*(OFFSET(ListeB,,4)='recap S1'!AL$3)*(OFFSET(ListeB,,1)='recap S1'!AL$2)),"")</f>
        <v/>
      </c>
      <c r="AM38" s="32" t="str">
        <f ca="1">IF(SUMPRODUCT((ListeB='recap S1'!$B38)*(OFFSET(ListeB,,4)='recap S1'!AM$3)*(OFFSET(ListeB,,1)='recap S1'!AM$2))&gt;0,SUMPRODUCT((ListeB='recap S1'!$B38)*(OFFSET(ListeB,,4)='recap S1'!AM$3)*(OFFSET(ListeB,,1)='recap S1'!AM$2)),"")</f>
        <v/>
      </c>
      <c r="AN38" s="32" t="str">
        <f ca="1">IF(SUMPRODUCT((ListeB='recap S1'!$B38)*(OFFSET(ListeB,,4)='recap S1'!AN$3)*(OFFSET(ListeB,,1)='recap S1'!AN$2))&gt;0,SUMPRODUCT((ListeB='recap S1'!$B38)*(OFFSET(ListeB,,4)='recap S1'!AN$3)*(OFFSET(ListeB,,1)='recap S1'!AN$2)),"")</f>
        <v/>
      </c>
      <c r="AO38" s="32" t="str">
        <f ca="1">IF(SUMPRODUCT((ListeB='recap S1'!$B38)*(OFFSET(ListeB,,4)='recap S1'!AO$3)*(OFFSET(ListeB,,1)='recap S1'!AO$2))&gt;0,SUMPRODUCT((ListeB='recap S1'!$B38)*(OFFSET(ListeB,,4)='recap S1'!AO$3)*(OFFSET(ListeB,,1)='recap S1'!AO$2)),"")</f>
        <v/>
      </c>
      <c r="AP38" s="32" t="str">
        <f ca="1">IF(SUMPRODUCT((ListeB='recap S1'!$B38)*(OFFSET(ListeB,,4)='recap S1'!AP$3)*(OFFSET(ListeB,,1)='recap S1'!AP$2))&gt;0,SUMPRODUCT((ListeB='recap S1'!$B38)*(OFFSET(ListeB,,4)='recap S1'!AP$3)*(OFFSET(ListeB,,1)='recap S1'!AP$2)),"")</f>
        <v/>
      </c>
      <c r="AQ38" s="32" t="str">
        <f ca="1">IF(SUMPRODUCT((ListeB='recap S1'!$B38)*(OFFSET(ListeB,,4)='recap S1'!AQ$3)*(OFFSET(ListeB,,1)='recap S1'!AQ$2))&gt;0,SUMPRODUCT((ListeB='recap S1'!$B38)*(OFFSET(ListeB,,4)='recap S1'!AQ$3)*(OFFSET(ListeB,,1)='recap S1'!AQ$2)),"")</f>
        <v/>
      </c>
      <c r="AR38" s="32" t="str">
        <f ca="1">IF(SUMPRODUCT((ListeB='recap S1'!$B38)*(OFFSET(ListeB,,4)='recap S1'!AR$3)*(OFFSET(ListeB,,1)='recap S1'!AR$2))&gt;0,SUMPRODUCT((ListeB='recap S1'!$B38)*(OFFSET(ListeB,,4)='recap S1'!AR$3)*(OFFSET(ListeB,,1)='recap S1'!AR$2)),"")</f>
        <v/>
      </c>
      <c r="AS38" s="32" t="str">
        <f ca="1">IF(SUMPRODUCT((ListeB='recap S1'!$B38)*(OFFSET(ListeB,,4)='recap S1'!AS$3)*(OFFSET(ListeB,,1)='recap S1'!AS$2))&gt;0,SUMPRODUCT((ListeB='recap S1'!$B38)*(OFFSET(ListeB,,4)='recap S1'!AS$3)*(OFFSET(ListeB,,1)='recap S1'!AS$2)),"")</f>
        <v/>
      </c>
      <c r="AT38" s="32" t="str">
        <f ca="1">IF(SUMPRODUCT((ListeB='recap S1'!$B38)*(OFFSET(ListeB,,4)='recap S1'!AT$3)*(OFFSET(ListeB,,1)='recap S1'!AT$2))&gt;0,SUMPRODUCT((ListeB='recap S1'!$B38)*(OFFSET(ListeB,,4)='recap S1'!AT$3)*(OFFSET(ListeB,,1)='recap S1'!AT$2)),"")</f>
        <v/>
      </c>
      <c r="AU38" s="32" t="str">
        <f ca="1">IF(SUMPRODUCT((ListeB='recap S1'!$B38)*(OFFSET(ListeB,,4)='recap S1'!AU$3)*(OFFSET(ListeB,,1)='recap S1'!AU$2))&gt;0,SUMPRODUCT((ListeB='recap S1'!$B38)*(OFFSET(ListeB,,4)='recap S1'!AU$3)*(OFFSET(ListeB,,1)='recap S1'!AU$2)),"")</f>
        <v/>
      </c>
      <c r="AV38" s="32" t="str">
        <f ca="1">IF(SUMPRODUCT((ListeB='recap S1'!$B38)*(OFFSET(ListeB,,4)='recap S1'!AV$3)*(OFFSET(ListeB,,1)='recap S1'!AV$2))&gt;0,SUMPRODUCT((ListeB='recap S1'!$B38)*(OFFSET(ListeB,,4)='recap S1'!AV$3)*(OFFSET(ListeB,,1)='recap S1'!AV$2)),"")</f>
        <v/>
      </c>
      <c r="AW38" s="32" t="str">
        <f ca="1">IF(SUMPRODUCT((ListeB='recap S1'!$B38)*(OFFSET(ListeB,,4)='recap S1'!AW$3)*(OFFSET(ListeB,,1)='recap S1'!AW$2))&gt;0,SUMPRODUCT((ListeB='recap S1'!$B38)*(OFFSET(ListeB,,4)='recap S1'!AW$3)*(OFFSET(ListeB,,1)='recap S1'!AW$2)),"")</f>
        <v/>
      </c>
      <c r="AX38" s="32" t="str">
        <f ca="1">IF(SUMPRODUCT((ListeB='recap S1'!$B38)*(OFFSET(ListeB,,4)='recap S1'!AX$3)*(OFFSET(ListeB,,1)='recap S1'!AX$2))&gt;0,SUMPRODUCT((ListeB='recap S1'!$B38)*(OFFSET(ListeB,,4)='recap S1'!AX$3)*(OFFSET(ListeB,,1)='recap S1'!AX$2)),"")</f>
        <v/>
      </c>
      <c r="AY38" s="32" t="str">
        <f ca="1">IF(SUMPRODUCT((ListeB='recap S1'!$B38)*(OFFSET(ListeB,,4)='recap S1'!AY$3)*(OFFSET(ListeB,,1)='recap S1'!AY$2))&gt;0,SUMPRODUCT((ListeB='recap S1'!$B38)*(OFFSET(ListeB,,4)='recap S1'!AY$3)*(OFFSET(ListeB,,1)='recap S1'!AY$2)),"")</f>
        <v/>
      </c>
      <c r="AZ38" s="32">
        <f t="shared" ca="1" si="1"/>
        <v>0</v>
      </c>
    </row>
    <row r="39" spans="1:52">
      <c r="A39" s="41" t="str">
        <f>IF('SEANCE 1'!$B37&lt;&gt;"",'SEANCE 1'!$A37,"")</f>
        <v/>
      </c>
      <c r="B39" s="41" t="str">
        <f t="array" aca="1" ref="B39" ca="1">IF(ISNA(INDEX(ListeB,MATCH(0,COUNTIF($B$3:B38,ListeB),0))),"",INDEX(ListeB,MATCH(0,COUNTIF($B$3:B38,ListeB),0)))</f>
        <v/>
      </c>
      <c r="C39" s="32" t="str">
        <f ca="1">IF(SUMPRODUCT((ListeB='recap S1'!$B39)*(OFFSET(ListeB,,4)='recap S1'!C$3)*(OFFSET(ListeB,,1)='recap S1'!C$2))&gt;0,SUMPRODUCT((ListeB='recap S1'!$B39)*(OFFSET(ListeB,,4)='recap S1'!C$3)*(OFFSET(ListeB,,1)='recap S1'!C$2)),"")</f>
        <v/>
      </c>
      <c r="D39" s="32" t="str">
        <f ca="1">IF(SUMPRODUCT((ListeB='recap S1'!$B39)*(OFFSET(ListeB,,4)='recap S1'!D$3)*(OFFSET(ListeB,,1)='recap S1'!D$2))&gt;0,SUMPRODUCT((ListeB='recap S1'!$B39)*(OFFSET(ListeB,,4)='recap S1'!D$3)*(OFFSET(ListeB,,1)='recap S1'!D$2)),"")</f>
        <v/>
      </c>
      <c r="E39" s="32" t="str">
        <f ca="1">IF(SUMPRODUCT((ListeB='recap S1'!$B39)*(OFFSET(ListeB,,4)='recap S1'!E$3)*(OFFSET(ListeB,,1)='recap S1'!E$2))&gt;0,SUMPRODUCT((ListeB='recap S1'!$B39)*(OFFSET(ListeB,,4)='recap S1'!E$3)*(OFFSET(ListeB,,1)='recap S1'!E$2)),"")</f>
        <v/>
      </c>
      <c r="F39" s="32" t="str">
        <f ca="1">IF(SUMPRODUCT((ListeB='recap S1'!$B39)*(OFFSET(ListeB,,4)='recap S1'!F$3)*(OFFSET(ListeB,,1)='recap S1'!F$2))&gt;0,SUMPRODUCT((ListeB='recap S1'!$B39)*(OFFSET(ListeB,,4)='recap S1'!F$3)*(OFFSET(ListeB,,1)='recap S1'!F$2)),"")</f>
        <v/>
      </c>
      <c r="G39" s="32" t="str">
        <f ca="1">IF(SUMPRODUCT((ListeB='recap S1'!$B39)*(OFFSET(ListeB,,4)='recap S1'!G$3)*(OFFSET(ListeB,,1)='recap S1'!G$2))&gt;0,SUMPRODUCT((ListeB='recap S1'!$B39)*(OFFSET(ListeB,,4)='recap S1'!G$3)*(OFFSET(ListeB,,1)='recap S1'!G$2)),"")</f>
        <v/>
      </c>
      <c r="H39" s="32" t="str">
        <f ca="1">IF(SUMPRODUCT((ListeB='recap S1'!$B39)*(OFFSET(ListeB,,4)='recap S1'!H$3)*(OFFSET(ListeB,,1)='recap S1'!H$2))&gt;0,SUMPRODUCT((ListeB='recap S1'!$B39)*(OFFSET(ListeB,,4)='recap S1'!H$3)*(OFFSET(ListeB,,1)='recap S1'!H$2)),"")</f>
        <v/>
      </c>
      <c r="I39" s="32" t="str">
        <f ca="1">IF(SUMPRODUCT((ListeB='recap S1'!$B39)*(OFFSET(ListeB,,4)='recap S1'!I$3)*(OFFSET(ListeB,,1)='recap S1'!I$2))&gt;0,SUMPRODUCT((ListeB='recap S1'!$B39)*(OFFSET(ListeB,,4)='recap S1'!I$3)*(OFFSET(ListeB,,1)='recap S1'!I$2)),"")</f>
        <v/>
      </c>
      <c r="J39" s="32" t="str">
        <f ca="1">IF(SUMPRODUCT((ListeB='recap S1'!$B39)*(OFFSET(ListeB,,4)='recap S1'!J$3)*(OFFSET(ListeB,,1)='recap S1'!J$2))&gt;0,SUMPRODUCT((ListeB='recap S1'!$B39)*(OFFSET(ListeB,,4)='recap S1'!J$3)*(OFFSET(ListeB,,1)='recap S1'!J$2)),"")</f>
        <v/>
      </c>
      <c r="K39" s="32" t="str">
        <f ca="1">IF(SUMPRODUCT((ListeB='recap S1'!$B39)*(OFFSET(ListeB,,4)='recap S1'!K$3)*(OFFSET(ListeB,,1)='recap S1'!K$2))&gt;0,SUMPRODUCT((ListeB='recap S1'!$B39)*(OFFSET(ListeB,,4)='recap S1'!K$3)*(OFFSET(ListeB,,1)='recap S1'!K$2)),"")</f>
        <v/>
      </c>
      <c r="L39" s="32" t="str">
        <f ca="1">IF(SUMPRODUCT((ListeB='recap S1'!$B39)*(OFFSET(ListeB,,4)='recap S1'!L$3)*(OFFSET(ListeB,,1)='recap S1'!L$2))&gt;0,SUMPRODUCT((ListeB='recap S1'!$B39)*(OFFSET(ListeB,,4)='recap S1'!L$3)*(OFFSET(ListeB,,1)='recap S1'!L$2)),"")</f>
        <v/>
      </c>
      <c r="M39" s="32" t="str">
        <f ca="1">IF(SUMPRODUCT((ListeB='recap S1'!$B39)*(OFFSET(ListeB,,4)='recap S1'!M$3)*(OFFSET(ListeB,,1)='recap S1'!M$2))&gt;0,SUMPRODUCT((ListeB='recap S1'!$B39)*(OFFSET(ListeB,,4)='recap S1'!M$3)*(OFFSET(ListeB,,1)='recap S1'!M$2)),"")</f>
        <v/>
      </c>
      <c r="N39" s="32" t="str">
        <f ca="1">IF(SUMPRODUCT((ListeB='recap S1'!$B39)*(OFFSET(ListeB,,4)='recap S1'!N$3)*(OFFSET(ListeB,,1)='recap S1'!N$2))&gt;0,SUMPRODUCT((ListeB='recap S1'!$B39)*(OFFSET(ListeB,,4)='recap S1'!N$3)*(OFFSET(ListeB,,1)='recap S1'!N$2)),"")</f>
        <v/>
      </c>
      <c r="O39" s="32" t="str">
        <f ca="1">IF(SUMPRODUCT((ListeB='recap S1'!$B39)*(OFFSET(ListeB,,4)='recap S1'!O$3)*(OFFSET(ListeB,,1)='recap S1'!O$2))&gt;0,SUMPRODUCT((ListeB='recap S1'!$B39)*(OFFSET(ListeB,,4)='recap S1'!O$3)*(OFFSET(ListeB,,1)='recap S1'!O$2)),"")</f>
        <v/>
      </c>
      <c r="P39" s="32" t="str">
        <f ca="1">IF(SUMPRODUCT((ListeB='recap S1'!$B39)*(OFFSET(ListeB,,4)='recap S1'!P$3)*(OFFSET(ListeB,,1)='recap S1'!P$2))&gt;0,SUMPRODUCT((ListeB='recap S1'!$B39)*(OFFSET(ListeB,,4)='recap S1'!P$3)*(OFFSET(ListeB,,1)='recap S1'!P$2)),"")</f>
        <v/>
      </c>
      <c r="Q39" s="32" t="str">
        <f ca="1">IF(SUMPRODUCT((ListeB='recap S1'!$B39)*(OFFSET(ListeB,,4)='recap S1'!Q$3)*(OFFSET(ListeB,,1)='recap S1'!Q$2))&gt;0,SUMPRODUCT((ListeB='recap S1'!$B39)*(OFFSET(ListeB,,4)='recap S1'!Q$3)*(OFFSET(ListeB,,1)='recap S1'!Q$2)),"")</f>
        <v/>
      </c>
      <c r="R39" s="32" t="str">
        <f ca="1">IF(SUMPRODUCT((ListeB='recap S1'!$B39)*(OFFSET(ListeB,,4)='recap S1'!R$3)*(OFFSET(ListeB,,1)='recap S1'!R$2))&gt;0,SUMPRODUCT((ListeB='recap S1'!$B39)*(OFFSET(ListeB,,4)='recap S1'!R$3)*(OFFSET(ListeB,,1)='recap S1'!R$2)),"")</f>
        <v/>
      </c>
      <c r="S39" s="32" t="str">
        <f ca="1">IF(SUMPRODUCT((ListeB='recap S1'!$B39)*(OFFSET(ListeB,,4)='recap S1'!S$3)*(OFFSET(ListeB,,1)='recap S1'!S$2))&gt;0,SUMPRODUCT((ListeB='recap S1'!$B39)*(OFFSET(ListeB,,4)='recap S1'!S$3)*(OFFSET(ListeB,,1)='recap S1'!S$2)),"")</f>
        <v/>
      </c>
      <c r="T39" s="32" t="str">
        <f ca="1">IF(SUMPRODUCT((ListeB='recap S1'!$B39)*(OFFSET(ListeB,,4)='recap S1'!T$3)*(OFFSET(ListeB,,1)='recap S1'!T$2))&gt;0,SUMPRODUCT((ListeB='recap S1'!$B39)*(OFFSET(ListeB,,4)='recap S1'!T$3)*(OFFSET(ListeB,,1)='recap S1'!T$2)),"")</f>
        <v/>
      </c>
      <c r="U39" s="32" t="str">
        <f ca="1">IF(SUMPRODUCT((ListeB='recap S1'!$B39)*(OFFSET(ListeB,,4)='recap S1'!U$3)*(OFFSET(ListeB,,1)='recap S1'!U$2))&gt;0,SUMPRODUCT((ListeB='recap S1'!$B39)*(OFFSET(ListeB,,4)='recap S1'!U$3)*(OFFSET(ListeB,,1)='recap S1'!U$2)),"")</f>
        <v/>
      </c>
      <c r="V39" s="32" t="str">
        <f ca="1">IF(SUMPRODUCT((ListeB='recap S1'!$B39)*(OFFSET(ListeB,,4)='recap S1'!V$3)*(OFFSET(ListeB,,1)='recap S1'!V$2))&gt;0,SUMPRODUCT((ListeB='recap S1'!$B39)*(OFFSET(ListeB,,4)='recap S1'!V$3)*(OFFSET(ListeB,,1)='recap S1'!V$2)),"")</f>
        <v/>
      </c>
      <c r="W39" s="32" t="str">
        <f ca="1">IF(SUMPRODUCT((ListeB='recap S1'!$B39)*(OFFSET(ListeB,,4)='recap S1'!W$3)*(OFFSET(ListeB,,1)='recap S1'!W$2))&gt;0,SUMPRODUCT((ListeB='recap S1'!$B39)*(OFFSET(ListeB,,4)='recap S1'!W$3)*(OFFSET(ListeB,,1)='recap S1'!W$2)),"")</f>
        <v/>
      </c>
      <c r="X39" s="32" t="str">
        <f ca="1">IF(SUMPRODUCT((ListeB='recap S1'!$B39)*(OFFSET(ListeB,,4)='recap S1'!X$3)*(OFFSET(ListeB,,1)='recap S1'!X$2))&gt;0,SUMPRODUCT((ListeB='recap S1'!$B39)*(OFFSET(ListeB,,4)='recap S1'!X$3)*(OFFSET(ListeB,,1)='recap S1'!X$2)),"")</f>
        <v/>
      </c>
      <c r="Y39" s="32" t="str">
        <f ca="1">IF(SUMPRODUCT((ListeB='recap S1'!$B39)*(OFFSET(ListeB,,4)='recap S1'!Y$3)*(OFFSET(ListeB,,1)='recap S1'!Y$2))&gt;0,SUMPRODUCT((ListeB='recap S1'!$B39)*(OFFSET(ListeB,,4)='recap S1'!Y$3)*(OFFSET(ListeB,,1)='recap S1'!Y$2)),"")</f>
        <v/>
      </c>
      <c r="Z39" s="32" t="str">
        <f ca="1">IF(SUMPRODUCT((ListeB='recap S1'!$B39)*(OFFSET(ListeB,,4)='recap S1'!Z$3)*(OFFSET(ListeB,,1)='recap S1'!Z$2))&gt;0,SUMPRODUCT((ListeB='recap S1'!$B39)*(OFFSET(ListeB,,4)='recap S1'!Z$3)*(OFFSET(ListeB,,1)='recap S1'!Z$2)),"")</f>
        <v/>
      </c>
      <c r="AA39" s="32" t="str">
        <f ca="1">IF(SUMPRODUCT((ListeB='recap S1'!$B39)*(OFFSET(ListeB,,4)='recap S1'!AA$3)*(OFFSET(ListeB,,1)='recap S1'!AA$2))&gt;0,SUMPRODUCT((ListeB='recap S1'!$B39)*(OFFSET(ListeB,,4)='recap S1'!AA$3)*(OFFSET(ListeB,,1)='recap S1'!AA$2)),"")</f>
        <v/>
      </c>
      <c r="AB39" s="32" t="str">
        <f ca="1">IF(SUMPRODUCT((ListeB='recap S1'!$B39)*(OFFSET(ListeB,,4)='recap S1'!AB$3)*(OFFSET(ListeB,,1)='recap S1'!AB$2))&gt;0,SUMPRODUCT((ListeB='recap S1'!$B39)*(OFFSET(ListeB,,4)='recap S1'!AB$3)*(OFFSET(ListeB,,1)='recap S1'!AB$2)),"")</f>
        <v/>
      </c>
      <c r="AC39" s="32" t="str">
        <f ca="1">IF(SUMPRODUCT((ListeB='recap S1'!$B39)*(OFFSET(ListeB,,4)='recap S1'!AC$3)*(OFFSET(ListeB,,1)='recap S1'!AC$2))&gt;0,SUMPRODUCT((ListeB='recap S1'!$B39)*(OFFSET(ListeB,,4)='recap S1'!AC$3)*(OFFSET(ListeB,,1)='recap S1'!AC$2)),"")</f>
        <v/>
      </c>
      <c r="AD39" s="32" t="str">
        <f ca="1">IF(SUMPRODUCT((ListeB='recap S1'!$B39)*(OFFSET(ListeB,,4)='recap S1'!AD$3)*(OFFSET(ListeB,,1)='recap S1'!AD$2))&gt;0,SUMPRODUCT((ListeB='recap S1'!$B39)*(OFFSET(ListeB,,4)='recap S1'!AD$3)*(OFFSET(ListeB,,1)='recap S1'!AD$2)),"")</f>
        <v/>
      </c>
      <c r="AE39" s="32" t="str">
        <f ca="1">IF(SUMPRODUCT((ListeB='recap S1'!$B39)*(OFFSET(ListeB,,4)='recap S1'!AE$3)*(OFFSET(ListeB,,1)='recap S1'!AE$2))&gt;0,SUMPRODUCT((ListeB='recap S1'!$B39)*(OFFSET(ListeB,,4)='recap S1'!AE$3)*(OFFSET(ListeB,,1)='recap S1'!AE$2)),"")</f>
        <v/>
      </c>
      <c r="AF39" s="32" t="str">
        <f ca="1">IF(SUMPRODUCT((ListeB='recap S1'!$B39)*(OFFSET(ListeB,,4)='recap S1'!AF$3)*(OFFSET(ListeB,,1)='recap S1'!AF$2))&gt;0,SUMPRODUCT((ListeB='recap S1'!$B39)*(OFFSET(ListeB,,4)='recap S1'!AF$3)*(OFFSET(ListeB,,1)='recap S1'!AF$2)),"")</f>
        <v/>
      </c>
      <c r="AG39" s="32" t="str">
        <f ca="1">IF(SUMPRODUCT((ListeB='recap S1'!$B39)*(OFFSET(ListeB,,4)='recap S1'!AG$3)*(OFFSET(ListeB,,1)='recap S1'!AG$2))&gt;0,SUMPRODUCT((ListeB='recap S1'!$B39)*(OFFSET(ListeB,,4)='recap S1'!AG$3)*(OFFSET(ListeB,,1)='recap S1'!AG$2)),"")</f>
        <v/>
      </c>
      <c r="AH39" s="32" t="str">
        <f ca="1">IF(SUMPRODUCT((ListeB='recap S1'!$B39)*(OFFSET(ListeB,,4)='recap S1'!AH$3)*(OFFSET(ListeB,,1)='recap S1'!AH$2))&gt;0,SUMPRODUCT((ListeB='recap S1'!$B39)*(OFFSET(ListeB,,4)='recap S1'!AH$3)*(OFFSET(ListeB,,1)='recap S1'!AH$2)),"")</f>
        <v/>
      </c>
      <c r="AI39" s="32" t="str">
        <f ca="1">IF(SUMPRODUCT((ListeB='recap S1'!$B39)*(OFFSET(ListeB,,4)='recap S1'!AI$3)*(OFFSET(ListeB,,1)='recap S1'!AI$2))&gt;0,SUMPRODUCT((ListeB='recap S1'!$B39)*(OFFSET(ListeB,,4)='recap S1'!AI$3)*(OFFSET(ListeB,,1)='recap S1'!AI$2)),"")</f>
        <v/>
      </c>
      <c r="AJ39" s="32" t="str">
        <f ca="1">IF(SUMPRODUCT((ListeB='recap S1'!$B39)*(OFFSET(ListeB,,4)='recap S1'!AJ$3)*(OFFSET(ListeB,,1)='recap S1'!AJ$2))&gt;0,SUMPRODUCT((ListeB='recap S1'!$B39)*(OFFSET(ListeB,,4)='recap S1'!AJ$3)*(OFFSET(ListeB,,1)='recap S1'!AJ$2)),"")</f>
        <v/>
      </c>
      <c r="AK39" s="32" t="str">
        <f ca="1">IF(SUMPRODUCT((ListeB='recap S1'!$B39)*(OFFSET(ListeB,,4)='recap S1'!AK$3)*(OFFSET(ListeB,,1)='recap S1'!AK$2))&gt;0,SUMPRODUCT((ListeB='recap S1'!$B39)*(OFFSET(ListeB,,4)='recap S1'!AK$3)*(OFFSET(ListeB,,1)='recap S1'!AK$2)),"")</f>
        <v/>
      </c>
      <c r="AL39" s="32" t="str">
        <f ca="1">IF(SUMPRODUCT((ListeB='recap S1'!$B39)*(OFFSET(ListeB,,4)='recap S1'!AL$3)*(OFFSET(ListeB,,1)='recap S1'!AL$2))&gt;0,SUMPRODUCT((ListeB='recap S1'!$B39)*(OFFSET(ListeB,,4)='recap S1'!AL$3)*(OFFSET(ListeB,,1)='recap S1'!AL$2)),"")</f>
        <v/>
      </c>
      <c r="AM39" s="32" t="str">
        <f ca="1">IF(SUMPRODUCT((ListeB='recap S1'!$B39)*(OFFSET(ListeB,,4)='recap S1'!AM$3)*(OFFSET(ListeB,,1)='recap S1'!AM$2))&gt;0,SUMPRODUCT((ListeB='recap S1'!$B39)*(OFFSET(ListeB,,4)='recap S1'!AM$3)*(OFFSET(ListeB,,1)='recap S1'!AM$2)),"")</f>
        <v/>
      </c>
      <c r="AN39" s="32" t="str">
        <f ca="1">IF(SUMPRODUCT((ListeB='recap S1'!$B39)*(OFFSET(ListeB,,4)='recap S1'!AN$3)*(OFFSET(ListeB,,1)='recap S1'!AN$2))&gt;0,SUMPRODUCT((ListeB='recap S1'!$B39)*(OFFSET(ListeB,,4)='recap S1'!AN$3)*(OFFSET(ListeB,,1)='recap S1'!AN$2)),"")</f>
        <v/>
      </c>
      <c r="AO39" s="32" t="str">
        <f ca="1">IF(SUMPRODUCT((ListeB='recap S1'!$B39)*(OFFSET(ListeB,,4)='recap S1'!AO$3)*(OFFSET(ListeB,,1)='recap S1'!AO$2))&gt;0,SUMPRODUCT((ListeB='recap S1'!$B39)*(OFFSET(ListeB,,4)='recap S1'!AO$3)*(OFFSET(ListeB,,1)='recap S1'!AO$2)),"")</f>
        <v/>
      </c>
      <c r="AP39" s="32" t="str">
        <f ca="1">IF(SUMPRODUCT((ListeB='recap S1'!$B39)*(OFFSET(ListeB,,4)='recap S1'!AP$3)*(OFFSET(ListeB,,1)='recap S1'!AP$2))&gt;0,SUMPRODUCT((ListeB='recap S1'!$B39)*(OFFSET(ListeB,,4)='recap S1'!AP$3)*(OFFSET(ListeB,,1)='recap S1'!AP$2)),"")</f>
        <v/>
      </c>
      <c r="AQ39" s="32" t="str">
        <f ca="1">IF(SUMPRODUCT((ListeB='recap S1'!$B39)*(OFFSET(ListeB,,4)='recap S1'!AQ$3)*(OFFSET(ListeB,,1)='recap S1'!AQ$2))&gt;0,SUMPRODUCT((ListeB='recap S1'!$B39)*(OFFSET(ListeB,,4)='recap S1'!AQ$3)*(OFFSET(ListeB,,1)='recap S1'!AQ$2)),"")</f>
        <v/>
      </c>
      <c r="AR39" s="32" t="str">
        <f ca="1">IF(SUMPRODUCT((ListeB='recap S1'!$B39)*(OFFSET(ListeB,,4)='recap S1'!AR$3)*(OFFSET(ListeB,,1)='recap S1'!AR$2))&gt;0,SUMPRODUCT((ListeB='recap S1'!$B39)*(OFFSET(ListeB,,4)='recap S1'!AR$3)*(OFFSET(ListeB,,1)='recap S1'!AR$2)),"")</f>
        <v/>
      </c>
      <c r="AS39" s="32" t="str">
        <f ca="1">IF(SUMPRODUCT((ListeB='recap S1'!$B39)*(OFFSET(ListeB,,4)='recap S1'!AS$3)*(OFFSET(ListeB,,1)='recap S1'!AS$2))&gt;0,SUMPRODUCT((ListeB='recap S1'!$B39)*(OFFSET(ListeB,,4)='recap S1'!AS$3)*(OFFSET(ListeB,,1)='recap S1'!AS$2)),"")</f>
        <v/>
      </c>
      <c r="AT39" s="32" t="str">
        <f ca="1">IF(SUMPRODUCT((ListeB='recap S1'!$B39)*(OFFSET(ListeB,,4)='recap S1'!AT$3)*(OFFSET(ListeB,,1)='recap S1'!AT$2))&gt;0,SUMPRODUCT((ListeB='recap S1'!$B39)*(OFFSET(ListeB,,4)='recap S1'!AT$3)*(OFFSET(ListeB,,1)='recap S1'!AT$2)),"")</f>
        <v/>
      </c>
      <c r="AU39" s="32" t="str">
        <f ca="1">IF(SUMPRODUCT((ListeB='recap S1'!$B39)*(OFFSET(ListeB,,4)='recap S1'!AU$3)*(OFFSET(ListeB,,1)='recap S1'!AU$2))&gt;0,SUMPRODUCT((ListeB='recap S1'!$B39)*(OFFSET(ListeB,,4)='recap S1'!AU$3)*(OFFSET(ListeB,,1)='recap S1'!AU$2)),"")</f>
        <v/>
      </c>
      <c r="AV39" s="32" t="str">
        <f ca="1">IF(SUMPRODUCT((ListeB='recap S1'!$B39)*(OFFSET(ListeB,,4)='recap S1'!AV$3)*(OFFSET(ListeB,,1)='recap S1'!AV$2))&gt;0,SUMPRODUCT((ListeB='recap S1'!$B39)*(OFFSET(ListeB,,4)='recap S1'!AV$3)*(OFFSET(ListeB,,1)='recap S1'!AV$2)),"")</f>
        <v/>
      </c>
      <c r="AW39" s="32" t="str">
        <f ca="1">IF(SUMPRODUCT((ListeB='recap S1'!$B39)*(OFFSET(ListeB,,4)='recap S1'!AW$3)*(OFFSET(ListeB,,1)='recap S1'!AW$2))&gt;0,SUMPRODUCT((ListeB='recap S1'!$B39)*(OFFSET(ListeB,,4)='recap S1'!AW$3)*(OFFSET(ListeB,,1)='recap S1'!AW$2)),"")</f>
        <v/>
      </c>
      <c r="AX39" s="32" t="str">
        <f ca="1">IF(SUMPRODUCT((ListeB='recap S1'!$B39)*(OFFSET(ListeB,,4)='recap S1'!AX$3)*(OFFSET(ListeB,,1)='recap S1'!AX$2))&gt;0,SUMPRODUCT((ListeB='recap S1'!$B39)*(OFFSET(ListeB,,4)='recap S1'!AX$3)*(OFFSET(ListeB,,1)='recap S1'!AX$2)),"")</f>
        <v/>
      </c>
      <c r="AY39" s="32" t="str">
        <f ca="1">IF(SUMPRODUCT((ListeB='recap S1'!$B39)*(OFFSET(ListeB,,4)='recap S1'!AY$3)*(OFFSET(ListeB,,1)='recap S1'!AY$2))&gt;0,SUMPRODUCT((ListeB='recap S1'!$B39)*(OFFSET(ListeB,,4)='recap S1'!AY$3)*(OFFSET(ListeB,,1)='recap S1'!AY$2)),"")</f>
        <v/>
      </c>
      <c r="AZ39" s="32">
        <f t="shared" ca="1" si="1"/>
        <v>0</v>
      </c>
    </row>
    <row r="40" spans="1:52">
      <c r="A40" s="41" t="str">
        <f>IF('SEANCE 1'!$B38&lt;&gt;"",'SEANCE 1'!$A38,"")</f>
        <v/>
      </c>
      <c r="B40" s="41" t="str">
        <f t="array" aca="1" ref="B40" ca="1">IF(ISNA(INDEX(ListeB,MATCH(0,COUNTIF($B$3:B39,ListeB),0))),"",INDEX(ListeB,MATCH(0,COUNTIF($B$3:B39,ListeB),0)))</f>
        <v/>
      </c>
      <c r="C40" s="32" t="str">
        <f ca="1">IF(SUMPRODUCT((ListeB='recap S1'!$B40)*(OFFSET(ListeB,,4)='recap S1'!C$3)*(OFFSET(ListeB,,1)='recap S1'!C$2))&gt;0,SUMPRODUCT((ListeB='recap S1'!$B40)*(OFFSET(ListeB,,4)='recap S1'!C$3)*(OFFSET(ListeB,,1)='recap S1'!C$2)),"")</f>
        <v/>
      </c>
      <c r="D40" s="32" t="str">
        <f ca="1">IF(SUMPRODUCT((ListeB='recap S1'!$B40)*(OFFSET(ListeB,,4)='recap S1'!D$3)*(OFFSET(ListeB,,1)='recap S1'!D$2))&gt;0,SUMPRODUCT((ListeB='recap S1'!$B40)*(OFFSET(ListeB,,4)='recap S1'!D$3)*(OFFSET(ListeB,,1)='recap S1'!D$2)),"")</f>
        <v/>
      </c>
      <c r="E40" s="32" t="str">
        <f ca="1">IF(SUMPRODUCT((ListeB='recap S1'!$B40)*(OFFSET(ListeB,,4)='recap S1'!E$3)*(OFFSET(ListeB,,1)='recap S1'!E$2))&gt;0,SUMPRODUCT((ListeB='recap S1'!$B40)*(OFFSET(ListeB,,4)='recap S1'!E$3)*(OFFSET(ListeB,,1)='recap S1'!E$2)),"")</f>
        <v/>
      </c>
      <c r="F40" s="32" t="str">
        <f ca="1">IF(SUMPRODUCT((ListeB='recap S1'!$B40)*(OFFSET(ListeB,,4)='recap S1'!F$3)*(OFFSET(ListeB,,1)='recap S1'!F$2))&gt;0,SUMPRODUCT((ListeB='recap S1'!$B40)*(OFFSET(ListeB,,4)='recap S1'!F$3)*(OFFSET(ListeB,,1)='recap S1'!F$2)),"")</f>
        <v/>
      </c>
      <c r="G40" s="32" t="str">
        <f ca="1">IF(SUMPRODUCT((ListeB='recap S1'!$B40)*(OFFSET(ListeB,,4)='recap S1'!G$3)*(OFFSET(ListeB,,1)='recap S1'!G$2))&gt;0,SUMPRODUCT((ListeB='recap S1'!$B40)*(OFFSET(ListeB,,4)='recap S1'!G$3)*(OFFSET(ListeB,,1)='recap S1'!G$2)),"")</f>
        <v/>
      </c>
      <c r="H40" s="32" t="str">
        <f ca="1">IF(SUMPRODUCT((ListeB='recap S1'!$B40)*(OFFSET(ListeB,,4)='recap S1'!H$3)*(OFFSET(ListeB,,1)='recap S1'!H$2))&gt;0,SUMPRODUCT((ListeB='recap S1'!$B40)*(OFFSET(ListeB,,4)='recap S1'!H$3)*(OFFSET(ListeB,,1)='recap S1'!H$2)),"")</f>
        <v/>
      </c>
      <c r="I40" s="32" t="str">
        <f ca="1">IF(SUMPRODUCT((ListeB='recap S1'!$B40)*(OFFSET(ListeB,,4)='recap S1'!I$3)*(OFFSET(ListeB,,1)='recap S1'!I$2))&gt;0,SUMPRODUCT((ListeB='recap S1'!$B40)*(OFFSET(ListeB,,4)='recap S1'!I$3)*(OFFSET(ListeB,,1)='recap S1'!I$2)),"")</f>
        <v/>
      </c>
      <c r="J40" s="32" t="str">
        <f ca="1">IF(SUMPRODUCT((ListeB='recap S1'!$B40)*(OFFSET(ListeB,,4)='recap S1'!J$3)*(OFFSET(ListeB,,1)='recap S1'!J$2))&gt;0,SUMPRODUCT((ListeB='recap S1'!$B40)*(OFFSET(ListeB,,4)='recap S1'!J$3)*(OFFSET(ListeB,,1)='recap S1'!J$2)),"")</f>
        <v/>
      </c>
      <c r="K40" s="32" t="str">
        <f ca="1">IF(SUMPRODUCT((ListeB='recap S1'!$B40)*(OFFSET(ListeB,,4)='recap S1'!K$3)*(OFFSET(ListeB,,1)='recap S1'!K$2))&gt;0,SUMPRODUCT((ListeB='recap S1'!$B40)*(OFFSET(ListeB,,4)='recap S1'!K$3)*(OFFSET(ListeB,,1)='recap S1'!K$2)),"")</f>
        <v/>
      </c>
      <c r="L40" s="32" t="str">
        <f ca="1">IF(SUMPRODUCT((ListeB='recap S1'!$B40)*(OFFSET(ListeB,,4)='recap S1'!L$3)*(OFFSET(ListeB,,1)='recap S1'!L$2))&gt;0,SUMPRODUCT((ListeB='recap S1'!$B40)*(OFFSET(ListeB,,4)='recap S1'!L$3)*(OFFSET(ListeB,,1)='recap S1'!L$2)),"")</f>
        <v/>
      </c>
      <c r="M40" s="32" t="str">
        <f ca="1">IF(SUMPRODUCT((ListeB='recap S1'!$B40)*(OFFSET(ListeB,,4)='recap S1'!M$3)*(OFFSET(ListeB,,1)='recap S1'!M$2))&gt;0,SUMPRODUCT((ListeB='recap S1'!$B40)*(OFFSET(ListeB,,4)='recap S1'!M$3)*(OFFSET(ListeB,,1)='recap S1'!M$2)),"")</f>
        <v/>
      </c>
      <c r="N40" s="32" t="str">
        <f ca="1">IF(SUMPRODUCT((ListeB='recap S1'!$B40)*(OFFSET(ListeB,,4)='recap S1'!N$3)*(OFFSET(ListeB,,1)='recap S1'!N$2))&gt;0,SUMPRODUCT((ListeB='recap S1'!$B40)*(OFFSET(ListeB,,4)='recap S1'!N$3)*(OFFSET(ListeB,,1)='recap S1'!N$2)),"")</f>
        <v/>
      </c>
      <c r="O40" s="32" t="str">
        <f ca="1">IF(SUMPRODUCT((ListeB='recap S1'!$B40)*(OFFSET(ListeB,,4)='recap S1'!O$3)*(OFFSET(ListeB,,1)='recap S1'!O$2))&gt;0,SUMPRODUCT((ListeB='recap S1'!$B40)*(OFFSET(ListeB,,4)='recap S1'!O$3)*(OFFSET(ListeB,,1)='recap S1'!O$2)),"")</f>
        <v/>
      </c>
      <c r="P40" s="32" t="str">
        <f ca="1">IF(SUMPRODUCT((ListeB='recap S1'!$B40)*(OFFSET(ListeB,,4)='recap S1'!P$3)*(OFFSET(ListeB,,1)='recap S1'!P$2))&gt;0,SUMPRODUCT((ListeB='recap S1'!$B40)*(OFFSET(ListeB,,4)='recap S1'!P$3)*(OFFSET(ListeB,,1)='recap S1'!P$2)),"")</f>
        <v/>
      </c>
      <c r="Q40" s="32" t="str">
        <f ca="1">IF(SUMPRODUCT((ListeB='recap S1'!$B40)*(OFFSET(ListeB,,4)='recap S1'!Q$3)*(OFFSET(ListeB,,1)='recap S1'!Q$2))&gt;0,SUMPRODUCT((ListeB='recap S1'!$B40)*(OFFSET(ListeB,,4)='recap S1'!Q$3)*(OFFSET(ListeB,,1)='recap S1'!Q$2)),"")</f>
        <v/>
      </c>
      <c r="R40" s="32" t="str">
        <f ca="1">IF(SUMPRODUCT((ListeB='recap S1'!$B40)*(OFFSET(ListeB,,4)='recap S1'!R$3)*(OFFSET(ListeB,,1)='recap S1'!R$2))&gt;0,SUMPRODUCT((ListeB='recap S1'!$B40)*(OFFSET(ListeB,,4)='recap S1'!R$3)*(OFFSET(ListeB,,1)='recap S1'!R$2)),"")</f>
        <v/>
      </c>
      <c r="S40" s="32" t="str">
        <f ca="1">IF(SUMPRODUCT((ListeB='recap S1'!$B40)*(OFFSET(ListeB,,4)='recap S1'!S$3)*(OFFSET(ListeB,,1)='recap S1'!S$2))&gt;0,SUMPRODUCT((ListeB='recap S1'!$B40)*(OFFSET(ListeB,,4)='recap S1'!S$3)*(OFFSET(ListeB,,1)='recap S1'!S$2)),"")</f>
        <v/>
      </c>
      <c r="T40" s="32" t="str">
        <f ca="1">IF(SUMPRODUCT((ListeB='recap S1'!$B40)*(OFFSET(ListeB,,4)='recap S1'!T$3)*(OFFSET(ListeB,,1)='recap S1'!T$2))&gt;0,SUMPRODUCT((ListeB='recap S1'!$B40)*(OFFSET(ListeB,,4)='recap S1'!T$3)*(OFFSET(ListeB,,1)='recap S1'!T$2)),"")</f>
        <v/>
      </c>
      <c r="U40" s="32" t="str">
        <f ca="1">IF(SUMPRODUCT((ListeB='recap S1'!$B40)*(OFFSET(ListeB,,4)='recap S1'!U$3)*(OFFSET(ListeB,,1)='recap S1'!U$2))&gt;0,SUMPRODUCT((ListeB='recap S1'!$B40)*(OFFSET(ListeB,,4)='recap S1'!U$3)*(OFFSET(ListeB,,1)='recap S1'!U$2)),"")</f>
        <v/>
      </c>
      <c r="V40" s="32" t="str">
        <f ca="1">IF(SUMPRODUCT((ListeB='recap S1'!$B40)*(OFFSET(ListeB,,4)='recap S1'!V$3)*(OFFSET(ListeB,,1)='recap S1'!V$2))&gt;0,SUMPRODUCT((ListeB='recap S1'!$B40)*(OFFSET(ListeB,,4)='recap S1'!V$3)*(OFFSET(ListeB,,1)='recap S1'!V$2)),"")</f>
        <v/>
      </c>
      <c r="W40" s="32" t="str">
        <f ca="1">IF(SUMPRODUCT((ListeB='recap S1'!$B40)*(OFFSET(ListeB,,4)='recap S1'!W$3)*(OFFSET(ListeB,,1)='recap S1'!W$2))&gt;0,SUMPRODUCT((ListeB='recap S1'!$B40)*(OFFSET(ListeB,,4)='recap S1'!W$3)*(OFFSET(ListeB,,1)='recap S1'!W$2)),"")</f>
        <v/>
      </c>
      <c r="X40" s="32" t="str">
        <f ca="1">IF(SUMPRODUCT((ListeB='recap S1'!$B40)*(OFFSET(ListeB,,4)='recap S1'!X$3)*(OFFSET(ListeB,,1)='recap S1'!X$2))&gt;0,SUMPRODUCT((ListeB='recap S1'!$B40)*(OFFSET(ListeB,,4)='recap S1'!X$3)*(OFFSET(ListeB,,1)='recap S1'!X$2)),"")</f>
        <v/>
      </c>
      <c r="Y40" s="32" t="str">
        <f ca="1">IF(SUMPRODUCT((ListeB='recap S1'!$B40)*(OFFSET(ListeB,,4)='recap S1'!Y$3)*(OFFSET(ListeB,,1)='recap S1'!Y$2))&gt;0,SUMPRODUCT((ListeB='recap S1'!$B40)*(OFFSET(ListeB,,4)='recap S1'!Y$3)*(OFFSET(ListeB,,1)='recap S1'!Y$2)),"")</f>
        <v/>
      </c>
      <c r="Z40" s="32" t="str">
        <f ca="1">IF(SUMPRODUCT((ListeB='recap S1'!$B40)*(OFFSET(ListeB,,4)='recap S1'!Z$3)*(OFFSET(ListeB,,1)='recap S1'!Z$2))&gt;0,SUMPRODUCT((ListeB='recap S1'!$B40)*(OFFSET(ListeB,,4)='recap S1'!Z$3)*(OFFSET(ListeB,,1)='recap S1'!Z$2)),"")</f>
        <v/>
      </c>
      <c r="AA40" s="32" t="str">
        <f ca="1">IF(SUMPRODUCT((ListeB='recap S1'!$B40)*(OFFSET(ListeB,,4)='recap S1'!AA$3)*(OFFSET(ListeB,,1)='recap S1'!AA$2))&gt;0,SUMPRODUCT((ListeB='recap S1'!$B40)*(OFFSET(ListeB,,4)='recap S1'!AA$3)*(OFFSET(ListeB,,1)='recap S1'!AA$2)),"")</f>
        <v/>
      </c>
      <c r="AB40" s="32" t="str">
        <f ca="1">IF(SUMPRODUCT((ListeB='recap S1'!$B40)*(OFFSET(ListeB,,4)='recap S1'!AB$3)*(OFFSET(ListeB,,1)='recap S1'!AB$2))&gt;0,SUMPRODUCT((ListeB='recap S1'!$B40)*(OFFSET(ListeB,,4)='recap S1'!AB$3)*(OFFSET(ListeB,,1)='recap S1'!AB$2)),"")</f>
        <v/>
      </c>
      <c r="AC40" s="32" t="str">
        <f ca="1">IF(SUMPRODUCT((ListeB='recap S1'!$B40)*(OFFSET(ListeB,,4)='recap S1'!AC$3)*(OFFSET(ListeB,,1)='recap S1'!AC$2))&gt;0,SUMPRODUCT((ListeB='recap S1'!$B40)*(OFFSET(ListeB,,4)='recap S1'!AC$3)*(OFFSET(ListeB,,1)='recap S1'!AC$2)),"")</f>
        <v/>
      </c>
      <c r="AD40" s="32" t="str">
        <f ca="1">IF(SUMPRODUCT((ListeB='recap S1'!$B40)*(OFFSET(ListeB,,4)='recap S1'!AD$3)*(OFFSET(ListeB,,1)='recap S1'!AD$2))&gt;0,SUMPRODUCT((ListeB='recap S1'!$B40)*(OFFSET(ListeB,,4)='recap S1'!AD$3)*(OFFSET(ListeB,,1)='recap S1'!AD$2)),"")</f>
        <v/>
      </c>
      <c r="AE40" s="32" t="str">
        <f ca="1">IF(SUMPRODUCT((ListeB='recap S1'!$B40)*(OFFSET(ListeB,,4)='recap S1'!AE$3)*(OFFSET(ListeB,,1)='recap S1'!AE$2))&gt;0,SUMPRODUCT((ListeB='recap S1'!$B40)*(OFFSET(ListeB,,4)='recap S1'!AE$3)*(OFFSET(ListeB,,1)='recap S1'!AE$2)),"")</f>
        <v/>
      </c>
      <c r="AF40" s="32" t="str">
        <f ca="1">IF(SUMPRODUCT((ListeB='recap S1'!$B40)*(OFFSET(ListeB,,4)='recap S1'!AF$3)*(OFFSET(ListeB,,1)='recap S1'!AF$2))&gt;0,SUMPRODUCT((ListeB='recap S1'!$B40)*(OFFSET(ListeB,,4)='recap S1'!AF$3)*(OFFSET(ListeB,,1)='recap S1'!AF$2)),"")</f>
        <v/>
      </c>
      <c r="AG40" s="32" t="str">
        <f ca="1">IF(SUMPRODUCT((ListeB='recap S1'!$B40)*(OFFSET(ListeB,,4)='recap S1'!AG$3)*(OFFSET(ListeB,,1)='recap S1'!AG$2))&gt;0,SUMPRODUCT((ListeB='recap S1'!$B40)*(OFFSET(ListeB,,4)='recap S1'!AG$3)*(OFFSET(ListeB,,1)='recap S1'!AG$2)),"")</f>
        <v/>
      </c>
      <c r="AH40" s="32" t="str">
        <f ca="1">IF(SUMPRODUCT((ListeB='recap S1'!$B40)*(OFFSET(ListeB,,4)='recap S1'!AH$3)*(OFFSET(ListeB,,1)='recap S1'!AH$2))&gt;0,SUMPRODUCT((ListeB='recap S1'!$B40)*(OFFSET(ListeB,,4)='recap S1'!AH$3)*(OFFSET(ListeB,,1)='recap S1'!AH$2)),"")</f>
        <v/>
      </c>
      <c r="AI40" s="32" t="str">
        <f ca="1">IF(SUMPRODUCT((ListeB='recap S1'!$B40)*(OFFSET(ListeB,,4)='recap S1'!AI$3)*(OFFSET(ListeB,,1)='recap S1'!AI$2))&gt;0,SUMPRODUCT((ListeB='recap S1'!$B40)*(OFFSET(ListeB,,4)='recap S1'!AI$3)*(OFFSET(ListeB,,1)='recap S1'!AI$2)),"")</f>
        <v/>
      </c>
      <c r="AJ40" s="32" t="str">
        <f ca="1">IF(SUMPRODUCT((ListeB='recap S1'!$B40)*(OFFSET(ListeB,,4)='recap S1'!AJ$3)*(OFFSET(ListeB,,1)='recap S1'!AJ$2))&gt;0,SUMPRODUCT((ListeB='recap S1'!$B40)*(OFFSET(ListeB,,4)='recap S1'!AJ$3)*(OFFSET(ListeB,,1)='recap S1'!AJ$2)),"")</f>
        <v/>
      </c>
      <c r="AK40" s="32" t="str">
        <f ca="1">IF(SUMPRODUCT((ListeB='recap S1'!$B40)*(OFFSET(ListeB,,4)='recap S1'!AK$3)*(OFFSET(ListeB,,1)='recap S1'!AK$2))&gt;0,SUMPRODUCT((ListeB='recap S1'!$B40)*(OFFSET(ListeB,,4)='recap S1'!AK$3)*(OFFSET(ListeB,,1)='recap S1'!AK$2)),"")</f>
        <v/>
      </c>
      <c r="AL40" s="32" t="str">
        <f ca="1">IF(SUMPRODUCT((ListeB='recap S1'!$B40)*(OFFSET(ListeB,,4)='recap S1'!AL$3)*(OFFSET(ListeB,,1)='recap S1'!AL$2))&gt;0,SUMPRODUCT((ListeB='recap S1'!$B40)*(OFFSET(ListeB,,4)='recap S1'!AL$3)*(OFFSET(ListeB,,1)='recap S1'!AL$2)),"")</f>
        <v/>
      </c>
      <c r="AM40" s="32" t="str">
        <f ca="1">IF(SUMPRODUCT((ListeB='recap S1'!$B40)*(OFFSET(ListeB,,4)='recap S1'!AM$3)*(OFFSET(ListeB,,1)='recap S1'!AM$2))&gt;0,SUMPRODUCT((ListeB='recap S1'!$B40)*(OFFSET(ListeB,,4)='recap S1'!AM$3)*(OFFSET(ListeB,,1)='recap S1'!AM$2)),"")</f>
        <v/>
      </c>
      <c r="AN40" s="32" t="str">
        <f ca="1">IF(SUMPRODUCT((ListeB='recap S1'!$B40)*(OFFSET(ListeB,,4)='recap S1'!AN$3)*(OFFSET(ListeB,,1)='recap S1'!AN$2))&gt;0,SUMPRODUCT((ListeB='recap S1'!$B40)*(OFFSET(ListeB,,4)='recap S1'!AN$3)*(OFFSET(ListeB,,1)='recap S1'!AN$2)),"")</f>
        <v/>
      </c>
      <c r="AO40" s="32" t="str">
        <f ca="1">IF(SUMPRODUCT((ListeB='recap S1'!$B40)*(OFFSET(ListeB,,4)='recap S1'!AO$3)*(OFFSET(ListeB,,1)='recap S1'!AO$2))&gt;0,SUMPRODUCT((ListeB='recap S1'!$B40)*(OFFSET(ListeB,,4)='recap S1'!AO$3)*(OFFSET(ListeB,,1)='recap S1'!AO$2)),"")</f>
        <v/>
      </c>
      <c r="AP40" s="32" t="str">
        <f ca="1">IF(SUMPRODUCT((ListeB='recap S1'!$B40)*(OFFSET(ListeB,,4)='recap S1'!AP$3)*(OFFSET(ListeB,,1)='recap S1'!AP$2))&gt;0,SUMPRODUCT((ListeB='recap S1'!$B40)*(OFFSET(ListeB,,4)='recap S1'!AP$3)*(OFFSET(ListeB,,1)='recap S1'!AP$2)),"")</f>
        <v/>
      </c>
      <c r="AQ40" s="32" t="str">
        <f ca="1">IF(SUMPRODUCT((ListeB='recap S1'!$B40)*(OFFSET(ListeB,,4)='recap S1'!AQ$3)*(OFFSET(ListeB,,1)='recap S1'!AQ$2))&gt;0,SUMPRODUCT((ListeB='recap S1'!$B40)*(OFFSET(ListeB,,4)='recap S1'!AQ$3)*(OFFSET(ListeB,,1)='recap S1'!AQ$2)),"")</f>
        <v/>
      </c>
      <c r="AR40" s="32" t="str">
        <f ca="1">IF(SUMPRODUCT((ListeB='recap S1'!$B40)*(OFFSET(ListeB,,4)='recap S1'!AR$3)*(OFFSET(ListeB,,1)='recap S1'!AR$2))&gt;0,SUMPRODUCT((ListeB='recap S1'!$B40)*(OFFSET(ListeB,,4)='recap S1'!AR$3)*(OFFSET(ListeB,,1)='recap S1'!AR$2)),"")</f>
        <v/>
      </c>
      <c r="AS40" s="32" t="str">
        <f ca="1">IF(SUMPRODUCT((ListeB='recap S1'!$B40)*(OFFSET(ListeB,,4)='recap S1'!AS$3)*(OFFSET(ListeB,,1)='recap S1'!AS$2))&gt;0,SUMPRODUCT((ListeB='recap S1'!$B40)*(OFFSET(ListeB,,4)='recap S1'!AS$3)*(OFFSET(ListeB,,1)='recap S1'!AS$2)),"")</f>
        <v/>
      </c>
      <c r="AT40" s="32" t="str">
        <f ca="1">IF(SUMPRODUCT((ListeB='recap S1'!$B40)*(OFFSET(ListeB,,4)='recap S1'!AT$3)*(OFFSET(ListeB,,1)='recap S1'!AT$2))&gt;0,SUMPRODUCT((ListeB='recap S1'!$B40)*(OFFSET(ListeB,,4)='recap S1'!AT$3)*(OFFSET(ListeB,,1)='recap S1'!AT$2)),"")</f>
        <v/>
      </c>
      <c r="AU40" s="32" t="str">
        <f ca="1">IF(SUMPRODUCT((ListeB='recap S1'!$B40)*(OFFSET(ListeB,,4)='recap S1'!AU$3)*(OFFSET(ListeB,,1)='recap S1'!AU$2))&gt;0,SUMPRODUCT((ListeB='recap S1'!$B40)*(OFFSET(ListeB,,4)='recap S1'!AU$3)*(OFFSET(ListeB,,1)='recap S1'!AU$2)),"")</f>
        <v/>
      </c>
      <c r="AV40" s="32" t="str">
        <f ca="1">IF(SUMPRODUCT((ListeB='recap S1'!$B40)*(OFFSET(ListeB,,4)='recap S1'!AV$3)*(OFFSET(ListeB,,1)='recap S1'!AV$2))&gt;0,SUMPRODUCT((ListeB='recap S1'!$B40)*(OFFSET(ListeB,,4)='recap S1'!AV$3)*(OFFSET(ListeB,,1)='recap S1'!AV$2)),"")</f>
        <v/>
      </c>
      <c r="AW40" s="32" t="str">
        <f ca="1">IF(SUMPRODUCT((ListeB='recap S1'!$B40)*(OFFSET(ListeB,,4)='recap S1'!AW$3)*(OFFSET(ListeB,,1)='recap S1'!AW$2))&gt;0,SUMPRODUCT((ListeB='recap S1'!$B40)*(OFFSET(ListeB,,4)='recap S1'!AW$3)*(OFFSET(ListeB,,1)='recap S1'!AW$2)),"")</f>
        <v/>
      </c>
      <c r="AX40" s="32" t="str">
        <f ca="1">IF(SUMPRODUCT((ListeB='recap S1'!$B40)*(OFFSET(ListeB,,4)='recap S1'!AX$3)*(OFFSET(ListeB,,1)='recap S1'!AX$2))&gt;0,SUMPRODUCT((ListeB='recap S1'!$B40)*(OFFSET(ListeB,,4)='recap S1'!AX$3)*(OFFSET(ListeB,,1)='recap S1'!AX$2)),"")</f>
        <v/>
      </c>
      <c r="AY40" s="32" t="str">
        <f ca="1">IF(SUMPRODUCT((ListeB='recap S1'!$B40)*(OFFSET(ListeB,,4)='recap S1'!AY$3)*(OFFSET(ListeB,,1)='recap S1'!AY$2))&gt;0,SUMPRODUCT((ListeB='recap S1'!$B40)*(OFFSET(ListeB,,4)='recap S1'!AY$3)*(OFFSET(ListeB,,1)='recap S1'!AY$2)),"")</f>
        <v/>
      </c>
      <c r="AZ40" s="32">
        <f t="shared" ca="1" si="1"/>
        <v>0</v>
      </c>
    </row>
    <row r="41" spans="1:52">
      <c r="A41" s="41" t="str">
        <f>IF('SEANCE 1'!$B39&lt;&gt;"",'SEANCE 1'!$A39,"")</f>
        <v/>
      </c>
      <c r="B41" s="41" t="str">
        <f t="array" aca="1" ref="B41" ca="1">IF(ISNA(INDEX(ListeB,MATCH(0,COUNTIF($B$3:B40,ListeB),0))),"",INDEX(ListeB,MATCH(0,COUNTIF($B$3:B40,ListeB),0)))</f>
        <v/>
      </c>
      <c r="C41" s="32" t="str">
        <f ca="1">IF(SUMPRODUCT((ListeB='recap S1'!$B41)*(OFFSET(ListeB,,4)='recap S1'!C$3)*(OFFSET(ListeB,,1)='recap S1'!C$2))&gt;0,SUMPRODUCT((ListeB='recap S1'!$B41)*(OFFSET(ListeB,,4)='recap S1'!C$3)*(OFFSET(ListeB,,1)='recap S1'!C$2)),"")</f>
        <v/>
      </c>
      <c r="D41" s="32" t="str">
        <f ca="1">IF(SUMPRODUCT((ListeB='recap S1'!$B41)*(OFFSET(ListeB,,4)='recap S1'!D$3)*(OFFSET(ListeB,,1)='recap S1'!D$2))&gt;0,SUMPRODUCT((ListeB='recap S1'!$B41)*(OFFSET(ListeB,,4)='recap S1'!D$3)*(OFFSET(ListeB,,1)='recap S1'!D$2)),"")</f>
        <v/>
      </c>
      <c r="E41" s="32" t="str">
        <f ca="1">IF(SUMPRODUCT((ListeB='recap S1'!$B41)*(OFFSET(ListeB,,4)='recap S1'!E$3)*(OFFSET(ListeB,,1)='recap S1'!E$2))&gt;0,SUMPRODUCT((ListeB='recap S1'!$B41)*(OFFSET(ListeB,,4)='recap S1'!E$3)*(OFFSET(ListeB,,1)='recap S1'!E$2)),"")</f>
        <v/>
      </c>
      <c r="F41" s="32" t="str">
        <f ca="1">IF(SUMPRODUCT((ListeB='recap S1'!$B41)*(OFFSET(ListeB,,4)='recap S1'!F$3)*(OFFSET(ListeB,,1)='recap S1'!F$2))&gt;0,SUMPRODUCT((ListeB='recap S1'!$B41)*(OFFSET(ListeB,,4)='recap S1'!F$3)*(OFFSET(ListeB,,1)='recap S1'!F$2)),"")</f>
        <v/>
      </c>
      <c r="G41" s="32" t="str">
        <f ca="1">IF(SUMPRODUCT((ListeB='recap S1'!$B41)*(OFFSET(ListeB,,4)='recap S1'!G$3)*(OFFSET(ListeB,,1)='recap S1'!G$2))&gt;0,SUMPRODUCT((ListeB='recap S1'!$B41)*(OFFSET(ListeB,,4)='recap S1'!G$3)*(OFFSET(ListeB,,1)='recap S1'!G$2)),"")</f>
        <v/>
      </c>
      <c r="H41" s="32" t="str">
        <f ca="1">IF(SUMPRODUCT((ListeB='recap S1'!$B41)*(OFFSET(ListeB,,4)='recap S1'!H$3)*(OFFSET(ListeB,,1)='recap S1'!H$2))&gt;0,SUMPRODUCT((ListeB='recap S1'!$B41)*(OFFSET(ListeB,,4)='recap S1'!H$3)*(OFFSET(ListeB,,1)='recap S1'!H$2)),"")</f>
        <v/>
      </c>
      <c r="I41" s="32" t="str">
        <f ca="1">IF(SUMPRODUCT((ListeB='recap S1'!$B41)*(OFFSET(ListeB,,4)='recap S1'!I$3)*(OFFSET(ListeB,,1)='recap S1'!I$2))&gt;0,SUMPRODUCT((ListeB='recap S1'!$B41)*(OFFSET(ListeB,,4)='recap S1'!I$3)*(OFFSET(ListeB,,1)='recap S1'!I$2)),"")</f>
        <v/>
      </c>
      <c r="J41" s="32" t="str">
        <f ca="1">IF(SUMPRODUCT((ListeB='recap S1'!$B41)*(OFFSET(ListeB,,4)='recap S1'!J$3)*(OFFSET(ListeB,,1)='recap S1'!J$2))&gt;0,SUMPRODUCT((ListeB='recap S1'!$B41)*(OFFSET(ListeB,,4)='recap S1'!J$3)*(OFFSET(ListeB,,1)='recap S1'!J$2)),"")</f>
        <v/>
      </c>
      <c r="K41" s="32" t="str">
        <f ca="1">IF(SUMPRODUCT((ListeB='recap S1'!$B41)*(OFFSET(ListeB,,4)='recap S1'!K$3)*(OFFSET(ListeB,,1)='recap S1'!K$2))&gt;0,SUMPRODUCT((ListeB='recap S1'!$B41)*(OFFSET(ListeB,,4)='recap S1'!K$3)*(OFFSET(ListeB,,1)='recap S1'!K$2)),"")</f>
        <v/>
      </c>
      <c r="L41" s="32" t="str">
        <f ca="1">IF(SUMPRODUCT((ListeB='recap S1'!$B41)*(OFFSET(ListeB,,4)='recap S1'!L$3)*(OFFSET(ListeB,,1)='recap S1'!L$2))&gt;0,SUMPRODUCT((ListeB='recap S1'!$B41)*(OFFSET(ListeB,,4)='recap S1'!L$3)*(OFFSET(ListeB,,1)='recap S1'!L$2)),"")</f>
        <v/>
      </c>
      <c r="M41" s="32" t="str">
        <f ca="1">IF(SUMPRODUCT((ListeB='recap S1'!$B41)*(OFFSET(ListeB,,4)='recap S1'!M$3)*(OFFSET(ListeB,,1)='recap S1'!M$2))&gt;0,SUMPRODUCT((ListeB='recap S1'!$B41)*(OFFSET(ListeB,,4)='recap S1'!M$3)*(OFFSET(ListeB,,1)='recap S1'!M$2)),"")</f>
        <v/>
      </c>
      <c r="N41" s="32" t="str">
        <f ca="1">IF(SUMPRODUCT((ListeB='recap S1'!$B41)*(OFFSET(ListeB,,4)='recap S1'!N$3)*(OFFSET(ListeB,,1)='recap S1'!N$2))&gt;0,SUMPRODUCT((ListeB='recap S1'!$B41)*(OFFSET(ListeB,,4)='recap S1'!N$3)*(OFFSET(ListeB,,1)='recap S1'!N$2)),"")</f>
        <v/>
      </c>
      <c r="O41" s="32" t="str">
        <f ca="1">IF(SUMPRODUCT((ListeB='recap S1'!$B41)*(OFFSET(ListeB,,4)='recap S1'!O$3)*(OFFSET(ListeB,,1)='recap S1'!O$2))&gt;0,SUMPRODUCT((ListeB='recap S1'!$B41)*(OFFSET(ListeB,,4)='recap S1'!O$3)*(OFFSET(ListeB,,1)='recap S1'!O$2)),"")</f>
        <v/>
      </c>
      <c r="P41" s="32" t="str">
        <f ca="1">IF(SUMPRODUCT((ListeB='recap S1'!$B41)*(OFFSET(ListeB,,4)='recap S1'!P$3)*(OFFSET(ListeB,,1)='recap S1'!P$2))&gt;0,SUMPRODUCT((ListeB='recap S1'!$B41)*(OFFSET(ListeB,,4)='recap S1'!P$3)*(OFFSET(ListeB,,1)='recap S1'!P$2)),"")</f>
        <v/>
      </c>
      <c r="Q41" s="32" t="str">
        <f ca="1">IF(SUMPRODUCT((ListeB='recap S1'!$B41)*(OFFSET(ListeB,,4)='recap S1'!Q$3)*(OFFSET(ListeB,,1)='recap S1'!Q$2))&gt;0,SUMPRODUCT((ListeB='recap S1'!$B41)*(OFFSET(ListeB,,4)='recap S1'!Q$3)*(OFFSET(ListeB,,1)='recap S1'!Q$2)),"")</f>
        <v/>
      </c>
      <c r="R41" s="32" t="str">
        <f ca="1">IF(SUMPRODUCT((ListeB='recap S1'!$B41)*(OFFSET(ListeB,,4)='recap S1'!R$3)*(OFFSET(ListeB,,1)='recap S1'!R$2))&gt;0,SUMPRODUCT((ListeB='recap S1'!$B41)*(OFFSET(ListeB,,4)='recap S1'!R$3)*(OFFSET(ListeB,,1)='recap S1'!R$2)),"")</f>
        <v/>
      </c>
      <c r="S41" s="32" t="str">
        <f ca="1">IF(SUMPRODUCT((ListeB='recap S1'!$B41)*(OFFSET(ListeB,,4)='recap S1'!S$3)*(OFFSET(ListeB,,1)='recap S1'!S$2))&gt;0,SUMPRODUCT((ListeB='recap S1'!$B41)*(OFFSET(ListeB,,4)='recap S1'!S$3)*(OFFSET(ListeB,,1)='recap S1'!S$2)),"")</f>
        <v/>
      </c>
      <c r="T41" s="32" t="str">
        <f ca="1">IF(SUMPRODUCT((ListeB='recap S1'!$B41)*(OFFSET(ListeB,,4)='recap S1'!T$3)*(OFFSET(ListeB,,1)='recap S1'!T$2))&gt;0,SUMPRODUCT((ListeB='recap S1'!$B41)*(OFFSET(ListeB,,4)='recap S1'!T$3)*(OFFSET(ListeB,,1)='recap S1'!T$2)),"")</f>
        <v/>
      </c>
      <c r="U41" s="32" t="str">
        <f ca="1">IF(SUMPRODUCT((ListeB='recap S1'!$B41)*(OFFSET(ListeB,,4)='recap S1'!U$3)*(OFFSET(ListeB,,1)='recap S1'!U$2))&gt;0,SUMPRODUCT((ListeB='recap S1'!$B41)*(OFFSET(ListeB,,4)='recap S1'!U$3)*(OFFSET(ListeB,,1)='recap S1'!U$2)),"")</f>
        <v/>
      </c>
      <c r="V41" s="32" t="str">
        <f ca="1">IF(SUMPRODUCT((ListeB='recap S1'!$B41)*(OFFSET(ListeB,,4)='recap S1'!V$3)*(OFFSET(ListeB,,1)='recap S1'!V$2))&gt;0,SUMPRODUCT((ListeB='recap S1'!$B41)*(OFFSET(ListeB,,4)='recap S1'!V$3)*(OFFSET(ListeB,,1)='recap S1'!V$2)),"")</f>
        <v/>
      </c>
      <c r="W41" s="32" t="str">
        <f ca="1">IF(SUMPRODUCT((ListeB='recap S1'!$B41)*(OFFSET(ListeB,,4)='recap S1'!W$3)*(OFFSET(ListeB,,1)='recap S1'!W$2))&gt;0,SUMPRODUCT((ListeB='recap S1'!$B41)*(OFFSET(ListeB,,4)='recap S1'!W$3)*(OFFSET(ListeB,,1)='recap S1'!W$2)),"")</f>
        <v/>
      </c>
      <c r="X41" s="32" t="str">
        <f ca="1">IF(SUMPRODUCT((ListeB='recap S1'!$B41)*(OFFSET(ListeB,,4)='recap S1'!X$3)*(OFFSET(ListeB,,1)='recap S1'!X$2))&gt;0,SUMPRODUCT((ListeB='recap S1'!$B41)*(OFFSET(ListeB,,4)='recap S1'!X$3)*(OFFSET(ListeB,,1)='recap S1'!X$2)),"")</f>
        <v/>
      </c>
      <c r="Y41" s="32" t="str">
        <f ca="1">IF(SUMPRODUCT((ListeB='recap S1'!$B41)*(OFFSET(ListeB,,4)='recap S1'!Y$3)*(OFFSET(ListeB,,1)='recap S1'!Y$2))&gt;0,SUMPRODUCT((ListeB='recap S1'!$B41)*(OFFSET(ListeB,,4)='recap S1'!Y$3)*(OFFSET(ListeB,,1)='recap S1'!Y$2)),"")</f>
        <v/>
      </c>
      <c r="Z41" s="32" t="str">
        <f ca="1">IF(SUMPRODUCT((ListeB='recap S1'!$B41)*(OFFSET(ListeB,,4)='recap S1'!Z$3)*(OFFSET(ListeB,,1)='recap S1'!Z$2))&gt;0,SUMPRODUCT((ListeB='recap S1'!$B41)*(OFFSET(ListeB,,4)='recap S1'!Z$3)*(OFFSET(ListeB,,1)='recap S1'!Z$2)),"")</f>
        <v/>
      </c>
      <c r="AA41" s="32" t="str">
        <f ca="1">IF(SUMPRODUCT((ListeB='recap S1'!$B41)*(OFFSET(ListeB,,4)='recap S1'!AA$3)*(OFFSET(ListeB,,1)='recap S1'!AA$2))&gt;0,SUMPRODUCT((ListeB='recap S1'!$B41)*(OFFSET(ListeB,,4)='recap S1'!AA$3)*(OFFSET(ListeB,,1)='recap S1'!AA$2)),"")</f>
        <v/>
      </c>
      <c r="AB41" s="32" t="str">
        <f ca="1">IF(SUMPRODUCT((ListeB='recap S1'!$B41)*(OFFSET(ListeB,,4)='recap S1'!AB$3)*(OFFSET(ListeB,,1)='recap S1'!AB$2))&gt;0,SUMPRODUCT((ListeB='recap S1'!$B41)*(OFFSET(ListeB,,4)='recap S1'!AB$3)*(OFFSET(ListeB,,1)='recap S1'!AB$2)),"")</f>
        <v/>
      </c>
      <c r="AC41" s="32" t="str">
        <f ca="1">IF(SUMPRODUCT((ListeB='recap S1'!$B41)*(OFFSET(ListeB,,4)='recap S1'!AC$3)*(OFFSET(ListeB,,1)='recap S1'!AC$2))&gt;0,SUMPRODUCT((ListeB='recap S1'!$B41)*(OFFSET(ListeB,,4)='recap S1'!AC$3)*(OFFSET(ListeB,,1)='recap S1'!AC$2)),"")</f>
        <v/>
      </c>
      <c r="AD41" s="32" t="str">
        <f ca="1">IF(SUMPRODUCT((ListeB='recap S1'!$B41)*(OFFSET(ListeB,,4)='recap S1'!AD$3)*(OFFSET(ListeB,,1)='recap S1'!AD$2))&gt;0,SUMPRODUCT((ListeB='recap S1'!$B41)*(OFFSET(ListeB,,4)='recap S1'!AD$3)*(OFFSET(ListeB,,1)='recap S1'!AD$2)),"")</f>
        <v/>
      </c>
      <c r="AE41" s="32" t="str">
        <f ca="1">IF(SUMPRODUCT((ListeB='recap S1'!$B41)*(OFFSET(ListeB,,4)='recap S1'!AE$3)*(OFFSET(ListeB,,1)='recap S1'!AE$2))&gt;0,SUMPRODUCT((ListeB='recap S1'!$B41)*(OFFSET(ListeB,,4)='recap S1'!AE$3)*(OFFSET(ListeB,,1)='recap S1'!AE$2)),"")</f>
        <v/>
      </c>
      <c r="AF41" s="32" t="str">
        <f ca="1">IF(SUMPRODUCT((ListeB='recap S1'!$B41)*(OFFSET(ListeB,,4)='recap S1'!AF$3)*(OFFSET(ListeB,,1)='recap S1'!AF$2))&gt;0,SUMPRODUCT((ListeB='recap S1'!$B41)*(OFFSET(ListeB,,4)='recap S1'!AF$3)*(OFFSET(ListeB,,1)='recap S1'!AF$2)),"")</f>
        <v/>
      </c>
      <c r="AG41" s="32" t="str">
        <f ca="1">IF(SUMPRODUCT((ListeB='recap S1'!$B41)*(OFFSET(ListeB,,4)='recap S1'!AG$3)*(OFFSET(ListeB,,1)='recap S1'!AG$2))&gt;0,SUMPRODUCT((ListeB='recap S1'!$B41)*(OFFSET(ListeB,,4)='recap S1'!AG$3)*(OFFSET(ListeB,,1)='recap S1'!AG$2)),"")</f>
        <v/>
      </c>
      <c r="AH41" s="32" t="str">
        <f ca="1">IF(SUMPRODUCT((ListeB='recap S1'!$B41)*(OFFSET(ListeB,,4)='recap S1'!AH$3)*(OFFSET(ListeB,,1)='recap S1'!AH$2))&gt;0,SUMPRODUCT((ListeB='recap S1'!$B41)*(OFFSET(ListeB,,4)='recap S1'!AH$3)*(OFFSET(ListeB,,1)='recap S1'!AH$2)),"")</f>
        <v/>
      </c>
      <c r="AI41" s="32" t="str">
        <f ca="1">IF(SUMPRODUCT((ListeB='recap S1'!$B41)*(OFFSET(ListeB,,4)='recap S1'!AI$3)*(OFFSET(ListeB,,1)='recap S1'!AI$2))&gt;0,SUMPRODUCT((ListeB='recap S1'!$B41)*(OFFSET(ListeB,,4)='recap S1'!AI$3)*(OFFSET(ListeB,,1)='recap S1'!AI$2)),"")</f>
        <v/>
      </c>
      <c r="AJ41" s="32" t="str">
        <f ca="1">IF(SUMPRODUCT((ListeB='recap S1'!$B41)*(OFFSET(ListeB,,4)='recap S1'!AJ$3)*(OFFSET(ListeB,,1)='recap S1'!AJ$2))&gt;0,SUMPRODUCT((ListeB='recap S1'!$B41)*(OFFSET(ListeB,,4)='recap S1'!AJ$3)*(OFFSET(ListeB,,1)='recap S1'!AJ$2)),"")</f>
        <v/>
      </c>
      <c r="AK41" s="32" t="str">
        <f ca="1">IF(SUMPRODUCT((ListeB='recap S1'!$B41)*(OFFSET(ListeB,,4)='recap S1'!AK$3)*(OFFSET(ListeB,,1)='recap S1'!AK$2))&gt;0,SUMPRODUCT((ListeB='recap S1'!$B41)*(OFFSET(ListeB,,4)='recap S1'!AK$3)*(OFFSET(ListeB,,1)='recap S1'!AK$2)),"")</f>
        <v/>
      </c>
      <c r="AL41" s="32" t="str">
        <f ca="1">IF(SUMPRODUCT((ListeB='recap S1'!$B41)*(OFFSET(ListeB,,4)='recap S1'!AL$3)*(OFFSET(ListeB,,1)='recap S1'!AL$2))&gt;0,SUMPRODUCT((ListeB='recap S1'!$B41)*(OFFSET(ListeB,,4)='recap S1'!AL$3)*(OFFSET(ListeB,,1)='recap S1'!AL$2)),"")</f>
        <v/>
      </c>
      <c r="AM41" s="32" t="str">
        <f ca="1">IF(SUMPRODUCT((ListeB='recap S1'!$B41)*(OFFSET(ListeB,,4)='recap S1'!AM$3)*(OFFSET(ListeB,,1)='recap S1'!AM$2))&gt;0,SUMPRODUCT((ListeB='recap S1'!$B41)*(OFFSET(ListeB,,4)='recap S1'!AM$3)*(OFFSET(ListeB,,1)='recap S1'!AM$2)),"")</f>
        <v/>
      </c>
      <c r="AN41" s="32" t="str">
        <f ca="1">IF(SUMPRODUCT((ListeB='recap S1'!$B41)*(OFFSET(ListeB,,4)='recap S1'!AN$3)*(OFFSET(ListeB,,1)='recap S1'!AN$2))&gt;0,SUMPRODUCT((ListeB='recap S1'!$B41)*(OFFSET(ListeB,,4)='recap S1'!AN$3)*(OFFSET(ListeB,,1)='recap S1'!AN$2)),"")</f>
        <v/>
      </c>
      <c r="AO41" s="32" t="str">
        <f ca="1">IF(SUMPRODUCT((ListeB='recap S1'!$B41)*(OFFSET(ListeB,,4)='recap S1'!AO$3)*(OFFSET(ListeB,,1)='recap S1'!AO$2))&gt;0,SUMPRODUCT((ListeB='recap S1'!$B41)*(OFFSET(ListeB,,4)='recap S1'!AO$3)*(OFFSET(ListeB,,1)='recap S1'!AO$2)),"")</f>
        <v/>
      </c>
      <c r="AP41" s="32" t="str">
        <f ca="1">IF(SUMPRODUCT((ListeB='recap S1'!$B41)*(OFFSET(ListeB,,4)='recap S1'!AP$3)*(OFFSET(ListeB,,1)='recap S1'!AP$2))&gt;0,SUMPRODUCT((ListeB='recap S1'!$B41)*(OFFSET(ListeB,,4)='recap S1'!AP$3)*(OFFSET(ListeB,,1)='recap S1'!AP$2)),"")</f>
        <v/>
      </c>
      <c r="AQ41" s="32" t="str">
        <f ca="1">IF(SUMPRODUCT((ListeB='recap S1'!$B41)*(OFFSET(ListeB,,4)='recap S1'!AQ$3)*(OFFSET(ListeB,,1)='recap S1'!AQ$2))&gt;0,SUMPRODUCT((ListeB='recap S1'!$B41)*(OFFSET(ListeB,,4)='recap S1'!AQ$3)*(OFFSET(ListeB,,1)='recap S1'!AQ$2)),"")</f>
        <v/>
      </c>
      <c r="AR41" s="32" t="str">
        <f ca="1">IF(SUMPRODUCT((ListeB='recap S1'!$B41)*(OFFSET(ListeB,,4)='recap S1'!AR$3)*(OFFSET(ListeB,,1)='recap S1'!AR$2))&gt;0,SUMPRODUCT((ListeB='recap S1'!$B41)*(OFFSET(ListeB,,4)='recap S1'!AR$3)*(OFFSET(ListeB,,1)='recap S1'!AR$2)),"")</f>
        <v/>
      </c>
      <c r="AS41" s="32" t="str">
        <f ca="1">IF(SUMPRODUCT((ListeB='recap S1'!$B41)*(OFFSET(ListeB,,4)='recap S1'!AS$3)*(OFFSET(ListeB,,1)='recap S1'!AS$2))&gt;0,SUMPRODUCT((ListeB='recap S1'!$B41)*(OFFSET(ListeB,,4)='recap S1'!AS$3)*(OFFSET(ListeB,,1)='recap S1'!AS$2)),"")</f>
        <v/>
      </c>
      <c r="AT41" s="32" t="str">
        <f ca="1">IF(SUMPRODUCT((ListeB='recap S1'!$B41)*(OFFSET(ListeB,,4)='recap S1'!AT$3)*(OFFSET(ListeB,,1)='recap S1'!AT$2))&gt;0,SUMPRODUCT((ListeB='recap S1'!$B41)*(OFFSET(ListeB,,4)='recap S1'!AT$3)*(OFFSET(ListeB,,1)='recap S1'!AT$2)),"")</f>
        <v/>
      </c>
      <c r="AU41" s="32" t="str">
        <f ca="1">IF(SUMPRODUCT((ListeB='recap S1'!$B41)*(OFFSET(ListeB,,4)='recap S1'!AU$3)*(OFFSET(ListeB,,1)='recap S1'!AU$2))&gt;0,SUMPRODUCT((ListeB='recap S1'!$B41)*(OFFSET(ListeB,,4)='recap S1'!AU$3)*(OFFSET(ListeB,,1)='recap S1'!AU$2)),"")</f>
        <v/>
      </c>
      <c r="AV41" s="32" t="str">
        <f ca="1">IF(SUMPRODUCT((ListeB='recap S1'!$B41)*(OFFSET(ListeB,,4)='recap S1'!AV$3)*(OFFSET(ListeB,,1)='recap S1'!AV$2))&gt;0,SUMPRODUCT((ListeB='recap S1'!$B41)*(OFFSET(ListeB,,4)='recap S1'!AV$3)*(OFFSET(ListeB,,1)='recap S1'!AV$2)),"")</f>
        <v/>
      </c>
      <c r="AW41" s="32" t="str">
        <f ca="1">IF(SUMPRODUCT((ListeB='recap S1'!$B41)*(OFFSET(ListeB,,4)='recap S1'!AW$3)*(OFFSET(ListeB,,1)='recap S1'!AW$2))&gt;0,SUMPRODUCT((ListeB='recap S1'!$B41)*(OFFSET(ListeB,,4)='recap S1'!AW$3)*(OFFSET(ListeB,,1)='recap S1'!AW$2)),"")</f>
        <v/>
      </c>
      <c r="AX41" s="32" t="str">
        <f ca="1">IF(SUMPRODUCT((ListeB='recap S1'!$B41)*(OFFSET(ListeB,,4)='recap S1'!AX$3)*(OFFSET(ListeB,,1)='recap S1'!AX$2))&gt;0,SUMPRODUCT((ListeB='recap S1'!$B41)*(OFFSET(ListeB,,4)='recap S1'!AX$3)*(OFFSET(ListeB,,1)='recap S1'!AX$2)),"")</f>
        <v/>
      </c>
      <c r="AY41" s="32" t="str">
        <f ca="1">IF(SUMPRODUCT((ListeB='recap S1'!$B41)*(OFFSET(ListeB,,4)='recap S1'!AY$3)*(OFFSET(ListeB,,1)='recap S1'!AY$2))&gt;0,SUMPRODUCT((ListeB='recap S1'!$B41)*(OFFSET(ListeB,,4)='recap S1'!AY$3)*(OFFSET(ListeB,,1)='recap S1'!AY$2)),"")</f>
        <v/>
      </c>
      <c r="AZ41" s="32">
        <f t="shared" ca="1" si="1"/>
        <v>0</v>
      </c>
    </row>
    <row r="42" spans="1:52">
      <c r="A42" s="41" t="str">
        <f>IF('SEANCE 1'!$B40&lt;&gt;"",'SEANCE 1'!$A40,"")</f>
        <v/>
      </c>
      <c r="B42" s="41" t="str">
        <f t="array" aca="1" ref="B42" ca="1">IF(ISNA(INDEX(ListeB,MATCH(0,COUNTIF($B$3:B41,ListeB),0))),"",INDEX(ListeB,MATCH(0,COUNTIF($B$3:B41,ListeB),0)))</f>
        <v/>
      </c>
      <c r="C42" s="32" t="str">
        <f ca="1">IF(SUMPRODUCT((ListeB='recap S1'!$B42)*(OFFSET(ListeB,,4)='recap S1'!C$3)*(OFFSET(ListeB,,1)='recap S1'!C$2))&gt;0,SUMPRODUCT((ListeB='recap S1'!$B42)*(OFFSET(ListeB,,4)='recap S1'!C$3)*(OFFSET(ListeB,,1)='recap S1'!C$2)),"")</f>
        <v/>
      </c>
      <c r="D42" s="32" t="str">
        <f ca="1">IF(SUMPRODUCT((ListeB='recap S1'!$B42)*(OFFSET(ListeB,,4)='recap S1'!D$3)*(OFFSET(ListeB,,1)='recap S1'!D$2))&gt;0,SUMPRODUCT((ListeB='recap S1'!$B42)*(OFFSET(ListeB,,4)='recap S1'!D$3)*(OFFSET(ListeB,,1)='recap S1'!D$2)),"")</f>
        <v/>
      </c>
      <c r="E42" s="32" t="str">
        <f ca="1">IF(SUMPRODUCT((ListeB='recap S1'!$B42)*(OFFSET(ListeB,,4)='recap S1'!E$3)*(OFFSET(ListeB,,1)='recap S1'!E$2))&gt;0,SUMPRODUCT((ListeB='recap S1'!$B42)*(OFFSET(ListeB,,4)='recap S1'!E$3)*(OFFSET(ListeB,,1)='recap S1'!E$2)),"")</f>
        <v/>
      </c>
      <c r="F42" s="32" t="str">
        <f ca="1">IF(SUMPRODUCT((ListeB='recap S1'!$B42)*(OFFSET(ListeB,,4)='recap S1'!F$3)*(OFFSET(ListeB,,1)='recap S1'!F$2))&gt;0,SUMPRODUCT((ListeB='recap S1'!$B42)*(OFFSET(ListeB,,4)='recap S1'!F$3)*(OFFSET(ListeB,,1)='recap S1'!F$2)),"")</f>
        <v/>
      </c>
      <c r="G42" s="32" t="str">
        <f ca="1">IF(SUMPRODUCT((ListeB='recap S1'!$B42)*(OFFSET(ListeB,,4)='recap S1'!G$3)*(OFFSET(ListeB,,1)='recap S1'!G$2))&gt;0,SUMPRODUCT((ListeB='recap S1'!$B42)*(OFFSET(ListeB,,4)='recap S1'!G$3)*(OFFSET(ListeB,,1)='recap S1'!G$2)),"")</f>
        <v/>
      </c>
      <c r="H42" s="32" t="str">
        <f ca="1">IF(SUMPRODUCT((ListeB='recap S1'!$B42)*(OFFSET(ListeB,,4)='recap S1'!H$3)*(OFFSET(ListeB,,1)='recap S1'!H$2))&gt;0,SUMPRODUCT((ListeB='recap S1'!$B42)*(OFFSET(ListeB,,4)='recap S1'!H$3)*(OFFSET(ListeB,,1)='recap S1'!H$2)),"")</f>
        <v/>
      </c>
      <c r="I42" s="32" t="str">
        <f ca="1">IF(SUMPRODUCT((ListeB='recap S1'!$B42)*(OFFSET(ListeB,,4)='recap S1'!I$3)*(OFFSET(ListeB,,1)='recap S1'!I$2))&gt;0,SUMPRODUCT((ListeB='recap S1'!$B42)*(OFFSET(ListeB,,4)='recap S1'!I$3)*(OFFSET(ListeB,,1)='recap S1'!I$2)),"")</f>
        <v/>
      </c>
      <c r="J42" s="32" t="str">
        <f ca="1">IF(SUMPRODUCT((ListeB='recap S1'!$B42)*(OFFSET(ListeB,,4)='recap S1'!J$3)*(OFFSET(ListeB,,1)='recap S1'!J$2))&gt;0,SUMPRODUCT((ListeB='recap S1'!$B42)*(OFFSET(ListeB,,4)='recap S1'!J$3)*(OFFSET(ListeB,,1)='recap S1'!J$2)),"")</f>
        <v/>
      </c>
      <c r="K42" s="32" t="str">
        <f ca="1">IF(SUMPRODUCT((ListeB='recap S1'!$B42)*(OFFSET(ListeB,,4)='recap S1'!K$3)*(OFFSET(ListeB,,1)='recap S1'!K$2))&gt;0,SUMPRODUCT((ListeB='recap S1'!$B42)*(OFFSET(ListeB,,4)='recap S1'!K$3)*(OFFSET(ListeB,,1)='recap S1'!K$2)),"")</f>
        <v/>
      </c>
      <c r="L42" s="32" t="str">
        <f ca="1">IF(SUMPRODUCT((ListeB='recap S1'!$B42)*(OFFSET(ListeB,,4)='recap S1'!L$3)*(OFFSET(ListeB,,1)='recap S1'!L$2))&gt;0,SUMPRODUCT((ListeB='recap S1'!$B42)*(OFFSET(ListeB,,4)='recap S1'!L$3)*(OFFSET(ListeB,,1)='recap S1'!L$2)),"")</f>
        <v/>
      </c>
      <c r="M42" s="32" t="str">
        <f ca="1">IF(SUMPRODUCT((ListeB='recap S1'!$B42)*(OFFSET(ListeB,,4)='recap S1'!M$3)*(OFFSET(ListeB,,1)='recap S1'!M$2))&gt;0,SUMPRODUCT((ListeB='recap S1'!$B42)*(OFFSET(ListeB,,4)='recap S1'!M$3)*(OFFSET(ListeB,,1)='recap S1'!M$2)),"")</f>
        <v/>
      </c>
      <c r="N42" s="32" t="str">
        <f ca="1">IF(SUMPRODUCT((ListeB='recap S1'!$B42)*(OFFSET(ListeB,,4)='recap S1'!N$3)*(OFFSET(ListeB,,1)='recap S1'!N$2))&gt;0,SUMPRODUCT((ListeB='recap S1'!$B42)*(OFFSET(ListeB,,4)='recap S1'!N$3)*(OFFSET(ListeB,,1)='recap S1'!N$2)),"")</f>
        <v/>
      </c>
      <c r="O42" s="32" t="str">
        <f ca="1">IF(SUMPRODUCT((ListeB='recap S1'!$B42)*(OFFSET(ListeB,,4)='recap S1'!O$3)*(OFFSET(ListeB,,1)='recap S1'!O$2))&gt;0,SUMPRODUCT((ListeB='recap S1'!$B42)*(OFFSET(ListeB,,4)='recap S1'!O$3)*(OFFSET(ListeB,,1)='recap S1'!O$2)),"")</f>
        <v/>
      </c>
      <c r="P42" s="32" t="str">
        <f ca="1">IF(SUMPRODUCT((ListeB='recap S1'!$B42)*(OFFSET(ListeB,,4)='recap S1'!P$3)*(OFFSET(ListeB,,1)='recap S1'!P$2))&gt;0,SUMPRODUCT((ListeB='recap S1'!$B42)*(OFFSET(ListeB,,4)='recap S1'!P$3)*(OFFSET(ListeB,,1)='recap S1'!P$2)),"")</f>
        <v/>
      </c>
      <c r="Q42" s="32" t="str">
        <f ca="1">IF(SUMPRODUCT((ListeB='recap S1'!$B42)*(OFFSET(ListeB,,4)='recap S1'!Q$3)*(OFFSET(ListeB,,1)='recap S1'!Q$2))&gt;0,SUMPRODUCT((ListeB='recap S1'!$B42)*(OFFSET(ListeB,,4)='recap S1'!Q$3)*(OFFSET(ListeB,,1)='recap S1'!Q$2)),"")</f>
        <v/>
      </c>
      <c r="R42" s="32" t="str">
        <f ca="1">IF(SUMPRODUCT((ListeB='recap S1'!$B42)*(OFFSET(ListeB,,4)='recap S1'!R$3)*(OFFSET(ListeB,,1)='recap S1'!R$2))&gt;0,SUMPRODUCT((ListeB='recap S1'!$B42)*(OFFSET(ListeB,,4)='recap S1'!R$3)*(OFFSET(ListeB,,1)='recap S1'!R$2)),"")</f>
        <v/>
      </c>
      <c r="S42" s="32" t="str">
        <f ca="1">IF(SUMPRODUCT((ListeB='recap S1'!$B42)*(OFFSET(ListeB,,4)='recap S1'!S$3)*(OFFSET(ListeB,,1)='recap S1'!S$2))&gt;0,SUMPRODUCT((ListeB='recap S1'!$B42)*(OFFSET(ListeB,,4)='recap S1'!S$3)*(OFFSET(ListeB,,1)='recap S1'!S$2)),"")</f>
        <v/>
      </c>
      <c r="T42" s="32" t="str">
        <f ca="1">IF(SUMPRODUCT((ListeB='recap S1'!$B42)*(OFFSET(ListeB,,4)='recap S1'!T$3)*(OFFSET(ListeB,,1)='recap S1'!T$2))&gt;0,SUMPRODUCT((ListeB='recap S1'!$B42)*(OFFSET(ListeB,,4)='recap S1'!T$3)*(OFFSET(ListeB,,1)='recap S1'!T$2)),"")</f>
        <v/>
      </c>
      <c r="U42" s="32" t="str">
        <f ca="1">IF(SUMPRODUCT((ListeB='recap S1'!$B42)*(OFFSET(ListeB,,4)='recap S1'!U$3)*(OFFSET(ListeB,,1)='recap S1'!U$2))&gt;0,SUMPRODUCT((ListeB='recap S1'!$B42)*(OFFSET(ListeB,,4)='recap S1'!U$3)*(OFFSET(ListeB,,1)='recap S1'!U$2)),"")</f>
        <v/>
      </c>
      <c r="V42" s="32" t="str">
        <f ca="1">IF(SUMPRODUCT((ListeB='recap S1'!$B42)*(OFFSET(ListeB,,4)='recap S1'!V$3)*(OFFSET(ListeB,,1)='recap S1'!V$2))&gt;0,SUMPRODUCT((ListeB='recap S1'!$B42)*(OFFSET(ListeB,,4)='recap S1'!V$3)*(OFFSET(ListeB,,1)='recap S1'!V$2)),"")</f>
        <v/>
      </c>
      <c r="W42" s="32" t="str">
        <f ca="1">IF(SUMPRODUCT((ListeB='recap S1'!$B42)*(OFFSET(ListeB,,4)='recap S1'!W$3)*(OFFSET(ListeB,,1)='recap S1'!W$2))&gt;0,SUMPRODUCT((ListeB='recap S1'!$B42)*(OFFSET(ListeB,,4)='recap S1'!W$3)*(OFFSET(ListeB,,1)='recap S1'!W$2)),"")</f>
        <v/>
      </c>
      <c r="X42" s="32" t="str">
        <f ca="1">IF(SUMPRODUCT((ListeB='recap S1'!$B42)*(OFFSET(ListeB,,4)='recap S1'!X$3)*(OFFSET(ListeB,,1)='recap S1'!X$2))&gt;0,SUMPRODUCT((ListeB='recap S1'!$B42)*(OFFSET(ListeB,,4)='recap S1'!X$3)*(OFFSET(ListeB,,1)='recap S1'!X$2)),"")</f>
        <v/>
      </c>
      <c r="Y42" s="32" t="str">
        <f ca="1">IF(SUMPRODUCT((ListeB='recap S1'!$B42)*(OFFSET(ListeB,,4)='recap S1'!Y$3)*(OFFSET(ListeB,,1)='recap S1'!Y$2))&gt;0,SUMPRODUCT((ListeB='recap S1'!$B42)*(OFFSET(ListeB,,4)='recap S1'!Y$3)*(OFFSET(ListeB,,1)='recap S1'!Y$2)),"")</f>
        <v/>
      </c>
      <c r="Z42" s="32" t="str">
        <f ca="1">IF(SUMPRODUCT((ListeB='recap S1'!$B42)*(OFFSET(ListeB,,4)='recap S1'!Z$3)*(OFFSET(ListeB,,1)='recap S1'!Z$2))&gt;0,SUMPRODUCT((ListeB='recap S1'!$B42)*(OFFSET(ListeB,,4)='recap S1'!Z$3)*(OFFSET(ListeB,,1)='recap S1'!Z$2)),"")</f>
        <v/>
      </c>
      <c r="AA42" s="32" t="str">
        <f ca="1">IF(SUMPRODUCT((ListeB='recap S1'!$B42)*(OFFSET(ListeB,,4)='recap S1'!AA$3)*(OFFSET(ListeB,,1)='recap S1'!AA$2))&gt;0,SUMPRODUCT((ListeB='recap S1'!$B42)*(OFFSET(ListeB,,4)='recap S1'!AA$3)*(OFFSET(ListeB,,1)='recap S1'!AA$2)),"")</f>
        <v/>
      </c>
      <c r="AB42" s="32" t="str">
        <f ca="1">IF(SUMPRODUCT((ListeB='recap S1'!$B42)*(OFFSET(ListeB,,4)='recap S1'!AB$3)*(OFFSET(ListeB,,1)='recap S1'!AB$2))&gt;0,SUMPRODUCT((ListeB='recap S1'!$B42)*(OFFSET(ListeB,,4)='recap S1'!AB$3)*(OFFSET(ListeB,,1)='recap S1'!AB$2)),"")</f>
        <v/>
      </c>
      <c r="AC42" s="32" t="str">
        <f ca="1">IF(SUMPRODUCT((ListeB='recap S1'!$B42)*(OFFSET(ListeB,,4)='recap S1'!AC$3)*(OFFSET(ListeB,,1)='recap S1'!AC$2))&gt;0,SUMPRODUCT((ListeB='recap S1'!$B42)*(OFFSET(ListeB,,4)='recap S1'!AC$3)*(OFFSET(ListeB,,1)='recap S1'!AC$2)),"")</f>
        <v/>
      </c>
      <c r="AD42" s="32" t="str">
        <f ca="1">IF(SUMPRODUCT((ListeB='recap S1'!$B42)*(OFFSET(ListeB,,4)='recap S1'!AD$3)*(OFFSET(ListeB,,1)='recap S1'!AD$2))&gt;0,SUMPRODUCT((ListeB='recap S1'!$B42)*(OFFSET(ListeB,,4)='recap S1'!AD$3)*(OFFSET(ListeB,,1)='recap S1'!AD$2)),"")</f>
        <v/>
      </c>
      <c r="AE42" s="32" t="str">
        <f ca="1">IF(SUMPRODUCT((ListeB='recap S1'!$B42)*(OFFSET(ListeB,,4)='recap S1'!AE$3)*(OFFSET(ListeB,,1)='recap S1'!AE$2))&gt;0,SUMPRODUCT((ListeB='recap S1'!$B42)*(OFFSET(ListeB,,4)='recap S1'!AE$3)*(OFFSET(ListeB,,1)='recap S1'!AE$2)),"")</f>
        <v/>
      </c>
      <c r="AF42" s="32" t="str">
        <f ca="1">IF(SUMPRODUCT((ListeB='recap S1'!$B42)*(OFFSET(ListeB,,4)='recap S1'!AF$3)*(OFFSET(ListeB,,1)='recap S1'!AF$2))&gt;0,SUMPRODUCT((ListeB='recap S1'!$B42)*(OFFSET(ListeB,,4)='recap S1'!AF$3)*(OFFSET(ListeB,,1)='recap S1'!AF$2)),"")</f>
        <v/>
      </c>
      <c r="AG42" s="32" t="str">
        <f ca="1">IF(SUMPRODUCT((ListeB='recap S1'!$B42)*(OFFSET(ListeB,,4)='recap S1'!AG$3)*(OFFSET(ListeB,,1)='recap S1'!AG$2))&gt;0,SUMPRODUCT((ListeB='recap S1'!$B42)*(OFFSET(ListeB,,4)='recap S1'!AG$3)*(OFFSET(ListeB,,1)='recap S1'!AG$2)),"")</f>
        <v/>
      </c>
      <c r="AH42" s="32" t="str">
        <f ca="1">IF(SUMPRODUCT((ListeB='recap S1'!$B42)*(OFFSET(ListeB,,4)='recap S1'!AH$3)*(OFFSET(ListeB,,1)='recap S1'!AH$2))&gt;0,SUMPRODUCT((ListeB='recap S1'!$B42)*(OFFSET(ListeB,,4)='recap S1'!AH$3)*(OFFSET(ListeB,,1)='recap S1'!AH$2)),"")</f>
        <v/>
      </c>
      <c r="AI42" s="32" t="str">
        <f ca="1">IF(SUMPRODUCT((ListeB='recap S1'!$B42)*(OFFSET(ListeB,,4)='recap S1'!AI$3)*(OFFSET(ListeB,,1)='recap S1'!AI$2))&gt;0,SUMPRODUCT((ListeB='recap S1'!$B42)*(OFFSET(ListeB,,4)='recap S1'!AI$3)*(OFFSET(ListeB,,1)='recap S1'!AI$2)),"")</f>
        <v/>
      </c>
      <c r="AJ42" s="32" t="str">
        <f ca="1">IF(SUMPRODUCT((ListeB='recap S1'!$B42)*(OFFSET(ListeB,,4)='recap S1'!AJ$3)*(OFFSET(ListeB,,1)='recap S1'!AJ$2))&gt;0,SUMPRODUCT((ListeB='recap S1'!$B42)*(OFFSET(ListeB,,4)='recap S1'!AJ$3)*(OFFSET(ListeB,,1)='recap S1'!AJ$2)),"")</f>
        <v/>
      </c>
      <c r="AK42" s="32" t="str">
        <f ca="1">IF(SUMPRODUCT((ListeB='recap S1'!$B42)*(OFFSET(ListeB,,4)='recap S1'!AK$3)*(OFFSET(ListeB,,1)='recap S1'!AK$2))&gt;0,SUMPRODUCT((ListeB='recap S1'!$B42)*(OFFSET(ListeB,,4)='recap S1'!AK$3)*(OFFSET(ListeB,,1)='recap S1'!AK$2)),"")</f>
        <v/>
      </c>
      <c r="AL42" s="32" t="str">
        <f ca="1">IF(SUMPRODUCT((ListeB='recap S1'!$B42)*(OFFSET(ListeB,,4)='recap S1'!AL$3)*(OFFSET(ListeB,,1)='recap S1'!AL$2))&gt;0,SUMPRODUCT((ListeB='recap S1'!$B42)*(OFFSET(ListeB,,4)='recap S1'!AL$3)*(OFFSET(ListeB,,1)='recap S1'!AL$2)),"")</f>
        <v/>
      </c>
      <c r="AM42" s="32" t="str">
        <f ca="1">IF(SUMPRODUCT((ListeB='recap S1'!$B42)*(OFFSET(ListeB,,4)='recap S1'!AM$3)*(OFFSET(ListeB,,1)='recap S1'!AM$2))&gt;0,SUMPRODUCT((ListeB='recap S1'!$B42)*(OFFSET(ListeB,,4)='recap S1'!AM$3)*(OFFSET(ListeB,,1)='recap S1'!AM$2)),"")</f>
        <v/>
      </c>
      <c r="AN42" s="32" t="str">
        <f ca="1">IF(SUMPRODUCT((ListeB='recap S1'!$B42)*(OFFSET(ListeB,,4)='recap S1'!AN$3)*(OFFSET(ListeB,,1)='recap S1'!AN$2))&gt;0,SUMPRODUCT((ListeB='recap S1'!$B42)*(OFFSET(ListeB,,4)='recap S1'!AN$3)*(OFFSET(ListeB,,1)='recap S1'!AN$2)),"")</f>
        <v/>
      </c>
      <c r="AO42" s="32" t="str">
        <f ca="1">IF(SUMPRODUCT((ListeB='recap S1'!$B42)*(OFFSET(ListeB,,4)='recap S1'!AO$3)*(OFFSET(ListeB,,1)='recap S1'!AO$2))&gt;0,SUMPRODUCT((ListeB='recap S1'!$B42)*(OFFSET(ListeB,,4)='recap S1'!AO$3)*(OFFSET(ListeB,,1)='recap S1'!AO$2)),"")</f>
        <v/>
      </c>
      <c r="AP42" s="32" t="str">
        <f ca="1">IF(SUMPRODUCT((ListeB='recap S1'!$B42)*(OFFSET(ListeB,,4)='recap S1'!AP$3)*(OFFSET(ListeB,,1)='recap S1'!AP$2))&gt;0,SUMPRODUCT((ListeB='recap S1'!$B42)*(OFFSET(ListeB,,4)='recap S1'!AP$3)*(OFFSET(ListeB,,1)='recap S1'!AP$2)),"")</f>
        <v/>
      </c>
      <c r="AQ42" s="32" t="str">
        <f ca="1">IF(SUMPRODUCT((ListeB='recap S1'!$B42)*(OFFSET(ListeB,,4)='recap S1'!AQ$3)*(OFFSET(ListeB,,1)='recap S1'!AQ$2))&gt;0,SUMPRODUCT((ListeB='recap S1'!$B42)*(OFFSET(ListeB,,4)='recap S1'!AQ$3)*(OFFSET(ListeB,,1)='recap S1'!AQ$2)),"")</f>
        <v/>
      </c>
      <c r="AR42" s="32" t="str">
        <f ca="1">IF(SUMPRODUCT((ListeB='recap S1'!$B42)*(OFFSET(ListeB,,4)='recap S1'!AR$3)*(OFFSET(ListeB,,1)='recap S1'!AR$2))&gt;0,SUMPRODUCT((ListeB='recap S1'!$B42)*(OFFSET(ListeB,,4)='recap S1'!AR$3)*(OFFSET(ListeB,,1)='recap S1'!AR$2)),"")</f>
        <v/>
      </c>
      <c r="AS42" s="32" t="str">
        <f ca="1">IF(SUMPRODUCT((ListeB='recap S1'!$B42)*(OFFSET(ListeB,,4)='recap S1'!AS$3)*(OFFSET(ListeB,,1)='recap S1'!AS$2))&gt;0,SUMPRODUCT((ListeB='recap S1'!$B42)*(OFFSET(ListeB,,4)='recap S1'!AS$3)*(OFFSET(ListeB,,1)='recap S1'!AS$2)),"")</f>
        <v/>
      </c>
      <c r="AT42" s="32" t="str">
        <f ca="1">IF(SUMPRODUCT((ListeB='recap S1'!$B42)*(OFFSET(ListeB,,4)='recap S1'!AT$3)*(OFFSET(ListeB,,1)='recap S1'!AT$2))&gt;0,SUMPRODUCT((ListeB='recap S1'!$B42)*(OFFSET(ListeB,,4)='recap S1'!AT$3)*(OFFSET(ListeB,,1)='recap S1'!AT$2)),"")</f>
        <v/>
      </c>
      <c r="AU42" s="32" t="str">
        <f ca="1">IF(SUMPRODUCT((ListeB='recap S1'!$B42)*(OFFSET(ListeB,,4)='recap S1'!AU$3)*(OFFSET(ListeB,,1)='recap S1'!AU$2))&gt;0,SUMPRODUCT((ListeB='recap S1'!$B42)*(OFFSET(ListeB,,4)='recap S1'!AU$3)*(OFFSET(ListeB,,1)='recap S1'!AU$2)),"")</f>
        <v/>
      </c>
      <c r="AV42" s="32" t="str">
        <f ca="1">IF(SUMPRODUCT((ListeB='recap S1'!$B42)*(OFFSET(ListeB,,4)='recap S1'!AV$3)*(OFFSET(ListeB,,1)='recap S1'!AV$2))&gt;0,SUMPRODUCT((ListeB='recap S1'!$B42)*(OFFSET(ListeB,,4)='recap S1'!AV$3)*(OFFSET(ListeB,,1)='recap S1'!AV$2)),"")</f>
        <v/>
      </c>
      <c r="AW42" s="32" t="str">
        <f ca="1">IF(SUMPRODUCT((ListeB='recap S1'!$B42)*(OFFSET(ListeB,,4)='recap S1'!AW$3)*(OFFSET(ListeB,,1)='recap S1'!AW$2))&gt;0,SUMPRODUCT((ListeB='recap S1'!$B42)*(OFFSET(ListeB,,4)='recap S1'!AW$3)*(OFFSET(ListeB,,1)='recap S1'!AW$2)),"")</f>
        <v/>
      </c>
      <c r="AX42" s="32" t="str">
        <f ca="1">IF(SUMPRODUCT((ListeB='recap S1'!$B42)*(OFFSET(ListeB,,4)='recap S1'!AX$3)*(OFFSET(ListeB,,1)='recap S1'!AX$2))&gt;0,SUMPRODUCT((ListeB='recap S1'!$B42)*(OFFSET(ListeB,,4)='recap S1'!AX$3)*(OFFSET(ListeB,,1)='recap S1'!AX$2)),"")</f>
        <v/>
      </c>
      <c r="AY42" s="32" t="str">
        <f ca="1">IF(SUMPRODUCT((ListeB='recap S1'!$B42)*(OFFSET(ListeB,,4)='recap S1'!AY$3)*(OFFSET(ListeB,,1)='recap S1'!AY$2))&gt;0,SUMPRODUCT((ListeB='recap S1'!$B42)*(OFFSET(ListeB,,4)='recap S1'!AY$3)*(OFFSET(ListeB,,1)='recap S1'!AY$2)),"")</f>
        <v/>
      </c>
      <c r="AZ42" s="32">
        <f t="shared" ca="1" si="1"/>
        <v>0</v>
      </c>
    </row>
    <row r="43" spans="1:52">
      <c r="A43" s="41" t="str">
        <f>IF('SEANCE 1'!$B41&lt;&gt;"",'SEANCE 1'!$A41,"")</f>
        <v/>
      </c>
      <c r="B43" s="41" t="str">
        <f t="array" aca="1" ref="B43" ca="1">IF(ISNA(INDEX(ListeB,MATCH(0,COUNTIF($B$3:B42,ListeB),0))),"",INDEX(ListeB,MATCH(0,COUNTIF($B$3:B42,ListeB),0)))</f>
        <v/>
      </c>
      <c r="C43" s="32" t="str">
        <f ca="1">IF(SUMPRODUCT((ListeB='recap S1'!$B43)*(OFFSET(ListeB,,4)='recap S1'!C$3)*(OFFSET(ListeB,,1)='recap S1'!C$2))&gt;0,SUMPRODUCT((ListeB='recap S1'!$B43)*(OFFSET(ListeB,,4)='recap S1'!C$3)*(OFFSET(ListeB,,1)='recap S1'!C$2)),"")</f>
        <v/>
      </c>
      <c r="D43" s="32" t="str">
        <f ca="1">IF(SUMPRODUCT((ListeB='recap S1'!$B43)*(OFFSET(ListeB,,4)='recap S1'!D$3)*(OFFSET(ListeB,,1)='recap S1'!D$2))&gt;0,SUMPRODUCT((ListeB='recap S1'!$B43)*(OFFSET(ListeB,,4)='recap S1'!D$3)*(OFFSET(ListeB,,1)='recap S1'!D$2)),"")</f>
        <v/>
      </c>
      <c r="E43" s="32" t="str">
        <f ca="1">IF(SUMPRODUCT((ListeB='recap S1'!$B43)*(OFFSET(ListeB,,4)='recap S1'!E$3)*(OFFSET(ListeB,,1)='recap S1'!E$2))&gt;0,SUMPRODUCT((ListeB='recap S1'!$B43)*(OFFSET(ListeB,,4)='recap S1'!E$3)*(OFFSET(ListeB,,1)='recap S1'!E$2)),"")</f>
        <v/>
      </c>
      <c r="F43" s="32" t="str">
        <f ca="1">IF(SUMPRODUCT((ListeB='recap S1'!$B43)*(OFFSET(ListeB,,4)='recap S1'!F$3)*(OFFSET(ListeB,,1)='recap S1'!F$2))&gt;0,SUMPRODUCT((ListeB='recap S1'!$B43)*(OFFSET(ListeB,,4)='recap S1'!F$3)*(OFFSET(ListeB,,1)='recap S1'!F$2)),"")</f>
        <v/>
      </c>
      <c r="G43" s="32" t="str">
        <f ca="1">IF(SUMPRODUCT((ListeB='recap S1'!$B43)*(OFFSET(ListeB,,4)='recap S1'!G$3)*(OFFSET(ListeB,,1)='recap S1'!G$2))&gt;0,SUMPRODUCT((ListeB='recap S1'!$B43)*(OFFSET(ListeB,,4)='recap S1'!G$3)*(OFFSET(ListeB,,1)='recap S1'!G$2)),"")</f>
        <v/>
      </c>
      <c r="H43" s="32" t="str">
        <f ca="1">IF(SUMPRODUCT((ListeB='recap S1'!$B43)*(OFFSET(ListeB,,4)='recap S1'!H$3)*(OFFSET(ListeB,,1)='recap S1'!H$2))&gt;0,SUMPRODUCT((ListeB='recap S1'!$B43)*(OFFSET(ListeB,,4)='recap S1'!H$3)*(OFFSET(ListeB,,1)='recap S1'!H$2)),"")</f>
        <v/>
      </c>
      <c r="I43" s="32" t="str">
        <f ca="1">IF(SUMPRODUCT((ListeB='recap S1'!$B43)*(OFFSET(ListeB,,4)='recap S1'!I$3)*(OFFSET(ListeB,,1)='recap S1'!I$2))&gt;0,SUMPRODUCT((ListeB='recap S1'!$B43)*(OFFSET(ListeB,,4)='recap S1'!I$3)*(OFFSET(ListeB,,1)='recap S1'!I$2)),"")</f>
        <v/>
      </c>
      <c r="J43" s="32" t="str">
        <f ca="1">IF(SUMPRODUCT((ListeB='recap S1'!$B43)*(OFFSET(ListeB,,4)='recap S1'!J$3)*(OFFSET(ListeB,,1)='recap S1'!J$2))&gt;0,SUMPRODUCT((ListeB='recap S1'!$B43)*(OFFSET(ListeB,,4)='recap S1'!J$3)*(OFFSET(ListeB,,1)='recap S1'!J$2)),"")</f>
        <v/>
      </c>
      <c r="K43" s="32" t="str">
        <f ca="1">IF(SUMPRODUCT((ListeB='recap S1'!$B43)*(OFFSET(ListeB,,4)='recap S1'!K$3)*(OFFSET(ListeB,,1)='recap S1'!K$2))&gt;0,SUMPRODUCT((ListeB='recap S1'!$B43)*(OFFSET(ListeB,,4)='recap S1'!K$3)*(OFFSET(ListeB,,1)='recap S1'!K$2)),"")</f>
        <v/>
      </c>
      <c r="L43" s="32" t="str">
        <f ca="1">IF(SUMPRODUCT((ListeB='recap S1'!$B43)*(OFFSET(ListeB,,4)='recap S1'!L$3)*(OFFSET(ListeB,,1)='recap S1'!L$2))&gt;0,SUMPRODUCT((ListeB='recap S1'!$B43)*(OFFSET(ListeB,,4)='recap S1'!L$3)*(OFFSET(ListeB,,1)='recap S1'!L$2)),"")</f>
        <v/>
      </c>
      <c r="M43" s="32" t="str">
        <f ca="1">IF(SUMPRODUCT((ListeB='recap S1'!$B43)*(OFFSET(ListeB,,4)='recap S1'!M$3)*(OFFSET(ListeB,,1)='recap S1'!M$2))&gt;0,SUMPRODUCT((ListeB='recap S1'!$B43)*(OFFSET(ListeB,,4)='recap S1'!M$3)*(OFFSET(ListeB,,1)='recap S1'!M$2)),"")</f>
        <v/>
      </c>
      <c r="N43" s="32" t="str">
        <f ca="1">IF(SUMPRODUCT((ListeB='recap S1'!$B43)*(OFFSET(ListeB,,4)='recap S1'!N$3)*(OFFSET(ListeB,,1)='recap S1'!N$2))&gt;0,SUMPRODUCT((ListeB='recap S1'!$B43)*(OFFSET(ListeB,,4)='recap S1'!N$3)*(OFFSET(ListeB,,1)='recap S1'!N$2)),"")</f>
        <v/>
      </c>
      <c r="O43" s="32" t="str">
        <f ca="1">IF(SUMPRODUCT((ListeB='recap S1'!$B43)*(OFFSET(ListeB,,4)='recap S1'!O$3)*(OFFSET(ListeB,,1)='recap S1'!O$2))&gt;0,SUMPRODUCT((ListeB='recap S1'!$B43)*(OFFSET(ListeB,,4)='recap S1'!O$3)*(OFFSET(ListeB,,1)='recap S1'!O$2)),"")</f>
        <v/>
      </c>
      <c r="P43" s="32" t="str">
        <f ca="1">IF(SUMPRODUCT((ListeB='recap S1'!$B43)*(OFFSET(ListeB,,4)='recap S1'!P$3)*(OFFSET(ListeB,,1)='recap S1'!P$2))&gt;0,SUMPRODUCT((ListeB='recap S1'!$B43)*(OFFSET(ListeB,,4)='recap S1'!P$3)*(OFFSET(ListeB,,1)='recap S1'!P$2)),"")</f>
        <v/>
      </c>
      <c r="Q43" s="32" t="str">
        <f ca="1">IF(SUMPRODUCT((ListeB='recap S1'!$B43)*(OFFSET(ListeB,,4)='recap S1'!Q$3)*(OFFSET(ListeB,,1)='recap S1'!Q$2))&gt;0,SUMPRODUCT((ListeB='recap S1'!$B43)*(OFFSET(ListeB,,4)='recap S1'!Q$3)*(OFFSET(ListeB,,1)='recap S1'!Q$2)),"")</f>
        <v/>
      </c>
      <c r="R43" s="32" t="str">
        <f ca="1">IF(SUMPRODUCT((ListeB='recap S1'!$B43)*(OFFSET(ListeB,,4)='recap S1'!R$3)*(OFFSET(ListeB,,1)='recap S1'!R$2))&gt;0,SUMPRODUCT((ListeB='recap S1'!$B43)*(OFFSET(ListeB,,4)='recap S1'!R$3)*(OFFSET(ListeB,,1)='recap S1'!R$2)),"")</f>
        <v/>
      </c>
      <c r="S43" s="32" t="str">
        <f ca="1">IF(SUMPRODUCT((ListeB='recap S1'!$B43)*(OFFSET(ListeB,,4)='recap S1'!S$3)*(OFFSET(ListeB,,1)='recap S1'!S$2))&gt;0,SUMPRODUCT((ListeB='recap S1'!$B43)*(OFFSET(ListeB,,4)='recap S1'!S$3)*(OFFSET(ListeB,,1)='recap S1'!S$2)),"")</f>
        <v/>
      </c>
      <c r="T43" s="32" t="str">
        <f ca="1">IF(SUMPRODUCT((ListeB='recap S1'!$B43)*(OFFSET(ListeB,,4)='recap S1'!T$3)*(OFFSET(ListeB,,1)='recap S1'!T$2))&gt;0,SUMPRODUCT((ListeB='recap S1'!$B43)*(OFFSET(ListeB,,4)='recap S1'!T$3)*(OFFSET(ListeB,,1)='recap S1'!T$2)),"")</f>
        <v/>
      </c>
      <c r="U43" s="32" t="str">
        <f ca="1">IF(SUMPRODUCT((ListeB='recap S1'!$B43)*(OFFSET(ListeB,,4)='recap S1'!U$3)*(OFFSET(ListeB,,1)='recap S1'!U$2))&gt;0,SUMPRODUCT((ListeB='recap S1'!$B43)*(OFFSET(ListeB,,4)='recap S1'!U$3)*(OFFSET(ListeB,,1)='recap S1'!U$2)),"")</f>
        <v/>
      </c>
      <c r="V43" s="32" t="str">
        <f ca="1">IF(SUMPRODUCT((ListeB='recap S1'!$B43)*(OFFSET(ListeB,,4)='recap S1'!V$3)*(OFFSET(ListeB,,1)='recap S1'!V$2))&gt;0,SUMPRODUCT((ListeB='recap S1'!$B43)*(OFFSET(ListeB,,4)='recap S1'!V$3)*(OFFSET(ListeB,,1)='recap S1'!V$2)),"")</f>
        <v/>
      </c>
      <c r="W43" s="32" t="str">
        <f ca="1">IF(SUMPRODUCT((ListeB='recap S1'!$B43)*(OFFSET(ListeB,,4)='recap S1'!W$3)*(OFFSET(ListeB,,1)='recap S1'!W$2))&gt;0,SUMPRODUCT((ListeB='recap S1'!$B43)*(OFFSET(ListeB,,4)='recap S1'!W$3)*(OFFSET(ListeB,,1)='recap S1'!W$2)),"")</f>
        <v/>
      </c>
      <c r="X43" s="32" t="str">
        <f ca="1">IF(SUMPRODUCT((ListeB='recap S1'!$B43)*(OFFSET(ListeB,,4)='recap S1'!X$3)*(OFFSET(ListeB,,1)='recap S1'!X$2))&gt;0,SUMPRODUCT((ListeB='recap S1'!$B43)*(OFFSET(ListeB,,4)='recap S1'!X$3)*(OFFSET(ListeB,,1)='recap S1'!X$2)),"")</f>
        <v/>
      </c>
      <c r="Y43" s="32" t="str">
        <f ca="1">IF(SUMPRODUCT((ListeB='recap S1'!$B43)*(OFFSET(ListeB,,4)='recap S1'!Y$3)*(OFFSET(ListeB,,1)='recap S1'!Y$2))&gt;0,SUMPRODUCT((ListeB='recap S1'!$B43)*(OFFSET(ListeB,,4)='recap S1'!Y$3)*(OFFSET(ListeB,,1)='recap S1'!Y$2)),"")</f>
        <v/>
      </c>
      <c r="Z43" s="32" t="str">
        <f ca="1">IF(SUMPRODUCT((ListeB='recap S1'!$B43)*(OFFSET(ListeB,,4)='recap S1'!Z$3)*(OFFSET(ListeB,,1)='recap S1'!Z$2))&gt;0,SUMPRODUCT((ListeB='recap S1'!$B43)*(OFFSET(ListeB,,4)='recap S1'!Z$3)*(OFFSET(ListeB,,1)='recap S1'!Z$2)),"")</f>
        <v/>
      </c>
      <c r="AA43" s="32" t="str">
        <f ca="1">IF(SUMPRODUCT((ListeB='recap S1'!$B43)*(OFFSET(ListeB,,4)='recap S1'!AA$3)*(OFFSET(ListeB,,1)='recap S1'!AA$2))&gt;0,SUMPRODUCT((ListeB='recap S1'!$B43)*(OFFSET(ListeB,,4)='recap S1'!AA$3)*(OFFSET(ListeB,,1)='recap S1'!AA$2)),"")</f>
        <v/>
      </c>
      <c r="AB43" s="32" t="str">
        <f ca="1">IF(SUMPRODUCT((ListeB='recap S1'!$B43)*(OFFSET(ListeB,,4)='recap S1'!AB$3)*(OFFSET(ListeB,,1)='recap S1'!AB$2))&gt;0,SUMPRODUCT((ListeB='recap S1'!$B43)*(OFFSET(ListeB,,4)='recap S1'!AB$3)*(OFFSET(ListeB,,1)='recap S1'!AB$2)),"")</f>
        <v/>
      </c>
      <c r="AC43" s="32" t="str">
        <f ca="1">IF(SUMPRODUCT((ListeB='recap S1'!$B43)*(OFFSET(ListeB,,4)='recap S1'!AC$3)*(OFFSET(ListeB,,1)='recap S1'!AC$2))&gt;0,SUMPRODUCT((ListeB='recap S1'!$B43)*(OFFSET(ListeB,,4)='recap S1'!AC$3)*(OFFSET(ListeB,,1)='recap S1'!AC$2)),"")</f>
        <v/>
      </c>
      <c r="AD43" s="32" t="str">
        <f ca="1">IF(SUMPRODUCT((ListeB='recap S1'!$B43)*(OFFSET(ListeB,,4)='recap S1'!AD$3)*(OFFSET(ListeB,,1)='recap S1'!AD$2))&gt;0,SUMPRODUCT((ListeB='recap S1'!$B43)*(OFFSET(ListeB,,4)='recap S1'!AD$3)*(OFFSET(ListeB,,1)='recap S1'!AD$2)),"")</f>
        <v/>
      </c>
      <c r="AE43" s="32" t="str">
        <f ca="1">IF(SUMPRODUCT((ListeB='recap S1'!$B43)*(OFFSET(ListeB,,4)='recap S1'!AE$3)*(OFFSET(ListeB,,1)='recap S1'!AE$2))&gt;0,SUMPRODUCT((ListeB='recap S1'!$B43)*(OFFSET(ListeB,,4)='recap S1'!AE$3)*(OFFSET(ListeB,,1)='recap S1'!AE$2)),"")</f>
        <v/>
      </c>
      <c r="AF43" s="32" t="str">
        <f ca="1">IF(SUMPRODUCT((ListeB='recap S1'!$B43)*(OFFSET(ListeB,,4)='recap S1'!AF$3)*(OFFSET(ListeB,,1)='recap S1'!AF$2))&gt;0,SUMPRODUCT((ListeB='recap S1'!$B43)*(OFFSET(ListeB,,4)='recap S1'!AF$3)*(OFFSET(ListeB,,1)='recap S1'!AF$2)),"")</f>
        <v/>
      </c>
      <c r="AG43" s="32" t="str">
        <f ca="1">IF(SUMPRODUCT((ListeB='recap S1'!$B43)*(OFFSET(ListeB,,4)='recap S1'!AG$3)*(OFFSET(ListeB,,1)='recap S1'!AG$2))&gt;0,SUMPRODUCT((ListeB='recap S1'!$B43)*(OFFSET(ListeB,,4)='recap S1'!AG$3)*(OFFSET(ListeB,,1)='recap S1'!AG$2)),"")</f>
        <v/>
      </c>
      <c r="AH43" s="32" t="str">
        <f ca="1">IF(SUMPRODUCT((ListeB='recap S1'!$B43)*(OFFSET(ListeB,,4)='recap S1'!AH$3)*(OFFSET(ListeB,,1)='recap S1'!AH$2))&gt;0,SUMPRODUCT((ListeB='recap S1'!$B43)*(OFFSET(ListeB,,4)='recap S1'!AH$3)*(OFFSET(ListeB,,1)='recap S1'!AH$2)),"")</f>
        <v/>
      </c>
      <c r="AI43" s="32" t="str">
        <f ca="1">IF(SUMPRODUCT((ListeB='recap S1'!$B43)*(OFFSET(ListeB,,4)='recap S1'!AI$3)*(OFFSET(ListeB,,1)='recap S1'!AI$2))&gt;0,SUMPRODUCT((ListeB='recap S1'!$B43)*(OFFSET(ListeB,,4)='recap S1'!AI$3)*(OFFSET(ListeB,,1)='recap S1'!AI$2)),"")</f>
        <v/>
      </c>
      <c r="AJ43" s="32" t="str">
        <f ca="1">IF(SUMPRODUCT((ListeB='recap S1'!$B43)*(OFFSET(ListeB,,4)='recap S1'!AJ$3)*(OFFSET(ListeB,,1)='recap S1'!AJ$2))&gt;0,SUMPRODUCT((ListeB='recap S1'!$B43)*(OFFSET(ListeB,,4)='recap S1'!AJ$3)*(OFFSET(ListeB,,1)='recap S1'!AJ$2)),"")</f>
        <v/>
      </c>
      <c r="AK43" s="32" t="str">
        <f ca="1">IF(SUMPRODUCT((ListeB='recap S1'!$B43)*(OFFSET(ListeB,,4)='recap S1'!AK$3)*(OFFSET(ListeB,,1)='recap S1'!AK$2))&gt;0,SUMPRODUCT((ListeB='recap S1'!$B43)*(OFFSET(ListeB,,4)='recap S1'!AK$3)*(OFFSET(ListeB,,1)='recap S1'!AK$2)),"")</f>
        <v/>
      </c>
      <c r="AL43" s="32" t="str">
        <f ca="1">IF(SUMPRODUCT((ListeB='recap S1'!$B43)*(OFFSET(ListeB,,4)='recap S1'!AL$3)*(OFFSET(ListeB,,1)='recap S1'!AL$2))&gt;0,SUMPRODUCT((ListeB='recap S1'!$B43)*(OFFSET(ListeB,,4)='recap S1'!AL$3)*(OFFSET(ListeB,,1)='recap S1'!AL$2)),"")</f>
        <v/>
      </c>
      <c r="AM43" s="32" t="str">
        <f ca="1">IF(SUMPRODUCT((ListeB='recap S1'!$B43)*(OFFSET(ListeB,,4)='recap S1'!AM$3)*(OFFSET(ListeB,,1)='recap S1'!AM$2))&gt;0,SUMPRODUCT((ListeB='recap S1'!$B43)*(OFFSET(ListeB,,4)='recap S1'!AM$3)*(OFFSET(ListeB,,1)='recap S1'!AM$2)),"")</f>
        <v/>
      </c>
      <c r="AN43" s="32" t="str">
        <f ca="1">IF(SUMPRODUCT((ListeB='recap S1'!$B43)*(OFFSET(ListeB,,4)='recap S1'!AN$3)*(OFFSET(ListeB,,1)='recap S1'!AN$2))&gt;0,SUMPRODUCT((ListeB='recap S1'!$B43)*(OFFSET(ListeB,,4)='recap S1'!AN$3)*(OFFSET(ListeB,,1)='recap S1'!AN$2)),"")</f>
        <v/>
      </c>
      <c r="AO43" s="32" t="str">
        <f ca="1">IF(SUMPRODUCT((ListeB='recap S1'!$B43)*(OFFSET(ListeB,,4)='recap S1'!AO$3)*(OFFSET(ListeB,,1)='recap S1'!AO$2))&gt;0,SUMPRODUCT((ListeB='recap S1'!$B43)*(OFFSET(ListeB,,4)='recap S1'!AO$3)*(OFFSET(ListeB,,1)='recap S1'!AO$2)),"")</f>
        <v/>
      </c>
      <c r="AP43" s="32" t="str">
        <f ca="1">IF(SUMPRODUCT((ListeB='recap S1'!$B43)*(OFFSET(ListeB,,4)='recap S1'!AP$3)*(OFFSET(ListeB,,1)='recap S1'!AP$2))&gt;0,SUMPRODUCT((ListeB='recap S1'!$B43)*(OFFSET(ListeB,,4)='recap S1'!AP$3)*(OFFSET(ListeB,,1)='recap S1'!AP$2)),"")</f>
        <v/>
      </c>
      <c r="AQ43" s="32" t="str">
        <f ca="1">IF(SUMPRODUCT((ListeB='recap S1'!$B43)*(OFFSET(ListeB,,4)='recap S1'!AQ$3)*(OFFSET(ListeB,,1)='recap S1'!AQ$2))&gt;0,SUMPRODUCT((ListeB='recap S1'!$B43)*(OFFSET(ListeB,,4)='recap S1'!AQ$3)*(OFFSET(ListeB,,1)='recap S1'!AQ$2)),"")</f>
        <v/>
      </c>
      <c r="AR43" s="32" t="str">
        <f ca="1">IF(SUMPRODUCT((ListeB='recap S1'!$B43)*(OFFSET(ListeB,,4)='recap S1'!AR$3)*(OFFSET(ListeB,,1)='recap S1'!AR$2))&gt;0,SUMPRODUCT((ListeB='recap S1'!$B43)*(OFFSET(ListeB,,4)='recap S1'!AR$3)*(OFFSET(ListeB,,1)='recap S1'!AR$2)),"")</f>
        <v/>
      </c>
      <c r="AS43" s="32" t="str">
        <f ca="1">IF(SUMPRODUCT((ListeB='recap S1'!$B43)*(OFFSET(ListeB,,4)='recap S1'!AS$3)*(OFFSET(ListeB,,1)='recap S1'!AS$2))&gt;0,SUMPRODUCT((ListeB='recap S1'!$B43)*(OFFSET(ListeB,,4)='recap S1'!AS$3)*(OFFSET(ListeB,,1)='recap S1'!AS$2)),"")</f>
        <v/>
      </c>
      <c r="AT43" s="32" t="str">
        <f ca="1">IF(SUMPRODUCT((ListeB='recap S1'!$B43)*(OFFSET(ListeB,,4)='recap S1'!AT$3)*(OFFSET(ListeB,,1)='recap S1'!AT$2))&gt;0,SUMPRODUCT((ListeB='recap S1'!$B43)*(OFFSET(ListeB,,4)='recap S1'!AT$3)*(OFFSET(ListeB,,1)='recap S1'!AT$2)),"")</f>
        <v/>
      </c>
      <c r="AU43" s="32" t="str">
        <f ca="1">IF(SUMPRODUCT((ListeB='recap S1'!$B43)*(OFFSET(ListeB,,4)='recap S1'!AU$3)*(OFFSET(ListeB,,1)='recap S1'!AU$2))&gt;0,SUMPRODUCT((ListeB='recap S1'!$B43)*(OFFSET(ListeB,,4)='recap S1'!AU$3)*(OFFSET(ListeB,,1)='recap S1'!AU$2)),"")</f>
        <v/>
      </c>
      <c r="AV43" s="32" t="str">
        <f ca="1">IF(SUMPRODUCT((ListeB='recap S1'!$B43)*(OFFSET(ListeB,,4)='recap S1'!AV$3)*(OFFSET(ListeB,,1)='recap S1'!AV$2))&gt;0,SUMPRODUCT((ListeB='recap S1'!$B43)*(OFFSET(ListeB,,4)='recap S1'!AV$3)*(OFFSET(ListeB,,1)='recap S1'!AV$2)),"")</f>
        <v/>
      </c>
      <c r="AW43" s="32" t="str">
        <f ca="1">IF(SUMPRODUCT((ListeB='recap S1'!$B43)*(OFFSET(ListeB,,4)='recap S1'!AW$3)*(OFFSET(ListeB,,1)='recap S1'!AW$2))&gt;0,SUMPRODUCT((ListeB='recap S1'!$B43)*(OFFSET(ListeB,,4)='recap S1'!AW$3)*(OFFSET(ListeB,,1)='recap S1'!AW$2)),"")</f>
        <v/>
      </c>
      <c r="AX43" s="32" t="str">
        <f ca="1">IF(SUMPRODUCT((ListeB='recap S1'!$B43)*(OFFSET(ListeB,,4)='recap S1'!AX$3)*(OFFSET(ListeB,,1)='recap S1'!AX$2))&gt;0,SUMPRODUCT((ListeB='recap S1'!$B43)*(OFFSET(ListeB,,4)='recap S1'!AX$3)*(OFFSET(ListeB,,1)='recap S1'!AX$2)),"")</f>
        <v/>
      </c>
      <c r="AY43" s="32" t="str">
        <f ca="1">IF(SUMPRODUCT((ListeB='recap S1'!$B43)*(OFFSET(ListeB,,4)='recap S1'!AY$3)*(OFFSET(ListeB,,1)='recap S1'!AY$2))&gt;0,SUMPRODUCT((ListeB='recap S1'!$B43)*(OFFSET(ListeB,,4)='recap S1'!AY$3)*(OFFSET(ListeB,,1)='recap S1'!AY$2)),"")</f>
        <v/>
      </c>
      <c r="AZ43" s="32">
        <f t="shared" ca="1" si="1"/>
        <v>0</v>
      </c>
    </row>
    <row r="44" spans="1:52">
      <c r="A44" s="41" t="str">
        <f>IF('SEANCE 1'!$B42&lt;&gt;"",'SEANCE 1'!$A42,"")</f>
        <v/>
      </c>
      <c r="B44" s="41" t="str">
        <f t="array" aca="1" ref="B44" ca="1">IF(ISNA(INDEX(ListeB,MATCH(0,COUNTIF($B$3:B43,ListeB),0))),"",INDEX(ListeB,MATCH(0,COUNTIF($B$3:B43,ListeB),0)))</f>
        <v/>
      </c>
      <c r="C44" s="32" t="str">
        <f ca="1">IF(SUMPRODUCT((ListeB='recap S1'!$B44)*(OFFSET(ListeB,,4)='recap S1'!C$3)*(OFFSET(ListeB,,1)='recap S1'!C$2))&gt;0,SUMPRODUCT((ListeB='recap S1'!$B44)*(OFFSET(ListeB,,4)='recap S1'!C$3)*(OFFSET(ListeB,,1)='recap S1'!C$2)),"")</f>
        <v/>
      </c>
      <c r="D44" s="32" t="str">
        <f ca="1">IF(SUMPRODUCT((ListeB='recap S1'!$B44)*(OFFSET(ListeB,,4)='recap S1'!D$3)*(OFFSET(ListeB,,1)='recap S1'!D$2))&gt;0,SUMPRODUCT((ListeB='recap S1'!$B44)*(OFFSET(ListeB,,4)='recap S1'!D$3)*(OFFSET(ListeB,,1)='recap S1'!D$2)),"")</f>
        <v/>
      </c>
      <c r="E44" s="32" t="str">
        <f ca="1">IF(SUMPRODUCT((ListeB='recap S1'!$B44)*(OFFSET(ListeB,,4)='recap S1'!E$3)*(OFFSET(ListeB,,1)='recap S1'!E$2))&gt;0,SUMPRODUCT((ListeB='recap S1'!$B44)*(OFFSET(ListeB,,4)='recap S1'!E$3)*(OFFSET(ListeB,,1)='recap S1'!E$2)),"")</f>
        <v/>
      </c>
      <c r="F44" s="32" t="str">
        <f ca="1">IF(SUMPRODUCT((ListeB='recap S1'!$B44)*(OFFSET(ListeB,,4)='recap S1'!F$3)*(OFFSET(ListeB,,1)='recap S1'!F$2))&gt;0,SUMPRODUCT((ListeB='recap S1'!$B44)*(OFFSET(ListeB,,4)='recap S1'!F$3)*(OFFSET(ListeB,,1)='recap S1'!F$2)),"")</f>
        <v/>
      </c>
      <c r="G44" s="32" t="str">
        <f ca="1">IF(SUMPRODUCT((ListeB='recap S1'!$B44)*(OFFSET(ListeB,,4)='recap S1'!G$3)*(OFFSET(ListeB,,1)='recap S1'!G$2))&gt;0,SUMPRODUCT((ListeB='recap S1'!$B44)*(OFFSET(ListeB,,4)='recap S1'!G$3)*(OFFSET(ListeB,,1)='recap S1'!G$2)),"")</f>
        <v/>
      </c>
      <c r="H44" s="32" t="str">
        <f ca="1">IF(SUMPRODUCT((ListeB='recap S1'!$B44)*(OFFSET(ListeB,,4)='recap S1'!H$3)*(OFFSET(ListeB,,1)='recap S1'!H$2))&gt;0,SUMPRODUCT((ListeB='recap S1'!$B44)*(OFFSET(ListeB,,4)='recap S1'!H$3)*(OFFSET(ListeB,,1)='recap S1'!H$2)),"")</f>
        <v/>
      </c>
      <c r="I44" s="32" t="str">
        <f ca="1">IF(SUMPRODUCT((ListeB='recap S1'!$B44)*(OFFSET(ListeB,,4)='recap S1'!I$3)*(OFFSET(ListeB,,1)='recap S1'!I$2))&gt;0,SUMPRODUCT((ListeB='recap S1'!$B44)*(OFFSET(ListeB,,4)='recap S1'!I$3)*(OFFSET(ListeB,,1)='recap S1'!I$2)),"")</f>
        <v/>
      </c>
      <c r="J44" s="32" t="str">
        <f ca="1">IF(SUMPRODUCT((ListeB='recap S1'!$B44)*(OFFSET(ListeB,,4)='recap S1'!J$3)*(OFFSET(ListeB,,1)='recap S1'!J$2))&gt;0,SUMPRODUCT((ListeB='recap S1'!$B44)*(OFFSET(ListeB,,4)='recap S1'!J$3)*(OFFSET(ListeB,,1)='recap S1'!J$2)),"")</f>
        <v/>
      </c>
      <c r="K44" s="32" t="str">
        <f ca="1">IF(SUMPRODUCT((ListeB='recap S1'!$B44)*(OFFSET(ListeB,,4)='recap S1'!K$3)*(OFFSET(ListeB,,1)='recap S1'!K$2))&gt;0,SUMPRODUCT((ListeB='recap S1'!$B44)*(OFFSET(ListeB,,4)='recap S1'!K$3)*(OFFSET(ListeB,,1)='recap S1'!K$2)),"")</f>
        <v/>
      </c>
      <c r="L44" s="32" t="str">
        <f ca="1">IF(SUMPRODUCT((ListeB='recap S1'!$B44)*(OFFSET(ListeB,,4)='recap S1'!L$3)*(OFFSET(ListeB,,1)='recap S1'!L$2))&gt;0,SUMPRODUCT((ListeB='recap S1'!$B44)*(OFFSET(ListeB,,4)='recap S1'!L$3)*(OFFSET(ListeB,,1)='recap S1'!L$2)),"")</f>
        <v/>
      </c>
      <c r="M44" s="32" t="str">
        <f ca="1">IF(SUMPRODUCT((ListeB='recap S1'!$B44)*(OFFSET(ListeB,,4)='recap S1'!M$3)*(OFFSET(ListeB,,1)='recap S1'!M$2))&gt;0,SUMPRODUCT((ListeB='recap S1'!$B44)*(OFFSET(ListeB,,4)='recap S1'!M$3)*(OFFSET(ListeB,,1)='recap S1'!M$2)),"")</f>
        <v/>
      </c>
      <c r="N44" s="32" t="str">
        <f ca="1">IF(SUMPRODUCT((ListeB='recap S1'!$B44)*(OFFSET(ListeB,,4)='recap S1'!N$3)*(OFFSET(ListeB,,1)='recap S1'!N$2))&gt;0,SUMPRODUCT((ListeB='recap S1'!$B44)*(OFFSET(ListeB,,4)='recap S1'!N$3)*(OFFSET(ListeB,,1)='recap S1'!N$2)),"")</f>
        <v/>
      </c>
      <c r="O44" s="32" t="str">
        <f ca="1">IF(SUMPRODUCT((ListeB='recap S1'!$B44)*(OFFSET(ListeB,,4)='recap S1'!O$3)*(OFFSET(ListeB,,1)='recap S1'!O$2))&gt;0,SUMPRODUCT((ListeB='recap S1'!$B44)*(OFFSET(ListeB,,4)='recap S1'!O$3)*(OFFSET(ListeB,,1)='recap S1'!O$2)),"")</f>
        <v/>
      </c>
      <c r="P44" s="32" t="str">
        <f ca="1">IF(SUMPRODUCT((ListeB='recap S1'!$B44)*(OFFSET(ListeB,,4)='recap S1'!P$3)*(OFFSET(ListeB,,1)='recap S1'!P$2))&gt;0,SUMPRODUCT((ListeB='recap S1'!$B44)*(OFFSET(ListeB,,4)='recap S1'!P$3)*(OFFSET(ListeB,,1)='recap S1'!P$2)),"")</f>
        <v/>
      </c>
      <c r="Q44" s="32" t="str">
        <f ca="1">IF(SUMPRODUCT((ListeB='recap S1'!$B44)*(OFFSET(ListeB,,4)='recap S1'!Q$3)*(OFFSET(ListeB,,1)='recap S1'!Q$2))&gt;0,SUMPRODUCT((ListeB='recap S1'!$B44)*(OFFSET(ListeB,,4)='recap S1'!Q$3)*(OFFSET(ListeB,,1)='recap S1'!Q$2)),"")</f>
        <v/>
      </c>
      <c r="R44" s="32" t="str">
        <f ca="1">IF(SUMPRODUCT((ListeB='recap S1'!$B44)*(OFFSET(ListeB,,4)='recap S1'!R$3)*(OFFSET(ListeB,,1)='recap S1'!R$2))&gt;0,SUMPRODUCT((ListeB='recap S1'!$B44)*(OFFSET(ListeB,,4)='recap S1'!R$3)*(OFFSET(ListeB,,1)='recap S1'!R$2)),"")</f>
        <v/>
      </c>
      <c r="S44" s="32" t="str">
        <f ca="1">IF(SUMPRODUCT((ListeB='recap S1'!$B44)*(OFFSET(ListeB,,4)='recap S1'!S$3)*(OFFSET(ListeB,,1)='recap S1'!S$2))&gt;0,SUMPRODUCT((ListeB='recap S1'!$B44)*(OFFSET(ListeB,,4)='recap S1'!S$3)*(OFFSET(ListeB,,1)='recap S1'!S$2)),"")</f>
        <v/>
      </c>
      <c r="T44" s="32" t="str">
        <f ca="1">IF(SUMPRODUCT((ListeB='recap S1'!$B44)*(OFFSET(ListeB,,4)='recap S1'!T$3)*(OFFSET(ListeB,,1)='recap S1'!T$2))&gt;0,SUMPRODUCT((ListeB='recap S1'!$B44)*(OFFSET(ListeB,,4)='recap S1'!T$3)*(OFFSET(ListeB,,1)='recap S1'!T$2)),"")</f>
        <v/>
      </c>
      <c r="U44" s="32" t="str">
        <f ca="1">IF(SUMPRODUCT((ListeB='recap S1'!$B44)*(OFFSET(ListeB,,4)='recap S1'!U$3)*(OFFSET(ListeB,,1)='recap S1'!U$2))&gt;0,SUMPRODUCT((ListeB='recap S1'!$B44)*(OFFSET(ListeB,,4)='recap S1'!U$3)*(OFFSET(ListeB,,1)='recap S1'!U$2)),"")</f>
        <v/>
      </c>
      <c r="V44" s="32" t="str">
        <f ca="1">IF(SUMPRODUCT((ListeB='recap S1'!$B44)*(OFFSET(ListeB,,4)='recap S1'!V$3)*(OFFSET(ListeB,,1)='recap S1'!V$2))&gt;0,SUMPRODUCT((ListeB='recap S1'!$B44)*(OFFSET(ListeB,,4)='recap S1'!V$3)*(OFFSET(ListeB,,1)='recap S1'!V$2)),"")</f>
        <v/>
      </c>
      <c r="W44" s="32" t="str">
        <f ca="1">IF(SUMPRODUCT((ListeB='recap S1'!$B44)*(OFFSET(ListeB,,4)='recap S1'!W$3)*(OFFSET(ListeB,,1)='recap S1'!W$2))&gt;0,SUMPRODUCT((ListeB='recap S1'!$B44)*(OFFSET(ListeB,,4)='recap S1'!W$3)*(OFFSET(ListeB,,1)='recap S1'!W$2)),"")</f>
        <v/>
      </c>
      <c r="X44" s="32" t="str">
        <f ca="1">IF(SUMPRODUCT((ListeB='recap S1'!$B44)*(OFFSET(ListeB,,4)='recap S1'!X$3)*(OFFSET(ListeB,,1)='recap S1'!X$2))&gt;0,SUMPRODUCT((ListeB='recap S1'!$B44)*(OFFSET(ListeB,,4)='recap S1'!X$3)*(OFFSET(ListeB,,1)='recap S1'!X$2)),"")</f>
        <v/>
      </c>
      <c r="Y44" s="32" t="str">
        <f ca="1">IF(SUMPRODUCT((ListeB='recap S1'!$B44)*(OFFSET(ListeB,,4)='recap S1'!Y$3)*(OFFSET(ListeB,,1)='recap S1'!Y$2))&gt;0,SUMPRODUCT((ListeB='recap S1'!$B44)*(OFFSET(ListeB,,4)='recap S1'!Y$3)*(OFFSET(ListeB,,1)='recap S1'!Y$2)),"")</f>
        <v/>
      </c>
      <c r="Z44" s="32" t="str">
        <f ca="1">IF(SUMPRODUCT((ListeB='recap S1'!$B44)*(OFFSET(ListeB,,4)='recap S1'!Z$3)*(OFFSET(ListeB,,1)='recap S1'!Z$2))&gt;0,SUMPRODUCT((ListeB='recap S1'!$B44)*(OFFSET(ListeB,,4)='recap S1'!Z$3)*(OFFSET(ListeB,,1)='recap S1'!Z$2)),"")</f>
        <v/>
      </c>
      <c r="AA44" s="32" t="str">
        <f ca="1">IF(SUMPRODUCT((ListeB='recap S1'!$B44)*(OFFSET(ListeB,,4)='recap S1'!AA$3)*(OFFSET(ListeB,,1)='recap S1'!AA$2))&gt;0,SUMPRODUCT((ListeB='recap S1'!$B44)*(OFFSET(ListeB,,4)='recap S1'!AA$3)*(OFFSET(ListeB,,1)='recap S1'!AA$2)),"")</f>
        <v/>
      </c>
      <c r="AB44" s="32" t="str">
        <f ca="1">IF(SUMPRODUCT((ListeB='recap S1'!$B44)*(OFFSET(ListeB,,4)='recap S1'!AB$3)*(OFFSET(ListeB,,1)='recap S1'!AB$2))&gt;0,SUMPRODUCT((ListeB='recap S1'!$B44)*(OFFSET(ListeB,,4)='recap S1'!AB$3)*(OFFSET(ListeB,,1)='recap S1'!AB$2)),"")</f>
        <v/>
      </c>
      <c r="AC44" s="32" t="str">
        <f ca="1">IF(SUMPRODUCT((ListeB='recap S1'!$B44)*(OFFSET(ListeB,,4)='recap S1'!AC$3)*(OFFSET(ListeB,,1)='recap S1'!AC$2))&gt;0,SUMPRODUCT((ListeB='recap S1'!$B44)*(OFFSET(ListeB,,4)='recap S1'!AC$3)*(OFFSET(ListeB,,1)='recap S1'!AC$2)),"")</f>
        <v/>
      </c>
      <c r="AD44" s="32" t="str">
        <f ca="1">IF(SUMPRODUCT((ListeB='recap S1'!$B44)*(OFFSET(ListeB,,4)='recap S1'!AD$3)*(OFFSET(ListeB,,1)='recap S1'!AD$2))&gt;0,SUMPRODUCT((ListeB='recap S1'!$B44)*(OFFSET(ListeB,,4)='recap S1'!AD$3)*(OFFSET(ListeB,,1)='recap S1'!AD$2)),"")</f>
        <v/>
      </c>
      <c r="AE44" s="32" t="str">
        <f ca="1">IF(SUMPRODUCT((ListeB='recap S1'!$B44)*(OFFSET(ListeB,,4)='recap S1'!AE$3)*(OFFSET(ListeB,,1)='recap S1'!AE$2))&gt;0,SUMPRODUCT((ListeB='recap S1'!$B44)*(OFFSET(ListeB,,4)='recap S1'!AE$3)*(OFFSET(ListeB,,1)='recap S1'!AE$2)),"")</f>
        <v/>
      </c>
      <c r="AF44" s="32" t="str">
        <f ca="1">IF(SUMPRODUCT((ListeB='recap S1'!$B44)*(OFFSET(ListeB,,4)='recap S1'!AF$3)*(OFFSET(ListeB,,1)='recap S1'!AF$2))&gt;0,SUMPRODUCT((ListeB='recap S1'!$B44)*(OFFSET(ListeB,,4)='recap S1'!AF$3)*(OFFSET(ListeB,,1)='recap S1'!AF$2)),"")</f>
        <v/>
      </c>
      <c r="AG44" s="32" t="str">
        <f ca="1">IF(SUMPRODUCT((ListeB='recap S1'!$B44)*(OFFSET(ListeB,,4)='recap S1'!AG$3)*(OFFSET(ListeB,,1)='recap S1'!AG$2))&gt;0,SUMPRODUCT((ListeB='recap S1'!$B44)*(OFFSET(ListeB,,4)='recap S1'!AG$3)*(OFFSET(ListeB,,1)='recap S1'!AG$2)),"")</f>
        <v/>
      </c>
      <c r="AH44" s="32" t="str">
        <f ca="1">IF(SUMPRODUCT((ListeB='recap S1'!$B44)*(OFFSET(ListeB,,4)='recap S1'!AH$3)*(OFFSET(ListeB,,1)='recap S1'!AH$2))&gt;0,SUMPRODUCT((ListeB='recap S1'!$B44)*(OFFSET(ListeB,,4)='recap S1'!AH$3)*(OFFSET(ListeB,,1)='recap S1'!AH$2)),"")</f>
        <v/>
      </c>
      <c r="AI44" s="32" t="str">
        <f ca="1">IF(SUMPRODUCT((ListeB='recap S1'!$B44)*(OFFSET(ListeB,,4)='recap S1'!AI$3)*(OFFSET(ListeB,,1)='recap S1'!AI$2))&gt;0,SUMPRODUCT((ListeB='recap S1'!$B44)*(OFFSET(ListeB,,4)='recap S1'!AI$3)*(OFFSET(ListeB,,1)='recap S1'!AI$2)),"")</f>
        <v/>
      </c>
      <c r="AJ44" s="32" t="str">
        <f ca="1">IF(SUMPRODUCT((ListeB='recap S1'!$B44)*(OFFSET(ListeB,,4)='recap S1'!AJ$3)*(OFFSET(ListeB,,1)='recap S1'!AJ$2))&gt;0,SUMPRODUCT((ListeB='recap S1'!$B44)*(OFFSET(ListeB,,4)='recap S1'!AJ$3)*(OFFSET(ListeB,,1)='recap S1'!AJ$2)),"")</f>
        <v/>
      </c>
      <c r="AK44" s="32" t="str">
        <f ca="1">IF(SUMPRODUCT((ListeB='recap S1'!$B44)*(OFFSET(ListeB,,4)='recap S1'!AK$3)*(OFFSET(ListeB,,1)='recap S1'!AK$2))&gt;0,SUMPRODUCT((ListeB='recap S1'!$B44)*(OFFSET(ListeB,,4)='recap S1'!AK$3)*(OFFSET(ListeB,,1)='recap S1'!AK$2)),"")</f>
        <v/>
      </c>
      <c r="AL44" s="32" t="str">
        <f ca="1">IF(SUMPRODUCT((ListeB='recap S1'!$B44)*(OFFSET(ListeB,,4)='recap S1'!AL$3)*(OFFSET(ListeB,,1)='recap S1'!AL$2))&gt;0,SUMPRODUCT((ListeB='recap S1'!$B44)*(OFFSET(ListeB,,4)='recap S1'!AL$3)*(OFFSET(ListeB,,1)='recap S1'!AL$2)),"")</f>
        <v/>
      </c>
      <c r="AM44" s="32" t="str">
        <f ca="1">IF(SUMPRODUCT((ListeB='recap S1'!$B44)*(OFFSET(ListeB,,4)='recap S1'!AM$3)*(OFFSET(ListeB,,1)='recap S1'!AM$2))&gt;0,SUMPRODUCT((ListeB='recap S1'!$B44)*(OFFSET(ListeB,,4)='recap S1'!AM$3)*(OFFSET(ListeB,,1)='recap S1'!AM$2)),"")</f>
        <v/>
      </c>
      <c r="AN44" s="32" t="str">
        <f ca="1">IF(SUMPRODUCT((ListeB='recap S1'!$B44)*(OFFSET(ListeB,,4)='recap S1'!AN$3)*(OFFSET(ListeB,,1)='recap S1'!AN$2))&gt;0,SUMPRODUCT((ListeB='recap S1'!$B44)*(OFFSET(ListeB,,4)='recap S1'!AN$3)*(OFFSET(ListeB,,1)='recap S1'!AN$2)),"")</f>
        <v/>
      </c>
      <c r="AO44" s="32" t="str">
        <f ca="1">IF(SUMPRODUCT((ListeB='recap S1'!$B44)*(OFFSET(ListeB,,4)='recap S1'!AO$3)*(OFFSET(ListeB,,1)='recap S1'!AO$2))&gt;0,SUMPRODUCT((ListeB='recap S1'!$B44)*(OFFSET(ListeB,,4)='recap S1'!AO$3)*(OFFSET(ListeB,,1)='recap S1'!AO$2)),"")</f>
        <v/>
      </c>
      <c r="AP44" s="32" t="str">
        <f ca="1">IF(SUMPRODUCT((ListeB='recap S1'!$B44)*(OFFSET(ListeB,,4)='recap S1'!AP$3)*(OFFSET(ListeB,,1)='recap S1'!AP$2))&gt;0,SUMPRODUCT((ListeB='recap S1'!$B44)*(OFFSET(ListeB,,4)='recap S1'!AP$3)*(OFFSET(ListeB,,1)='recap S1'!AP$2)),"")</f>
        <v/>
      </c>
      <c r="AQ44" s="32" t="str">
        <f ca="1">IF(SUMPRODUCT((ListeB='recap S1'!$B44)*(OFFSET(ListeB,,4)='recap S1'!AQ$3)*(OFFSET(ListeB,,1)='recap S1'!AQ$2))&gt;0,SUMPRODUCT((ListeB='recap S1'!$B44)*(OFFSET(ListeB,,4)='recap S1'!AQ$3)*(OFFSET(ListeB,,1)='recap S1'!AQ$2)),"")</f>
        <v/>
      </c>
      <c r="AR44" s="32" t="str">
        <f ca="1">IF(SUMPRODUCT((ListeB='recap S1'!$B44)*(OFFSET(ListeB,,4)='recap S1'!AR$3)*(OFFSET(ListeB,,1)='recap S1'!AR$2))&gt;0,SUMPRODUCT((ListeB='recap S1'!$B44)*(OFFSET(ListeB,,4)='recap S1'!AR$3)*(OFFSET(ListeB,,1)='recap S1'!AR$2)),"")</f>
        <v/>
      </c>
      <c r="AS44" s="32" t="str">
        <f ca="1">IF(SUMPRODUCT((ListeB='recap S1'!$B44)*(OFFSET(ListeB,,4)='recap S1'!AS$3)*(OFFSET(ListeB,,1)='recap S1'!AS$2))&gt;0,SUMPRODUCT((ListeB='recap S1'!$B44)*(OFFSET(ListeB,,4)='recap S1'!AS$3)*(OFFSET(ListeB,,1)='recap S1'!AS$2)),"")</f>
        <v/>
      </c>
      <c r="AT44" s="32" t="str">
        <f ca="1">IF(SUMPRODUCT((ListeB='recap S1'!$B44)*(OFFSET(ListeB,,4)='recap S1'!AT$3)*(OFFSET(ListeB,,1)='recap S1'!AT$2))&gt;0,SUMPRODUCT((ListeB='recap S1'!$B44)*(OFFSET(ListeB,,4)='recap S1'!AT$3)*(OFFSET(ListeB,,1)='recap S1'!AT$2)),"")</f>
        <v/>
      </c>
      <c r="AU44" s="32" t="str">
        <f ca="1">IF(SUMPRODUCT((ListeB='recap S1'!$B44)*(OFFSET(ListeB,,4)='recap S1'!AU$3)*(OFFSET(ListeB,,1)='recap S1'!AU$2))&gt;0,SUMPRODUCT((ListeB='recap S1'!$B44)*(OFFSET(ListeB,,4)='recap S1'!AU$3)*(OFFSET(ListeB,,1)='recap S1'!AU$2)),"")</f>
        <v/>
      </c>
      <c r="AV44" s="32" t="str">
        <f ca="1">IF(SUMPRODUCT((ListeB='recap S1'!$B44)*(OFFSET(ListeB,,4)='recap S1'!AV$3)*(OFFSET(ListeB,,1)='recap S1'!AV$2))&gt;0,SUMPRODUCT((ListeB='recap S1'!$B44)*(OFFSET(ListeB,,4)='recap S1'!AV$3)*(OFFSET(ListeB,,1)='recap S1'!AV$2)),"")</f>
        <v/>
      </c>
      <c r="AW44" s="32" t="str">
        <f ca="1">IF(SUMPRODUCT((ListeB='recap S1'!$B44)*(OFFSET(ListeB,,4)='recap S1'!AW$3)*(OFFSET(ListeB,,1)='recap S1'!AW$2))&gt;0,SUMPRODUCT((ListeB='recap S1'!$B44)*(OFFSET(ListeB,,4)='recap S1'!AW$3)*(OFFSET(ListeB,,1)='recap S1'!AW$2)),"")</f>
        <v/>
      </c>
      <c r="AX44" s="32" t="str">
        <f ca="1">IF(SUMPRODUCT((ListeB='recap S1'!$B44)*(OFFSET(ListeB,,4)='recap S1'!AX$3)*(OFFSET(ListeB,,1)='recap S1'!AX$2))&gt;0,SUMPRODUCT((ListeB='recap S1'!$B44)*(OFFSET(ListeB,,4)='recap S1'!AX$3)*(OFFSET(ListeB,,1)='recap S1'!AX$2)),"")</f>
        <v/>
      </c>
      <c r="AY44" s="32" t="str">
        <f ca="1">IF(SUMPRODUCT((ListeB='recap S1'!$B44)*(OFFSET(ListeB,,4)='recap S1'!AY$3)*(OFFSET(ListeB,,1)='recap S1'!AY$2))&gt;0,SUMPRODUCT((ListeB='recap S1'!$B44)*(OFFSET(ListeB,,4)='recap S1'!AY$3)*(OFFSET(ListeB,,1)='recap S1'!AY$2)),"")</f>
        <v/>
      </c>
      <c r="AZ44" s="32">
        <f t="shared" ca="1" si="1"/>
        <v>0</v>
      </c>
    </row>
    <row r="45" spans="1:52">
      <c r="A45" s="41" t="str">
        <f>IF('SEANCE 1'!$B43&lt;&gt;"",'SEANCE 1'!$A43,"")</f>
        <v/>
      </c>
      <c r="B45" s="41" t="str">
        <f t="array" aca="1" ref="B45" ca="1">IF(ISNA(INDEX(ListeB,MATCH(0,COUNTIF($B$3:B44,ListeB),0))),"",INDEX(ListeB,MATCH(0,COUNTIF($B$3:B44,ListeB),0)))</f>
        <v/>
      </c>
      <c r="C45" s="32" t="str">
        <f ca="1">IF(SUMPRODUCT((ListeB='recap S1'!$B45)*(OFFSET(ListeB,,4)='recap S1'!C$3)*(OFFSET(ListeB,,1)='recap S1'!C$2))&gt;0,SUMPRODUCT((ListeB='recap S1'!$B45)*(OFFSET(ListeB,,4)='recap S1'!C$3)*(OFFSET(ListeB,,1)='recap S1'!C$2)),"")</f>
        <v/>
      </c>
      <c r="D45" s="32" t="str">
        <f ca="1">IF(SUMPRODUCT((ListeB='recap S1'!$B45)*(OFFSET(ListeB,,4)='recap S1'!D$3)*(OFFSET(ListeB,,1)='recap S1'!D$2))&gt;0,SUMPRODUCT((ListeB='recap S1'!$B45)*(OFFSET(ListeB,,4)='recap S1'!D$3)*(OFFSET(ListeB,,1)='recap S1'!D$2)),"")</f>
        <v/>
      </c>
      <c r="E45" s="32" t="str">
        <f ca="1">IF(SUMPRODUCT((ListeB='recap S1'!$B45)*(OFFSET(ListeB,,4)='recap S1'!E$3)*(OFFSET(ListeB,,1)='recap S1'!E$2))&gt;0,SUMPRODUCT((ListeB='recap S1'!$B45)*(OFFSET(ListeB,,4)='recap S1'!E$3)*(OFFSET(ListeB,,1)='recap S1'!E$2)),"")</f>
        <v/>
      </c>
      <c r="F45" s="32" t="str">
        <f ca="1">IF(SUMPRODUCT((ListeB='recap S1'!$B45)*(OFFSET(ListeB,,4)='recap S1'!F$3)*(OFFSET(ListeB,,1)='recap S1'!F$2))&gt;0,SUMPRODUCT((ListeB='recap S1'!$B45)*(OFFSET(ListeB,,4)='recap S1'!F$3)*(OFFSET(ListeB,,1)='recap S1'!F$2)),"")</f>
        <v/>
      </c>
      <c r="G45" s="32" t="str">
        <f ca="1">IF(SUMPRODUCT((ListeB='recap S1'!$B45)*(OFFSET(ListeB,,4)='recap S1'!G$3)*(OFFSET(ListeB,,1)='recap S1'!G$2))&gt;0,SUMPRODUCT((ListeB='recap S1'!$B45)*(OFFSET(ListeB,,4)='recap S1'!G$3)*(OFFSET(ListeB,,1)='recap S1'!G$2)),"")</f>
        <v/>
      </c>
      <c r="H45" s="32" t="str">
        <f ca="1">IF(SUMPRODUCT((ListeB='recap S1'!$B45)*(OFFSET(ListeB,,4)='recap S1'!H$3)*(OFFSET(ListeB,,1)='recap S1'!H$2))&gt;0,SUMPRODUCT((ListeB='recap S1'!$B45)*(OFFSET(ListeB,,4)='recap S1'!H$3)*(OFFSET(ListeB,,1)='recap S1'!H$2)),"")</f>
        <v/>
      </c>
      <c r="I45" s="32" t="str">
        <f ca="1">IF(SUMPRODUCT((ListeB='recap S1'!$B45)*(OFFSET(ListeB,,4)='recap S1'!I$3)*(OFFSET(ListeB,,1)='recap S1'!I$2))&gt;0,SUMPRODUCT((ListeB='recap S1'!$B45)*(OFFSET(ListeB,,4)='recap S1'!I$3)*(OFFSET(ListeB,,1)='recap S1'!I$2)),"")</f>
        <v/>
      </c>
      <c r="J45" s="32" t="str">
        <f ca="1">IF(SUMPRODUCT((ListeB='recap S1'!$B45)*(OFFSET(ListeB,,4)='recap S1'!J$3)*(OFFSET(ListeB,,1)='recap S1'!J$2))&gt;0,SUMPRODUCT((ListeB='recap S1'!$B45)*(OFFSET(ListeB,,4)='recap S1'!J$3)*(OFFSET(ListeB,,1)='recap S1'!J$2)),"")</f>
        <v/>
      </c>
      <c r="K45" s="32" t="str">
        <f ca="1">IF(SUMPRODUCT((ListeB='recap S1'!$B45)*(OFFSET(ListeB,,4)='recap S1'!K$3)*(OFFSET(ListeB,,1)='recap S1'!K$2))&gt;0,SUMPRODUCT((ListeB='recap S1'!$B45)*(OFFSET(ListeB,,4)='recap S1'!K$3)*(OFFSET(ListeB,,1)='recap S1'!K$2)),"")</f>
        <v/>
      </c>
      <c r="L45" s="32" t="str">
        <f ca="1">IF(SUMPRODUCT((ListeB='recap S1'!$B45)*(OFFSET(ListeB,,4)='recap S1'!L$3)*(OFFSET(ListeB,,1)='recap S1'!L$2))&gt;0,SUMPRODUCT((ListeB='recap S1'!$B45)*(OFFSET(ListeB,,4)='recap S1'!L$3)*(OFFSET(ListeB,,1)='recap S1'!L$2)),"")</f>
        <v/>
      </c>
      <c r="M45" s="32" t="str">
        <f ca="1">IF(SUMPRODUCT((ListeB='recap S1'!$B45)*(OFFSET(ListeB,,4)='recap S1'!M$3)*(OFFSET(ListeB,,1)='recap S1'!M$2))&gt;0,SUMPRODUCT((ListeB='recap S1'!$B45)*(OFFSET(ListeB,,4)='recap S1'!M$3)*(OFFSET(ListeB,,1)='recap S1'!M$2)),"")</f>
        <v/>
      </c>
      <c r="N45" s="32" t="str">
        <f ca="1">IF(SUMPRODUCT((ListeB='recap S1'!$B45)*(OFFSET(ListeB,,4)='recap S1'!N$3)*(OFFSET(ListeB,,1)='recap S1'!N$2))&gt;0,SUMPRODUCT((ListeB='recap S1'!$B45)*(OFFSET(ListeB,,4)='recap S1'!N$3)*(OFFSET(ListeB,,1)='recap S1'!N$2)),"")</f>
        <v/>
      </c>
      <c r="O45" s="32" t="str">
        <f ca="1">IF(SUMPRODUCT((ListeB='recap S1'!$B45)*(OFFSET(ListeB,,4)='recap S1'!O$3)*(OFFSET(ListeB,,1)='recap S1'!O$2))&gt;0,SUMPRODUCT((ListeB='recap S1'!$B45)*(OFFSET(ListeB,,4)='recap S1'!O$3)*(OFFSET(ListeB,,1)='recap S1'!O$2)),"")</f>
        <v/>
      </c>
      <c r="P45" s="32" t="str">
        <f ca="1">IF(SUMPRODUCT((ListeB='recap S1'!$B45)*(OFFSET(ListeB,,4)='recap S1'!P$3)*(OFFSET(ListeB,,1)='recap S1'!P$2))&gt;0,SUMPRODUCT((ListeB='recap S1'!$B45)*(OFFSET(ListeB,,4)='recap S1'!P$3)*(OFFSET(ListeB,,1)='recap S1'!P$2)),"")</f>
        <v/>
      </c>
      <c r="Q45" s="32" t="str">
        <f ca="1">IF(SUMPRODUCT((ListeB='recap S1'!$B45)*(OFFSET(ListeB,,4)='recap S1'!Q$3)*(OFFSET(ListeB,,1)='recap S1'!Q$2))&gt;0,SUMPRODUCT((ListeB='recap S1'!$B45)*(OFFSET(ListeB,,4)='recap S1'!Q$3)*(OFFSET(ListeB,,1)='recap S1'!Q$2)),"")</f>
        <v/>
      </c>
      <c r="R45" s="32" t="str">
        <f ca="1">IF(SUMPRODUCT((ListeB='recap S1'!$B45)*(OFFSET(ListeB,,4)='recap S1'!R$3)*(OFFSET(ListeB,,1)='recap S1'!R$2))&gt;0,SUMPRODUCT((ListeB='recap S1'!$B45)*(OFFSET(ListeB,,4)='recap S1'!R$3)*(OFFSET(ListeB,,1)='recap S1'!R$2)),"")</f>
        <v/>
      </c>
      <c r="S45" s="32" t="str">
        <f ca="1">IF(SUMPRODUCT((ListeB='recap S1'!$B45)*(OFFSET(ListeB,,4)='recap S1'!S$3)*(OFFSET(ListeB,,1)='recap S1'!S$2))&gt;0,SUMPRODUCT((ListeB='recap S1'!$B45)*(OFFSET(ListeB,,4)='recap S1'!S$3)*(OFFSET(ListeB,,1)='recap S1'!S$2)),"")</f>
        <v/>
      </c>
      <c r="T45" s="32" t="str">
        <f ca="1">IF(SUMPRODUCT((ListeB='recap S1'!$B45)*(OFFSET(ListeB,,4)='recap S1'!T$3)*(OFFSET(ListeB,,1)='recap S1'!T$2))&gt;0,SUMPRODUCT((ListeB='recap S1'!$B45)*(OFFSET(ListeB,,4)='recap S1'!T$3)*(OFFSET(ListeB,,1)='recap S1'!T$2)),"")</f>
        <v/>
      </c>
      <c r="U45" s="32" t="str">
        <f ca="1">IF(SUMPRODUCT((ListeB='recap S1'!$B45)*(OFFSET(ListeB,,4)='recap S1'!U$3)*(OFFSET(ListeB,,1)='recap S1'!U$2))&gt;0,SUMPRODUCT((ListeB='recap S1'!$B45)*(OFFSET(ListeB,,4)='recap S1'!U$3)*(OFFSET(ListeB,,1)='recap S1'!U$2)),"")</f>
        <v/>
      </c>
      <c r="V45" s="32" t="str">
        <f ca="1">IF(SUMPRODUCT((ListeB='recap S1'!$B45)*(OFFSET(ListeB,,4)='recap S1'!V$3)*(OFFSET(ListeB,,1)='recap S1'!V$2))&gt;0,SUMPRODUCT((ListeB='recap S1'!$B45)*(OFFSET(ListeB,,4)='recap S1'!V$3)*(OFFSET(ListeB,,1)='recap S1'!V$2)),"")</f>
        <v/>
      </c>
      <c r="W45" s="32" t="str">
        <f ca="1">IF(SUMPRODUCT((ListeB='recap S1'!$B45)*(OFFSET(ListeB,,4)='recap S1'!W$3)*(OFFSET(ListeB,,1)='recap S1'!W$2))&gt;0,SUMPRODUCT((ListeB='recap S1'!$B45)*(OFFSET(ListeB,,4)='recap S1'!W$3)*(OFFSET(ListeB,,1)='recap S1'!W$2)),"")</f>
        <v/>
      </c>
      <c r="X45" s="32" t="str">
        <f ca="1">IF(SUMPRODUCT((ListeB='recap S1'!$B45)*(OFFSET(ListeB,,4)='recap S1'!X$3)*(OFFSET(ListeB,,1)='recap S1'!X$2))&gt;0,SUMPRODUCT((ListeB='recap S1'!$B45)*(OFFSET(ListeB,,4)='recap S1'!X$3)*(OFFSET(ListeB,,1)='recap S1'!X$2)),"")</f>
        <v/>
      </c>
      <c r="Y45" s="32" t="str">
        <f ca="1">IF(SUMPRODUCT((ListeB='recap S1'!$B45)*(OFFSET(ListeB,,4)='recap S1'!Y$3)*(OFFSET(ListeB,,1)='recap S1'!Y$2))&gt;0,SUMPRODUCT((ListeB='recap S1'!$B45)*(OFFSET(ListeB,,4)='recap S1'!Y$3)*(OFFSET(ListeB,,1)='recap S1'!Y$2)),"")</f>
        <v/>
      </c>
      <c r="Z45" s="32" t="str">
        <f ca="1">IF(SUMPRODUCT((ListeB='recap S1'!$B45)*(OFFSET(ListeB,,4)='recap S1'!Z$3)*(OFFSET(ListeB,,1)='recap S1'!Z$2))&gt;0,SUMPRODUCT((ListeB='recap S1'!$B45)*(OFFSET(ListeB,,4)='recap S1'!Z$3)*(OFFSET(ListeB,,1)='recap S1'!Z$2)),"")</f>
        <v/>
      </c>
      <c r="AA45" s="32" t="str">
        <f ca="1">IF(SUMPRODUCT((ListeB='recap S1'!$B45)*(OFFSET(ListeB,,4)='recap S1'!AA$3)*(OFFSET(ListeB,,1)='recap S1'!AA$2))&gt;0,SUMPRODUCT((ListeB='recap S1'!$B45)*(OFFSET(ListeB,,4)='recap S1'!AA$3)*(OFFSET(ListeB,,1)='recap S1'!AA$2)),"")</f>
        <v/>
      </c>
      <c r="AB45" s="32" t="str">
        <f ca="1">IF(SUMPRODUCT((ListeB='recap S1'!$B45)*(OFFSET(ListeB,,4)='recap S1'!AB$3)*(OFFSET(ListeB,,1)='recap S1'!AB$2))&gt;0,SUMPRODUCT((ListeB='recap S1'!$B45)*(OFFSET(ListeB,,4)='recap S1'!AB$3)*(OFFSET(ListeB,,1)='recap S1'!AB$2)),"")</f>
        <v/>
      </c>
      <c r="AC45" s="32" t="str">
        <f ca="1">IF(SUMPRODUCT((ListeB='recap S1'!$B45)*(OFFSET(ListeB,,4)='recap S1'!AC$3)*(OFFSET(ListeB,,1)='recap S1'!AC$2))&gt;0,SUMPRODUCT((ListeB='recap S1'!$B45)*(OFFSET(ListeB,,4)='recap S1'!AC$3)*(OFFSET(ListeB,,1)='recap S1'!AC$2)),"")</f>
        <v/>
      </c>
      <c r="AD45" s="32" t="str">
        <f ca="1">IF(SUMPRODUCT((ListeB='recap S1'!$B45)*(OFFSET(ListeB,,4)='recap S1'!AD$3)*(OFFSET(ListeB,,1)='recap S1'!AD$2))&gt;0,SUMPRODUCT((ListeB='recap S1'!$B45)*(OFFSET(ListeB,,4)='recap S1'!AD$3)*(OFFSET(ListeB,,1)='recap S1'!AD$2)),"")</f>
        <v/>
      </c>
      <c r="AE45" s="32" t="str">
        <f ca="1">IF(SUMPRODUCT((ListeB='recap S1'!$B45)*(OFFSET(ListeB,,4)='recap S1'!AE$3)*(OFFSET(ListeB,,1)='recap S1'!AE$2))&gt;0,SUMPRODUCT((ListeB='recap S1'!$B45)*(OFFSET(ListeB,,4)='recap S1'!AE$3)*(OFFSET(ListeB,,1)='recap S1'!AE$2)),"")</f>
        <v/>
      </c>
      <c r="AF45" s="32" t="str">
        <f ca="1">IF(SUMPRODUCT((ListeB='recap S1'!$B45)*(OFFSET(ListeB,,4)='recap S1'!AF$3)*(OFFSET(ListeB,,1)='recap S1'!AF$2))&gt;0,SUMPRODUCT((ListeB='recap S1'!$B45)*(OFFSET(ListeB,,4)='recap S1'!AF$3)*(OFFSET(ListeB,,1)='recap S1'!AF$2)),"")</f>
        <v/>
      </c>
      <c r="AG45" s="32" t="str">
        <f ca="1">IF(SUMPRODUCT((ListeB='recap S1'!$B45)*(OFFSET(ListeB,,4)='recap S1'!AG$3)*(OFFSET(ListeB,,1)='recap S1'!AG$2))&gt;0,SUMPRODUCT((ListeB='recap S1'!$B45)*(OFFSET(ListeB,,4)='recap S1'!AG$3)*(OFFSET(ListeB,,1)='recap S1'!AG$2)),"")</f>
        <v/>
      </c>
      <c r="AH45" s="32" t="str">
        <f ca="1">IF(SUMPRODUCT((ListeB='recap S1'!$B45)*(OFFSET(ListeB,,4)='recap S1'!AH$3)*(OFFSET(ListeB,,1)='recap S1'!AH$2))&gt;0,SUMPRODUCT((ListeB='recap S1'!$B45)*(OFFSET(ListeB,,4)='recap S1'!AH$3)*(OFFSET(ListeB,,1)='recap S1'!AH$2)),"")</f>
        <v/>
      </c>
      <c r="AI45" s="32" t="str">
        <f ca="1">IF(SUMPRODUCT((ListeB='recap S1'!$B45)*(OFFSET(ListeB,,4)='recap S1'!AI$3)*(OFFSET(ListeB,,1)='recap S1'!AI$2))&gt;0,SUMPRODUCT((ListeB='recap S1'!$B45)*(OFFSET(ListeB,,4)='recap S1'!AI$3)*(OFFSET(ListeB,,1)='recap S1'!AI$2)),"")</f>
        <v/>
      </c>
      <c r="AJ45" s="32" t="str">
        <f ca="1">IF(SUMPRODUCT((ListeB='recap S1'!$B45)*(OFFSET(ListeB,,4)='recap S1'!AJ$3)*(OFFSET(ListeB,,1)='recap S1'!AJ$2))&gt;0,SUMPRODUCT((ListeB='recap S1'!$B45)*(OFFSET(ListeB,,4)='recap S1'!AJ$3)*(OFFSET(ListeB,,1)='recap S1'!AJ$2)),"")</f>
        <v/>
      </c>
      <c r="AK45" s="32" t="str">
        <f ca="1">IF(SUMPRODUCT((ListeB='recap S1'!$B45)*(OFFSET(ListeB,,4)='recap S1'!AK$3)*(OFFSET(ListeB,,1)='recap S1'!AK$2))&gt;0,SUMPRODUCT((ListeB='recap S1'!$B45)*(OFFSET(ListeB,,4)='recap S1'!AK$3)*(OFFSET(ListeB,,1)='recap S1'!AK$2)),"")</f>
        <v/>
      </c>
      <c r="AL45" s="32" t="str">
        <f ca="1">IF(SUMPRODUCT((ListeB='recap S1'!$B45)*(OFFSET(ListeB,,4)='recap S1'!AL$3)*(OFFSET(ListeB,,1)='recap S1'!AL$2))&gt;0,SUMPRODUCT((ListeB='recap S1'!$B45)*(OFFSET(ListeB,,4)='recap S1'!AL$3)*(OFFSET(ListeB,,1)='recap S1'!AL$2)),"")</f>
        <v/>
      </c>
      <c r="AM45" s="32" t="str">
        <f ca="1">IF(SUMPRODUCT((ListeB='recap S1'!$B45)*(OFFSET(ListeB,,4)='recap S1'!AM$3)*(OFFSET(ListeB,,1)='recap S1'!AM$2))&gt;0,SUMPRODUCT((ListeB='recap S1'!$B45)*(OFFSET(ListeB,,4)='recap S1'!AM$3)*(OFFSET(ListeB,,1)='recap S1'!AM$2)),"")</f>
        <v/>
      </c>
      <c r="AN45" s="32" t="str">
        <f ca="1">IF(SUMPRODUCT((ListeB='recap S1'!$B45)*(OFFSET(ListeB,,4)='recap S1'!AN$3)*(OFFSET(ListeB,,1)='recap S1'!AN$2))&gt;0,SUMPRODUCT((ListeB='recap S1'!$B45)*(OFFSET(ListeB,,4)='recap S1'!AN$3)*(OFFSET(ListeB,,1)='recap S1'!AN$2)),"")</f>
        <v/>
      </c>
      <c r="AO45" s="32" t="str">
        <f ca="1">IF(SUMPRODUCT((ListeB='recap S1'!$B45)*(OFFSET(ListeB,,4)='recap S1'!AO$3)*(OFFSET(ListeB,,1)='recap S1'!AO$2))&gt;0,SUMPRODUCT((ListeB='recap S1'!$B45)*(OFFSET(ListeB,,4)='recap S1'!AO$3)*(OFFSET(ListeB,,1)='recap S1'!AO$2)),"")</f>
        <v/>
      </c>
      <c r="AP45" s="32" t="str">
        <f ca="1">IF(SUMPRODUCT((ListeB='recap S1'!$B45)*(OFFSET(ListeB,,4)='recap S1'!AP$3)*(OFFSET(ListeB,,1)='recap S1'!AP$2))&gt;0,SUMPRODUCT((ListeB='recap S1'!$B45)*(OFFSET(ListeB,,4)='recap S1'!AP$3)*(OFFSET(ListeB,,1)='recap S1'!AP$2)),"")</f>
        <v/>
      </c>
      <c r="AQ45" s="32" t="str">
        <f ca="1">IF(SUMPRODUCT((ListeB='recap S1'!$B45)*(OFFSET(ListeB,,4)='recap S1'!AQ$3)*(OFFSET(ListeB,,1)='recap S1'!AQ$2))&gt;0,SUMPRODUCT((ListeB='recap S1'!$B45)*(OFFSET(ListeB,,4)='recap S1'!AQ$3)*(OFFSET(ListeB,,1)='recap S1'!AQ$2)),"")</f>
        <v/>
      </c>
      <c r="AR45" s="32" t="str">
        <f ca="1">IF(SUMPRODUCT((ListeB='recap S1'!$B45)*(OFFSET(ListeB,,4)='recap S1'!AR$3)*(OFFSET(ListeB,,1)='recap S1'!AR$2))&gt;0,SUMPRODUCT((ListeB='recap S1'!$B45)*(OFFSET(ListeB,,4)='recap S1'!AR$3)*(OFFSET(ListeB,,1)='recap S1'!AR$2)),"")</f>
        <v/>
      </c>
      <c r="AS45" s="32" t="str">
        <f ca="1">IF(SUMPRODUCT((ListeB='recap S1'!$B45)*(OFFSET(ListeB,,4)='recap S1'!AS$3)*(OFFSET(ListeB,,1)='recap S1'!AS$2))&gt;0,SUMPRODUCT((ListeB='recap S1'!$B45)*(OFFSET(ListeB,,4)='recap S1'!AS$3)*(OFFSET(ListeB,,1)='recap S1'!AS$2)),"")</f>
        <v/>
      </c>
      <c r="AT45" s="32" t="str">
        <f ca="1">IF(SUMPRODUCT((ListeB='recap S1'!$B45)*(OFFSET(ListeB,,4)='recap S1'!AT$3)*(OFFSET(ListeB,,1)='recap S1'!AT$2))&gt;0,SUMPRODUCT((ListeB='recap S1'!$B45)*(OFFSET(ListeB,,4)='recap S1'!AT$3)*(OFFSET(ListeB,,1)='recap S1'!AT$2)),"")</f>
        <v/>
      </c>
      <c r="AU45" s="32" t="str">
        <f ca="1">IF(SUMPRODUCT((ListeB='recap S1'!$B45)*(OFFSET(ListeB,,4)='recap S1'!AU$3)*(OFFSET(ListeB,,1)='recap S1'!AU$2))&gt;0,SUMPRODUCT((ListeB='recap S1'!$B45)*(OFFSET(ListeB,,4)='recap S1'!AU$3)*(OFFSET(ListeB,,1)='recap S1'!AU$2)),"")</f>
        <v/>
      </c>
      <c r="AV45" s="32" t="str">
        <f ca="1">IF(SUMPRODUCT((ListeB='recap S1'!$B45)*(OFFSET(ListeB,,4)='recap S1'!AV$3)*(OFFSET(ListeB,,1)='recap S1'!AV$2))&gt;0,SUMPRODUCT((ListeB='recap S1'!$B45)*(OFFSET(ListeB,,4)='recap S1'!AV$3)*(OFFSET(ListeB,,1)='recap S1'!AV$2)),"")</f>
        <v/>
      </c>
      <c r="AW45" s="32" t="str">
        <f ca="1">IF(SUMPRODUCT((ListeB='recap S1'!$B45)*(OFFSET(ListeB,,4)='recap S1'!AW$3)*(OFFSET(ListeB,,1)='recap S1'!AW$2))&gt;0,SUMPRODUCT((ListeB='recap S1'!$B45)*(OFFSET(ListeB,,4)='recap S1'!AW$3)*(OFFSET(ListeB,,1)='recap S1'!AW$2)),"")</f>
        <v/>
      </c>
      <c r="AX45" s="32" t="str">
        <f ca="1">IF(SUMPRODUCT((ListeB='recap S1'!$B45)*(OFFSET(ListeB,,4)='recap S1'!AX$3)*(OFFSET(ListeB,,1)='recap S1'!AX$2))&gt;0,SUMPRODUCT((ListeB='recap S1'!$B45)*(OFFSET(ListeB,,4)='recap S1'!AX$3)*(OFFSET(ListeB,,1)='recap S1'!AX$2)),"")</f>
        <v/>
      </c>
      <c r="AY45" s="32" t="str">
        <f ca="1">IF(SUMPRODUCT((ListeB='recap S1'!$B45)*(OFFSET(ListeB,,4)='recap S1'!AY$3)*(OFFSET(ListeB,,1)='recap S1'!AY$2))&gt;0,SUMPRODUCT((ListeB='recap S1'!$B45)*(OFFSET(ListeB,,4)='recap S1'!AY$3)*(OFFSET(ListeB,,1)='recap S1'!AY$2)),"")</f>
        <v/>
      </c>
      <c r="AZ45" s="32">
        <f t="shared" ca="1" si="1"/>
        <v>0</v>
      </c>
    </row>
    <row r="46" spans="1:52">
      <c r="A46" s="41" t="str">
        <f>IF('SEANCE 1'!$B44&lt;&gt;"",'SEANCE 1'!$A44,"")</f>
        <v/>
      </c>
      <c r="B46" s="41" t="str">
        <f t="array" aca="1" ref="B46" ca="1">IF(ISNA(INDEX(ListeB,MATCH(0,COUNTIF($B$3:B45,ListeB),0))),"",INDEX(ListeB,MATCH(0,COUNTIF($B$3:B45,ListeB),0)))</f>
        <v/>
      </c>
      <c r="C46" s="32" t="str">
        <f ca="1">IF(SUMPRODUCT((ListeB='recap S1'!$B46)*(OFFSET(ListeB,,4)='recap S1'!C$3)*(OFFSET(ListeB,,1)='recap S1'!C$2))&gt;0,SUMPRODUCT((ListeB='recap S1'!$B46)*(OFFSET(ListeB,,4)='recap S1'!C$3)*(OFFSET(ListeB,,1)='recap S1'!C$2)),"")</f>
        <v/>
      </c>
      <c r="D46" s="32" t="str">
        <f ca="1">IF(SUMPRODUCT((ListeB='recap S1'!$B46)*(OFFSET(ListeB,,4)='recap S1'!D$3)*(OFFSET(ListeB,,1)='recap S1'!D$2))&gt;0,SUMPRODUCT((ListeB='recap S1'!$B46)*(OFFSET(ListeB,,4)='recap S1'!D$3)*(OFFSET(ListeB,,1)='recap S1'!D$2)),"")</f>
        <v/>
      </c>
      <c r="E46" s="32" t="str">
        <f ca="1">IF(SUMPRODUCT((ListeB='recap S1'!$B46)*(OFFSET(ListeB,,4)='recap S1'!E$3)*(OFFSET(ListeB,,1)='recap S1'!E$2))&gt;0,SUMPRODUCT((ListeB='recap S1'!$B46)*(OFFSET(ListeB,,4)='recap S1'!E$3)*(OFFSET(ListeB,,1)='recap S1'!E$2)),"")</f>
        <v/>
      </c>
      <c r="F46" s="32" t="str">
        <f ca="1">IF(SUMPRODUCT((ListeB='recap S1'!$B46)*(OFFSET(ListeB,,4)='recap S1'!F$3)*(OFFSET(ListeB,,1)='recap S1'!F$2))&gt;0,SUMPRODUCT((ListeB='recap S1'!$B46)*(OFFSET(ListeB,,4)='recap S1'!F$3)*(OFFSET(ListeB,,1)='recap S1'!F$2)),"")</f>
        <v/>
      </c>
      <c r="G46" s="32" t="str">
        <f ca="1">IF(SUMPRODUCT((ListeB='recap S1'!$B46)*(OFFSET(ListeB,,4)='recap S1'!G$3)*(OFFSET(ListeB,,1)='recap S1'!G$2))&gt;0,SUMPRODUCT((ListeB='recap S1'!$B46)*(OFFSET(ListeB,,4)='recap S1'!G$3)*(OFFSET(ListeB,,1)='recap S1'!G$2)),"")</f>
        <v/>
      </c>
      <c r="H46" s="32" t="str">
        <f ca="1">IF(SUMPRODUCT((ListeB='recap S1'!$B46)*(OFFSET(ListeB,,4)='recap S1'!H$3)*(OFFSET(ListeB,,1)='recap S1'!H$2))&gt;0,SUMPRODUCT((ListeB='recap S1'!$B46)*(OFFSET(ListeB,,4)='recap S1'!H$3)*(OFFSET(ListeB,,1)='recap S1'!H$2)),"")</f>
        <v/>
      </c>
      <c r="I46" s="32" t="str">
        <f ca="1">IF(SUMPRODUCT((ListeB='recap S1'!$B46)*(OFFSET(ListeB,,4)='recap S1'!I$3)*(OFFSET(ListeB,,1)='recap S1'!I$2))&gt;0,SUMPRODUCT((ListeB='recap S1'!$B46)*(OFFSET(ListeB,,4)='recap S1'!I$3)*(OFFSET(ListeB,,1)='recap S1'!I$2)),"")</f>
        <v/>
      </c>
      <c r="J46" s="32" t="str">
        <f ca="1">IF(SUMPRODUCT((ListeB='recap S1'!$B46)*(OFFSET(ListeB,,4)='recap S1'!J$3)*(OFFSET(ListeB,,1)='recap S1'!J$2))&gt;0,SUMPRODUCT((ListeB='recap S1'!$B46)*(OFFSET(ListeB,,4)='recap S1'!J$3)*(OFFSET(ListeB,,1)='recap S1'!J$2)),"")</f>
        <v/>
      </c>
      <c r="K46" s="32" t="str">
        <f ca="1">IF(SUMPRODUCT((ListeB='recap S1'!$B46)*(OFFSET(ListeB,,4)='recap S1'!K$3)*(OFFSET(ListeB,,1)='recap S1'!K$2))&gt;0,SUMPRODUCT((ListeB='recap S1'!$B46)*(OFFSET(ListeB,,4)='recap S1'!K$3)*(OFFSET(ListeB,,1)='recap S1'!K$2)),"")</f>
        <v/>
      </c>
      <c r="L46" s="32" t="str">
        <f ca="1">IF(SUMPRODUCT((ListeB='recap S1'!$B46)*(OFFSET(ListeB,,4)='recap S1'!L$3)*(OFFSET(ListeB,,1)='recap S1'!L$2))&gt;0,SUMPRODUCT((ListeB='recap S1'!$B46)*(OFFSET(ListeB,,4)='recap S1'!L$3)*(OFFSET(ListeB,,1)='recap S1'!L$2)),"")</f>
        <v/>
      </c>
      <c r="M46" s="32" t="str">
        <f ca="1">IF(SUMPRODUCT((ListeB='recap S1'!$B46)*(OFFSET(ListeB,,4)='recap S1'!M$3)*(OFFSET(ListeB,,1)='recap S1'!M$2))&gt;0,SUMPRODUCT((ListeB='recap S1'!$B46)*(OFFSET(ListeB,,4)='recap S1'!M$3)*(OFFSET(ListeB,,1)='recap S1'!M$2)),"")</f>
        <v/>
      </c>
      <c r="N46" s="32" t="str">
        <f ca="1">IF(SUMPRODUCT((ListeB='recap S1'!$B46)*(OFFSET(ListeB,,4)='recap S1'!N$3)*(OFFSET(ListeB,,1)='recap S1'!N$2))&gt;0,SUMPRODUCT((ListeB='recap S1'!$B46)*(OFFSET(ListeB,,4)='recap S1'!N$3)*(OFFSET(ListeB,,1)='recap S1'!N$2)),"")</f>
        <v/>
      </c>
      <c r="O46" s="32" t="str">
        <f ca="1">IF(SUMPRODUCT((ListeB='recap S1'!$B46)*(OFFSET(ListeB,,4)='recap S1'!O$3)*(OFFSET(ListeB,,1)='recap S1'!O$2))&gt;0,SUMPRODUCT((ListeB='recap S1'!$B46)*(OFFSET(ListeB,,4)='recap S1'!O$3)*(OFFSET(ListeB,,1)='recap S1'!O$2)),"")</f>
        <v/>
      </c>
      <c r="P46" s="32" t="str">
        <f ca="1">IF(SUMPRODUCT((ListeB='recap S1'!$B46)*(OFFSET(ListeB,,4)='recap S1'!P$3)*(OFFSET(ListeB,,1)='recap S1'!P$2))&gt;0,SUMPRODUCT((ListeB='recap S1'!$B46)*(OFFSET(ListeB,,4)='recap S1'!P$3)*(OFFSET(ListeB,,1)='recap S1'!P$2)),"")</f>
        <v/>
      </c>
      <c r="Q46" s="32" t="str">
        <f ca="1">IF(SUMPRODUCT((ListeB='recap S1'!$B46)*(OFFSET(ListeB,,4)='recap S1'!Q$3)*(OFFSET(ListeB,,1)='recap S1'!Q$2))&gt;0,SUMPRODUCT((ListeB='recap S1'!$B46)*(OFFSET(ListeB,,4)='recap S1'!Q$3)*(OFFSET(ListeB,,1)='recap S1'!Q$2)),"")</f>
        <v/>
      </c>
      <c r="R46" s="32" t="str">
        <f ca="1">IF(SUMPRODUCT((ListeB='recap S1'!$B46)*(OFFSET(ListeB,,4)='recap S1'!R$3)*(OFFSET(ListeB,,1)='recap S1'!R$2))&gt;0,SUMPRODUCT((ListeB='recap S1'!$B46)*(OFFSET(ListeB,,4)='recap S1'!R$3)*(OFFSET(ListeB,,1)='recap S1'!R$2)),"")</f>
        <v/>
      </c>
      <c r="S46" s="32" t="str">
        <f ca="1">IF(SUMPRODUCT((ListeB='recap S1'!$B46)*(OFFSET(ListeB,,4)='recap S1'!S$3)*(OFFSET(ListeB,,1)='recap S1'!S$2))&gt;0,SUMPRODUCT((ListeB='recap S1'!$B46)*(OFFSET(ListeB,,4)='recap S1'!S$3)*(OFFSET(ListeB,,1)='recap S1'!S$2)),"")</f>
        <v/>
      </c>
      <c r="T46" s="32" t="str">
        <f ca="1">IF(SUMPRODUCT((ListeB='recap S1'!$B46)*(OFFSET(ListeB,,4)='recap S1'!T$3)*(OFFSET(ListeB,,1)='recap S1'!T$2))&gt;0,SUMPRODUCT((ListeB='recap S1'!$B46)*(OFFSET(ListeB,,4)='recap S1'!T$3)*(OFFSET(ListeB,,1)='recap S1'!T$2)),"")</f>
        <v/>
      </c>
      <c r="U46" s="32" t="str">
        <f ca="1">IF(SUMPRODUCT((ListeB='recap S1'!$B46)*(OFFSET(ListeB,,4)='recap S1'!U$3)*(OFFSET(ListeB,,1)='recap S1'!U$2))&gt;0,SUMPRODUCT((ListeB='recap S1'!$B46)*(OFFSET(ListeB,,4)='recap S1'!U$3)*(OFFSET(ListeB,,1)='recap S1'!U$2)),"")</f>
        <v/>
      </c>
      <c r="V46" s="32" t="str">
        <f ca="1">IF(SUMPRODUCT((ListeB='recap S1'!$B46)*(OFFSET(ListeB,,4)='recap S1'!V$3)*(OFFSET(ListeB,,1)='recap S1'!V$2))&gt;0,SUMPRODUCT((ListeB='recap S1'!$B46)*(OFFSET(ListeB,,4)='recap S1'!V$3)*(OFFSET(ListeB,,1)='recap S1'!V$2)),"")</f>
        <v/>
      </c>
      <c r="W46" s="32" t="str">
        <f ca="1">IF(SUMPRODUCT((ListeB='recap S1'!$B46)*(OFFSET(ListeB,,4)='recap S1'!W$3)*(OFFSET(ListeB,,1)='recap S1'!W$2))&gt;0,SUMPRODUCT((ListeB='recap S1'!$B46)*(OFFSET(ListeB,,4)='recap S1'!W$3)*(OFFSET(ListeB,,1)='recap S1'!W$2)),"")</f>
        <v/>
      </c>
      <c r="X46" s="32" t="str">
        <f ca="1">IF(SUMPRODUCT((ListeB='recap S1'!$B46)*(OFFSET(ListeB,,4)='recap S1'!X$3)*(OFFSET(ListeB,,1)='recap S1'!X$2))&gt;0,SUMPRODUCT((ListeB='recap S1'!$B46)*(OFFSET(ListeB,,4)='recap S1'!X$3)*(OFFSET(ListeB,,1)='recap S1'!X$2)),"")</f>
        <v/>
      </c>
      <c r="Y46" s="32" t="str">
        <f ca="1">IF(SUMPRODUCT((ListeB='recap S1'!$B46)*(OFFSET(ListeB,,4)='recap S1'!Y$3)*(OFFSET(ListeB,,1)='recap S1'!Y$2))&gt;0,SUMPRODUCT((ListeB='recap S1'!$B46)*(OFFSET(ListeB,,4)='recap S1'!Y$3)*(OFFSET(ListeB,,1)='recap S1'!Y$2)),"")</f>
        <v/>
      </c>
      <c r="Z46" s="32" t="str">
        <f ca="1">IF(SUMPRODUCT((ListeB='recap S1'!$B46)*(OFFSET(ListeB,,4)='recap S1'!Z$3)*(OFFSET(ListeB,,1)='recap S1'!Z$2))&gt;0,SUMPRODUCT((ListeB='recap S1'!$B46)*(OFFSET(ListeB,,4)='recap S1'!Z$3)*(OFFSET(ListeB,,1)='recap S1'!Z$2)),"")</f>
        <v/>
      </c>
      <c r="AA46" s="32" t="str">
        <f ca="1">IF(SUMPRODUCT((ListeB='recap S1'!$B46)*(OFFSET(ListeB,,4)='recap S1'!AA$3)*(OFFSET(ListeB,,1)='recap S1'!AA$2))&gt;0,SUMPRODUCT((ListeB='recap S1'!$B46)*(OFFSET(ListeB,,4)='recap S1'!AA$3)*(OFFSET(ListeB,,1)='recap S1'!AA$2)),"")</f>
        <v/>
      </c>
      <c r="AB46" s="32" t="str">
        <f ca="1">IF(SUMPRODUCT((ListeB='recap S1'!$B46)*(OFFSET(ListeB,,4)='recap S1'!AB$3)*(OFFSET(ListeB,,1)='recap S1'!AB$2))&gt;0,SUMPRODUCT((ListeB='recap S1'!$B46)*(OFFSET(ListeB,,4)='recap S1'!AB$3)*(OFFSET(ListeB,,1)='recap S1'!AB$2)),"")</f>
        <v/>
      </c>
      <c r="AC46" s="32" t="str">
        <f ca="1">IF(SUMPRODUCT((ListeB='recap S1'!$B46)*(OFFSET(ListeB,,4)='recap S1'!AC$3)*(OFFSET(ListeB,,1)='recap S1'!AC$2))&gt;0,SUMPRODUCT((ListeB='recap S1'!$B46)*(OFFSET(ListeB,,4)='recap S1'!AC$3)*(OFFSET(ListeB,,1)='recap S1'!AC$2)),"")</f>
        <v/>
      </c>
      <c r="AD46" s="32" t="str">
        <f ca="1">IF(SUMPRODUCT((ListeB='recap S1'!$B46)*(OFFSET(ListeB,,4)='recap S1'!AD$3)*(OFFSET(ListeB,,1)='recap S1'!AD$2))&gt;0,SUMPRODUCT((ListeB='recap S1'!$B46)*(OFFSET(ListeB,,4)='recap S1'!AD$3)*(OFFSET(ListeB,,1)='recap S1'!AD$2)),"")</f>
        <v/>
      </c>
      <c r="AE46" s="32" t="str">
        <f ca="1">IF(SUMPRODUCT((ListeB='recap S1'!$B46)*(OFFSET(ListeB,,4)='recap S1'!AE$3)*(OFFSET(ListeB,,1)='recap S1'!AE$2))&gt;0,SUMPRODUCT((ListeB='recap S1'!$B46)*(OFFSET(ListeB,,4)='recap S1'!AE$3)*(OFFSET(ListeB,,1)='recap S1'!AE$2)),"")</f>
        <v/>
      </c>
      <c r="AF46" s="32" t="str">
        <f ca="1">IF(SUMPRODUCT((ListeB='recap S1'!$B46)*(OFFSET(ListeB,,4)='recap S1'!AF$3)*(OFFSET(ListeB,,1)='recap S1'!AF$2))&gt;0,SUMPRODUCT((ListeB='recap S1'!$B46)*(OFFSET(ListeB,,4)='recap S1'!AF$3)*(OFFSET(ListeB,,1)='recap S1'!AF$2)),"")</f>
        <v/>
      </c>
      <c r="AG46" s="32" t="str">
        <f ca="1">IF(SUMPRODUCT((ListeB='recap S1'!$B46)*(OFFSET(ListeB,,4)='recap S1'!AG$3)*(OFFSET(ListeB,,1)='recap S1'!AG$2))&gt;0,SUMPRODUCT((ListeB='recap S1'!$B46)*(OFFSET(ListeB,,4)='recap S1'!AG$3)*(OFFSET(ListeB,,1)='recap S1'!AG$2)),"")</f>
        <v/>
      </c>
      <c r="AH46" s="32" t="str">
        <f ca="1">IF(SUMPRODUCT((ListeB='recap S1'!$B46)*(OFFSET(ListeB,,4)='recap S1'!AH$3)*(OFFSET(ListeB,,1)='recap S1'!AH$2))&gt;0,SUMPRODUCT((ListeB='recap S1'!$B46)*(OFFSET(ListeB,,4)='recap S1'!AH$3)*(OFFSET(ListeB,,1)='recap S1'!AH$2)),"")</f>
        <v/>
      </c>
      <c r="AI46" s="32" t="str">
        <f ca="1">IF(SUMPRODUCT((ListeB='recap S1'!$B46)*(OFFSET(ListeB,,4)='recap S1'!AI$3)*(OFFSET(ListeB,,1)='recap S1'!AI$2))&gt;0,SUMPRODUCT((ListeB='recap S1'!$B46)*(OFFSET(ListeB,,4)='recap S1'!AI$3)*(OFFSET(ListeB,,1)='recap S1'!AI$2)),"")</f>
        <v/>
      </c>
      <c r="AJ46" s="32" t="str">
        <f ca="1">IF(SUMPRODUCT((ListeB='recap S1'!$B46)*(OFFSET(ListeB,,4)='recap S1'!AJ$3)*(OFFSET(ListeB,,1)='recap S1'!AJ$2))&gt;0,SUMPRODUCT((ListeB='recap S1'!$B46)*(OFFSET(ListeB,,4)='recap S1'!AJ$3)*(OFFSET(ListeB,,1)='recap S1'!AJ$2)),"")</f>
        <v/>
      </c>
      <c r="AK46" s="32" t="str">
        <f ca="1">IF(SUMPRODUCT((ListeB='recap S1'!$B46)*(OFFSET(ListeB,,4)='recap S1'!AK$3)*(OFFSET(ListeB,,1)='recap S1'!AK$2))&gt;0,SUMPRODUCT((ListeB='recap S1'!$B46)*(OFFSET(ListeB,,4)='recap S1'!AK$3)*(OFFSET(ListeB,,1)='recap S1'!AK$2)),"")</f>
        <v/>
      </c>
      <c r="AL46" s="32" t="str">
        <f ca="1">IF(SUMPRODUCT((ListeB='recap S1'!$B46)*(OFFSET(ListeB,,4)='recap S1'!AL$3)*(OFFSET(ListeB,,1)='recap S1'!AL$2))&gt;0,SUMPRODUCT((ListeB='recap S1'!$B46)*(OFFSET(ListeB,,4)='recap S1'!AL$3)*(OFFSET(ListeB,,1)='recap S1'!AL$2)),"")</f>
        <v/>
      </c>
      <c r="AM46" s="32" t="str">
        <f ca="1">IF(SUMPRODUCT((ListeB='recap S1'!$B46)*(OFFSET(ListeB,,4)='recap S1'!AM$3)*(OFFSET(ListeB,,1)='recap S1'!AM$2))&gt;0,SUMPRODUCT((ListeB='recap S1'!$B46)*(OFFSET(ListeB,,4)='recap S1'!AM$3)*(OFFSET(ListeB,,1)='recap S1'!AM$2)),"")</f>
        <v/>
      </c>
      <c r="AN46" s="32" t="str">
        <f ca="1">IF(SUMPRODUCT((ListeB='recap S1'!$B46)*(OFFSET(ListeB,,4)='recap S1'!AN$3)*(OFFSET(ListeB,,1)='recap S1'!AN$2))&gt;0,SUMPRODUCT((ListeB='recap S1'!$B46)*(OFFSET(ListeB,,4)='recap S1'!AN$3)*(OFFSET(ListeB,,1)='recap S1'!AN$2)),"")</f>
        <v/>
      </c>
      <c r="AO46" s="32" t="str">
        <f ca="1">IF(SUMPRODUCT((ListeB='recap S1'!$B46)*(OFFSET(ListeB,,4)='recap S1'!AO$3)*(OFFSET(ListeB,,1)='recap S1'!AO$2))&gt;0,SUMPRODUCT((ListeB='recap S1'!$B46)*(OFFSET(ListeB,,4)='recap S1'!AO$3)*(OFFSET(ListeB,,1)='recap S1'!AO$2)),"")</f>
        <v/>
      </c>
      <c r="AP46" s="32" t="str">
        <f ca="1">IF(SUMPRODUCT((ListeB='recap S1'!$B46)*(OFFSET(ListeB,,4)='recap S1'!AP$3)*(OFFSET(ListeB,,1)='recap S1'!AP$2))&gt;0,SUMPRODUCT((ListeB='recap S1'!$B46)*(OFFSET(ListeB,,4)='recap S1'!AP$3)*(OFFSET(ListeB,,1)='recap S1'!AP$2)),"")</f>
        <v/>
      </c>
      <c r="AQ46" s="32" t="str">
        <f ca="1">IF(SUMPRODUCT((ListeB='recap S1'!$B46)*(OFFSET(ListeB,,4)='recap S1'!AQ$3)*(OFFSET(ListeB,,1)='recap S1'!AQ$2))&gt;0,SUMPRODUCT((ListeB='recap S1'!$B46)*(OFFSET(ListeB,,4)='recap S1'!AQ$3)*(OFFSET(ListeB,,1)='recap S1'!AQ$2)),"")</f>
        <v/>
      </c>
      <c r="AR46" s="32" t="str">
        <f ca="1">IF(SUMPRODUCT((ListeB='recap S1'!$B46)*(OFFSET(ListeB,,4)='recap S1'!AR$3)*(OFFSET(ListeB,,1)='recap S1'!AR$2))&gt;0,SUMPRODUCT((ListeB='recap S1'!$B46)*(OFFSET(ListeB,,4)='recap S1'!AR$3)*(OFFSET(ListeB,,1)='recap S1'!AR$2)),"")</f>
        <v/>
      </c>
      <c r="AS46" s="32" t="str">
        <f ca="1">IF(SUMPRODUCT((ListeB='recap S1'!$B46)*(OFFSET(ListeB,,4)='recap S1'!AS$3)*(OFFSET(ListeB,,1)='recap S1'!AS$2))&gt;0,SUMPRODUCT((ListeB='recap S1'!$B46)*(OFFSET(ListeB,,4)='recap S1'!AS$3)*(OFFSET(ListeB,,1)='recap S1'!AS$2)),"")</f>
        <v/>
      </c>
      <c r="AT46" s="32" t="str">
        <f ca="1">IF(SUMPRODUCT((ListeB='recap S1'!$B46)*(OFFSET(ListeB,,4)='recap S1'!AT$3)*(OFFSET(ListeB,,1)='recap S1'!AT$2))&gt;0,SUMPRODUCT((ListeB='recap S1'!$B46)*(OFFSET(ListeB,,4)='recap S1'!AT$3)*(OFFSET(ListeB,,1)='recap S1'!AT$2)),"")</f>
        <v/>
      </c>
      <c r="AU46" s="32" t="str">
        <f ca="1">IF(SUMPRODUCT((ListeB='recap S1'!$B46)*(OFFSET(ListeB,,4)='recap S1'!AU$3)*(OFFSET(ListeB,,1)='recap S1'!AU$2))&gt;0,SUMPRODUCT((ListeB='recap S1'!$B46)*(OFFSET(ListeB,,4)='recap S1'!AU$3)*(OFFSET(ListeB,,1)='recap S1'!AU$2)),"")</f>
        <v/>
      </c>
      <c r="AV46" s="32" t="str">
        <f ca="1">IF(SUMPRODUCT((ListeB='recap S1'!$B46)*(OFFSET(ListeB,,4)='recap S1'!AV$3)*(OFFSET(ListeB,,1)='recap S1'!AV$2))&gt;0,SUMPRODUCT((ListeB='recap S1'!$B46)*(OFFSET(ListeB,,4)='recap S1'!AV$3)*(OFFSET(ListeB,,1)='recap S1'!AV$2)),"")</f>
        <v/>
      </c>
      <c r="AW46" s="32" t="str">
        <f ca="1">IF(SUMPRODUCT((ListeB='recap S1'!$B46)*(OFFSET(ListeB,,4)='recap S1'!AW$3)*(OFFSET(ListeB,,1)='recap S1'!AW$2))&gt;0,SUMPRODUCT((ListeB='recap S1'!$B46)*(OFFSET(ListeB,,4)='recap S1'!AW$3)*(OFFSET(ListeB,,1)='recap S1'!AW$2)),"")</f>
        <v/>
      </c>
      <c r="AX46" s="32" t="str">
        <f ca="1">IF(SUMPRODUCT((ListeB='recap S1'!$B46)*(OFFSET(ListeB,,4)='recap S1'!AX$3)*(OFFSET(ListeB,,1)='recap S1'!AX$2))&gt;0,SUMPRODUCT((ListeB='recap S1'!$B46)*(OFFSET(ListeB,,4)='recap S1'!AX$3)*(OFFSET(ListeB,,1)='recap S1'!AX$2)),"")</f>
        <v/>
      </c>
      <c r="AY46" s="32" t="str">
        <f ca="1">IF(SUMPRODUCT((ListeB='recap S1'!$B46)*(OFFSET(ListeB,,4)='recap S1'!AY$3)*(OFFSET(ListeB,,1)='recap S1'!AY$2))&gt;0,SUMPRODUCT((ListeB='recap S1'!$B46)*(OFFSET(ListeB,,4)='recap S1'!AY$3)*(OFFSET(ListeB,,1)='recap S1'!AY$2)),"")</f>
        <v/>
      </c>
      <c r="AZ46" s="32">
        <f t="shared" ca="1" si="1"/>
        <v>0</v>
      </c>
    </row>
    <row r="47" spans="1:52">
      <c r="A47" s="41" t="str">
        <f>IF('SEANCE 1'!$B45&lt;&gt;"",'SEANCE 1'!$A45,"")</f>
        <v/>
      </c>
      <c r="B47" s="41" t="str">
        <f t="array" aca="1" ref="B47" ca="1">IF(ISNA(INDEX(ListeB,MATCH(0,COUNTIF($B$3:B46,ListeB),0))),"",INDEX(ListeB,MATCH(0,COUNTIF($B$3:B46,ListeB),0)))</f>
        <v/>
      </c>
      <c r="C47" s="32" t="str">
        <f ca="1">IF(SUMPRODUCT((ListeB='recap S1'!$B47)*(OFFSET(ListeB,,4)='recap S1'!C$3)*(OFFSET(ListeB,,1)='recap S1'!C$2))&gt;0,SUMPRODUCT((ListeB='recap S1'!$B47)*(OFFSET(ListeB,,4)='recap S1'!C$3)*(OFFSET(ListeB,,1)='recap S1'!C$2)),"")</f>
        <v/>
      </c>
      <c r="D47" s="32" t="str">
        <f ca="1">IF(SUMPRODUCT((ListeB='recap S1'!$B47)*(OFFSET(ListeB,,4)='recap S1'!D$3)*(OFFSET(ListeB,,1)='recap S1'!D$2))&gt;0,SUMPRODUCT((ListeB='recap S1'!$B47)*(OFFSET(ListeB,,4)='recap S1'!D$3)*(OFFSET(ListeB,,1)='recap S1'!D$2)),"")</f>
        <v/>
      </c>
      <c r="E47" s="32" t="str">
        <f ca="1">IF(SUMPRODUCT((ListeB='recap S1'!$B47)*(OFFSET(ListeB,,4)='recap S1'!E$3)*(OFFSET(ListeB,,1)='recap S1'!E$2))&gt;0,SUMPRODUCT((ListeB='recap S1'!$B47)*(OFFSET(ListeB,,4)='recap S1'!E$3)*(OFFSET(ListeB,,1)='recap S1'!E$2)),"")</f>
        <v/>
      </c>
      <c r="F47" s="32" t="str">
        <f ca="1">IF(SUMPRODUCT((ListeB='recap S1'!$B47)*(OFFSET(ListeB,,4)='recap S1'!F$3)*(OFFSET(ListeB,,1)='recap S1'!F$2))&gt;0,SUMPRODUCT((ListeB='recap S1'!$B47)*(OFFSET(ListeB,,4)='recap S1'!F$3)*(OFFSET(ListeB,,1)='recap S1'!F$2)),"")</f>
        <v/>
      </c>
      <c r="G47" s="32" t="str">
        <f ca="1">IF(SUMPRODUCT((ListeB='recap S1'!$B47)*(OFFSET(ListeB,,4)='recap S1'!G$3)*(OFFSET(ListeB,,1)='recap S1'!G$2))&gt;0,SUMPRODUCT((ListeB='recap S1'!$B47)*(OFFSET(ListeB,,4)='recap S1'!G$3)*(OFFSET(ListeB,,1)='recap S1'!G$2)),"")</f>
        <v/>
      </c>
      <c r="H47" s="32" t="str">
        <f ca="1">IF(SUMPRODUCT((ListeB='recap S1'!$B47)*(OFFSET(ListeB,,4)='recap S1'!H$3)*(OFFSET(ListeB,,1)='recap S1'!H$2))&gt;0,SUMPRODUCT((ListeB='recap S1'!$B47)*(OFFSET(ListeB,,4)='recap S1'!H$3)*(OFFSET(ListeB,,1)='recap S1'!H$2)),"")</f>
        <v/>
      </c>
      <c r="I47" s="32" t="str">
        <f ca="1">IF(SUMPRODUCT((ListeB='recap S1'!$B47)*(OFFSET(ListeB,,4)='recap S1'!I$3)*(OFFSET(ListeB,,1)='recap S1'!I$2))&gt;0,SUMPRODUCT((ListeB='recap S1'!$B47)*(OFFSET(ListeB,,4)='recap S1'!I$3)*(OFFSET(ListeB,,1)='recap S1'!I$2)),"")</f>
        <v/>
      </c>
      <c r="J47" s="32" t="str">
        <f ca="1">IF(SUMPRODUCT((ListeB='recap S1'!$B47)*(OFFSET(ListeB,,4)='recap S1'!J$3)*(OFFSET(ListeB,,1)='recap S1'!J$2))&gt;0,SUMPRODUCT((ListeB='recap S1'!$B47)*(OFFSET(ListeB,,4)='recap S1'!J$3)*(OFFSET(ListeB,,1)='recap S1'!J$2)),"")</f>
        <v/>
      </c>
      <c r="K47" s="32" t="str">
        <f ca="1">IF(SUMPRODUCT((ListeB='recap S1'!$B47)*(OFFSET(ListeB,,4)='recap S1'!K$3)*(OFFSET(ListeB,,1)='recap S1'!K$2))&gt;0,SUMPRODUCT((ListeB='recap S1'!$B47)*(OFFSET(ListeB,,4)='recap S1'!K$3)*(OFFSET(ListeB,,1)='recap S1'!K$2)),"")</f>
        <v/>
      </c>
      <c r="L47" s="32" t="str">
        <f ca="1">IF(SUMPRODUCT((ListeB='recap S1'!$B47)*(OFFSET(ListeB,,4)='recap S1'!L$3)*(OFFSET(ListeB,,1)='recap S1'!L$2))&gt;0,SUMPRODUCT((ListeB='recap S1'!$B47)*(OFFSET(ListeB,,4)='recap S1'!L$3)*(OFFSET(ListeB,,1)='recap S1'!L$2)),"")</f>
        <v/>
      </c>
      <c r="M47" s="32" t="str">
        <f ca="1">IF(SUMPRODUCT((ListeB='recap S1'!$B47)*(OFFSET(ListeB,,4)='recap S1'!M$3)*(OFFSET(ListeB,,1)='recap S1'!M$2))&gt;0,SUMPRODUCT((ListeB='recap S1'!$B47)*(OFFSET(ListeB,,4)='recap S1'!M$3)*(OFFSET(ListeB,,1)='recap S1'!M$2)),"")</f>
        <v/>
      </c>
      <c r="N47" s="32" t="str">
        <f ca="1">IF(SUMPRODUCT((ListeB='recap S1'!$B47)*(OFFSET(ListeB,,4)='recap S1'!N$3)*(OFFSET(ListeB,,1)='recap S1'!N$2))&gt;0,SUMPRODUCT((ListeB='recap S1'!$B47)*(OFFSET(ListeB,,4)='recap S1'!N$3)*(OFFSET(ListeB,,1)='recap S1'!N$2)),"")</f>
        <v/>
      </c>
      <c r="O47" s="32" t="str">
        <f ca="1">IF(SUMPRODUCT((ListeB='recap S1'!$B47)*(OFFSET(ListeB,,4)='recap S1'!O$3)*(OFFSET(ListeB,,1)='recap S1'!O$2))&gt;0,SUMPRODUCT((ListeB='recap S1'!$B47)*(OFFSET(ListeB,,4)='recap S1'!O$3)*(OFFSET(ListeB,,1)='recap S1'!O$2)),"")</f>
        <v/>
      </c>
      <c r="P47" s="32" t="str">
        <f ca="1">IF(SUMPRODUCT((ListeB='recap S1'!$B47)*(OFFSET(ListeB,,4)='recap S1'!P$3)*(OFFSET(ListeB,,1)='recap S1'!P$2))&gt;0,SUMPRODUCT((ListeB='recap S1'!$B47)*(OFFSET(ListeB,,4)='recap S1'!P$3)*(OFFSET(ListeB,,1)='recap S1'!P$2)),"")</f>
        <v/>
      </c>
      <c r="Q47" s="32" t="str">
        <f ca="1">IF(SUMPRODUCT((ListeB='recap S1'!$B47)*(OFFSET(ListeB,,4)='recap S1'!Q$3)*(OFFSET(ListeB,,1)='recap S1'!Q$2))&gt;0,SUMPRODUCT((ListeB='recap S1'!$B47)*(OFFSET(ListeB,,4)='recap S1'!Q$3)*(OFFSET(ListeB,,1)='recap S1'!Q$2)),"")</f>
        <v/>
      </c>
      <c r="R47" s="32" t="str">
        <f ca="1">IF(SUMPRODUCT((ListeB='recap S1'!$B47)*(OFFSET(ListeB,,4)='recap S1'!R$3)*(OFFSET(ListeB,,1)='recap S1'!R$2))&gt;0,SUMPRODUCT((ListeB='recap S1'!$B47)*(OFFSET(ListeB,,4)='recap S1'!R$3)*(OFFSET(ListeB,,1)='recap S1'!R$2)),"")</f>
        <v/>
      </c>
      <c r="S47" s="32" t="str">
        <f ca="1">IF(SUMPRODUCT((ListeB='recap S1'!$B47)*(OFFSET(ListeB,,4)='recap S1'!S$3)*(OFFSET(ListeB,,1)='recap S1'!S$2))&gt;0,SUMPRODUCT((ListeB='recap S1'!$B47)*(OFFSET(ListeB,,4)='recap S1'!S$3)*(OFFSET(ListeB,,1)='recap S1'!S$2)),"")</f>
        <v/>
      </c>
      <c r="T47" s="32" t="str">
        <f ca="1">IF(SUMPRODUCT((ListeB='recap S1'!$B47)*(OFFSET(ListeB,,4)='recap S1'!T$3)*(OFFSET(ListeB,,1)='recap S1'!T$2))&gt;0,SUMPRODUCT((ListeB='recap S1'!$B47)*(OFFSET(ListeB,,4)='recap S1'!T$3)*(OFFSET(ListeB,,1)='recap S1'!T$2)),"")</f>
        <v/>
      </c>
      <c r="U47" s="32" t="str">
        <f ca="1">IF(SUMPRODUCT((ListeB='recap S1'!$B47)*(OFFSET(ListeB,,4)='recap S1'!U$3)*(OFFSET(ListeB,,1)='recap S1'!U$2))&gt;0,SUMPRODUCT((ListeB='recap S1'!$B47)*(OFFSET(ListeB,,4)='recap S1'!U$3)*(OFFSET(ListeB,,1)='recap S1'!U$2)),"")</f>
        <v/>
      </c>
      <c r="V47" s="32" t="str">
        <f ca="1">IF(SUMPRODUCT((ListeB='recap S1'!$B47)*(OFFSET(ListeB,,4)='recap S1'!V$3)*(OFFSET(ListeB,,1)='recap S1'!V$2))&gt;0,SUMPRODUCT((ListeB='recap S1'!$B47)*(OFFSET(ListeB,,4)='recap S1'!V$3)*(OFFSET(ListeB,,1)='recap S1'!V$2)),"")</f>
        <v/>
      </c>
      <c r="W47" s="32" t="str">
        <f ca="1">IF(SUMPRODUCT((ListeB='recap S1'!$B47)*(OFFSET(ListeB,,4)='recap S1'!W$3)*(OFFSET(ListeB,,1)='recap S1'!W$2))&gt;0,SUMPRODUCT((ListeB='recap S1'!$B47)*(OFFSET(ListeB,,4)='recap S1'!W$3)*(OFFSET(ListeB,,1)='recap S1'!W$2)),"")</f>
        <v/>
      </c>
      <c r="X47" s="32" t="str">
        <f ca="1">IF(SUMPRODUCT((ListeB='recap S1'!$B47)*(OFFSET(ListeB,,4)='recap S1'!X$3)*(OFFSET(ListeB,,1)='recap S1'!X$2))&gt;0,SUMPRODUCT((ListeB='recap S1'!$B47)*(OFFSET(ListeB,,4)='recap S1'!X$3)*(OFFSET(ListeB,,1)='recap S1'!X$2)),"")</f>
        <v/>
      </c>
      <c r="Y47" s="32" t="str">
        <f ca="1">IF(SUMPRODUCT((ListeB='recap S1'!$B47)*(OFFSET(ListeB,,4)='recap S1'!Y$3)*(OFFSET(ListeB,,1)='recap S1'!Y$2))&gt;0,SUMPRODUCT((ListeB='recap S1'!$B47)*(OFFSET(ListeB,,4)='recap S1'!Y$3)*(OFFSET(ListeB,,1)='recap S1'!Y$2)),"")</f>
        <v/>
      </c>
      <c r="Z47" s="32" t="str">
        <f ca="1">IF(SUMPRODUCT((ListeB='recap S1'!$B47)*(OFFSET(ListeB,,4)='recap S1'!Z$3)*(OFFSET(ListeB,,1)='recap S1'!Z$2))&gt;0,SUMPRODUCT((ListeB='recap S1'!$B47)*(OFFSET(ListeB,,4)='recap S1'!Z$3)*(OFFSET(ListeB,,1)='recap S1'!Z$2)),"")</f>
        <v/>
      </c>
      <c r="AA47" s="32" t="str">
        <f ca="1">IF(SUMPRODUCT((ListeB='recap S1'!$B47)*(OFFSET(ListeB,,4)='recap S1'!AA$3)*(OFFSET(ListeB,,1)='recap S1'!AA$2))&gt;0,SUMPRODUCT((ListeB='recap S1'!$B47)*(OFFSET(ListeB,,4)='recap S1'!AA$3)*(OFFSET(ListeB,,1)='recap S1'!AA$2)),"")</f>
        <v/>
      </c>
      <c r="AB47" s="32" t="str">
        <f ca="1">IF(SUMPRODUCT((ListeB='recap S1'!$B47)*(OFFSET(ListeB,,4)='recap S1'!AB$3)*(OFFSET(ListeB,,1)='recap S1'!AB$2))&gt;0,SUMPRODUCT((ListeB='recap S1'!$B47)*(OFFSET(ListeB,,4)='recap S1'!AB$3)*(OFFSET(ListeB,,1)='recap S1'!AB$2)),"")</f>
        <v/>
      </c>
      <c r="AC47" s="32" t="str">
        <f ca="1">IF(SUMPRODUCT((ListeB='recap S1'!$B47)*(OFFSET(ListeB,,4)='recap S1'!AC$3)*(OFFSET(ListeB,,1)='recap S1'!AC$2))&gt;0,SUMPRODUCT((ListeB='recap S1'!$B47)*(OFFSET(ListeB,,4)='recap S1'!AC$3)*(OFFSET(ListeB,,1)='recap S1'!AC$2)),"")</f>
        <v/>
      </c>
      <c r="AD47" s="32" t="str">
        <f ca="1">IF(SUMPRODUCT((ListeB='recap S1'!$B47)*(OFFSET(ListeB,,4)='recap S1'!AD$3)*(OFFSET(ListeB,,1)='recap S1'!AD$2))&gt;0,SUMPRODUCT((ListeB='recap S1'!$B47)*(OFFSET(ListeB,,4)='recap S1'!AD$3)*(OFFSET(ListeB,,1)='recap S1'!AD$2)),"")</f>
        <v/>
      </c>
      <c r="AE47" s="32" t="str">
        <f ca="1">IF(SUMPRODUCT((ListeB='recap S1'!$B47)*(OFFSET(ListeB,,4)='recap S1'!AE$3)*(OFFSET(ListeB,,1)='recap S1'!AE$2))&gt;0,SUMPRODUCT((ListeB='recap S1'!$B47)*(OFFSET(ListeB,,4)='recap S1'!AE$3)*(OFFSET(ListeB,,1)='recap S1'!AE$2)),"")</f>
        <v/>
      </c>
      <c r="AF47" s="32" t="str">
        <f ca="1">IF(SUMPRODUCT((ListeB='recap S1'!$B47)*(OFFSET(ListeB,,4)='recap S1'!AF$3)*(OFFSET(ListeB,,1)='recap S1'!AF$2))&gt;0,SUMPRODUCT((ListeB='recap S1'!$B47)*(OFFSET(ListeB,,4)='recap S1'!AF$3)*(OFFSET(ListeB,,1)='recap S1'!AF$2)),"")</f>
        <v/>
      </c>
      <c r="AG47" s="32" t="str">
        <f ca="1">IF(SUMPRODUCT((ListeB='recap S1'!$B47)*(OFFSET(ListeB,,4)='recap S1'!AG$3)*(OFFSET(ListeB,,1)='recap S1'!AG$2))&gt;0,SUMPRODUCT((ListeB='recap S1'!$B47)*(OFFSET(ListeB,,4)='recap S1'!AG$3)*(OFFSET(ListeB,,1)='recap S1'!AG$2)),"")</f>
        <v/>
      </c>
      <c r="AH47" s="32" t="str">
        <f ca="1">IF(SUMPRODUCT((ListeB='recap S1'!$B47)*(OFFSET(ListeB,,4)='recap S1'!AH$3)*(OFFSET(ListeB,,1)='recap S1'!AH$2))&gt;0,SUMPRODUCT((ListeB='recap S1'!$B47)*(OFFSET(ListeB,,4)='recap S1'!AH$3)*(OFFSET(ListeB,,1)='recap S1'!AH$2)),"")</f>
        <v/>
      </c>
      <c r="AI47" s="32" t="str">
        <f ca="1">IF(SUMPRODUCT((ListeB='recap S1'!$B47)*(OFFSET(ListeB,,4)='recap S1'!AI$3)*(OFFSET(ListeB,,1)='recap S1'!AI$2))&gt;0,SUMPRODUCT((ListeB='recap S1'!$B47)*(OFFSET(ListeB,,4)='recap S1'!AI$3)*(OFFSET(ListeB,,1)='recap S1'!AI$2)),"")</f>
        <v/>
      </c>
      <c r="AJ47" s="32" t="str">
        <f ca="1">IF(SUMPRODUCT((ListeB='recap S1'!$B47)*(OFFSET(ListeB,,4)='recap S1'!AJ$3)*(OFFSET(ListeB,,1)='recap S1'!AJ$2))&gt;0,SUMPRODUCT((ListeB='recap S1'!$B47)*(OFFSET(ListeB,,4)='recap S1'!AJ$3)*(OFFSET(ListeB,,1)='recap S1'!AJ$2)),"")</f>
        <v/>
      </c>
      <c r="AK47" s="32" t="str">
        <f ca="1">IF(SUMPRODUCT((ListeB='recap S1'!$B47)*(OFFSET(ListeB,,4)='recap S1'!AK$3)*(OFFSET(ListeB,,1)='recap S1'!AK$2))&gt;0,SUMPRODUCT((ListeB='recap S1'!$B47)*(OFFSET(ListeB,,4)='recap S1'!AK$3)*(OFFSET(ListeB,,1)='recap S1'!AK$2)),"")</f>
        <v/>
      </c>
      <c r="AL47" s="32" t="str">
        <f ca="1">IF(SUMPRODUCT((ListeB='recap S1'!$B47)*(OFFSET(ListeB,,4)='recap S1'!AL$3)*(OFFSET(ListeB,,1)='recap S1'!AL$2))&gt;0,SUMPRODUCT((ListeB='recap S1'!$B47)*(OFFSET(ListeB,,4)='recap S1'!AL$3)*(OFFSET(ListeB,,1)='recap S1'!AL$2)),"")</f>
        <v/>
      </c>
      <c r="AM47" s="32" t="str">
        <f ca="1">IF(SUMPRODUCT((ListeB='recap S1'!$B47)*(OFFSET(ListeB,,4)='recap S1'!AM$3)*(OFFSET(ListeB,,1)='recap S1'!AM$2))&gt;0,SUMPRODUCT((ListeB='recap S1'!$B47)*(OFFSET(ListeB,,4)='recap S1'!AM$3)*(OFFSET(ListeB,,1)='recap S1'!AM$2)),"")</f>
        <v/>
      </c>
      <c r="AN47" s="32" t="str">
        <f ca="1">IF(SUMPRODUCT((ListeB='recap S1'!$B47)*(OFFSET(ListeB,,4)='recap S1'!AN$3)*(OFFSET(ListeB,,1)='recap S1'!AN$2))&gt;0,SUMPRODUCT((ListeB='recap S1'!$B47)*(OFFSET(ListeB,,4)='recap S1'!AN$3)*(OFFSET(ListeB,,1)='recap S1'!AN$2)),"")</f>
        <v/>
      </c>
      <c r="AO47" s="32" t="str">
        <f ca="1">IF(SUMPRODUCT((ListeB='recap S1'!$B47)*(OFFSET(ListeB,,4)='recap S1'!AO$3)*(OFFSET(ListeB,,1)='recap S1'!AO$2))&gt;0,SUMPRODUCT((ListeB='recap S1'!$B47)*(OFFSET(ListeB,,4)='recap S1'!AO$3)*(OFFSET(ListeB,,1)='recap S1'!AO$2)),"")</f>
        <v/>
      </c>
      <c r="AP47" s="32" t="str">
        <f ca="1">IF(SUMPRODUCT((ListeB='recap S1'!$B47)*(OFFSET(ListeB,,4)='recap S1'!AP$3)*(OFFSET(ListeB,,1)='recap S1'!AP$2))&gt;0,SUMPRODUCT((ListeB='recap S1'!$B47)*(OFFSET(ListeB,,4)='recap S1'!AP$3)*(OFFSET(ListeB,,1)='recap S1'!AP$2)),"")</f>
        <v/>
      </c>
      <c r="AQ47" s="32" t="str">
        <f ca="1">IF(SUMPRODUCT((ListeB='recap S1'!$B47)*(OFFSET(ListeB,,4)='recap S1'!AQ$3)*(OFFSET(ListeB,,1)='recap S1'!AQ$2))&gt;0,SUMPRODUCT((ListeB='recap S1'!$B47)*(OFFSET(ListeB,,4)='recap S1'!AQ$3)*(OFFSET(ListeB,,1)='recap S1'!AQ$2)),"")</f>
        <v/>
      </c>
      <c r="AR47" s="32" t="str">
        <f ca="1">IF(SUMPRODUCT((ListeB='recap S1'!$B47)*(OFFSET(ListeB,,4)='recap S1'!AR$3)*(OFFSET(ListeB,,1)='recap S1'!AR$2))&gt;0,SUMPRODUCT((ListeB='recap S1'!$B47)*(OFFSET(ListeB,,4)='recap S1'!AR$3)*(OFFSET(ListeB,,1)='recap S1'!AR$2)),"")</f>
        <v/>
      </c>
      <c r="AS47" s="32" t="str">
        <f ca="1">IF(SUMPRODUCT((ListeB='recap S1'!$B47)*(OFFSET(ListeB,,4)='recap S1'!AS$3)*(OFFSET(ListeB,,1)='recap S1'!AS$2))&gt;0,SUMPRODUCT((ListeB='recap S1'!$B47)*(OFFSET(ListeB,,4)='recap S1'!AS$3)*(OFFSET(ListeB,,1)='recap S1'!AS$2)),"")</f>
        <v/>
      </c>
      <c r="AT47" s="32" t="str">
        <f ca="1">IF(SUMPRODUCT((ListeB='recap S1'!$B47)*(OFFSET(ListeB,,4)='recap S1'!AT$3)*(OFFSET(ListeB,,1)='recap S1'!AT$2))&gt;0,SUMPRODUCT((ListeB='recap S1'!$B47)*(OFFSET(ListeB,,4)='recap S1'!AT$3)*(OFFSET(ListeB,,1)='recap S1'!AT$2)),"")</f>
        <v/>
      </c>
      <c r="AU47" s="32" t="str">
        <f ca="1">IF(SUMPRODUCT((ListeB='recap S1'!$B47)*(OFFSET(ListeB,,4)='recap S1'!AU$3)*(OFFSET(ListeB,,1)='recap S1'!AU$2))&gt;0,SUMPRODUCT((ListeB='recap S1'!$B47)*(OFFSET(ListeB,,4)='recap S1'!AU$3)*(OFFSET(ListeB,,1)='recap S1'!AU$2)),"")</f>
        <v/>
      </c>
      <c r="AV47" s="32" t="str">
        <f ca="1">IF(SUMPRODUCT((ListeB='recap S1'!$B47)*(OFFSET(ListeB,,4)='recap S1'!AV$3)*(OFFSET(ListeB,,1)='recap S1'!AV$2))&gt;0,SUMPRODUCT((ListeB='recap S1'!$B47)*(OFFSET(ListeB,,4)='recap S1'!AV$3)*(OFFSET(ListeB,,1)='recap S1'!AV$2)),"")</f>
        <v/>
      </c>
      <c r="AW47" s="32" t="str">
        <f ca="1">IF(SUMPRODUCT((ListeB='recap S1'!$B47)*(OFFSET(ListeB,,4)='recap S1'!AW$3)*(OFFSET(ListeB,,1)='recap S1'!AW$2))&gt;0,SUMPRODUCT((ListeB='recap S1'!$B47)*(OFFSET(ListeB,,4)='recap S1'!AW$3)*(OFFSET(ListeB,,1)='recap S1'!AW$2)),"")</f>
        <v/>
      </c>
      <c r="AX47" s="32" t="str">
        <f ca="1">IF(SUMPRODUCT((ListeB='recap S1'!$B47)*(OFFSET(ListeB,,4)='recap S1'!AX$3)*(OFFSET(ListeB,,1)='recap S1'!AX$2))&gt;0,SUMPRODUCT((ListeB='recap S1'!$B47)*(OFFSET(ListeB,,4)='recap S1'!AX$3)*(OFFSET(ListeB,,1)='recap S1'!AX$2)),"")</f>
        <v/>
      </c>
      <c r="AY47" s="32" t="str">
        <f ca="1">IF(SUMPRODUCT((ListeB='recap S1'!$B47)*(OFFSET(ListeB,,4)='recap S1'!AY$3)*(OFFSET(ListeB,,1)='recap S1'!AY$2))&gt;0,SUMPRODUCT((ListeB='recap S1'!$B47)*(OFFSET(ListeB,,4)='recap S1'!AY$3)*(OFFSET(ListeB,,1)='recap S1'!AY$2)),"")</f>
        <v/>
      </c>
      <c r="AZ47" s="32">
        <f t="shared" ca="1" si="1"/>
        <v>0</v>
      </c>
    </row>
    <row r="48" spans="1:52">
      <c r="A48" s="41" t="str">
        <f>IF('SEANCE 1'!$B46&lt;&gt;"",'SEANCE 1'!$A46,"")</f>
        <v/>
      </c>
      <c r="B48" s="41" t="str">
        <f t="array" aca="1" ref="B48" ca="1">IF(ISNA(INDEX(ListeB,MATCH(0,COUNTIF($B$3:B47,ListeB),0))),"",INDEX(ListeB,MATCH(0,COUNTIF($B$3:B47,ListeB),0)))</f>
        <v/>
      </c>
      <c r="C48" s="32" t="str">
        <f ca="1">IF(SUMPRODUCT((ListeB='recap S1'!$B48)*(OFFSET(ListeB,,4)='recap S1'!C$3)*(OFFSET(ListeB,,1)='recap S1'!C$2))&gt;0,SUMPRODUCT((ListeB='recap S1'!$B48)*(OFFSET(ListeB,,4)='recap S1'!C$3)*(OFFSET(ListeB,,1)='recap S1'!C$2)),"")</f>
        <v/>
      </c>
      <c r="D48" s="32" t="str">
        <f ca="1">IF(SUMPRODUCT((ListeB='recap S1'!$B48)*(OFFSET(ListeB,,4)='recap S1'!D$3)*(OFFSET(ListeB,,1)='recap S1'!D$2))&gt;0,SUMPRODUCT((ListeB='recap S1'!$B48)*(OFFSET(ListeB,,4)='recap S1'!D$3)*(OFFSET(ListeB,,1)='recap S1'!D$2)),"")</f>
        <v/>
      </c>
      <c r="E48" s="32" t="str">
        <f ca="1">IF(SUMPRODUCT((ListeB='recap S1'!$B48)*(OFFSET(ListeB,,4)='recap S1'!E$3)*(OFFSET(ListeB,,1)='recap S1'!E$2))&gt;0,SUMPRODUCT((ListeB='recap S1'!$B48)*(OFFSET(ListeB,,4)='recap S1'!E$3)*(OFFSET(ListeB,,1)='recap S1'!E$2)),"")</f>
        <v/>
      </c>
      <c r="F48" s="32" t="str">
        <f ca="1">IF(SUMPRODUCT((ListeB='recap S1'!$B48)*(OFFSET(ListeB,,4)='recap S1'!F$3)*(OFFSET(ListeB,,1)='recap S1'!F$2))&gt;0,SUMPRODUCT((ListeB='recap S1'!$B48)*(OFFSET(ListeB,,4)='recap S1'!F$3)*(OFFSET(ListeB,,1)='recap S1'!F$2)),"")</f>
        <v/>
      </c>
      <c r="G48" s="32" t="str">
        <f ca="1">IF(SUMPRODUCT((ListeB='recap S1'!$B48)*(OFFSET(ListeB,,4)='recap S1'!G$3)*(OFFSET(ListeB,,1)='recap S1'!G$2))&gt;0,SUMPRODUCT((ListeB='recap S1'!$B48)*(OFFSET(ListeB,,4)='recap S1'!G$3)*(OFFSET(ListeB,,1)='recap S1'!G$2)),"")</f>
        <v/>
      </c>
      <c r="H48" s="32" t="str">
        <f ca="1">IF(SUMPRODUCT((ListeB='recap S1'!$B48)*(OFFSET(ListeB,,4)='recap S1'!H$3)*(OFFSET(ListeB,,1)='recap S1'!H$2))&gt;0,SUMPRODUCT((ListeB='recap S1'!$B48)*(OFFSET(ListeB,,4)='recap S1'!H$3)*(OFFSET(ListeB,,1)='recap S1'!H$2)),"")</f>
        <v/>
      </c>
      <c r="I48" s="32" t="str">
        <f ca="1">IF(SUMPRODUCT((ListeB='recap S1'!$B48)*(OFFSET(ListeB,,4)='recap S1'!I$3)*(OFFSET(ListeB,,1)='recap S1'!I$2))&gt;0,SUMPRODUCT((ListeB='recap S1'!$B48)*(OFFSET(ListeB,,4)='recap S1'!I$3)*(OFFSET(ListeB,,1)='recap S1'!I$2)),"")</f>
        <v/>
      </c>
      <c r="J48" s="32" t="str">
        <f ca="1">IF(SUMPRODUCT((ListeB='recap S1'!$B48)*(OFFSET(ListeB,,4)='recap S1'!J$3)*(OFFSET(ListeB,,1)='recap S1'!J$2))&gt;0,SUMPRODUCT((ListeB='recap S1'!$B48)*(OFFSET(ListeB,,4)='recap S1'!J$3)*(OFFSET(ListeB,,1)='recap S1'!J$2)),"")</f>
        <v/>
      </c>
      <c r="K48" s="32" t="str">
        <f ca="1">IF(SUMPRODUCT((ListeB='recap S1'!$B48)*(OFFSET(ListeB,,4)='recap S1'!K$3)*(OFFSET(ListeB,,1)='recap S1'!K$2))&gt;0,SUMPRODUCT((ListeB='recap S1'!$B48)*(OFFSET(ListeB,,4)='recap S1'!K$3)*(OFFSET(ListeB,,1)='recap S1'!K$2)),"")</f>
        <v/>
      </c>
      <c r="L48" s="32" t="str">
        <f ca="1">IF(SUMPRODUCT((ListeB='recap S1'!$B48)*(OFFSET(ListeB,,4)='recap S1'!L$3)*(OFFSET(ListeB,,1)='recap S1'!L$2))&gt;0,SUMPRODUCT((ListeB='recap S1'!$B48)*(OFFSET(ListeB,,4)='recap S1'!L$3)*(OFFSET(ListeB,,1)='recap S1'!L$2)),"")</f>
        <v/>
      </c>
      <c r="M48" s="32" t="str">
        <f ca="1">IF(SUMPRODUCT((ListeB='recap S1'!$B48)*(OFFSET(ListeB,,4)='recap S1'!M$3)*(OFFSET(ListeB,,1)='recap S1'!M$2))&gt;0,SUMPRODUCT((ListeB='recap S1'!$B48)*(OFFSET(ListeB,,4)='recap S1'!M$3)*(OFFSET(ListeB,,1)='recap S1'!M$2)),"")</f>
        <v/>
      </c>
      <c r="N48" s="32" t="str">
        <f ca="1">IF(SUMPRODUCT((ListeB='recap S1'!$B48)*(OFFSET(ListeB,,4)='recap S1'!N$3)*(OFFSET(ListeB,,1)='recap S1'!N$2))&gt;0,SUMPRODUCT((ListeB='recap S1'!$B48)*(OFFSET(ListeB,,4)='recap S1'!N$3)*(OFFSET(ListeB,,1)='recap S1'!N$2)),"")</f>
        <v/>
      </c>
      <c r="O48" s="32" t="str">
        <f ca="1">IF(SUMPRODUCT((ListeB='recap S1'!$B48)*(OFFSET(ListeB,,4)='recap S1'!O$3)*(OFFSET(ListeB,,1)='recap S1'!O$2))&gt;0,SUMPRODUCT((ListeB='recap S1'!$B48)*(OFFSET(ListeB,,4)='recap S1'!O$3)*(OFFSET(ListeB,,1)='recap S1'!O$2)),"")</f>
        <v/>
      </c>
      <c r="P48" s="32" t="str">
        <f ca="1">IF(SUMPRODUCT((ListeB='recap S1'!$B48)*(OFFSET(ListeB,,4)='recap S1'!P$3)*(OFFSET(ListeB,,1)='recap S1'!P$2))&gt;0,SUMPRODUCT((ListeB='recap S1'!$B48)*(OFFSET(ListeB,,4)='recap S1'!P$3)*(OFFSET(ListeB,,1)='recap S1'!P$2)),"")</f>
        <v/>
      </c>
      <c r="Q48" s="32" t="str">
        <f ca="1">IF(SUMPRODUCT((ListeB='recap S1'!$B48)*(OFFSET(ListeB,,4)='recap S1'!Q$3)*(OFFSET(ListeB,,1)='recap S1'!Q$2))&gt;0,SUMPRODUCT((ListeB='recap S1'!$B48)*(OFFSET(ListeB,,4)='recap S1'!Q$3)*(OFFSET(ListeB,,1)='recap S1'!Q$2)),"")</f>
        <v/>
      </c>
      <c r="R48" s="32" t="str">
        <f ca="1">IF(SUMPRODUCT((ListeB='recap S1'!$B48)*(OFFSET(ListeB,,4)='recap S1'!R$3)*(OFFSET(ListeB,,1)='recap S1'!R$2))&gt;0,SUMPRODUCT((ListeB='recap S1'!$B48)*(OFFSET(ListeB,,4)='recap S1'!R$3)*(OFFSET(ListeB,,1)='recap S1'!R$2)),"")</f>
        <v/>
      </c>
      <c r="S48" s="32" t="str">
        <f ca="1">IF(SUMPRODUCT((ListeB='recap S1'!$B48)*(OFFSET(ListeB,,4)='recap S1'!S$3)*(OFFSET(ListeB,,1)='recap S1'!S$2))&gt;0,SUMPRODUCT((ListeB='recap S1'!$B48)*(OFFSET(ListeB,,4)='recap S1'!S$3)*(OFFSET(ListeB,,1)='recap S1'!S$2)),"")</f>
        <v/>
      </c>
      <c r="T48" s="32" t="str">
        <f ca="1">IF(SUMPRODUCT((ListeB='recap S1'!$B48)*(OFFSET(ListeB,,4)='recap S1'!T$3)*(OFFSET(ListeB,,1)='recap S1'!T$2))&gt;0,SUMPRODUCT((ListeB='recap S1'!$B48)*(OFFSET(ListeB,,4)='recap S1'!T$3)*(OFFSET(ListeB,,1)='recap S1'!T$2)),"")</f>
        <v/>
      </c>
      <c r="U48" s="32" t="str">
        <f ca="1">IF(SUMPRODUCT((ListeB='recap S1'!$B48)*(OFFSET(ListeB,,4)='recap S1'!U$3)*(OFFSET(ListeB,,1)='recap S1'!U$2))&gt;0,SUMPRODUCT((ListeB='recap S1'!$B48)*(OFFSET(ListeB,,4)='recap S1'!U$3)*(OFFSET(ListeB,,1)='recap S1'!U$2)),"")</f>
        <v/>
      </c>
      <c r="V48" s="32" t="str">
        <f ca="1">IF(SUMPRODUCT((ListeB='recap S1'!$B48)*(OFFSET(ListeB,,4)='recap S1'!V$3)*(OFFSET(ListeB,,1)='recap S1'!V$2))&gt;0,SUMPRODUCT((ListeB='recap S1'!$B48)*(OFFSET(ListeB,,4)='recap S1'!V$3)*(OFFSET(ListeB,,1)='recap S1'!V$2)),"")</f>
        <v/>
      </c>
      <c r="W48" s="32" t="str">
        <f ca="1">IF(SUMPRODUCT((ListeB='recap S1'!$B48)*(OFFSET(ListeB,,4)='recap S1'!W$3)*(OFFSET(ListeB,,1)='recap S1'!W$2))&gt;0,SUMPRODUCT((ListeB='recap S1'!$B48)*(OFFSET(ListeB,,4)='recap S1'!W$3)*(OFFSET(ListeB,,1)='recap S1'!W$2)),"")</f>
        <v/>
      </c>
      <c r="X48" s="32" t="str">
        <f ca="1">IF(SUMPRODUCT((ListeB='recap S1'!$B48)*(OFFSET(ListeB,,4)='recap S1'!X$3)*(OFFSET(ListeB,,1)='recap S1'!X$2))&gt;0,SUMPRODUCT((ListeB='recap S1'!$B48)*(OFFSET(ListeB,,4)='recap S1'!X$3)*(OFFSET(ListeB,,1)='recap S1'!X$2)),"")</f>
        <v/>
      </c>
      <c r="Y48" s="32" t="str">
        <f ca="1">IF(SUMPRODUCT((ListeB='recap S1'!$B48)*(OFFSET(ListeB,,4)='recap S1'!Y$3)*(OFFSET(ListeB,,1)='recap S1'!Y$2))&gt;0,SUMPRODUCT((ListeB='recap S1'!$B48)*(OFFSET(ListeB,,4)='recap S1'!Y$3)*(OFFSET(ListeB,,1)='recap S1'!Y$2)),"")</f>
        <v/>
      </c>
      <c r="Z48" s="32" t="str">
        <f ca="1">IF(SUMPRODUCT((ListeB='recap S1'!$B48)*(OFFSET(ListeB,,4)='recap S1'!Z$3)*(OFFSET(ListeB,,1)='recap S1'!Z$2))&gt;0,SUMPRODUCT((ListeB='recap S1'!$B48)*(OFFSET(ListeB,,4)='recap S1'!Z$3)*(OFFSET(ListeB,,1)='recap S1'!Z$2)),"")</f>
        <v/>
      </c>
      <c r="AA48" s="32" t="str">
        <f ca="1">IF(SUMPRODUCT((ListeB='recap S1'!$B48)*(OFFSET(ListeB,,4)='recap S1'!AA$3)*(OFFSET(ListeB,,1)='recap S1'!AA$2))&gt;0,SUMPRODUCT((ListeB='recap S1'!$B48)*(OFFSET(ListeB,,4)='recap S1'!AA$3)*(OFFSET(ListeB,,1)='recap S1'!AA$2)),"")</f>
        <v/>
      </c>
      <c r="AB48" s="32" t="str">
        <f ca="1">IF(SUMPRODUCT((ListeB='recap S1'!$B48)*(OFFSET(ListeB,,4)='recap S1'!AB$3)*(OFFSET(ListeB,,1)='recap S1'!AB$2))&gt;0,SUMPRODUCT((ListeB='recap S1'!$B48)*(OFFSET(ListeB,,4)='recap S1'!AB$3)*(OFFSET(ListeB,,1)='recap S1'!AB$2)),"")</f>
        <v/>
      </c>
      <c r="AC48" s="32" t="str">
        <f ca="1">IF(SUMPRODUCT((ListeB='recap S1'!$B48)*(OFFSET(ListeB,,4)='recap S1'!AC$3)*(OFFSET(ListeB,,1)='recap S1'!AC$2))&gt;0,SUMPRODUCT((ListeB='recap S1'!$B48)*(OFFSET(ListeB,,4)='recap S1'!AC$3)*(OFFSET(ListeB,,1)='recap S1'!AC$2)),"")</f>
        <v/>
      </c>
      <c r="AD48" s="32" t="str">
        <f ca="1">IF(SUMPRODUCT((ListeB='recap S1'!$B48)*(OFFSET(ListeB,,4)='recap S1'!AD$3)*(OFFSET(ListeB,,1)='recap S1'!AD$2))&gt;0,SUMPRODUCT((ListeB='recap S1'!$B48)*(OFFSET(ListeB,,4)='recap S1'!AD$3)*(OFFSET(ListeB,,1)='recap S1'!AD$2)),"")</f>
        <v/>
      </c>
      <c r="AE48" s="32" t="str">
        <f ca="1">IF(SUMPRODUCT((ListeB='recap S1'!$B48)*(OFFSET(ListeB,,4)='recap S1'!AE$3)*(OFFSET(ListeB,,1)='recap S1'!AE$2))&gt;0,SUMPRODUCT((ListeB='recap S1'!$B48)*(OFFSET(ListeB,,4)='recap S1'!AE$3)*(OFFSET(ListeB,,1)='recap S1'!AE$2)),"")</f>
        <v/>
      </c>
      <c r="AF48" s="32" t="str">
        <f ca="1">IF(SUMPRODUCT((ListeB='recap S1'!$B48)*(OFFSET(ListeB,,4)='recap S1'!AF$3)*(OFFSET(ListeB,,1)='recap S1'!AF$2))&gt;0,SUMPRODUCT((ListeB='recap S1'!$B48)*(OFFSET(ListeB,,4)='recap S1'!AF$3)*(OFFSET(ListeB,,1)='recap S1'!AF$2)),"")</f>
        <v/>
      </c>
      <c r="AG48" s="32" t="str">
        <f ca="1">IF(SUMPRODUCT((ListeB='recap S1'!$B48)*(OFFSET(ListeB,,4)='recap S1'!AG$3)*(OFFSET(ListeB,,1)='recap S1'!AG$2))&gt;0,SUMPRODUCT((ListeB='recap S1'!$B48)*(OFFSET(ListeB,,4)='recap S1'!AG$3)*(OFFSET(ListeB,,1)='recap S1'!AG$2)),"")</f>
        <v/>
      </c>
      <c r="AH48" s="32" t="str">
        <f ca="1">IF(SUMPRODUCT((ListeB='recap S1'!$B48)*(OFFSET(ListeB,,4)='recap S1'!AH$3)*(OFFSET(ListeB,,1)='recap S1'!AH$2))&gt;0,SUMPRODUCT((ListeB='recap S1'!$B48)*(OFFSET(ListeB,,4)='recap S1'!AH$3)*(OFFSET(ListeB,,1)='recap S1'!AH$2)),"")</f>
        <v/>
      </c>
      <c r="AI48" s="32" t="str">
        <f ca="1">IF(SUMPRODUCT((ListeB='recap S1'!$B48)*(OFFSET(ListeB,,4)='recap S1'!AI$3)*(OFFSET(ListeB,,1)='recap S1'!AI$2))&gt;0,SUMPRODUCT((ListeB='recap S1'!$B48)*(OFFSET(ListeB,,4)='recap S1'!AI$3)*(OFFSET(ListeB,,1)='recap S1'!AI$2)),"")</f>
        <v/>
      </c>
      <c r="AJ48" s="32" t="str">
        <f ca="1">IF(SUMPRODUCT((ListeB='recap S1'!$B48)*(OFFSET(ListeB,,4)='recap S1'!AJ$3)*(OFFSET(ListeB,,1)='recap S1'!AJ$2))&gt;0,SUMPRODUCT((ListeB='recap S1'!$B48)*(OFFSET(ListeB,,4)='recap S1'!AJ$3)*(OFFSET(ListeB,,1)='recap S1'!AJ$2)),"")</f>
        <v/>
      </c>
      <c r="AK48" s="32" t="str">
        <f ca="1">IF(SUMPRODUCT((ListeB='recap S1'!$B48)*(OFFSET(ListeB,,4)='recap S1'!AK$3)*(OFFSET(ListeB,,1)='recap S1'!AK$2))&gt;0,SUMPRODUCT((ListeB='recap S1'!$B48)*(OFFSET(ListeB,,4)='recap S1'!AK$3)*(OFFSET(ListeB,,1)='recap S1'!AK$2)),"")</f>
        <v/>
      </c>
      <c r="AL48" s="32" t="str">
        <f ca="1">IF(SUMPRODUCT((ListeB='recap S1'!$B48)*(OFFSET(ListeB,,4)='recap S1'!AL$3)*(OFFSET(ListeB,,1)='recap S1'!AL$2))&gt;0,SUMPRODUCT((ListeB='recap S1'!$B48)*(OFFSET(ListeB,,4)='recap S1'!AL$3)*(OFFSET(ListeB,,1)='recap S1'!AL$2)),"")</f>
        <v/>
      </c>
      <c r="AM48" s="32" t="str">
        <f ca="1">IF(SUMPRODUCT((ListeB='recap S1'!$B48)*(OFFSET(ListeB,,4)='recap S1'!AM$3)*(OFFSET(ListeB,,1)='recap S1'!AM$2))&gt;0,SUMPRODUCT((ListeB='recap S1'!$B48)*(OFFSET(ListeB,,4)='recap S1'!AM$3)*(OFFSET(ListeB,,1)='recap S1'!AM$2)),"")</f>
        <v/>
      </c>
      <c r="AN48" s="32" t="str">
        <f ca="1">IF(SUMPRODUCT((ListeB='recap S1'!$B48)*(OFFSET(ListeB,,4)='recap S1'!AN$3)*(OFFSET(ListeB,,1)='recap S1'!AN$2))&gt;0,SUMPRODUCT((ListeB='recap S1'!$B48)*(OFFSET(ListeB,,4)='recap S1'!AN$3)*(OFFSET(ListeB,,1)='recap S1'!AN$2)),"")</f>
        <v/>
      </c>
      <c r="AO48" s="32" t="str">
        <f ca="1">IF(SUMPRODUCT((ListeB='recap S1'!$B48)*(OFFSET(ListeB,,4)='recap S1'!AO$3)*(OFFSET(ListeB,,1)='recap S1'!AO$2))&gt;0,SUMPRODUCT((ListeB='recap S1'!$B48)*(OFFSET(ListeB,,4)='recap S1'!AO$3)*(OFFSET(ListeB,,1)='recap S1'!AO$2)),"")</f>
        <v/>
      </c>
      <c r="AP48" s="32" t="str">
        <f ca="1">IF(SUMPRODUCT((ListeB='recap S1'!$B48)*(OFFSET(ListeB,,4)='recap S1'!AP$3)*(OFFSET(ListeB,,1)='recap S1'!AP$2))&gt;0,SUMPRODUCT((ListeB='recap S1'!$B48)*(OFFSET(ListeB,,4)='recap S1'!AP$3)*(OFFSET(ListeB,,1)='recap S1'!AP$2)),"")</f>
        <v/>
      </c>
      <c r="AQ48" s="32" t="str">
        <f ca="1">IF(SUMPRODUCT((ListeB='recap S1'!$B48)*(OFFSET(ListeB,,4)='recap S1'!AQ$3)*(OFFSET(ListeB,,1)='recap S1'!AQ$2))&gt;0,SUMPRODUCT((ListeB='recap S1'!$B48)*(OFFSET(ListeB,,4)='recap S1'!AQ$3)*(OFFSET(ListeB,,1)='recap S1'!AQ$2)),"")</f>
        <v/>
      </c>
      <c r="AR48" s="32" t="str">
        <f ca="1">IF(SUMPRODUCT((ListeB='recap S1'!$B48)*(OFFSET(ListeB,,4)='recap S1'!AR$3)*(OFFSET(ListeB,,1)='recap S1'!AR$2))&gt;0,SUMPRODUCT((ListeB='recap S1'!$B48)*(OFFSET(ListeB,,4)='recap S1'!AR$3)*(OFFSET(ListeB,,1)='recap S1'!AR$2)),"")</f>
        <v/>
      </c>
      <c r="AS48" s="32" t="str">
        <f ca="1">IF(SUMPRODUCT((ListeB='recap S1'!$B48)*(OFFSET(ListeB,,4)='recap S1'!AS$3)*(OFFSET(ListeB,,1)='recap S1'!AS$2))&gt;0,SUMPRODUCT((ListeB='recap S1'!$B48)*(OFFSET(ListeB,,4)='recap S1'!AS$3)*(OFFSET(ListeB,,1)='recap S1'!AS$2)),"")</f>
        <v/>
      </c>
      <c r="AT48" s="32" t="str">
        <f ca="1">IF(SUMPRODUCT((ListeB='recap S1'!$B48)*(OFFSET(ListeB,,4)='recap S1'!AT$3)*(OFFSET(ListeB,,1)='recap S1'!AT$2))&gt;0,SUMPRODUCT((ListeB='recap S1'!$B48)*(OFFSET(ListeB,,4)='recap S1'!AT$3)*(OFFSET(ListeB,,1)='recap S1'!AT$2)),"")</f>
        <v/>
      </c>
      <c r="AU48" s="32" t="str">
        <f ca="1">IF(SUMPRODUCT((ListeB='recap S1'!$B48)*(OFFSET(ListeB,,4)='recap S1'!AU$3)*(OFFSET(ListeB,,1)='recap S1'!AU$2))&gt;0,SUMPRODUCT((ListeB='recap S1'!$B48)*(OFFSET(ListeB,,4)='recap S1'!AU$3)*(OFFSET(ListeB,,1)='recap S1'!AU$2)),"")</f>
        <v/>
      </c>
      <c r="AV48" s="32" t="str">
        <f ca="1">IF(SUMPRODUCT((ListeB='recap S1'!$B48)*(OFFSET(ListeB,,4)='recap S1'!AV$3)*(OFFSET(ListeB,,1)='recap S1'!AV$2))&gt;0,SUMPRODUCT((ListeB='recap S1'!$B48)*(OFFSET(ListeB,,4)='recap S1'!AV$3)*(OFFSET(ListeB,,1)='recap S1'!AV$2)),"")</f>
        <v/>
      </c>
      <c r="AW48" s="32" t="str">
        <f ca="1">IF(SUMPRODUCT((ListeB='recap S1'!$B48)*(OFFSET(ListeB,,4)='recap S1'!AW$3)*(OFFSET(ListeB,,1)='recap S1'!AW$2))&gt;0,SUMPRODUCT((ListeB='recap S1'!$B48)*(OFFSET(ListeB,,4)='recap S1'!AW$3)*(OFFSET(ListeB,,1)='recap S1'!AW$2)),"")</f>
        <v/>
      </c>
      <c r="AX48" s="32" t="str">
        <f ca="1">IF(SUMPRODUCT((ListeB='recap S1'!$B48)*(OFFSET(ListeB,,4)='recap S1'!AX$3)*(OFFSET(ListeB,,1)='recap S1'!AX$2))&gt;0,SUMPRODUCT((ListeB='recap S1'!$B48)*(OFFSET(ListeB,,4)='recap S1'!AX$3)*(OFFSET(ListeB,,1)='recap S1'!AX$2)),"")</f>
        <v/>
      </c>
      <c r="AY48" s="32" t="str">
        <f ca="1">IF(SUMPRODUCT((ListeB='recap S1'!$B48)*(OFFSET(ListeB,,4)='recap S1'!AY$3)*(OFFSET(ListeB,,1)='recap S1'!AY$2))&gt;0,SUMPRODUCT((ListeB='recap S1'!$B48)*(OFFSET(ListeB,,4)='recap S1'!AY$3)*(OFFSET(ListeB,,1)='recap S1'!AY$2)),"")</f>
        <v/>
      </c>
      <c r="AZ48" s="32">
        <f t="shared" ca="1" si="1"/>
        <v>0</v>
      </c>
    </row>
    <row r="49" spans="1:52">
      <c r="A49" s="41" t="str">
        <f>IF('SEANCE 1'!$B47&lt;&gt;"",'SEANCE 1'!$A47,"")</f>
        <v/>
      </c>
      <c r="B49" s="41" t="str">
        <f t="array" aca="1" ref="B49" ca="1">IF(ISNA(INDEX(ListeB,MATCH(0,COUNTIF($B$3:B48,ListeB),0))),"",INDEX(ListeB,MATCH(0,COUNTIF($B$3:B48,ListeB),0)))</f>
        <v/>
      </c>
      <c r="C49" s="32" t="str">
        <f ca="1">IF(SUMPRODUCT((ListeB='recap S1'!$B49)*(OFFSET(ListeB,,4)='recap S1'!C$3)*(OFFSET(ListeB,,1)='recap S1'!C$2))&gt;0,SUMPRODUCT((ListeB='recap S1'!$B49)*(OFFSET(ListeB,,4)='recap S1'!C$3)*(OFFSET(ListeB,,1)='recap S1'!C$2)),"")</f>
        <v/>
      </c>
      <c r="D49" s="32" t="str">
        <f ca="1">IF(SUMPRODUCT((ListeB='recap S1'!$B49)*(OFFSET(ListeB,,4)='recap S1'!D$3)*(OFFSET(ListeB,,1)='recap S1'!D$2))&gt;0,SUMPRODUCT((ListeB='recap S1'!$B49)*(OFFSET(ListeB,,4)='recap S1'!D$3)*(OFFSET(ListeB,,1)='recap S1'!D$2)),"")</f>
        <v/>
      </c>
      <c r="E49" s="32" t="str">
        <f ca="1">IF(SUMPRODUCT((ListeB='recap S1'!$B49)*(OFFSET(ListeB,,4)='recap S1'!E$3)*(OFFSET(ListeB,,1)='recap S1'!E$2))&gt;0,SUMPRODUCT((ListeB='recap S1'!$B49)*(OFFSET(ListeB,,4)='recap S1'!E$3)*(OFFSET(ListeB,,1)='recap S1'!E$2)),"")</f>
        <v/>
      </c>
      <c r="F49" s="32" t="str">
        <f ca="1">IF(SUMPRODUCT((ListeB='recap S1'!$B49)*(OFFSET(ListeB,,4)='recap S1'!F$3)*(OFFSET(ListeB,,1)='recap S1'!F$2))&gt;0,SUMPRODUCT((ListeB='recap S1'!$B49)*(OFFSET(ListeB,,4)='recap S1'!F$3)*(OFFSET(ListeB,,1)='recap S1'!F$2)),"")</f>
        <v/>
      </c>
      <c r="G49" s="32" t="str">
        <f ca="1">IF(SUMPRODUCT((ListeB='recap S1'!$B49)*(OFFSET(ListeB,,4)='recap S1'!G$3)*(OFFSET(ListeB,,1)='recap S1'!G$2))&gt;0,SUMPRODUCT((ListeB='recap S1'!$B49)*(OFFSET(ListeB,,4)='recap S1'!G$3)*(OFFSET(ListeB,,1)='recap S1'!G$2)),"")</f>
        <v/>
      </c>
      <c r="H49" s="32" t="str">
        <f ca="1">IF(SUMPRODUCT((ListeB='recap S1'!$B49)*(OFFSET(ListeB,,4)='recap S1'!H$3)*(OFFSET(ListeB,,1)='recap S1'!H$2))&gt;0,SUMPRODUCT((ListeB='recap S1'!$B49)*(OFFSET(ListeB,,4)='recap S1'!H$3)*(OFFSET(ListeB,,1)='recap S1'!H$2)),"")</f>
        <v/>
      </c>
      <c r="I49" s="32" t="str">
        <f ca="1">IF(SUMPRODUCT((ListeB='recap S1'!$B49)*(OFFSET(ListeB,,4)='recap S1'!I$3)*(OFFSET(ListeB,,1)='recap S1'!I$2))&gt;0,SUMPRODUCT((ListeB='recap S1'!$B49)*(OFFSET(ListeB,,4)='recap S1'!I$3)*(OFFSET(ListeB,,1)='recap S1'!I$2)),"")</f>
        <v/>
      </c>
      <c r="J49" s="32" t="str">
        <f ca="1">IF(SUMPRODUCT((ListeB='recap S1'!$B49)*(OFFSET(ListeB,,4)='recap S1'!J$3)*(OFFSET(ListeB,,1)='recap S1'!J$2))&gt;0,SUMPRODUCT((ListeB='recap S1'!$B49)*(OFFSET(ListeB,,4)='recap S1'!J$3)*(OFFSET(ListeB,,1)='recap S1'!J$2)),"")</f>
        <v/>
      </c>
      <c r="K49" s="32" t="str">
        <f ca="1">IF(SUMPRODUCT((ListeB='recap S1'!$B49)*(OFFSET(ListeB,,4)='recap S1'!K$3)*(OFFSET(ListeB,,1)='recap S1'!K$2))&gt;0,SUMPRODUCT((ListeB='recap S1'!$B49)*(OFFSET(ListeB,,4)='recap S1'!K$3)*(OFFSET(ListeB,,1)='recap S1'!K$2)),"")</f>
        <v/>
      </c>
      <c r="L49" s="32" t="str">
        <f ca="1">IF(SUMPRODUCT((ListeB='recap S1'!$B49)*(OFFSET(ListeB,,4)='recap S1'!L$3)*(OFFSET(ListeB,,1)='recap S1'!L$2))&gt;0,SUMPRODUCT((ListeB='recap S1'!$B49)*(OFFSET(ListeB,,4)='recap S1'!L$3)*(OFFSET(ListeB,,1)='recap S1'!L$2)),"")</f>
        <v/>
      </c>
      <c r="M49" s="32" t="str">
        <f ca="1">IF(SUMPRODUCT((ListeB='recap S1'!$B49)*(OFFSET(ListeB,,4)='recap S1'!M$3)*(OFFSET(ListeB,,1)='recap S1'!M$2))&gt;0,SUMPRODUCT((ListeB='recap S1'!$B49)*(OFFSET(ListeB,,4)='recap S1'!M$3)*(OFFSET(ListeB,,1)='recap S1'!M$2)),"")</f>
        <v/>
      </c>
      <c r="N49" s="32" t="str">
        <f ca="1">IF(SUMPRODUCT((ListeB='recap S1'!$B49)*(OFFSET(ListeB,,4)='recap S1'!N$3)*(OFFSET(ListeB,,1)='recap S1'!N$2))&gt;0,SUMPRODUCT((ListeB='recap S1'!$B49)*(OFFSET(ListeB,,4)='recap S1'!N$3)*(OFFSET(ListeB,,1)='recap S1'!N$2)),"")</f>
        <v/>
      </c>
      <c r="O49" s="32" t="str">
        <f ca="1">IF(SUMPRODUCT((ListeB='recap S1'!$B49)*(OFFSET(ListeB,,4)='recap S1'!O$3)*(OFFSET(ListeB,,1)='recap S1'!O$2))&gt;0,SUMPRODUCT((ListeB='recap S1'!$B49)*(OFFSET(ListeB,,4)='recap S1'!O$3)*(OFFSET(ListeB,,1)='recap S1'!O$2)),"")</f>
        <v/>
      </c>
      <c r="P49" s="32" t="str">
        <f ca="1">IF(SUMPRODUCT((ListeB='recap S1'!$B49)*(OFFSET(ListeB,,4)='recap S1'!P$3)*(OFFSET(ListeB,,1)='recap S1'!P$2))&gt;0,SUMPRODUCT((ListeB='recap S1'!$B49)*(OFFSET(ListeB,,4)='recap S1'!P$3)*(OFFSET(ListeB,,1)='recap S1'!P$2)),"")</f>
        <v/>
      </c>
      <c r="Q49" s="32" t="str">
        <f ca="1">IF(SUMPRODUCT((ListeB='recap S1'!$B49)*(OFFSET(ListeB,,4)='recap S1'!Q$3)*(OFFSET(ListeB,,1)='recap S1'!Q$2))&gt;0,SUMPRODUCT((ListeB='recap S1'!$B49)*(OFFSET(ListeB,,4)='recap S1'!Q$3)*(OFFSET(ListeB,,1)='recap S1'!Q$2)),"")</f>
        <v/>
      </c>
      <c r="R49" s="32" t="str">
        <f ca="1">IF(SUMPRODUCT((ListeB='recap S1'!$B49)*(OFFSET(ListeB,,4)='recap S1'!R$3)*(OFFSET(ListeB,,1)='recap S1'!R$2))&gt;0,SUMPRODUCT((ListeB='recap S1'!$B49)*(OFFSET(ListeB,,4)='recap S1'!R$3)*(OFFSET(ListeB,,1)='recap S1'!R$2)),"")</f>
        <v/>
      </c>
      <c r="S49" s="32" t="str">
        <f ca="1">IF(SUMPRODUCT((ListeB='recap S1'!$B49)*(OFFSET(ListeB,,4)='recap S1'!S$3)*(OFFSET(ListeB,,1)='recap S1'!S$2))&gt;0,SUMPRODUCT((ListeB='recap S1'!$B49)*(OFFSET(ListeB,,4)='recap S1'!S$3)*(OFFSET(ListeB,,1)='recap S1'!S$2)),"")</f>
        <v/>
      </c>
      <c r="T49" s="32" t="str">
        <f ca="1">IF(SUMPRODUCT((ListeB='recap S1'!$B49)*(OFFSET(ListeB,,4)='recap S1'!T$3)*(OFFSET(ListeB,,1)='recap S1'!T$2))&gt;0,SUMPRODUCT((ListeB='recap S1'!$B49)*(OFFSET(ListeB,,4)='recap S1'!T$3)*(OFFSET(ListeB,,1)='recap S1'!T$2)),"")</f>
        <v/>
      </c>
      <c r="U49" s="32" t="str">
        <f ca="1">IF(SUMPRODUCT((ListeB='recap S1'!$B49)*(OFFSET(ListeB,,4)='recap S1'!U$3)*(OFFSET(ListeB,,1)='recap S1'!U$2))&gt;0,SUMPRODUCT((ListeB='recap S1'!$B49)*(OFFSET(ListeB,,4)='recap S1'!U$3)*(OFFSET(ListeB,,1)='recap S1'!U$2)),"")</f>
        <v/>
      </c>
      <c r="V49" s="32" t="str">
        <f ca="1">IF(SUMPRODUCT((ListeB='recap S1'!$B49)*(OFFSET(ListeB,,4)='recap S1'!V$3)*(OFFSET(ListeB,,1)='recap S1'!V$2))&gt;0,SUMPRODUCT((ListeB='recap S1'!$B49)*(OFFSET(ListeB,,4)='recap S1'!V$3)*(OFFSET(ListeB,,1)='recap S1'!V$2)),"")</f>
        <v/>
      </c>
      <c r="W49" s="32" t="str">
        <f ca="1">IF(SUMPRODUCT((ListeB='recap S1'!$B49)*(OFFSET(ListeB,,4)='recap S1'!W$3)*(OFFSET(ListeB,,1)='recap S1'!W$2))&gt;0,SUMPRODUCT((ListeB='recap S1'!$B49)*(OFFSET(ListeB,,4)='recap S1'!W$3)*(OFFSET(ListeB,,1)='recap S1'!W$2)),"")</f>
        <v/>
      </c>
      <c r="X49" s="32" t="str">
        <f ca="1">IF(SUMPRODUCT((ListeB='recap S1'!$B49)*(OFFSET(ListeB,,4)='recap S1'!X$3)*(OFFSET(ListeB,,1)='recap S1'!X$2))&gt;0,SUMPRODUCT((ListeB='recap S1'!$B49)*(OFFSET(ListeB,,4)='recap S1'!X$3)*(OFFSET(ListeB,,1)='recap S1'!X$2)),"")</f>
        <v/>
      </c>
      <c r="Y49" s="32" t="str">
        <f ca="1">IF(SUMPRODUCT((ListeB='recap S1'!$B49)*(OFFSET(ListeB,,4)='recap S1'!Y$3)*(OFFSET(ListeB,,1)='recap S1'!Y$2))&gt;0,SUMPRODUCT((ListeB='recap S1'!$B49)*(OFFSET(ListeB,,4)='recap S1'!Y$3)*(OFFSET(ListeB,,1)='recap S1'!Y$2)),"")</f>
        <v/>
      </c>
      <c r="Z49" s="32" t="str">
        <f ca="1">IF(SUMPRODUCT((ListeB='recap S1'!$B49)*(OFFSET(ListeB,,4)='recap S1'!Z$3)*(OFFSET(ListeB,,1)='recap S1'!Z$2))&gt;0,SUMPRODUCT((ListeB='recap S1'!$B49)*(OFFSET(ListeB,,4)='recap S1'!Z$3)*(OFFSET(ListeB,,1)='recap S1'!Z$2)),"")</f>
        <v/>
      </c>
      <c r="AA49" s="32" t="str">
        <f ca="1">IF(SUMPRODUCT((ListeB='recap S1'!$B49)*(OFFSET(ListeB,,4)='recap S1'!AA$3)*(OFFSET(ListeB,,1)='recap S1'!AA$2))&gt;0,SUMPRODUCT((ListeB='recap S1'!$B49)*(OFFSET(ListeB,,4)='recap S1'!AA$3)*(OFFSET(ListeB,,1)='recap S1'!AA$2)),"")</f>
        <v/>
      </c>
      <c r="AB49" s="32" t="str">
        <f ca="1">IF(SUMPRODUCT((ListeB='recap S1'!$B49)*(OFFSET(ListeB,,4)='recap S1'!AB$3)*(OFFSET(ListeB,,1)='recap S1'!AB$2))&gt;0,SUMPRODUCT((ListeB='recap S1'!$B49)*(OFFSET(ListeB,,4)='recap S1'!AB$3)*(OFFSET(ListeB,,1)='recap S1'!AB$2)),"")</f>
        <v/>
      </c>
      <c r="AC49" s="32" t="str">
        <f ca="1">IF(SUMPRODUCT((ListeB='recap S1'!$B49)*(OFFSET(ListeB,,4)='recap S1'!AC$3)*(OFFSET(ListeB,,1)='recap S1'!AC$2))&gt;0,SUMPRODUCT((ListeB='recap S1'!$B49)*(OFFSET(ListeB,,4)='recap S1'!AC$3)*(OFFSET(ListeB,,1)='recap S1'!AC$2)),"")</f>
        <v/>
      </c>
      <c r="AD49" s="32" t="str">
        <f ca="1">IF(SUMPRODUCT((ListeB='recap S1'!$B49)*(OFFSET(ListeB,,4)='recap S1'!AD$3)*(OFFSET(ListeB,,1)='recap S1'!AD$2))&gt;0,SUMPRODUCT((ListeB='recap S1'!$B49)*(OFFSET(ListeB,,4)='recap S1'!AD$3)*(OFFSET(ListeB,,1)='recap S1'!AD$2)),"")</f>
        <v/>
      </c>
      <c r="AE49" s="32" t="str">
        <f ca="1">IF(SUMPRODUCT((ListeB='recap S1'!$B49)*(OFFSET(ListeB,,4)='recap S1'!AE$3)*(OFFSET(ListeB,,1)='recap S1'!AE$2))&gt;0,SUMPRODUCT((ListeB='recap S1'!$B49)*(OFFSET(ListeB,,4)='recap S1'!AE$3)*(OFFSET(ListeB,,1)='recap S1'!AE$2)),"")</f>
        <v/>
      </c>
      <c r="AF49" s="32" t="str">
        <f ca="1">IF(SUMPRODUCT((ListeB='recap S1'!$B49)*(OFFSET(ListeB,,4)='recap S1'!AF$3)*(OFFSET(ListeB,,1)='recap S1'!AF$2))&gt;0,SUMPRODUCT((ListeB='recap S1'!$B49)*(OFFSET(ListeB,,4)='recap S1'!AF$3)*(OFFSET(ListeB,,1)='recap S1'!AF$2)),"")</f>
        <v/>
      </c>
      <c r="AG49" s="32" t="str">
        <f ca="1">IF(SUMPRODUCT((ListeB='recap S1'!$B49)*(OFFSET(ListeB,,4)='recap S1'!AG$3)*(OFFSET(ListeB,,1)='recap S1'!AG$2))&gt;0,SUMPRODUCT((ListeB='recap S1'!$B49)*(OFFSET(ListeB,,4)='recap S1'!AG$3)*(OFFSET(ListeB,,1)='recap S1'!AG$2)),"")</f>
        <v/>
      </c>
      <c r="AH49" s="32" t="str">
        <f ca="1">IF(SUMPRODUCT((ListeB='recap S1'!$B49)*(OFFSET(ListeB,,4)='recap S1'!AH$3)*(OFFSET(ListeB,,1)='recap S1'!AH$2))&gt;0,SUMPRODUCT((ListeB='recap S1'!$B49)*(OFFSET(ListeB,,4)='recap S1'!AH$3)*(OFFSET(ListeB,,1)='recap S1'!AH$2)),"")</f>
        <v/>
      </c>
      <c r="AI49" s="32" t="str">
        <f ca="1">IF(SUMPRODUCT((ListeB='recap S1'!$B49)*(OFFSET(ListeB,,4)='recap S1'!AI$3)*(OFFSET(ListeB,,1)='recap S1'!AI$2))&gt;0,SUMPRODUCT((ListeB='recap S1'!$B49)*(OFFSET(ListeB,,4)='recap S1'!AI$3)*(OFFSET(ListeB,,1)='recap S1'!AI$2)),"")</f>
        <v/>
      </c>
      <c r="AJ49" s="32" t="str">
        <f ca="1">IF(SUMPRODUCT((ListeB='recap S1'!$B49)*(OFFSET(ListeB,,4)='recap S1'!AJ$3)*(OFFSET(ListeB,,1)='recap S1'!AJ$2))&gt;0,SUMPRODUCT((ListeB='recap S1'!$B49)*(OFFSET(ListeB,,4)='recap S1'!AJ$3)*(OFFSET(ListeB,,1)='recap S1'!AJ$2)),"")</f>
        <v/>
      </c>
      <c r="AK49" s="32" t="str">
        <f ca="1">IF(SUMPRODUCT((ListeB='recap S1'!$B49)*(OFFSET(ListeB,,4)='recap S1'!AK$3)*(OFFSET(ListeB,,1)='recap S1'!AK$2))&gt;0,SUMPRODUCT((ListeB='recap S1'!$B49)*(OFFSET(ListeB,,4)='recap S1'!AK$3)*(OFFSET(ListeB,,1)='recap S1'!AK$2)),"")</f>
        <v/>
      </c>
      <c r="AL49" s="32" t="str">
        <f ca="1">IF(SUMPRODUCT((ListeB='recap S1'!$B49)*(OFFSET(ListeB,,4)='recap S1'!AL$3)*(OFFSET(ListeB,,1)='recap S1'!AL$2))&gt;0,SUMPRODUCT((ListeB='recap S1'!$B49)*(OFFSET(ListeB,,4)='recap S1'!AL$3)*(OFFSET(ListeB,,1)='recap S1'!AL$2)),"")</f>
        <v/>
      </c>
      <c r="AM49" s="32" t="str">
        <f ca="1">IF(SUMPRODUCT((ListeB='recap S1'!$B49)*(OFFSET(ListeB,,4)='recap S1'!AM$3)*(OFFSET(ListeB,,1)='recap S1'!AM$2))&gt;0,SUMPRODUCT((ListeB='recap S1'!$B49)*(OFFSET(ListeB,,4)='recap S1'!AM$3)*(OFFSET(ListeB,,1)='recap S1'!AM$2)),"")</f>
        <v/>
      </c>
      <c r="AN49" s="32" t="str">
        <f ca="1">IF(SUMPRODUCT((ListeB='recap S1'!$B49)*(OFFSET(ListeB,,4)='recap S1'!AN$3)*(OFFSET(ListeB,,1)='recap S1'!AN$2))&gt;0,SUMPRODUCT((ListeB='recap S1'!$B49)*(OFFSET(ListeB,,4)='recap S1'!AN$3)*(OFFSET(ListeB,,1)='recap S1'!AN$2)),"")</f>
        <v/>
      </c>
      <c r="AO49" s="32" t="str">
        <f ca="1">IF(SUMPRODUCT((ListeB='recap S1'!$B49)*(OFFSET(ListeB,,4)='recap S1'!AO$3)*(OFFSET(ListeB,,1)='recap S1'!AO$2))&gt;0,SUMPRODUCT((ListeB='recap S1'!$B49)*(OFFSET(ListeB,,4)='recap S1'!AO$3)*(OFFSET(ListeB,,1)='recap S1'!AO$2)),"")</f>
        <v/>
      </c>
      <c r="AP49" s="32" t="str">
        <f ca="1">IF(SUMPRODUCT((ListeB='recap S1'!$B49)*(OFFSET(ListeB,,4)='recap S1'!AP$3)*(OFFSET(ListeB,,1)='recap S1'!AP$2))&gt;0,SUMPRODUCT((ListeB='recap S1'!$B49)*(OFFSET(ListeB,,4)='recap S1'!AP$3)*(OFFSET(ListeB,,1)='recap S1'!AP$2)),"")</f>
        <v/>
      </c>
      <c r="AQ49" s="32" t="str">
        <f ca="1">IF(SUMPRODUCT((ListeB='recap S1'!$B49)*(OFFSET(ListeB,,4)='recap S1'!AQ$3)*(OFFSET(ListeB,,1)='recap S1'!AQ$2))&gt;0,SUMPRODUCT((ListeB='recap S1'!$B49)*(OFFSET(ListeB,,4)='recap S1'!AQ$3)*(OFFSET(ListeB,,1)='recap S1'!AQ$2)),"")</f>
        <v/>
      </c>
      <c r="AR49" s="32" t="str">
        <f ca="1">IF(SUMPRODUCT((ListeB='recap S1'!$B49)*(OFFSET(ListeB,,4)='recap S1'!AR$3)*(OFFSET(ListeB,,1)='recap S1'!AR$2))&gt;0,SUMPRODUCT((ListeB='recap S1'!$B49)*(OFFSET(ListeB,,4)='recap S1'!AR$3)*(OFFSET(ListeB,,1)='recap S1'!AR$2)),"")</f>
        <v/>
      </c>
      <c r="AS49" s="32" t="str">
        <f ca="1">IF(SUMPRODUCT((ListeB='recap S1'!$B49)*(OFFSET(ListeB,,4)='recap S1'!AS$3)*(OFFSET(ListeB,,1)='recap S1'!AS$2))&gt;0,SUMPRODUCT((ListeB='recap S1'!$B49)*(OFFSET(ListeB,,4)='recap S1'!AS$3)*(OFFSET(ListeB,,1)='recap S1'!AS$2)),"")</f>
        <v/>
      </c>
      <c r="AT49" s="32" t="str">
        <f ca="1">IF(SUMPRODUCT((ListeB='recap S1'!$B49)*(OFFSET(ListeB,,4)='recap S1'!AT$3)*(OFFSET(ListeB,,1)='recap S1'!AT$2))&gt;0,SUMPRODUCT((ListeB='recap S1'!$B49)*(OFFSET(ListeB,,4)='recap S1'!AT$3)*(OFFSET(ListeB,,1)='recap S1'!AT$2)),"")</f>
        <v/>
      </c>
      <c r="AU49" s="32" t="str">
        <f ca="1">IF(SUMPRODUCT((ListeB='recap S1'!$B49)*(OFFSET(ListeB,,4)='recap S1'!AU$3)*(OFFSET(ListeB,,1)='recap S1'!AU$2))&gt;0,SUMPRODUCT((ListeB='recap S1'!$B49)*(OFFSET(ListeB,,4)='recap S1'!AU$3)*(OFFSET(ListeB,,1)='recap S1'!AU$2)),"")</f>
        <v/>
      </c>
      <c r="AV49" s="32" t="str">
        <f ca="1">IF(SUMPRODUCT((ListeB='recap S1'!$B49)*(OFFSET(ListeB,,4)='recap S1'!AV$3)*(OFFSET(ListeB,,1)='recap S1'!AV$2))&gt;0,SUMPRODUCT((ListeB='recap S1'!$B49)*(OFFSET(ListeB,,4)='recap S1'!AV$3)*(OFFSET(ListeB,,1)='recap S1'!AV$2)),"")</f>
        <v/>
      </c>
      <c r="AW49" s="32" t="str">
        <f ca="1">IF(SUMPRODUCT((ListeB='recap S1'!$B49)*(OFFSET(ListeB,,4)='recap S1'!AW$3)*(OFFSET(ListeB,,1)='recap S1'!AW$2))&gt;0,SUMPRODUCT((ListeB='recap S1'!$B49)*(OFFSET(ListeB,,4)='recap S1'!AW$3)*(OFFSET(ListeB,,1)='recap S1'!AW$2)),"")</f>
        <v/>
      </c>
      <c r="AX49" s="32" t="str">
        <f ca="1">IF(SUMPRODUCT((ListeB='recap S1'!$B49)*(OFFSET(ListeB,,4)='recap S1'!AX$3)*(OFFSET(ListeB,,1)='recap S1'!AX$2))&gt;0,SUMPRODUCT((ListeB='recap S1'!$B49)*(OFFSET(ListeB,,4)='recap S1'!AX$3)*(OFFSET(ListeB,,1)='recap S1'!AX$2)),"")</f>
        <v/>
      </c>
      <c r="AY49" s="32" t="str">
        <f ca="1">IF(SUMPRODUCT((ListeB='recap S1'!$B49)*(OFFSET(ListeB,,4)='recap S1'!AY$3)*(OFFSET(ListeB,,1)='recap S1'!AY$2))&gt;0,SUMPRODUCT((ListeB='recap S1'!$B49)*(OFFSET(ListeB,,4)='recap S1'!AY$3)*(OFFSET(ListeB,,1)='recap S1'!AY$2)),"")</f>
        <v/>
      </c>
      <c r="AZ49" s="32">
        <f t="shared" ca="1" si="1"/>
        <v>0</v>
      </c>
    </row>
    <row r="50" spans="1:52">
      <c r="A50" s="41" t="str">
        <f>IF('SEANCE 1'!$B48&lt;&gt;"",'SEANCE 1'!$A48,"")</f>
        <v/>
      </c>
      <c r="B50" s="41" t="str">
        <f t="array" aca="1" ref="B50" ca="1">IF(ISNA(INDEX(ListeB,MATCH(0,COUNTIF($B$3:B49,ListeB),0))),"",INDEX(ListeB,MATCH(0,COUNTIF($B$3:B49,ListeB),0)))</f>
        <v/>
      </c>
      <c r="C50" s="32" t="str">
        <f ca="1">IF(SUMPRODUCT((ListeB='recap S1'!$B50)*(OFFSET(ListeB,,4)='recap S1'!C$3)*(OFFSET(ListeB,,1)='recap S1'!C$2))&gt;0,SUMPRODUCT((ListeB='recap S1'!$B50)*(OFFSET(ListeB,,4)='recap S1'!C$3)*(OFFSET(ListeB,,1)='recap S1'!C$2)),"")</f>
        <v/>
      </c>
      <c r="D50" s="32" t="str">
        <f ca="1">IF(SUMPRODUCT((ListeB='recap S1'!$B50)*(OFFSET(ListeB,,4)='recap S1'!D$3)*(OFFSET(ListeB,,1)='recap S1'!D$2))&gt;0,SUMPRODUCT((ListeB='recap S1'!$B50)*(OFFSET(ListeB,,4)='recap S1'!D$3)*(OFFSET(ListeB,,1)='recap S1'!D$2)),"")</f>
        <v/>
      </c>
      <c r="E50" s="32" t="str">
        <f ca="1">IF(SUMPRODUCT((ListeB='recap S1'!$B50)*(OFFSET(ListeB,,4)='recap S1'!E$3)*(OFFSET(ListeB,,1)='recap S1'!E$2))&gt;0,SUMPRODUCT((ListeB='recap S1'!$B50)*(OFFSET(ListeB,,4)='recap S1'!E$3)*(OFFSET(ListeB,,1)='recap S1'!E$2)),"")</f>
        <v/>
      </c>
      <c r="F50" s="32" t="str">
        <f ca="1">IF(SUMPRODUCT((ListeB='recap S1'!$B50)*(OFFSET(ListeB,,4)='recap S1'!F$3)*(OFFSET(ListeB,,1)='recap S1'!F$2))&gt;0,SUMPRODUCT((ListeB='recap S1'!$B50)*(OFFSET(ListeB,,4)='recap S1'!F$3)*(OFFSET(ListeB,,1)='recap S1'!F$2)),"")</f>
        <v/>
      </c>
      <c r="G50" s="32" t="str">
        <f ca="1">IF(SUMPRODUCT((ListeB='recap S1'!$B50)*(OFFSET(ListeB,,4)='recap S1'!G$3)*(OFFSET(ListeB,,1)='recap S1'!G$2))&gt;0,SUMPRODUCT((ListeB='recap S1'!$B50)*(OFFSET(ListeB,,4)='recap S1'!G$3)*(OFFSET(ListeB,,1)='recap S1'!G$2)),"")</f>
        <v/>
      </c>
      <c r="H50" s="32" t="str">
        <f ca="1">IF(SUMPRODUCT((ListeB='recap S1'!$B50)*(OFFSET(ListeB,,4)='recap S1'!H$3)*(OFFSET(ListeB,,1)='recap S1'!H$2))&gt;0,SUMPRODUCT((ListeB='recap S1'!$B50)*(OFFSET(ListeB,,4)='recap S1'!H$3)*(OFFSET(ListeB,,1)='recap S1'!H$2)),"")</f>
        <v/>
      </c>
      <c r="I50" s="32" t="str">
        <f ca="1">IF(SUMPRODUCT((ListeB='recap S1'!$B50)*(OFFSET(ListeB,,4)='recap S1'!I$3)*(OFFSET(ListeB,,1)='recap S1'!I$2))&gt;0,SUMPRODUCT((ListeB='recap S1'!$B50)*(OFFSET(ListeB,,4)='recap S1'!I$3)*(OFFSET(ListeB,,1)='recap S1'!I$2)),"")</f>
        <v/>
      </c>
      <c r="J50" s="32" t="str">
        <f ca="1">IF(SUMPRODUCT((ListeB='recap S1'!$B50)*(OFFSET(ListeB,,4)='recap S1'!J$3)*(OFFSET(ListeB,,1)='recap S1'!J$2))&gt;0,SUMPRODUCT((ListeB='recap S1'!$B50)*(OFFSET(ListeB,,4)='recap S1'!J$3)*(OFFSET(ListeB,,1)='recap S1'!J$2)),"")</f>
        <v/>
      </c>
      <c r="K50" s="32" t="str">
        <f ca="1">IF(SUMPRODUCT((ListeB='recap S1'!$B50)*(OFFSET(ListeB,,4)='recap S1'!K$3)*(OFFSET(ListeB,,1)='recap S1'!K$2))&gt;0,SUMPRODUCT((ListeB='recap S1'!$B50)*(OFFSET(ListeB,,4)='recap S1'!K$3)*(OFFSET(ListeB,,1)='recap S1'!K$2)),"")</f>
        <v/>
      </c>
      <c r="L50" s="32" t="str">
        <f ca="1">IF(SUMPRODUCT((ListeB='recap S1'!$B50)*(OFFSET(ListeB,,4)='recap S1'!L$3)*(OFFSET(ListeB,,1)='recap S1'!L$2))&gt;0,SUMPRODUCT((ListeB='recap S1'!$B50)*(OFFSET(ListeB,,4)='recap S1'!L$3)*(OFFSET(ListeB,,1)='recap S1'!L$2)),"")</f>
        <v/>
      </c>
      <c r="M50" s="32" t="str">
        <f ca="1">IF(SUMPRODUCT((ListeB='recap S1'!$B50)*(OFFSET(ListeB,,4)='recap S1'!M$3)*(OFFSET(ListeB,,1)='recap S1'!M$2))&gt;0,SUMPRODUCT((ListeB='recap S1'!$B50)*(OFFSET(ListeB,,4)='recap S1'!M$3)*(OFFSET(ListeB,,1)='recap S1'!M$2)),"")</f>
        <v/>
      </c>
      <c r="N50" s="32" t="str">
        <f ca="1">IF(SUMPRODUCT((ListeB='recap S1'!$B50)*(OFFSET(ListeB,,4)='recap S1'!N$3)*(OFFSET(ListeB,,1)='recap S1'!N$2))&gt;0,SUMPRODUCT((ListeB='recap S1'!$B50)*(OFFSET(ListeB,,4)='recap S1'!N$3)*(OFFSET(ListeB,,1)='recap S1'!N$2)),"")</f>
        <v/>
      </c>
      <c r="O50" s="32" t="str">
        <f ca="1">IF(SUMPRODUCT((ListeB='recap S1'!$B50)*(OFFSET(ListeB,,4)='recap S1'!O$3)*(OFFSET(ListeB,,1)='recap S1'!O$2))&gt;0,SUMPRODUCT((ListeB='recap S1'!$B50)*(OFFSET(ListeB,,4)='recap S1'!O$3)*(OFFSET(ListeB,,1)='recap S1'!O$2)),"")</f>
        <v/>
      </c>
      <c r="P50" s="32" t="str">
        <f ca="1">IF(SUMPRODUCT((ListeB='recap S1'!$B50)*(OFFSET(ListeB,,4)='recap S1'!P$3)*(OFFSET(ListeB,,1)='recap S1'!P$2))&gt;0,SUMPRODUCT((ListeB='recap S1'!$B50)*(OFFSET(ListeB,,4)='recap S1'!P$3)*(OFFSET(ListeB,,1)='recap S1'!P$2)),"")</f>
        <v/>
      </c>
      <c r="Q50" s="32" t="str">
        <f ca="1">IF(SUMPRODUCT((ListeB='recap S1'!$B50)*(OFFSET(ListeB,,4)='recap S1'!Q$3)*(OFFSET(ListeB,,1)='recap S1'!Q$2))&gt;0,SUMPRODUCT((ListeB='recap S1'!$B50)*(OFFSET(ListeB,,4)='recap S1'!Q$3)*(OFFSET(ListeB,,1)='recap S1'!Q$2)),"")</f>
        <v/>
      </c>
      <c r="R50" s="32" t="str">
        <f ca="1">IF(SUMPRODUCT((ListeB='recap S1'!$B50)*(OFFSET(ListeB,,4)='recap S1'!R$3)*(OFFSET(ListeB,,1)='recap S1'!R$2))&gt;0,SUMPRODUCT((ListeB='recap S1'!$B50)*(OFFSET(ListeB,,4)='recap S1'!R$3)*(OFFSET(ListeB,,1)='recap S1'!R$2)),"")</f>
        <v/>
      </c>
      <c r="S50" s="32" t="str">
        <f ca="1">IF(SUMPRODUCT((ListeB='recap S1'!$B50)*(OFFSET(ListeB,,4)='recap S1'!S$3)*(OFFSET(ListeB,,1)='recap S1'!S$2))&gt;0,SUMPRODUCT((ListeB='recap S1'!$B50)*(OFFSET(ListeB,,4)='recap S1'!S$3)*(OFFSET(ListeB,,1)='recap S1'!S$2)),"")</f>
        <v/>
      </c>
      <c r="T50" s="32" t="str">
        <f ca="1">IF(SUMPRODUCT((ListeB='recap S1'!$B50)*(OFFSET(ListeB,,4)='recap S1'!T$3)*(OFFSET(ListeB,,1)='recap S1'!T$2))&gt;0,SUMPRODUCT((ListeB='recap S1'!$B50)*(OFFSET(ListeB,,4)='recap S1'!T$3)*(OFFSET(ListeB,,1)='recap S1'!T$2)),"")</f>
        <v/>
      </c>
      <c r="U50" s="32" t="str">
        <f ca="1">IF(SUMPRODUCT((ListeB='recap S1'!$B50)*(OFFSET(ListeB,,4)='recap S1'!U$3)*(OFFSET(ListeB,,1)='recap S1'!U$2))&gt;0,SUMPRODUCT((ListeB='recap S1'!$B50)*(OFFSET(ListeB,,4)='recap S1'!U$3)*(OFFSET(ListeB,,1)='recap S1'!U$2)),"")</f>
        <v/>
      </c>
      <c r="V50" s="32" t="str">
        <f ca="1">IF(SUMPRODUCT((ListeB='recap S1'!$B50)*(OFFSET(ListeB,,4)='recap S1'!V$3)*(OFFSET(ListeB,,1)='recap S1'!V$2))&gt;0,SUMPRODUCT((ListeB='recap S1'!$B50)*(OFFSET(ListeB,,4)='recap S1'!V$3)*(OFFSET(ListeB,,1)='recap S1'!V$2)),"")</f>
        <v/>
      </c>
      <c r="W50" s="32" t="str">
        <f ca="1">IF(SUMPRODUCT((ListeB='recap S1'!$B50)*(OFFSET(ListeB,,4)='recap S1'!W$3)*(OFFSET(ListeB,,1)='recap S1'!W$2))&gt;0,SUMPRODUCT((ListeB='recap S1'!$B50)*(OFFSET(ListeB,,4)='recap S1'!W$3)*(OFFSET(ListeB,,1)='recap S1'!W$2)),"")</f>
        <v/>
      </c>
      <c r="X50" s="32" t="str">
        <f ca="1">IF(SUMPRODUCT((ListeB='recap S1'!$B50)*(OFFSET(ListeB,,4)='recap S1'!X$3)*(OFFSET(ListeB,,1)='recap S1'!X$2))&gt;0,SUMPRODUCT((ListeB='recap S1'!$B50)*(OFFSET(ListeB,,4)='recap S1'!X$3)*(OFFSET(ListeB,,1)='recap S1'!X$2)),"")</f>
        <v/>
      </c>
      <c r="Y50" s="32" t="str">
        <f ca="1">IF(SUMPRODUCT((ListeB='recap S1'!$B50)*(OFFSET(ListeB,,4)='recap S1'!Y$3)*(OFFSET(ListeB,,1)='recap S1'!Y$2))&gt;0,SUMPRODUCT((ListeB='recap S1'!$B50)*(OFFSET(ListeB,,4)='recap S1'!Y$3)*(OFFSET(ListeB,,1)='recap S1'!Y$2)),"")</f>
        <v/>
      </c>
      <c r="Z50" s="32" t="str">
        <f ca="1">IF(SUMPRODUCT((ListeB='recap S1'!$B50)*(OFFSET(ListeB,,4)='recap S1'!Z$3)*(OFFSET(ListeB,,1)='recap S1'!Z$2))&gt;0,SUMPRODUCT((ListeB='recap S1'!$B50)*(OFFSET(ListeB,,4)='recap S1'!Z$3)*(OFFSET(ListeB,,1)='recap S1'!Z$2)),"")</f>
        <v/>
      </c>
      <c r="AA50" s="32" t="str">
        <f ca="1">IF(SUMPRODUCT((ListeB='recap S1'!$B50)*(OFFSET(ListeB,,4)='recap S1'!AA$3)*(OFFSET(ListeB,,1)='recap S1'!AA$2))&gt;0,SUMPRODUCT((ListeB='recap S1'!$B50)*(OFFSET(ListeB,,4)='recap S1'!AA$3)*(OFFSET(ListeB,,1)='recap S1'!AA$2)),"")</f>
        <v/>
      </c>
      <c r="AB50" s="32" t="str">
        <f ca="1">IF(SUMPRODUCT((ListeB='recap S1'!$B50)*(OFFSET(ListeB,,4)='recap S1'!AB$3)*(OFFSET(ListeB,,1)='recap S1'!AB$2))&gt;0,SUMPRODUCT((ListeB='recap S1'!$B50)*(OFFSET(ListeB,,4)='recap S1'!AB$3)*(OFFSET(ListeB,,1)='recap S1'!AB$2)),"")</f>
        <v/>
      </c>
      <c r="AC50" s="32" t="str">
        <f ca="1">IF(SUMPRODUCT((ListeB='recap S1'!$B50)*(OFFSET(ListeB,,4)='recap S1'!AC$3)*(OFFSET(ListeB,,1)='recap S1'!AC$2))&gt;0,SUMPRODUCT((ListeB='recap S1'!$B50)*(OFFSET(ListeB,,4)='recap S1'!AC$3)*(OFFSET(ListeB,,1)='recap S1'!AC$2)),"")</f>
        <v/>
      </c>
      <c r="AD50" s="32" t="str">
        <f ca="1">IF(SUMPRODUCT((ListeB='recap S1'!$B50)*(OFFSET(ListeB,,4)='recap S1'!AD$3)*(OFFSET(ListeB,,1)='recap S1'!AD$2))&gt;0,SUMPRODUCT((ListeB='recap S1'!$B50)*(OFFSET(ListeB,,4)='recap S1'!AD$3)*(OFFSET(ListeB,,1)='recap S1'!AD$2)),"")</f>
        <v/>
      </c>
      <c r="AE50" s="32" t="str">
        <f ca="1">IF(SUMPRODUCT((ListeB='recap S1'!$B50)*(OFFSET(ListeB,,4)='recap S1'!AE$3)*(OFFSET(ListeB,,1)='recap S1'!AE$2))&gt;0,SUMPRODUCT((ListeB='recap S1'!$B50)*(OFFSET(ListeB,,4)='recap S1'!AE$3)*(OFFSET(ListeB,,1)='recap S1'!AE$2)),"")</f>
        <v/>
      </c>
      <c r="AF50" s="32" t="str">
        <f ca="1">IF(SUMPRODUCT((ListeB='recap S1'!$B50)*(OFFSET(ListeB,,4)='recap S1'!AF$3)*(OFFSET(ListeB,,1)='recap S1'!AF$2))&gt;0,SUMPRODUCT((ListeB='recap S1'!$B50)*(OFFSET(ListeB,,4)='recap S1'!AF$3)*(OFFSET(ListeB,,1)='recap S1'!AF$2)),"")</f>
        <v/>
      </c>
      <c r="AG50" s="32" t="str">
        <f ca="1">IF(SUMPRODUCT((ListeB='recap S1'!$B50)*(OFFSET(ListeB,,4)='recap S1'!AG$3)*(OFFSET(ListeB,,1)='recap S1'!AG$2))&gt;0,SUMPRODUCT((ListeB='recap S1'!$B50)*(OFFSET(ListeB,,4)='recap S1'!AG$3)*(OFFSET(ListeB,,1)='recap S1'!AG$2)),"")</f>
        <v/>
      </c>
      <c r="AH50" s="32" t="str">
        <f ca="1">IF(SUMPRODUCT((ListeB='recap S1'!$B50)*(OFFSET(ListeB,,4)='recap S1'!AH$3)*(OFFSET(ListeB,,1)='recap S1'!AH$2))&gt;0,SUMPRODUCT((ListeB='recap S1'!$B50)*(OFFSET(ListeB,,4)='recap S1'!AH$3)*(OFFSET(ListeB,,1)='recap S1'!AH$2)),"")</f>
        <v/>
      </c>
      <c r="AI50" s="32" t="str">
        <f ca="1">IF(SUMPRODUCT((ListeB='recap S1'!$B50)*(OFFSET(ListeB,,4)='recap S1'!AI$3)*(OFFSET(ListeB,,1)='recap S1'!AI$2))&gt;0,SUMPRODUCT((ListeB='recap S1'!$B50)*(OFFSET(ListeB,,4)='recap S1'!AI$3)*(OFFSET(ListeB,,1)='recap S1'!AI$2)),"")</f>
        <v/>
      </c>
      <c r="AJ50" s="32" t="str">
        <f ca="1">IF(SUMPRODUCT((ListeB='recap S1'!$B50)*(OFFSET(ListeB,,4)='recap S1'!AJ$3)*(OFFSET(ListeB,,1)='recap S1'!AJ$2))&gt;0,SUMPRODUCT((ListeB='recap S1'!$B50)*(OFFSET(ListeB,,4)='recap S1'!AJ$3)*(OFFSET(ListeB,,1)='recap S1'!AJ$2)),"")</f>
        <v/>
      </c>
      <c r="AK50" s="32" t="str">
        <f ca="1">IF(SUMPRODUCT((ListeB='recap S1'!$B50)*(OFFSET(ListeB,,4)='recap S1'!AK$3)*(OFFSET(ListeB,,1)='recap S1'!AK$2))&gt;0,SUMPRODUCT((ListeB='recap S1'!$B50)*(OFFSET(ListeB,,4)='recap S1'!AK$3)*(OFFSET(ListeB,,1)='recap S1'!AK$2)),"")</f>
        <v/>
      </c>
      <c r="AL50" s="32" t="str">
        <f ca="1">IF(SUMPRODUCT((ListeB='recap S1'!$B50)*(OFFSET(ListeB,,4)='recap S1'!AL$3)*(OFFSET(ListeB,,1)='recap S1'!AL$2))&gt;0,SUMPRODUCT((ListeB='recap S1'!$B50)*(OFFSET(ListeB,,4)='recap S1'!AL$3)*(OFFSET(ListeB,,1)='recap S1'!AL$2)),"")</f>
        <v/>
      </c>
      <c r="AM50" s="32" t="str">
        <f ca="1">IF(SUMPRODUCT((ListeB='recap S1'!$B50)*(OFFSET(ListeB,,4)='recap S1'!AM$3)*(OFFSET(ListeB,,1)='recap S1'!AM$2))&gt;0,SUMPRODUCT((ListeB='recap S1'!$B50)*(OFFSET(ListeB,,4)='recap S1'!AM$3)*(OFFSET(ListeB,,1)='recap S1'!AM$2)),"")</f>
        <v/>
      </c>
      <c r="AN50" s="32" t="str">
        <f ca="1">IF(SUMPRODUCT((ListeB='recap S1'!$B50)*(OFFSET(ListeB,,4)='recap S1'!AN$3)*(OFFSET(ListeB,,1)='recap S1'!AN$2))&gt;0,SUMPRODUCT((ListeB='recap S1'!$B50)*(OFFSET(ListeB,,4)='recap S1'!AN$3)*(OFFSET(ListeB,,1)='recap S1'!AN$2)),"")</f>
        <v/>
      </c>
      <c r="AO50" s="32" t="str">
        <f ca="1">IF(SUMPRODUCT((ListeB='recap S1'!$B50)*(OFFSET(ListeB,,4)='recap S1'!AO$3)*(OFFSET(ListeB,,1)='recap S1'!AO$2))&gt;0,SUMPRODUCT((ListeB='recap S1'!$B50)*(OFFSET(ListeB,,4)='recap S1'!AO$3)*(OFFSET(ListeB,,1)='recap S1'!AO$2)),"")</f>
        <v/>
      </c>
      <c r="AP50" s="32" t="str">
        <f ca="1">IF(SUMPRODUCT((ListeB='recap S1'!$B50)*(OFFSET(ListeB,,4)='recap S1'!AP$3)*(OFFSET(ListeB,,1)='recap S1'!AP$2))&gt;0,SUMPRODUCT((ListeB='recap S1'!$B50)*(OFFSET(ListeB,,4)='recap S1'!AP$3)*(OFFSET(ListeB,,1)='recap S1'!AP$2)),"")</f>
        <v/>
      </c>
      <c r="AQ50" s="32" t="str">
        <f ca="1">IF(SUMPRODUCT((ListeB='recap S1'!$B50)*(OFFSET(ListeB,,4)='recap S1'!AQ$3)*(OFFSET(ListeB,,1)='recap S1'!AQ$2))&gt;0,SUMPRODUCT((ListeB='recap S1'!$B50)*(OFFSET(ListeB,,4)='recap S1'!AQ$3)*(OFFSET(ListeB,,1)='recap S1'!AQ$2)),"")</f>
        <v/>
      </c>
      <c r="AR50" s="32" t="str">
        <f ca="1">IF(SUMPRODUCT((ListeB='recap S1'!$B50)*(OFFSET(ListeB,,4)='recap S1'!AR$3)*(OFFSET(ListeB,,1)='recap S1'!AR$2))&gt;0,SUMPRODUCT((ListeB='recap S1'!$B50)*(OFFSET(ListeB,,4)='recap S1'!AR$3)*(OFFSET(ListeB,,1)='recap S1'!AR$2)),"")</f>
        <v/>
      </c>
      <c r="AS50" s="32" t="str">
        <f ca="1">IF(SUMPRODUCT((ListeB='recap S1'!$B50)*(OFFSET(ListeB,,4)='recap S1'!AS$3)*(OFFSET(ListeB,,1)='recap S1'!AS$2))&gt;0,SUMPRODUCT((ListeB='recap S1'!$B50)*(OFFSET(ListeB,,4)='recap S1'!AS$3)*(OFFSET(ListeB,,1)='recap S1'!AS$2)),"")</f>
        <v/>
      </c>
      <c r="AT50" s="32" t="str">
        <f ca="1">IF(SUMPRODUCT((ListeB='recap S1'!$B50)*(OFFSET(ListeB,,4)='recap S1'!AT$3)*(OFFSET(ListeB,,1)='recap S1'!AT$2))&gt;0,SUMPRODUCT((ListeB='recap S1'!$B50)*(OFFSET(ListeB,,4)='recap S1'!AT$3)*(OFFSET(ListeB,,1)='recap S1'!AT$2)),"")</f>
        <v/>
      </c>
      <c r="AU50" s="32" t="str">
        <f ca="1">IF(SUMPRODUCT((ListeB='recap S1'!$B50)*(OFFSET(ListeB,,4)='recap S1'!AU$3)*(OFFSET(ListeB,,1)='recap S1'!AU$2))&gt;0,SUMPRODUCT((ListeB='recap S1'!$B50)*(OFFSET(ListeB,,4)='recap S1'!AU$3)*(OFFSET(ListeB,,1)='recap S1'!AU$2)),"")</f>
        <v/>
      </c>
      <c r="AV50" s="32" t="str">
        <f ca="1">IF(SUMPRODUCT((ListeB='recap S1'!$B50)*(OFFSET(ListeB,,4)='recap S1'!AV$3)*(OFFSET(ListeB,,1)='recap S1'!AV$2))&gt;0,SUMPRODUCT((ListeB='recap S1'!$B50)*(OFFSET(ListeB,,4)='recap S1'!AV$3)*(OFFSET(ListeB,,1)='recap S1'!AV$2)),"")</f>
        <v/>
      </c>
      <c r="AW50" s="32" t="str">
        <f ca="1">IF(SUMPRODUCT((ListeB='recap S1'!$B50)*(OFFSET(ListeB,,4)='recap S1'!AW$3)*(OFFSET(ListeB,,1)='recap S1'!AW$2))&gt;0,SUMPRODUCT((ListeB='recap S1'!$B50)*(OFFSET(ListeB,,4)='recap S1'!AW$3)*(OFFSET(ListeB,,1)='recap S1'!AW$2)),"")</f>
        <v/>
      </c>
      <c r="AX50" s="32" t="str">
        <f ca="1">IF(SUMPRODUCT((ListeB='recap S1'!$B50)*(OFFSET(ListeB,,4)='recap S1'!AX$3)*(OFFSET(ListeB,,1)='recap S1'!AX$2))&gt;0,SUMPRODUCT((ListeB='recap S1'!$B50)*(OFFSET(ListeB,,4)='recap S1'!AX$3)*(OFFSET(ListeB,,1)='recap S1'!AX$2)),"")</f>
        <v/>
      </c>
      <c r="AY50" s="32" t="str">
        <f ca="1">IF(SUMPRODUCT((ListeB='recap S1'!$B50)*(OFFSET(ListeB,,4)='recap S1'!AY$3)*(OFFSET(ListeB,,1)='recap S1'!AY$2))&gt;0,SUMPRODUCT((ListeB='recap S1'!$B50)*(OFFSET(ListeB,,4)='recap S1'!AY$3)*(OFFSET(ListeB,,1)='recap S1'!AY$2)),"")</f>
        <v/>
      </c>
      <c r="AZ50" s="32">
        <f t="shared" ca="1" si="1"/>
        <v>0</v>
      </c>
    </row>
    <row r="51" spans="1:52">
      <c r="A51" s="41" t="str">
        <f>IF('SEANCE 1'!$B49&lt;&gt;"",'SEANCE 1'!$A49,"")</f>
        <v/>
      </c>
      <c r="B51" s="41" t="str">
        <f t="array" aca="1" ref="B51" ca="1">IF(ISNA(INDEX(ListeB,MATCH(0,COUNTIF($B$3:B50,ListeB),0))),"",INDEX(ListeB,MATCH(0,COUNTIF($B$3:B50,ListeB),0)))</f>
        <v/>
      </c>
      <c r="C51" s="32" t="str">
        <f ca="1">IF(SUMPRODUCT((ListeB='recap S1'!$B51)*(OFFSET(ListeB,,4)='recap S1'!C$3)*(OFFSET(ListeB,,1)='recap S1'!C$2))&gt;0,SUMPRODUCT((ListeB='recap S1'!$B51)*(OFFSET(ListeB,,4)='recap S1'!C$3)*(OFFSET(ListeB,,1)='recap S1'!C$2)),"")</f>
        <v/>
      </c>
      <c r="D51" s="32" t="str">
        <f ca="1">IF(SUMPRODUCT((ListeB='recap S1'!$B51)*(OFFSET(ListeB,,4)='recap S1'!D$3)*(OFFSET(ListeB,,1)='recap S1'!D$2))&gt;0,SUMPRODUCT((ListeB='recap S1'!$B51)*(OFFSET(ListeB,,4)='recap S1'!D$3)*(OFFSET(ListeB,,1)='recap S1'!D$2)),"")</f>
        <v/>
      </c>
      <c r="E51" s="32" t="str">
        <f ca="1">IF(SUMPRODUCT((ListeB='recap S1'!$B51)*(OFFSET(ListeB,,4)='recap S1'!E$3)*(OFFSET(ListeB,,1)='recap S1'!E$2))&gt;0,SUMPRODUCT((ListeB='recap S1'!$B51)*(OFFSET(ListeB,,4)='recap S1'!E$3)*(OFFSET(ListeB,,1)='recap S1'!E$2)),"")</f>
        <v/>
      </c>
      <c r="F51" s="32" t="str">
        <f ca="1">IF(SUMPRODUCT((ListeB='recap S1'!$B51)*(OFFSET(ListeB,,4)='recap S1'!F$3)*(OFFSET(ListeB,,1)='recap S1'!F$2))&gt;0,SUMPRODUCT((ListeB='recap S1'!$B51)*(OFFSET(ListeB,,4)='recap S1'!F$3)*(OFFSET(ListeB,,1)='recap S1'!F$2)),"")</f>
        <v/>
      </c>
      <c r="G51" s="32" t="str">
        <f ca="1">IF(SUMPRODUCT((ListeB='recap S1'!$B51)*(OFFSET(ListeB,,4)='recap S1'!G$3)*(OFFSET(ListeB,,1)='recap S1'!G$2))&gt;0,SUMPRODUCT((ListeB='recap S1'!$B51)*(OFFSET(ListeB,,4)='recap S1'!G$3)*(OFFSET(ListeB,,1)='recap S1'!G$2)),"")</f>
        <v/>
      </c>
      <c r="H51" s="32" t="str">
        <f ca="1">IF(SUMPRODUCT((ListeB='recap S1'!$B51)*(OFFSET(ListeB,,4)='recap S1'!H$3)*(OFFSET(ListeB,,1)='recap S1'!H$2))&gt;0,SUMPRODUCT((ListeB='recap S1'!$B51)*(OFFSET(ListeB,,4)='recap S1'!H$3)*(OFFSET(ListeB,,1)='recap S1'!H$2)),"")</f>
        <v/>
      </c>
      <c r="I51" s="32" t="str">
        <f ca="1">IF(SUMPRODUCT((ListeB='recap S1'!$B51)*(OFFSET(ListeB,,4)='recap S1'!I$3)*(OFFSET(ListeB,,1)='recap S1'!I$2))&gt;0,SUMPRODUCT((ListeB='recap S1'!$B51)*(OFFSET(ListeB,,4)='recap S1'!I$3)*(OFFSET(ListeB,,1)='recap S1'!I$2)),"")</f>
        <v/>
      </c>
      <c r="J51" s="32" t="str">
        <f ca="1">IF(SUMPRODUCT((ListeB='recap S1'!$B51)*(OFFSET(ListeB,,4)='recap S1'!J$3)*(OFFSET(ListeB,,1)='recap S1'!J$2))&gt;0,SUMPRODUCT((ListeB='recap S1'!$B51)*(OFFSET(ListeB,,4)='recap S1'!J$3)*(OFFSET(ListeB,,1)='recap S1'!J$2)),"")</f>
        <v/>
      </c>
      <c r="K51" s="32" t="str">
        <f ca="1">IF(SUMPRODUCT((ListeB='recap S1'!$B51)*(OFFSET(ListeB,,4)='recap S1'!K$3)*(OFFSET(ListeB,,1)='recap S1'!K$2))&gt;0,SUMPRODUCT((ListeB='recap S1'!$B51)*(OFFSET(ListeB,,4)='recap S1'!K$3)*(OFFSET(ListeB,,1)='recap S1'!K$2)),"")</f>
        <v/>
      </c>
      <c r="L51" s="32" t="str">
        <f ca="1">IF(SUMPRODUCT((ListeB='recap S1'!$B51)*(OFFSET(ListeB,,4)='recap S1'!L$3)*(OFFSET(ListeB,,1)='recap S1'!L$2))&gt;0,SUMPRODUCT((ListeB='recap S1'!$B51)*(OFFSET(ListeB,,4)='recap S1'!L$3)*(OFFSET(ListeB,,1)='recap S1'!L$2)),"")</f>
        <v/>
      </c>
      <c r="M51" s="32" t="str">
        <f ca="1">IF(SUMPRODUCT((ListeB='recap S1'!$B51)*(OFFSET(ListeB,,4)='recap S1'!M$3)*(OFFSET(ListeB,,1)='recap S1'!M$2))&gt;0,SUMPRODUCT((ListeB='recap S1'!$B51)*(OFFSET(ListeB,,4)='recap S1'!M$3)*(OFFSET(ListeB,,1)='recap S1'!M$2)),"")</f>
        <v/>
      </c>
      <c r="N51" s="32" t="str">
        <f ca="1">IF(SUMPRODUCT((ListeB='recap S1'!$B51)*(OFFSET(ListeB,,4)='recap S1'!N$3)*(OFFSET(ListeB,,1)='recap S1'!N$2))&gt;0,SUMPRODUCT((ListeB='recap S1'!$B51)*(OFFSET(ListeB,,4)='recap S1'!N$3)*(OFFSET(ListeB,,1)='recap S1'!N$2)),"")</f>
        <v/>
      </c>
      <c r="O51" s="32" t="str">
        <f ca="1">IF(SUMPRODUCT((ListeB='recap S1'!$B51)*(OFFSET(ListeB,,4)='recap S1'!O$3)*(OFFSET(ListeB,,1)='recap S1'!O$2))&gt;0,SUMPRODUCT((ListeB='recap S1'!$B51)*(OFFSET(ListeB,,4)='recap S1'!O$3)*(OFFSET(ListeB,,1)='recap S1'!O$2)),"")</f>
        <v/>
      </c>
      <c r="P51" s="32" t="str">
        <f ca="1">IF(SUMPRODUCT((ListeB='recap S1'!$B51)*(OFFSET(ListeB,,4)='recap S1'!P$3)*(OFFSET(ListeB,,1)='recap S1'!P$2))&gt;0,SUMPRODUCT((ListeB='recap S1'!$B51)*(OFFSET(ListeB,,4)='recap S1'!P$3)*(OFFSET(ListeB,,1)='recap S1'!P$2)),"")</f>
        <v/>
      </c>
      <c r="Q51" s="32" t="str">
        <f ca="1">IF(SUMPRODUCT((ListeB='recap S1'!$B51)*(OFFSET(ListeB,,4)='recap S1'!Q$3)*(OFFSET(ListeB,,1)='recap S1'!Q$2))&gt;0,SUMPRODUCT((ListeB='recap S1'!$B51)*(OFFSET(ListeB,,4)='recap S1'!Q$3)*(OFFSET(ListeB,,1)='recap S1'!Q$2)),"")</f>
        <v/>
      </c>
      <c r="R51" s="32" t="str">
        <f ca="1">IF(SUMPRODUCT((ListeB='recap S1'!$B51)*(OFFSET(ListeB,,4)='recap S1'!R$3)*(OFFSET(ListeB,,1)='recap S1'!R$2))&gt;0,SUMPRODUCT((ListeB='recap S1'!$B51)*(OFFSET(ListeB,,4)='recap S1'!R$3)*(OFFSET(ListeB,,1)='recap S1'!R$2)),"")</f>
        <v/>
      </c>
      <c r="S51" s="32" t="str">
        <f ca="1">IF(SUMPRODUCT((ListeB='recap S1'!$B51)*(OFFSET(ListeB,,4)='recap S1'!S$3)*(OFFSET(ListeB,,1)='recap S1'!S$2))&gt;0,SUMPRODUCT((ListeB='recap S1'!$B51)*(OFFSET(ListeB,,4)='recap S1'!S$3)*(OFFSET(ListeB,,1)='recap S1'!S$2)),"")</f>
        <v/>
      </c>
      <c r="T51" s="32" t="str">
        <f ca="1">IF(SUMPRODUCT((ListeB='recap S1'!$B51)*(OFFSET(ListeB,,4)='recap S1'!T$3)*(OFFSET(ListeB,,1)='recap S1'!T$2))&gt;0,SUMPRODUCT((ListeB='recap S1'!$B51)*(OFFSET(ListeB,,4)='recap S1'!T$3)*(OFFSET(ListeB,,1)='recap S1'!T$2)),"")</f>
        <v/>
      </c>
      <c r="U51" s="32" t="str">
        <f ca="1">IF(SUMPRODUCT((ListeB='recap S1'!$B51)*(OFFSET(ListeB,,4)='recap S1'!U$3)*(OFFSET(ListeB,,1)='recap S1'!U$2))&gt;0,SUMPRODUCT((ListeB='recap S1'!$B51)*(OFFSET(ListeB,,4)='recap S1'!U$3)*(OFFSET(ListeB,,1)='recap S1'!U$2)),"")</f>
        <v/>
      </c>
      <c r="V51" s="32" t="str">
        <f ca="1">IF(SUMPRODUCT((ListeB='recap S1'!$B51)*(OFFSET(ListeB,,4)='recap S1'!V$3)*(OFFSET(ListeB,,1)='recap S1'!V$2))&gt;0,SUMPRODUCT((ListeB='recap S1'!$B51)*(OFFSET(ListeB,,4)='recap S1'!V$3)*(OFFSET(ListeB,,1)='recap S1'!V$2)),"")</f>
        <v/>
      </c>
      <c r="W51" s="32" t="str">
        <f ca="1">IF(SUMPRODUCT((ListeB='recap S1'!$B51)*(OFFSET(ListeB,,4)='recap S1'!W$3)*(OFFSET(ListeB,,1)='recap S1'!W$2))&gt;0,SUMPRODUCT((ListeB='recap S1'!$B51)*(OFFSET(ListeB,,4)='recap S1'!W$3)*(OFFSET(ListeB,,1)='recap S1'!W$2)),"")</f>
        <v/>
      </c>
      <c r="X51" s="32" t="str">
        <f ca="1">IF(SUMPRODUCT((ListeB='recap S1'!$B51)*(OFFSET(ListeB,,4)='recap S1'!X$3)*(OFFSET(ListeB,,1)='recap S1'!X$2))&gt;0,SUMPRODUCT((ListeB='recap S1'!$B51)*(OFFSET(ListeB,,4)='recap S1'!X$3)*(OFFSET(ListeB,,1)='recap S1'!X$2)),"")</f>
        <v/>
      </c>
      <c r="Y51" s="32" t="str">
        <f ca="1">IF(SUMPRODUCT((ListeB='recap S1'!$B51)*(OFFSET(ListeB,,4)='recap S1'!Y$3)*(OFFSET(ListeB,,1)='recap S1'!Y$2))&gt;0,SUMPRODUCT((ListeB='recap S1'!$B51)*(OFFSET(ListeB,,4)='recap S1'!Y$3)*(OFFSET(ListeB,,1)='recap S1'!Y$2)),"")</f>
        <v/>
      </c>
      <c r="Z51" s="32" t="str">
        <f ca="1">IF(SUMPRODUCT((ListeB='recap S1'!$B51)*(OFFSET(ListeB,,4)='recap S1'!Z$3)*(OFFSET(ListeB,,1)='recap S1'!Z$2))&gt;0,SUMPRODUCT((ListeB='recap S1'!$B51)*(OFFSET(ListeB,,4)='recap S1'!Z$3)*(OFFSET(ListeB,,1)='recap S1'!Z$2)),"")</f>
        <v/>
      </c>
      <c r="AA51" s="32" t="str">
        <f ca="1">IF(SUMPRODUCT((ListeB='recap S1'!$B51)*(OFFSET(ListeB,,4)='recap S1'!AA$3)*(OFFSET(ListeB,,1)='recap S1'!AA$2))&gt;0,SUMPRODUCT((ListeB='recap S1'!$B51)*(OFFSET(ListeB,,4)='recap S1'!AA$3)*(OFFSET(ListeB,,1)='recap S1'!AA$2)),"")</f>
        <v/>
      </c>
      <c r="AB51" s="32" t="str">
        <f ca="1">IF(SUMPRODUCT((ListeB='recap S1'!$B51)*(OFFSET(ListeB,,4)='recap S1'!AB$3)*(OFFSET(ListeB,,1)='recap S1'!AB$2))&gt;0,SUMPRODUCT((ListeB='recap S1'!$B51)*(OFFSET(ListeB,,4)='recap S1'!AB$3)*(OFFSET(ListeB,,1)='recap S1'!AB$2)),"")</f>
        <v/>
      </c>
      <c r="AC51" s="32" t="str">
        <f ca="1">IF(SUMPRODUCT((ListeB='recap S1'!$B51)*(OFFSET(ListeB,,4)='recap S1'!AC$3)*(OFFSET(ListeB,,1)='recap S1'!AC$2))&gt;0,SUMPRODUCT((ListeB='recap S1'!$B51)*(OFFSET(ListeB,,4)='recap S1'!AC$3)*(OFFSET(ListeB,,1)='recap S1'!AC$2)),"")</f>
        <v/>
      </c>
      <c r="AD51" s="32" t="str">
        <f ca="1">IF(SUMPRODUCT((ListeB='recap S1'!$B51)*(OFFSET(ListeB,,4)='recap S1'!AD$3)*(OFFSET(ListeB,,1)='recap S1'!AD$2))&gt;0,SUMPRODUCT((ListeB='recap S1'!$B51)*(OFFSET(ListeB,,4)='recap S1'!AD$3)*(OFFSET(ListeB,,1)='recap S1'!AD$2)),"")</f>
        <v/>
      </c>
      <c r="AE51" s="32" t="str">
        <f ca="1">IF(SUMPRODUCT((ListeB='recap S1'!$B51)*(OFFSET(ListeB,,4)='recap S1'!AE$3)*(OFFSET(ListeB,,1)='recap S1'!AE$2))&gt;0,SUMPRODUCT((ListeB='recap S1'!$B51)*(OFFSET(ListeB,,4)='recap S1'!AE$3)*(OFFSET(ListeB,,1)='recap S1'!AE$2)),"")</f>
        <v/>
      </c>
      <c r="AF51" s="32" t="str">
        <f ca="1">IF(SUMPRODUCT((ListeB='recap S1'!$B51)*(OFFSET(ListeB,,4)='recap S1'!AF$3)*(OFFSET(ListeB,,1)='recap S1'!AF$2))&gt;0,SUMPRODUCT((ListeB='recap S1'!$B51)*(OFFSET(ListeB,,4)='recap S1'!AF$3)*(OFFSET(ListeB,,1)='recap S1'!AF$2)),"")</f>
        <v/>
      </c>
      <c r="AG51" s="32" t="str">
        <f ca="1">IF(SUMPRODUCT((ListeB='recap S1'!$B51)*(OFFSET(ListeB,,4)='recap S1'!AG$3)*(OFFSET(ListeB,,1)='recap S1'!AG$2))&gt;0,SUMPRODUCT((ListeB='recap S1'!$B51)*(OFFSET(ListeB,,4)='recap S1'!AG$3)*(OFFSET(ListeB,,1)='recap S1'!AG$2)),"")</f>
        <v/>
      </c>
      <c r="AH51" s="32" t="str">
        <f ca="1">IF(SUMPRODUCT((ListeB='recap S1'!$B51)*(OFFSET(ListeB,,4)='recap S1'!AH$3)*(OFFSET(ListeB,,1)='recap S1'!AH$2))&gt;0,SUMPRODUCT((ListeB='recap S1'!$B51)*(OFFSET(ListeB,,4)='recap S1'!AH$3)*(OFFSET(ListeB,,1)='recap S1'!AH$2)),"")</f>
        <v/>
      </c>
      <c r="AI51" s="32" t="str">
        <f ca="1">IF(SUMPRODUCT((ListeB='recap S1'!$B51)*(OFFSET(ListeB,,4)='recap S1'!AI$3)*(OFFSET(ListeB,,1)='recap S1'!AI$2))&gt;0,SUMPRODUCT((ListeB='recap S1'!$B51)*(OFFSET(ListeB,,4)='recap S1'!AI$3)*(OFFSET(ListeB,,1)='recap S1'!AI$2)),"")</f>
        <v/>
      </c>
      <c r="AJ51" s="32" t="str">
        <f ca="1">IF(SUMPRODUCT((ListeB='recap S1'!$B51)*(OFFSET(ListeB,,4)='recap S1'!AJ$3)*(OFFSET(ListeB,,1)='recap S1'!AJ$2))&gt;0,SUMPRODUCT((ListeB='recap S1'!$B51)*(OFFSET(ListeB,,4)='recap S1'!AJ$3)*(OFFSET(ListeB,,1)='recap S1'!AJ$2)),"")</f>
        <v/>
      </c>
      <c r="AK51" s="32" t="str">
        <f ca="1">IF(SUMPRODUCT((ListeB='recap S1'!$B51)*(OFFSET(ListeB,,4)='recap S1'!AK$3)*(OFFSET(ListeB,,1)='recap S1'!AK$2))&gt;0,SUMPRODUCT((ListeB='recap S1'!$B51)*(OFFSET(ListeB,,4)='recap S1'!AK$3)*(OFFSET(ListeB,,1)='recap S1'!AK$2)),"")</f>
        <v/>
      </c>
      <c r="AL51" s="32" t="str">
        <f ca="1">IF(SUMPRODUCT((ListeB='recap S1'!$B51)*(OFFSET(ListeB,,4)='recap S1'!AL$3)*(OFFSET(ListeB,,1)='recap S1'!AL$2))&gt;0,SUMPRODUCT((ListeB='recap S1'!$B51)*(OFFSET(ListeB,,4)='recap S1'!AL$3)*(OFFSET(ListeB,,1)='recap S1'!AL$2)),"")</f>
        <v/>
      </c>
      <c r="AM51" s="32" t="str">
        <f ca="1">IF(SUMPRODUCT((ListeB='recap S1'!$B51)*(OFFSET(ListeB,,4)='recap S1'!AM$3)*(OFFSET(ListeB,,1)='recap S1'!AM$2))&gt;0,SUMPRODUCT((ListeB='recap S1'!$B51)*(OFFSET(ListeB,,4)='recap S1'!AM$3)*(OFFSET(ListeB,,1)='recap S1'!AM$2)),"")</f>
        <v/>
      </c>
      <c r="AN51" s="32" t="str">
        <f ca="1">IF(SUMPRODUCT((ListeB='recap S1'!$B51)*(OFFSET(ListeB,,4)='recap S1'!AN$3)*(OFFSET(ListeB,,1)='recap S1'!AN$2))&gt;0,SUMPRODUCT((ListeB='recap S1'!$B51)*(OFFSET(ListeB,,4)='recap S1'!AN$3)*(OFFSET(ListeB,,1)='recap S1'!AN$2)),"")</f>
        <v/>
      </c>
      <c r="AO51" s="32" t="str">
        <f ca="1">IF(SUMPRODUCT((ListeB='recap S1'!$B51)*(OFFSET(ListeB,,4)='recap S1'!AO$3)*(OFFSET(ListeB,,1)='recap S1'!AO$2))&gt;0,SUMPRODUCT((ListeB='recap S1'!$B51)*(OFFSET(ListeB,,4)='recap S1'!AO$3)*(OFFSET(ListeB,,1)='recap S1'!AO$2)),"")</f>
        <v/>
      </c>
      <c r="AP51" s="32" t="str">
        <f ca="1">IF(SUMPRODUCT((ListeB='recap S1'!$B51)*(OFFSET(ListeB,,4)='recap S1'!AP$3)*(OFFSET(ListeB,,1)='recap S1'!AP$2))&gt;0,SUMPRODUCT((ListeB='recap S1'!$B51)*(OFFSET(ListeB,,4)='recap S1'!AP$3)*(OFFSET(ListeB,,1)='recap S1'!AP$2)),"")</f>
        <v/>
      </c>
      <c r="AQ51" s="32" t="str">
        <f ca="1">IF(SUMPRODUCT((ListeB='recap S1'!$B51)*(OFFSET(ListeB,,4)='recap S1'!AQ$3)*(OFFSET(ListeB,,1)='recap S1'!AQ$2))&gt;0,SUMPRODUCT((ListeB='recap S1'!$B51)*(OFFSET(ListeB,,4)='recap S1'!AQ$3)*(OFFSET(ListeB,,1)='recap S1'!AQ$2)),"")</f>
        <v/>
      </c>
      <c r="AR51" s="32" t="str">
        <f ca="1">IF(SUMPRODUCT((ListeB='recap S1'!$B51)*(OFFSET(ListeB,,4)='recap S1'!AR$3)*(OFFSET(ListeB,,1)='recap S1'!AR$2))&gt;0,SUMPRODUCT((ListeB='recap S1'!$B51)*(OFFSET(ListeB,,4)='recap S1'!AR$3)*(OFFSET(ListeB,,1)='recap S1'!AR$2)),"")</f>
        <v/>
      </c>
      <c r="AS51" s="32" t="str">
        <f ca="1">IF(SUMPRODUCT((ListeB='recap S1'!$B51)*(OFFSET(ListeB,,4)='recap S1'!AS$3)*(OFFSET(ListeB,,1)='recap S1'!AS$2))&gt;0,SUMPRODUCT((ListeB='recap S1'!$B51)*(OFFSET(ListeB,,4)='recap S1'!AS$3)*(OFFSET(ListeB,,1)='recap S1'!AS$2)),"")</f>
        <v/>
      </c>
      <c r="AT51" s="32" t="str">
        <f ca="1">IF(SUMPRODUCT((ListeB='recap S1'!$B51)*(OFFSET(ListeB,,4)='recap S1'!AT$3)*(OFFSET(ListeB,,1)='recap S1'!AT$2))&gt;0,SUMPRODUCT((ListeB='recap S1'!$B51)*(OFFSET(ListeB,,4)='recap S1'!AT$3)*(OFFSET(ListeB,,1)='recap S1'!AT$2)),"")</f>
        <v/>
      </c>
      <c r="AU51" s="32" t="str">
        <f ca="1">IF(SUMPRODUCT((ListeB='recap S1'!$B51)*(OFFSET(ListeB,,4)='recap S1'!AU$3)*(OFFSET(ListeB,,1)='recap S1'!AU$2))&gt;0,SUMPRODUCT((ListeB='recap S1'!$B51)*(OFFSET(ListeB,,4)='recap S1'!AU$3)*(OFFSET(ListeB,,1)='recap S1'!AU$2)),"")</f>
        <v/>
      </c>
      <c r="AV51" s="32" t="str">
        <f ca="1">IF(SUMPRODUCT((ListeB='recap S1'!$B51)*(OFFSET(ListeB,,4)='recap S1'!AV$3)*(OFFSET(ListeB,,1)='recap S1'!AV$2))&gt;0,SUMPRODUCT((ListeB='recap S1'!$B51)*(OFFSET(ListeB,,4)='recap S1'!AV$3)*(OFFSET(ListeB,,1)='recap S1'!AV$2)),"")</f>
        <v/>
      </c>
      <c r="AW51" s="32" t="str">
        <f ca="1">IF(SUMPRODUCT((ListeB='recap S1'!$B51)*(OFFSET(ListeB,,4)='recap S1'!AW$3)*(OFFSET(ListeB,,1)='recap S1'!AW$2))&gt;0,SUMPRODUCT((ListeB='recap S1'!$B51)*(OFFSET(ListeB,,4)='recap S1'!AW$3)*(OFFSET(ListeB,,1)='recap S1'!AW$2)),"")</f>
        <v/>
      </c>
      <c r="AX51" s="32" t="str">
        <f ca="1">IF(SUMPRODUCT((ListeB='recap S1'!$B51)*(OFFSET(ListeB,,4)='recap S1'!AX$3)*(OFFSET(ListeB,,1)='recap S1'!AX$2))&gt;0,SUMPRODUCT((ListeB='recap S1'!$B51)*(OFFSET(ListeB,,4)='recap S1'!AX$3)*(OFFSET(ListeB,,1)='recap S1'!AX$2)),"")</f>
        <v/>
      </c>
      <c r="AY51" s="32" t="str">
        <f ca="1">IF(SUMPRODUCT((ListeB='recap S1'!$B51)*(OFFSET(ListeB,,4)='recap S1'!AY$3)*(OFFSET(ListeB,,1)='recap S1'!AY$2))&gt;0,SUMPRODUCT((ListeB='recap S1'!$B51)*(OFFSET(ListeB,,4)='recap S1'!AY$3)*(OFFSET(ListeB,,1)='recap S1'!AY$2)),"")</f>
        <v/>
      </c>
      <c r="AZ51" s="32">
        <f t="shared" ca="1" si="1"/>
        <v>0</v>
      </c>
    </row>
    <row r="52" spans="1:52">
      <c r="A52" s="41" t="str">
        <f>IF('SEANCE 1'!$B50&lt;&gt;"",'SEANCE 1'!$A50,"")</f>
        <v/>
      </c>
      <c r="B52" s="41" t="str">
        <f t="array" aca="1" ref="B52" ca="1">IF(ISNA(INDEX(ListeB,MATCH(0,COUNTIF($B$3:B51,ListeB),0))),"",INDEX(ListeB,MATCH(0,COUNTIF($B$3:B51,ListeB),0)))</f>
        <v/>
      </c>
      <c r="C52" s="32" t="str">
        <f ca="1">IF(SUMPRODUCT((ListeB='recap S1'!$B52)*(OFFSET(ListeB,,4)='recap S1'!C$3)*(OFFSET(ListeB,,1)='recap S1'!C$2))&gt;0,SUMPRODUCT((ListeB='recap S1'!$B52)*(OFFSET(ListeB,,4)='recap S1'!C$3)*(OFFSET(ListeB,,1)='recap S1'!C$2)),"")</f>
        <v/>
      </c>
      <c r="D52" s="32" t="str">
        <f ca="1">IF(SUMPRODUCT((ListeB='recap S1'!$B52)*(OFFSET(ListeB,,4)='recap S1'!D$3)*(OFFSET(ListeB,,1)='recap S1'!D$2))&gt;0,SUMPRODUCT((ListeB='recap S1'!$B52)*(OFFSET(ListeB,,4)='recap S1'!D$3)*(OFFSET(ListeB,,1)='recap S1'!D$2)),"")</f>
        <v/>
      </c>
      <c r="E52" s="32" t="str">
        <f ca="1">IF(SUMPRODUCT((ListeB='recap S1'!$B52)*(OFFSET(ListeB,,4)='recap S1'!E$3)*(OFFSET(ListeB,,1)='recap S1'!E$2))&gt;0,SUMPRODUCT((ListeB='recap S1'!$B52)*(OFFSET(ListeB,,4)='recap S1'!E$3)*(OFFSET(ListeB,,1)='recap S1'!E$2)),"")</f>
        <v/>
      </c>
      <c r="F52" s="32" t="str">
        <f ca="1">IF(SUMPRODUCT((ListeB='recap S1'!$B52)*(OFFSET(ListeB,,4)='recap S1'!F$3)*(OFFSET(ListeB,,1)='recap S1'!F$2))&gt;0,SUMPRODUCT((ListeB='recap S1'!$B52)*(OFFSET(ListeB,,4)='recap S1'!F$3)*(OFFSET(ListeB,,1)='recap S1'!F$2)),"")</f>
        <v/>
      </c>
      <c r="G52" s="32" t="str">
        <f ca="1">IF(SUMPRODUCT((ListeB='recap S1'!$B52)*(OFFSET(ListeB,,4)='recap S1'!G$3)*(OFFSET(ListeB,,1)='recap S1'!G$2))&gt;0,SUMPRODUCT((ListeB='recap S1'!$B52)*(OFFSET(ListeB,,4)='recap S1'!G$3)*(OFFSET(ListeB,,1)='recap S1'!G$2)),"")</f>
        <v/>
      </c>
      <c r="H52" s="32" t="str">
        <f ca="1">IF(SUMPRODUCT((ListeB='recap S1'!$B52)*(OFFSET(ListeB,,4)='recap S1'!H$3)*(OFFSET(ListeB,,1)='recap S1'!H$2))&gt;0,SUMPRODUCT((ListeB='recap S1'!$B52)*(OFFSET(ListeB,,4)='recap S1'!H$3)*(OFFSET(ListeB,,1)='recap S1'!H$2)),"")</f>
        <v/>
      </c>
      <c r="I52" s="32" t="str">
        <f ca="1">IF(SUMPRODUCT((ListeB='recap S1'!$B52)*(OFFSET(ListeB,,4)='recap S1'!I$3)*(OFFSET(ListeB,,1)='recap S1'!I$2))&gt;0,SUMPRODUCT((ListeB='recap S1'!$B52)*(OFFSET(ListeB,,4)='recap S1'!I$3)*(OFFSET(ListeB,,1)='recap S1'!I$2)),"")</f>
        <v/>
      </c>
      <c r="J52" s="32" t="str">
        <f ca="1">IF(SUMPRODUCT((ListeB='recap S1'!$B52)*(OFFSET(ListeB,,4)='recap S1'!J$3)*(OFFSET(ListeB,,1)='recap S1'!J$2))&gt;0,SUMPRODUCT((ListeB='recap S1'!$B52)*(OFFSET(ListeB,,4)='recap S1'!J$3)*(OFFSET(ListeB,,1)='recap S1'!J$2)),"")</f>
        <v/>
      </c>
      <c r="K52" s="32" t="str">
        <f ca="1">IF(SUMPRODUCT((ListeB='recap S1'!$B52)*(OFFSET(ListeB,,4)='recap S1'!K$3)*(OFFSET(ListeB,,1)='recap S1'!K$2))&gt;0,SUMPRODUCT((ListeB='recap S1'!$B52)*(OFFSET(ListeB,,4)='recap S1'!K$3)*(OFFSET(ListeB,,1)='recap S1'!K$2)),"")</f>
        <v/>
      </c>
      <c r="L52" s="32" t="str">
        <f ca="1">IF(SUMPRODUCT((ListeB='recap S1'!$B52)*(OFFSET(ListeB,,4)='recap S1'!L$3)*(OFFSET(ListeB,,1)='recap S1'!L$2))&gt;0,SUMPRODUCT((ListeB='recap S1'!$B52)*(OFFSET(ListeB,,4)='recap S1'!L$3)*(OFFSET(ListeB,,1)='recap S1'!L$2)),"")</f>
        <v/>
      </c>
      <c r="M52" s="32" t="str">
        <f ca="1">IF(SUMPRODUCT((ListeB='recap S1'!$B52)*(OFFSET(ListeB,,4)='recap S1'!M$3)*(OFFSET(ListeB,,1)='recap S1'!M$2))&gt;0,SUMPRODUCT((ListeB='recap S1'!$B52)*(OFFSET(ListeB,,4)='recap S1'!M$3)*(OFFSET(ListeB,,1)='recap S1'!M$2)),"")</f>
        <v/>
      </c>
      <c r="N52" s="32" t="str">
        <f ca="1">IF(SUMPRODUCT((ListeB='recap S1'!$B52)*(OFFSET(ListeB,,4)='recap S1'!N$3)*(OFFSET(ListeB,,1)='recap S1'!N$2))&gt;0,SUMPRODUCT((ListeB='recap S1'!$B52)*(OFFSET(ListeB,,4)='recap S1'!N$3)*(OFFSET(ListeB,,1)='recap S1'!N$2)),"")</f>
        <v/>
      </c>
      <c r="O52" s="32" t="str">
        <f ca="1">IF(SUMPRODUCT((ListeB='recap S1'!$B52)*(OFFSET(ListeB,,4)='recap S1'!O$3)*(OFFSET(ListeB,,1)='recap S1'!O$2))&gt;0,SUMPRODUCT((ListeB='recap S1'!$B52)*(OFFSET(ListeB,,4)='recap S1'!O$3)*(OFFSET(ListeB,,1)='recap S1'!O$2)),"")</f>
        <v/>
      </c>
      <c r="P52" s="32" t="str">
        <f ca="1">IF(SUMPRODUCT((ListeB='recap S1'!$B52)*(OFFSET(ListeB,,4)='recap S1'!P$3)*(OFFSET(ListeB,,1)='recap S1'!P$2))&gt;0,SUMPRODUCT((ListeB='recap S1'!$B52)*(OFFSET(ListeB,,4)='recap S1'!P$3)*(OFFSET(ListeB,,1)='recap S1'!P$2)),"")</f>
        <v/>
      </c>
      <c r="Q52" s="32" t="str">
        <f ca="1">IF(SUMPRODUCT((ListeB='recap S1'!$B52)*(OFFSET(ListeB,,4)='recap S1'!Q$3)*(OFFSET(ListeB,,1)='recap S1'!Q$2))&gt;0,SUMPRODUCT((ListeB='recap S1'!$B52)*(OFFSET(ListeB,,4)='recap S1'!Q$3)*(OFFSET(ListeB,,1)='recap S1'!Q$2)),"")</f>
        <v/>
      </c>
      <c r="R52" s="32" t="str">
        <f ca="1">IF(SUMPRODUCT((ListeB='recap S1'!$B52)*(OFFSET(ListeB,,4)='recap S1'!R$3)*(OFFSET(ListeB,,1)='recap S1'!R$2))&gt;0,SUMPRODUCT((ListeB='recap S1'!$B52)*(OFFSET(ListeB,,4)='recap S1'!R$3)*(OFFSET(ListeB,,1)='recap S1'!R$2)),"")</f>
        <v/>
      </c>
      <c r="S52" s="32" t="str">
        <f ca="1">IF(SUMPRODUCT((ListeB='recap S1'!$B52)*(OFFSET(ListeB,,4)='recap S1'!S$3)*(OFFSET(ListeB,,1)='recap S1'!S$2))&gt;0,SUMPRODUCT((ListeB='recap S1'!$B52)*(OFFSET(ListeB,,4)='recap S1'!S$3)*(OFFSET(ListeB,,1)='recap S1'!S$2)),"")</f>
        <v/>
      </c>
      <c r="T52" s="32" t="str">
        <f ca="1">IF(SUMPRODUCT((ListeB='recap S1'!$B52)*(OFFSET(ListeB,,4)='recap S1'!T$3)*(OFFSET(ListeB,,1)='recap S1'!T$2))&gt;0,SUMPRODUCT((ListeB='recap S1'!$B52)*(OFFSET(ListeB,,4)='recap S1'!T$3)*(OFFSET(ListeB,,1)='recap S1'!T$2)),"")</f>
        <v/>
      </c>
      <c r="U52" s="32" t="str">
        <f ca="1">IF(SUMPRODUCT((ListeB='recap S1'!$B52)*(OFFSET(ListeB,,4)='recap S1'!U$3)*(OFFSET(ListeB,,1)='recap S1'!U$2))&gt;0,SUMPRODUCT((ListeB='recap S1'!$B52)*(OFFSET(ListeB,,4)='recap S1'!U$3)*(OFFSET(ListeB,,1)='recap S1'!U$2)),"")</f>
        <v/>
      </c>
      <c r="V52" s="32" t="str">
        <f ca="1">IF(SUMPRODUCT((ListeB='recap S1'!$B52)*(OFFSET(ListeB,,4)='recap S1'!V$3)*(OFFSET(ListeB,,1)='recap S1'!V$2))&gt;0,SUMPRODUCT((ListeB='recap S1'!$B52)*(OFFSET(ListeB,,4)='recap S1'!V$3)*(OFFSET(ListeB,,1)='recap S1'!V$2)),"")</f>
        <v/>
      </c>
      <c r="W52" s="32" t="str">
        <f ca="1">IF(SUMPRODUCT((ListeB='recap S1'!$B52)*(OFFSET(ListeB,,4)='recap S1'!W$3)*(OFFSET(ListeB,,1)='recap S1'!W$2))&gt;0,SUMPRODUCT((ListeB='recap S1'!$B52)*(OFFSET(ListeB,,4)='recap S1'!W$3)*(OFFSET(ListeB,,1)='recap S1'!W$2)),"")</f>
        <v/>
      </c>
      <c r="X52" s="32" t="str">
        <f ca="1">IF(SUMPRODUCT((ListeB='recap S1'!$B52)*(OFFSET(ListeB,,4)='recap S1'!X$3)*(OFFSET(ListeB,,1)='recap S1'!X$2))&gt;0,SUMPRODUCT((ListeB='recap S1'!$B52)*(OFFSET(ListeB,,4)='recap S1'!X$3)*(OFFSET(ListeB,,1)='recap S1'!X$2)),"")</f>
        <v/>
      </c>
      <c r="Y52" s="32" t="str">
        <f ca="1">IF(SUMPRODUCT((ListeB='recap S1'!$B52)*(OFFSET(ListeB,,4)='recap S1'!Y$3)*(OFFSET(ListeB,,1)='recap S1'!Y$2))&gt;0,SUMPRODUCT((ListeB='recap S1'!$B52)*(OFFSET(ListeB,,4)='recap S1'!Y$3)*(OFFSET(ListeB,,1)='recap S1'!Y$2)),"")</f>
        <v/>
      </c>
      <c r="Z52" s="32" t="str">
        <f ca="1">IF(SUMPRODUCT((ListeB='recap S1'!$B52)*(OFFSET(ListeB,,4)='recap S1'!Z$3)*(OFFSET(ListeB,,1)='recap S1'!Z$2))&gt;0,SUMPRODUCT((ListeB='recap S1'!$B52)*(OFFSET(ListeB,,4)='recap S1'!Z$3)*(OFFSET(ListeB,,1)='recap S1'!Z$2)),"")</f>
        <v/>
      </c>
      <c r="AA52" s="32" t="str">
        <f ca="1">IF(SUMPRODUCT((ListeB='recap S1'!$B52)*(OFFSET(ListeB,,4)='recap S1'!AA$3)*(OFFSET(ListeB,,1)='recap S1'!AA$2))&gt;0,SUMPRODUCT((ListeB='recap S1'!$B52)*(OFFSET(ListeB,,4)='recap S1'!AA$3)*(OFFSET(ListeB,,1)='recap S1'!AA$2)),"")</f>
        <v/>
      </c>
      <c r="AB52" s="32" t="str">
        <f ca="1">IF(SUMPRODUCT((ListeB='recap S1'!$B52)*(OFFSET(ListeB,,4)='recap S1'!AB$3)*(OFFSET(ListeB,,1)='recap S1'!AB$2))&gt;0,SUMPRODUCT((ListeB='recap S1'!$B52)*(OFFSET(ListeB,,4)='recap S1'!AB$3)*(OFFSET(ListeB,,1)='recap S1'!AB$2)),"")</f>
        <v/>
      </c>
      <c r="AC52" s="32" t="str">
        <f ca="1">IF(SUMPRODUCT((ListeB='recap S1'!$B52)*(OFFSET(ListeB,,4)='recap S1'!AC$3)*(OFFSET(ListeB,,1)='recap S1'!AC$2))&gt;0,SUMPRODUCT((ListeB='recap S1'!$B52)*(OFFSET(ListeB,,4)='recap S1'!AC$3)*(OFFSET(ListeB,,1)='recap S1'!AC$2)),"")</f>
        <v/>
      </c>
      <c r="AD52" s="32" t="str">
        <f ca="1">IF(SUMPRODUCT((ListeB='recap S1'!$B52)*(OFFSET(ListeB,,4)='recap S1'!AD$3)*(OFFSET(ListeB,,1)='recap S1'!AD$2))&gt;0,SUMPRODUCT((ListeB='recap S1'!$B52)*(OFFSET(ListeB,,4)='recap S1'!AD$3)*(OFFSET(ListeB,,1)='recap S1'!AD$2)),"")</f>
        <v/>
      </c>
      <c r="AE52" s="32" t="str">
        <f ca="1">IF(SUMPRODUCT((ListeB='recap S1'!$B52)*(OFFSET(ListeB,,4)='recap S1'!AE$3)*(OFFSET(ListeB,,1)='recap S1'!AE$2))&gt;0,SUMPRODUCT((ListeB='recap S1'!$B52)*(OFFSET(ListeB,,4)='recap S1'!AE$3)*(OFFSET(ListeB,,1)='recap S1'!AE$2)),"")</f>
        <v/>
      </c>
      <c r="AF52" s="32" t="str">
        <f ca="1">IF(SUMPRODUCT((ListeB='recap S1'!$B52)*(OFFSET(ListeB,,4)='recap S1'!AF$3)*(OFFSET(ListeB,,1)='recap S1'!AF$2))&gt;0,SUMPRODUCT((ListeB='recap S1'!$B52)*(OFFSET(ListeB,,4)='recap S1'!AF$3)*(OFFSET(ListeB,,1)='recap S1'!AF$2)),"")</f>
        <v/>
      </c>
      <c r="AG52" s="32" t="str">
        <f ca="1">IF(SUMPRODUCT((ListeB='recap S1'!$B52)*(OFFSET(ListeB,,4)='recap S1'!AG$3)*(OFFSET(ListeB,,1)='recap S1'!AG$2))&gt;0,SUMPRODUCT((ListeB='recap S1'!$B52)*(OFFSET(ListeB,,4)='recap S1'!AG$3)*(OFFSET(ListeB,,1)='recap S1'!AG$2)),"")</f>
        <v/>
      </c>
      <c r="AH52" s="32" t="str">
        <f ca="1">IF(SUMPRODUCT((ListeB='recap S1'!$B52)*(OFFSET(ListeB,,4)='recap S1'!AH$3)*(OFFSET(ListeB,,1)='recap S1'!AH$2))&gt;0,SUMPRODUCT((ListeB='recap S1'!$B52)*(OFFSET(ListeB,,4)='recap S1'!AH$3)*(OFFSET(ListeB,,1)='recap S1'!AH$2)),"")</f>
        <v/>
      </c>
      <c r="AI52" s="32" t="str">
        <f ca="1">IF(SUMPRODUCT((ListeB='recap S1'!$B52)*(OFFSET(ListeB,,4)='recap S1'!AI$3)*(OFFSET(ListeB,,1)='recap S1'!AI$2))&gt;0,SUMPRODUCT((ListeB='recap S1'!$B52)*(OFFSET(ListeB,,4)='recap S1'!AI$3)*(OFFSET(ListeB,,1)='recap S1'!AI$2)),"")</f>
        <v/>
      </c>
      <c r="AJ52" s="32" t="str">
        <f ca="1">IF(SUMPRODUCT((ListeB='recap S1'!$B52)*(OFFSET(ListeB,,4)='recap S1'!AJ$3)*(OFFSET(ListeB,,1)='recap S1'!AJ$2))&gt;0,SUMPRODUCT((ListeB='recap S1'!$B52)*(OFFSET(ListeB,,4)='recap S1'!AJ$3)*(OFFSET(ListeB,,1)='recap S1'!AJ$2)),"")</f>
        <v/>
      </c>
      <c r="AK52" s="32" t="str">
        <f ca="1">IF(SUMPRODUCT((ListeB='recap S1'!$B52)*(OFFSET(ListeB,,4)='recap S1'!AK$3)*(OFFSET(ListeB,,1)='recap S1'!AK$2))&gt;0,SUMPRODUCT((ListeB='recap S1'!$B52)*(OFFSET(ListeB,,4)='recap S1'!AK$3)*(OFFSET(ListeB,,1)='recap S1'!AK$2)),"")</f>
        <v/>
      </c>
      <c r="AL52" s="32" t="str">
        <f ca="1">IF(SUMPRODUCT((ListeB='recap S1'!$B52)*(OFFSET(ListeB,,4)='recap S1'!AL$3)*(OFFSET(ListeB,,1)='recap S1'!AL$2))&gt;0,SUMPRODUCT((ListeB='recap S1'!$B52)*(OFFSET(ListeB,,4)='recap S1'!AL$3)*(OFFSET(ListeB,,1)='recap S1'!AL$2)),"")</f>
        <v/>
      </c>
      <c r="AM52" s="32" t="str">
        <f ca="1">IF(SUMPRODUCT((ListeB='recap S1'!$B52)*(OFFSET(ListeB,,4)='recap S1'!AM$3)*(OFFSET(ListeB,,1)='recap S1'!AM$2))&gt;0,SUMPRODUCT((ListeB='recap S1'!$B52)*(OFFSET(ListeB,,4)='recap S1'!AM$3)*(OFFSET(ListeB,,1)='recap S1'!AM$2)),"")</f>
        <v/>
      </c>
      <c r="AN52" s="32" t="str">
        <f ca="1">IF(SUMPRODUCT((ListeB='recap S1'!$B52)*(OFFSET(ListeB,,4)='recap S1'!AN$3)*(OFFSET(ListeB,,1)='recap S1'!AN$2))&gt;0,SUMPRODUCT((ListeB='recap S1'!$B52)*(OFFSET(ListeB,,4)='recap S1'!AN$3)*(OFFSET(ListeB,,1)='recap S1'!AN$2)),"")</f>
        <v/>
      </c>
      <c r="AO52" s="32" t="str">
        <f ca="1">IF(SUMPRODUCT((ListeB='recap S1'!$B52)*(OFFSET(ListeB,,4)='recap S1'!AO$3)*(OFFSET(ListeB,,1)='recap S1'!AO$2))&gt;0,SUMPRODUCT((ListeB='recap S1'!$B52)*(OFFSET(ListeB,,4)='recap S1'!AO$3)*(OFFSET(ListeB,,1)='recap S1'!AO$2)),"")</f>
        <v/>
      </c>
      <c r="AP52" s="32" t="str">
        <f ca="1">IF(SUMPRODUCT((ListeB='recap S1'!$B52)*(OFFSET(ListeB,,4)='recap S1'!AP$3)*(OFFSET(ListeB,,1)='recap S1'!AP$2))&gt;0,SUMPRODUCT((ListeB='recap S1'!$B52)*(OFFSET(ListeB,,4)='recap S1'!AP$3)*(OFFSET(ListeB,,1)='recap S1'!AP$2)),"")</f>
        <v/>
      </c>
      <c r="AQ52" s="32" t="str">
        <f ca="1">IF(SUMPRODUCT((ListeB='recap S1'!$B52)*(OFFSET(ListeB,,4)='recap S1'!AQ$3)*(OFFSET(ListeB,,1)='recap S1'!AQ$2))&gt;0,SUMPRODUCT((ListeB='recap S1'!$B52)*(OFFSET(ListeB,,4)='recap S1'!AQ$3)*(OFFSET(ListeB,,1)='recap S1'!AQ$2)),"")</f>
        <v/>
      </c>
      <c r="AR52" s="32" t="str">
        <f ca="1">IF(SUMPRODUCT((ListeB='recap S1'!$B52)*(OFFSET(ListeB,,4)='recap S1'!AR$3)*(OFFSET(ListeB,,1)='recap S1'!AR$2))&gt;0,SUMPRODUCT((ListeB='recap S1'!$B52)*(OFFSET(ListeB,,4)='recap S1'!AR$3)*(OFFSET(ListeB,,1)='recap S1'!AR$2)),"")</f>
        <v/>
      </c>
      <c r="AS52" s="32" t="str">
        <f ca="1">IF(SUMPRODUCT((ListeB='recap S1'!$B52)*(OFFSET(ListeB,,4)='recap S1'!AS$3)*(OFFSET(ListeB,,1)='recap S1'!AS$2))&gt;0,SUMPRODUCT((ListeB='recap S1'!$B52)*(OFFSET(ListeB,,4)='recap S1'!AS$3)*(OFFSET(ListeB,,1)='recap S1'!AS$2)),"")</f>
        <v/>
      </c>
      <c r="AT52" s="32" t="str">
        <f ca="1">IF(SUMPRODUCT((ListeB='recap S1'!$B52)*(OFFSET(ListeB,,4)='recap S1'!AT$3)*(OFFSET(ListeB,,1)='recap S1'!AT$2))&gt;0,SUMPRODUCT((ListeB='recap S1'!$B52)*(OFFSET(ListeB,,4)='recap S1'!AT$3)*(OFFSET(ListeB,,1)='recap S1'!AT$2)),"")</f>
        <v/>
      </c>
      <c r="AU52" s="32" t="str">
        <f ca="1">IF(SUMPRODUCT((ListeB='recap S1'!$B52)*(OFFSET(ListeB,,4)='recap S1'!AU$3)*(OFFSET(ListeB,,1)='recap S1'!AU$2))&gt;0,SUMPRODUCT((ListeB='recap S1'!$B52)*(OFFSET(ListeB,,4)='recap S1'!AU$3)*(OFFSET(ListeB,,1)='recap S1'!AU$2)),"")</f>
        <v/>
      </c>
      <c r="AV52" s="32" t="str">
        <f ca="1">IF(SUMPRODUCT((ListeB='recap S1'!$B52)*(OFFSET(ListeB,,4)='recap S1'!AV$3)*(OFFSET(ListeB,,1)='recap S1'!AV$2))&gt;0,SUMPRODUCT((ListeB='recap S1'!$B52)*(OFFSET(ListeB,,4)='recap S1'!AV$3)*(OFFSET(ListeB,,1)='recap S1'!AV$2)),"")</f>
        <v/>
      </c>
      <c r="AW52" s="32" t="str">
        <f ca="1">IF(SUMPRODUCT((ListeB='recap S1'!$B52)*(OFFSET(ListeB,,4)='recap S1'!AW$3)*(OFFSET(ListeB,,1)='recap S1'!AW$2))&gt;0,SUMPRODUCT((ListeB='recap S1'!$B52)*(OFFSET(ListeB,,4)='recap S1'!AW$3)*(OFFSET(ListeB,,1)='recap S1'!AW$2)),"")</f>
        <v/>
      </c>
      <c r="AX52" s="32" t="str">
        <f ca="1">IF(SUMPRODUCT((ListeB='recap S1'!$B52)*(OFFSET(ListeB,,4)='recap S1'!AX$3)*(OFFSET(ListeB,,1)='recap S1'!AX$2))&gt;0,SUMPRODUCT((ListeB='recap S1'!$B52)*(OFFSET(ListeB,,4)='recap S1'!AX$3)*(OFFSET(ListeB,,1)='recap S1'!AX$2)),"")</f>
        <v/>
      </c>
      <c r="AY52" s="32" t="str">
        <f ca="1">IF(SUMPRODUCT((ListeB='recap S1'!$B52)*(OFFSET(ListeB,,4)='recap S1'!AY$3)*(OFFSET(ListeB,,1)='recap S1'!AY$2))&gt;0,SUMPRODUCT((ListeB='recap S1'!$B52)*(OFFSET(ListeB,,4)='recap S1'!AY$3)*(OFFSET(ListeB,,1)='recap S1'!AY$2)),"")</f>
        <v/>
      </c>
      <c r="AZ52" s="32">
        <f t="shared" ca="1" si="1"/>
        <v>0</v>
      </c>
    </row>
    <row r="53" spans="1:52">
      <c r="A53" s="41" t="str">
        <f>IF('SEANCE 1'!$B51&lt;&gt;"",'SEANCE 1'!$A51,"")</f>
        <v/>
      </c>
      <c r="B53" s="41" t="str">
        <f t="array" aca="1" ref="B53" ca="1">IF(ISNA(INDEX(ListeB,MATCH(0,COUNTIF($B$3:B52,ListeB),0))),"",INDEX(ListeB,MATCH(0,COUNTIF($B$3:B52,ListeB),0)))</f>
        <v/>
      </c>
      <c r="C53" s="32" t="str">
        <f ca="1">IF(SUMPRODUCT((ListeB='recap S1'!$B53)*(OFFSET(ListeB,,4)='recap S1'!C$3)*(OFFSET(ListeB,,1)='recap S1'!C$2))&gt;0,SUMPRODUCT((ListeB='recap S1'!$B53)*(OFFSET(ListeB,,4)='recap S1'!C$3)*(OFFSET(ListeB,,1)='recap S1'!C$2)),"")</f>
        <v/>
      </c>
      <c r="D53" s="32" t="str">
        <f ca="1">IF(SUMPRODUCT((ListeB='recap S1'!$B53)*(OFFSET(ListeB,,4)='recap S1'!D$3)*(OFFSET(ListeB,,1)='recap S1'!D$2))&gt;0,SUMPRODUCT((ListeB='recap S1'!$B53)*(OFFSET(ListeB,,4)='recap S1'!D$3)*(OFFSET(ListeB,,1)='recap S1'!D$2)),"")</f>
        <v/>
      </c>
      <c r="E53" s="32" t="str">
        <f ca="1">IF(SUMPRODUCT((ListeB='recap S1'!$B53)*(OFFSET(ListeB,,4)='recap S1'!E$3)*(OFFSET(ListeB,,1)='recap S1'!E$2))&gt;0,SUMPRODUCT((ListeB='recap S1'!$B53)*(OFFSET(ListeB,,4)='recap S1'!E$3)*(OFFSET(ListeB,,1)='recap S1'!E$2)),"")</f>
        <v/>
      </c>
      <c r="F53" s="32" t="str">
        <f ca="1">IF(SUMPRODUCT((ListeB='recap S1'!$B53)*(OFFSET(ListeB,,4)='recap S1'!F$3)*(OFFSET(ListeB,,1)='recap S1'!F$2))&gt;0,SUMPRODUCT((ListeB='recap S1'!$B53)*(OFFSET(ListeB,,4)='recap S1'!F$3)*(OFFSET(ListeB,,1)='recap S1'!F$2)),"")</f>
        <v/>
      </c>
      <c r="G53" s="32" t="str">
        <f ca="1">IF(SUMPRODUCT((ListeB='recap S1'!$B53)*(OFFSET(ListeB,,4)='recap S1'!G$3)*(OFFSET(ListeB,,1)='recap S1'!G$2))&gt;0,SUMPRODUCT((ListeB='recap S1'!$B53)*(OFFSET(ListeB,,4)='recap S1'!G$3)*(OFFSET(ListeB,,1)='recap S1'!G$2)),"")</f>
        <v/>
      </c>
      <c r="H53" s="32" t="str">
        <f ca="1">IF(SUMPRODUCT((ListeB='recap S1'!$B53)*(OFFSET(ListeB,,4)='recap S1'!H$3)*(OFFSET(ListeB,,1)='recap S1'!H$2))&gt;0,SUMPRODUCT((ListeB='recap S1'!$B53)*(OFFSET(ListeB,,4)='recap S1'!H$3)*(OFFSET(ListeB,,1)='recap S1'!H$2)),"")</f>
        <v/>
      </c>
      <c r="I53" s="32" t="str">
        <f ca="1">IF(SUMPRODUCT((ListeB='recap S1'!$B53)*(OFFSET(ListeB,,4)='recap S1'!I$3)*(OFFSET(ListeB,,1)='recap S1'!I$2))&gt;0,SUMPRODUCT((ListeB='recap S1'!$B53)*(OFFSET(ListeB,,4)='recap S1'!I$3)*(OFFSET(ListeB,,1)='recap S1'!I$2)),"")</f>
        <v/>
      </c>
      <c r="J53" s="32" t="str">
        <f ca="1">IF(SUMPRODUCT((ListeB='recap S1'!$B53)*(OFFSET(ListeB,,4)='recap S1'!J$3)*(OFFSET(ListeB,,1)='recap S1'!J$2))&gt;0,SUMPRODUCT((ListeB='recap S1'!$B53)*(OFFSET(ListeB,,4)='recap S1'!J$3)*(OFFSET(ListeB,,1)='recap S1'!J$2)),"")</f>
        <v/>
      </c>
      <c r="K53" s="32" t="str">
        <f ca="1">IF(SUMPRODUCT((ListeB='recap S1'!$B53)*(OFFSET(ListeB,,4)='recap S1'!K$3)*(OFFSET(ListeB,,1)='recap S1'!K$2))&gt;0,SUMPRODUCT((ListeB='recap S1'!$B53)*(OFFSET(ListeB,,4)='recap S1'!K$3)*(OFFSET(ListeB,,1)='recap S1'!K$2)),"")</f>
        <v/>
      </c>
      <c r="L53" s="32" t="str">
        <f ca="1">IF(SUMPRODUCT((ListeB='recap S1'!$B53)*(OFFSET(ListeB,,4)='recap S1'!L$3)*(OFFSET(ListeB,,1)='recap S1'!L$2))&gt;0,SUMPRODUCT((ListeB='recap S1'!$B53)*(OFFSET(ListeB,,4)='recap S1'!L$3)*(OFFSET(ListeB,,1)='recap S1'!L$2)),"")</f>
        <v/>
      </c>
      <c r="M53" s="32" t="str">
        <f ca="1">IF(SUMPRODUCT((ListeB='recap S1'!$B53)*(OFFSET(ListeB,,4)='recap S1'!M$3)*(OFFSET(ListeB,,1)='recap S1'!M$2))&gt;0,SUMPRODUCT((ListeB='recap S1'!$B53)*(OFFSET(ListeB,,4)='recap S1'!M$3)*(OFFSET(ListeB,,1)='recap S1'!M$2)),"")</f>
        <v/>
      </c>
      <c r="N53" s="32" t="str">
        <f ca="1">IF(SUMPRODUCT((ListeB='recap S1'!$B53)*(OFFSET(ListeB,,4)='recap S1'!N$3)*(OFFSET(ListeB,,1)='recap S1'!N$2))&gt;0,SUMPRODUCT((ListeB='recap S1'!$B53)*(OFFSET(ListeB,,4)='recap S1'!N$3)*(OFFSET(ListeB,,1)='recap S1'!N$2)),"")</f>
        <v/>
      </c>
      <c r="O53" s="32" t="str">
        <f ca="1">IF(SUMPRODUCT((ListeB='recap S1'!$B53)*(OFFSET(ListeB,,4)='recap S1'!O$3)*(OFFSET(ListeB,,1)='recap S1'!O$2))&gt;0,SUMPRODUCT((ListeB='recap S1'!$B53)*(OFFSET(ListeB,,4)='recap S1'!O$3)*(OFFSET(ListeB,,1)='recap S1'!O$2)),"")</f>
        <v/>
      </c>
      <c r="P53" s="32" t="str">
        <f ca="1">IF(SUMPRODUCT((ListeB='recap S1'!$B53)*(OFFSET(ListeB,,4)='recap S1'!P$3)*(OFFSET(ListeB,,1)='recap S1'!P$2))&gt;0,SUMPRODUCT((ListeB='recap S1'!$B53)*(OFFSET(ListeB,,4)='recap S1'!P$3)*(OFFSET(ListeB,,1)='recap S1'!P$2)),"")</f>
        <v/>
      </c>
      <c r="Q53" s="32" t="str">
        <f ca="1">IF(SUMPRODUCT((ListeB='recap S1'!$B53)*(OFFSET(ListeB,,4)='recap S1'!Q$3)*(OFFSET(ListeB,,1)='recap S1'!Q$2))&gt;0,SUMPRODUCT((ListeB='recap S1'!$B53)*(OFFSET(ListeB,,4)='recap S1'!Q$3)*(OFFSET(ListeB,,1)='recap S1'!Q$2)),"")</f>
        <v/>
      </c>
      <c r="R53" s="32" t="str">
        <f ca="1">IF(SUMPRODUCT((ListeB='recap S1'!$B53)*(OFFSET(ListeB,,4)='recap S1'!R$3)*(OFFSET(ListeB,,1)='recap S1'!R$2))&gt;0,SUMPRODUCT((ListeB='recap S1'!$B53)*(OFFSET(ListeB,,4)='recap S1'!R$3)*(OFFSET(ListeB,,1)='recap S1'!R$2)),"")</f>
        <v/>
      </c>
      <c r="S53" s="32" t="str">
        <f ca="1">IF(SUMPRODUCT((ListeB='recap S1'!$B53)*(OFFSET(ListeB,,4)='recap S1'!S$3)*(OFFSET(ListeB,,1)='recap S1'!S$2))&gt;0,SUMPRODUCT((ListeB='recap S1'!$B53)*(OFFSET(ListeB,,4)='recap S1'!S$3)*(OFFSET(ListeB,,1)='recap S1'!S$2)),"")</f>
        <v/>
      </c>
      <c r="T53" s="32" t="str">
        <f ca="1">IF(SUMPRODUCT((ListeB='recap S1'!$B53)*(OFFSET(ListeB,,4)='recap S1'!T$3)*(OFFSET(ListeB,,1)='recap S1'!T$2))&gt;0,SUMPRODUCT((ListeB='recap S1'!$B53)*(OFFSET(ListeB,,4)='recap S1'!T$3)*(OFFSET(ListeB,,1)='recap S1'!T$2)),"")</f>
        <v/>
      </c>
      <c r="U53" s="32" t="str">
        <f ca="1">IF(SUMPRODUCT((ListeB='recap S1'!$B53)*(OFFSET(ListeB,,4)='recap S1'!U$3)*(OFFSET(ListeB,,1)='recap S1'!U$2))&gt;0,SUMPRODUCT((ListeB='recap S1'!$B53)*(OFFSET(ListeB,,4)='recap S1'!U$3)*(OFFSET(ListeB,,1)='recap S1'!U$2)),"")</f>
        <v/>
      </c>
      <c r="V53" s="32" t="str">
        <f ca="1">IF(SUMPRODUCT((ListeB='recap S1'!$B53)*(OFFSET(ListeB,,4)='recap S1'!V$3)*(OFFSET(ListeB,,1)='recap S1'!V$2))&gt;0,SUMPRODUCT((ListeB='recap S1'!$B53)*(OFFSET(ListeB,,4)='recap S1'!V$3)*(OFFSET(ListeB,,1)='recap S1'!V$2)),"")</f>
        <v/>
      </c>
      <c r="W53" s="32" t="str">
        <f ca="1">IF(SUMPRODUCT((ListeB='recap S1'!$B53)*(OFFSET(ListeB,,4)='recap S1'!W$3)*(OFFSET(ListeB,,1)='recap S1'!W$2))&gt;0,SUMPRODUCT((ListeB='recap S1'!$B53)*(OFFSET(ListeB,,4)='recap S1'!W$3)*(OFFSET(ListeB,,1)='recap S1'!W$2)),"")</f>
        <v/>
      </c>
      <c r="X53" s="32" t="str">
        <f ca="1">IF(SUMPRODUCT((ListeB='recap S1'!$B53)*(OFFSET(ListeB,,4)='recap S1'!X$3)*(OFFSET(ListeB,,1)='recap S1'!X$2))&gt;0,SUMPRODUCT((ListeB='recap S1'!$B53)*(OFFSET(ListeB,,4)='recap S1'!X$3)*(OFFSET(ListeB,,1)='recap S1'!X$2)),"")</f>
        <v/>
      </c>
      <c r="Y53" s="32" t="str">
        <f ca="1">IF(SUMPRODUCT((ListeB='recap S1'!$B53)*(OFFSET(ListeB,,4)='recap S1'!Y$3)*(OFFSET(ListeB,,1)='recap S1'!Y$2))&gt;0,SUMPRODUCT((ListeB='recap S1'!$B53)*(OFFSET(ListeB,,4)='recap S1'!Y$3)*(OFFSET(ListeB,,1)='recap S1'!Y$2)),"")</f>
        <v/>
      </c>
      <c r="Z53" s="32" t="str">
        <f ca="1">IF(SUMPRODUCT((ListeB='recap S1'!$B53)*(OFFSET(ListeB,,4)='recap S1'!Z$3)*(OFFSET(ListeB,,1)='recap S1'!Z$2))&gt;0,SUMPRODUCT((ListeB='recap S1'!$B53)*(OFFSET(ListeB,,4)='recap S1'!Z$3)*(OFFSET(ListeB,,1)='recap S1'!Z$2)),"")</f>
        <v/>
      </c>
      <c r="AA53" s="32" t="str">
        <f ca="1">IF(SUMPRODUCT((ListeB='recap S1'!$B53)*(OFFSET(ListeB,,4)='recap S1'!AA$3)*(OFFSET(ListeB,,1)='recap S1'!AA$2))&gt;0,SUMPRODUCT((ListeB='recap S1'!$B53)*(OFFSET(ListeB,,4)='recap S1'!AA$3)*(OFFSET(ListeB,,1)='recap S1'!AA$2)),"")</f>
        <v/>
      </c>
      <c r="AB53" s="32" t="str">
        <f ca="1">IF(SUMPRODUCT((ListeB='recap S1'!$B53)*(OFFSET(ListeB,,4)='recap S1'!AB$3)*(OFFSET(ListeB,,1)='recap S1'!AB$2))&gt;0,SUMPRODUCT((ListeB='recap S1'!$B53)*(OFFSET(ListeB,,4)='recap S1'!AB$3)*(OFFSET(ListeB,,1)='recap S1'!AB$2)),"")</f>
        <v/>
      </c>
      <c r="AC53" s="32" t="str">
        <f ca="1">IF(SUMPRODUCT((ListeB='recap S1'!$B53)*(OFFSET(ListeB,,4)='recap S1'!AC$3)*(OFFSET(ListeB,,1)='recap S1'!AC$2))&gt;0,SUMPRODUCT((ListeB='recap S1'!$B53)*(OFFSET(ListeB,,4)='recap S1'!AC$3)*(OFFSET(ListeB,,1)='recap S1'!AC$2)),"")</f>
        <v/>
      </c>
      <c r="AD53" s="32" t="str">
        <f ca="1">IF(SUMPRODUCT((ListeB='recap S1'!$B53)*(OFFSET(ListeB,,4)='recap S1'!AD$3)*(OFFSET(ListeB,,1)='recap S1'!AD$2))&gt;0,SUMPRODUCT((ListeB='recap S1'!$B53)*(OFFSET(ListeB,,4)='recap S1'!AD$3)*(OFFSET(ListeB,,1)='recap S1'!AD$2)),"")</f>
        <v/>
      </c>
      <c r="AE53" s="32" t="str">
        <f ca="1">IF(SUMPRODUCT((ListeB='recap S1'!$B53)*(OFFSET(ListeB,,4)='recap S1'!AE$3)*(OFFSET(ListeB,,1)='recap S1'!AE$2))&gt;0,SUMPRODUCT((ListeB='recap S1'!$B53)*(OFFSET(ListeB,,4)='recap S1'!AE$3)*(OFFSET(ListeB,,1)='recap S1'!AE$2)),"")</f>
        <v/>
      </c>
      <c r="AF53" s="32" t="str">
        <f ca="1">IF(SUMPRODUCT((ListeB='recap S1'!$B53)*(OFFSET(ListeB,,4)='recap S1'!AF$3)*(OFFSET(ListeB,,1)='recap S1'!AF$2))&gt;0,SUMPRODUCT((ListeB='recap S1'!$B53)*(OFFSET(ListeB,,4)='recap S1'!AF$3)*(OFFSET(ListeB,,1)='recap S1'!AF$2)),"")</f>
        <v/>
      </c>
      <c r="AG53" s="32" t="str">
        <f ca="1">IF(SUMPRODUCT((ListeB='recap S1'!$B53)*(OFFSET(ListeB,,4)='recap S1'!AG$3)*(OFFSET(ListeB,,1)='recap S1'!AG$2))&gt;0,SUMPRODUCT((ListeB='recap S1'!$B53)*(OFFSET(ListeB,,4)='recap S1'!AG$3)*(OFFSET(ListeB,,1)='recap S1'!AG$2)),"")</f>
        <v/>
      </c>
      <c r="AH53" s="32" t="str">
        <f ca="1">IF(SUMPRODUCT((ListeB='recap S1'!$B53)*(OFFSET(ListeB,,4)='recap S1'!AH$3)*(OFFSET(ListeB,,1)='recap S1'!AH$2))&gt;0,SUMPRODUCT((ListeB='recap S1'!$B53)*(OFFSET(ListeB,,4)='recap S1'!AH$3)*(OFFSET(ListeB,,1)='recap S1'!AH$2)),"")</f>
        <v/>
      </c>
      <c r="AI53" s="32" t="str">
        <f ca="1">IF(SUMPRODUCT((ListeB='recap S1'!$B53)*(OFFSET(ListeB,,4)='recap S1'!AI$3)*(OFFSET(ListeB,,1)='recap S1'!AI$2))&gt;0,SUMPRODUCT((ListeB='recap S1'!$B53)*(OFFSET(ListeB,,4)='recap S1'!AI$3)*(OFFSET(ListeB,,1)='recap S1'!AI$2)),"")</f>
        <v/>
      </c>
      <c r="AJ53" s="32" t="str">
        <f ca="1">IF(SUMPRODUCT((ListeB='recap S1'!$B53)*(OFFSET(ListeB,,4)='recap S1'!AJ$3)*(OFFSET(ListeB,,1)='recap S1'!AJ$2))&gt;0,SUMPRODUCT((ListeB='recap S1'!$B53)*(OFFSET(ListeB,,4)='recap S1'!AJ$3)*(OFFSET(ListeB,,1)='recap S1'!AJ$2)),"")</f>
        <v/>
      </c>
      <c r="AK53" s="32" t="str">
        <f ca="1">IF(SUMPRODUCT((ListeB='recap S1'!$B53)*(OFFSET(ListeB,,4)='recap S1'!AK$3)*(OFFSET(ListeB,,1)='recap S1'!AK$2))&gt;0,SUMPRODUCT((ListeB='recap S1'!$B53)*(OFFSET(ListeB,,4)='recap S1'!AK$3)*(OFFSET(ListeB,,1)='recap S1'!AK$2)),"")</f>
        <v/>
      </c>
      <c r="AL53" s="32" t="str">
        <f ca="1">IF(SUMPRODUCT((ListeB='recap S1'!$B53)*(OFFSET(ListeB,,4)='recap S1'!AL$3)*(OFFSET(ListeB,,1)='recap S1'!AL$2))&gt;0,SUMPRODUCT((ListeB='recap S1'!$B53)*(OFFSET(ListeB,,4)='recap S1'!AL$3)*(OFFSET(ListeB,,1)='recap S1'!AL$2)),"")</f>
        <v/>
      </c>
      <c r="AM53" s="32" t="str">
        <f ca="1">IF(SUMPRODUCT((ListeB='recap S1'!$B53)*(OFFSET(ListeB,,4)='recap S1'!AM$3)*(OFFSET(ListeB,,1)='recap S1'!AM$2))&gt;0,SUMPRODUCT((ListeB='recap S1'!$B53)*(OFFSET(ListeB,,4)='recap S1'!AM$3)*(OFFSET(ListeB,,1)='recap S1'!AM$2)),"")</f>
        <v/>
      </c>
      <c r="AN53" s="32" t="str">
        <f ca="1">IF(SUMPRODUCT((ListeB='recap S1'!$B53)*(OFFSET(ListeB,,4)='recap S1'!AN$3)*(OFFSET(ListeB,,1)='recap S1'!AN$2))&gt;0,SUMPRODUCT((ListeB='recap S1'!$B53)*(OFFSET(ListeB,,4)='recap S1'!AN$3)*(OFFSET(ListeB,,1)='recap S1'!AN$2)),"")</f>
        <v/>
      </c>
      <c r="AO53" s="32" t="str">
        <f ca="1">IF(SUMPRODUCT((ListeB='recap S1'!$B53)*(OFFSET(ListeB,,4)='recap S1'!AO$3)*(OFFSET(ListeB,,1)='recap S1'!AO$2))&gt;0,SUMPRODUCT((ListeB='recap S1'!$B53)*(OFFSET(ListeB,,4)='recap S1'!AO$3)*(OFFSET(ListeB,,1)='recap S1'!AO$2)),"")</f>
        <v/>
      </c>
      <c r="AP53" s="32" t="str">
        <f ca="1">IF(SUMPRODUCT((ListeB='recap S1'!$B53)*(OFFSET(ListeB,,4)='recap S1'!AP$3)*(OFFSET(ListeB,,1)='recap S1'!AP$2))&gt;0,SUMPRODUCT((ListeB='recap S1'!$B53)*(OFFSET(ListeB,,4)='recap S1'!AP$3)*(OFFSET(ListeB,,1)='recap S1'!AP$2)),"")</f>
        <v/>
      </c>
      <c r="AQ53" s="32" t="str">
        <f ca="1">IF(SUMPRODUCT((ListeB='recap S1'!$B53)*(OFFSET(ListeB,,4)='recap S1'!AQ$3)*(OFFSET(ListeB,,1)='recap S1'!AQ$2))&gt;0,SUMPRODUCT((ListeB='recap S1'!$B53)*(OFFSET(ListeB,,4)='recap S1'!AQ$3)*(OFFSET(ListeB,,1)='recap S1'!AQ$2)),"")</f>
        <v/>
      </c>
      <c r="AR53" s="32" t="str">
        <f ca="1">IF(SUMPRODUCT((ListeB='recap S1'!$B53)*(OFFSET(ListeB,,4)='recap S1'!AR$3)*(OFFSET(ListeB,,1)='recap S1'!AR$2))&gt;0,SUMPRODUCT((ListeB='recap S1'!$B53)*(OFFSET(ListeB,,4)='recap S1'!AR$3)*(OFFSET(ListeB,,1)='recap S1'!AR$2)),"")</f>
        <v/>
      </c>
      <c r="AS53" s="32" t="str">
        <f ca="1">IF(SUMPRODUCT((ListeB='recap S1'!$B53)*(OFFSET(ListeB,,4)='recap S1'!AS$3)*(OFFSET(ListeB,,1)='recap S1'!AS$2))&gt;0,SUMPRODUCT((ListeB='recap S1'!$B53)*(OFFSET(ListeB,,4)='recap S1'!AS$3)*(OFFSET(ListeB,,1)='recap S1'!AS$2)),"")</f>
        <v/>
      </c>
      <c r="AT53" s="32" t="str">
        <f ca="1">IF(SUMPRODUCT((ListeB='recap S1'!$B53)*(OFFSET(ListeB,,4)='recap S1'!AT$3)*(OFFSET(ListeB,,1)='recap S1'!AT$2))&gt;0,SUMPRODUCT((ListeB='recap S1'!$B53)*(OFFSET(ListeB,,4)='recap S1'!AT$3)*(OFFSET(ListeB,,1)='recap S1'!AT$2)),"")</f>
        <v/>
      </c>
      <c r="AU53" s="32" t="str">
        <f ca="1">IF(SUMPRODUCT((ListeB='recap S1'!$B53)*(OFFSET(ListeB,,4)='recap S1'!AU$3)*(OFFSET(ListeB,,1)='recap S1'!AU$2))&gt;0,SUMPRODUCT((ListeB='recap S1'!$B53)*(OFFSET(ListeB,,4)='recap S1'!AU$3)*(OFFSET(ListeB,,1)='recap S1'!AU$2)),"")</f>
        <v/>
      </c>
      <c r="AV53" s="32" t="str">
        <f ca="1">IF(SUMPRODUCT((ListeB='recap S1'!$B53)*(OFFSET(ListeB,,4)='recap S1'!AV$3)*(OFFSET(ListeB,,1)='recap S1'!AV$2))&gt;0,SUMPRODUCT((ListeB='recap S1'!$B53)*(OFFSET(ListeB,,4)='recap S1'!AV$3)*(OFFSET(ListeB,,1)='recap S1'!AV$2)),"")</f>
        <v/>
      </c>
      <c r="AW53" s="32" t="str">
        <f ca="1">IF(SUMPRODUCT((ListeB='recap S1'!$B53)*(OFFSET(ListeB,,4)='recap S1'!AW$3)*(OFFSET(ListeB,,1)='recap S1'!AW$2))&gt;0,SUMPRODUCT((ListeB='recap S1'!$B53)*(OFFSET(ListeB,,4)='recap S1'!AW$3)*(OFFSET(ListeB,,1)='recap S1'!AW$2)),"")</f>
        <v/>
      </c>
      <c r="AX53" s="32" t="str">
        <f ca="1">IF(SUMPRODUCT((ListeB='recap S1'!$B53)*(OFFSET(ListeB,,4)='recap S1'!AX$3)*(OFFSET(ListeB,,1)='recap S1'!AX$2))&gt;0,SUMPRODUCT((ListeB='recap S1'!$B53)*(OFFSET(ListeB,,4)='recap S1'!AX$3)*(OFFSET(ListeB,,1)='recap S1'!AX$2)),"")</f>
        <v/>
      </c>
      <c r="AY53" s="32" t="str">
        <f ca="1">IF(SUMPRODUCT((ListeB='recap S1'!$B53)*(OFFSET(ListeB,,4)='recap S1'!AY$3)*(OFFSET(ListeB,,1)='recap S1'!AY$2))&gt;0,SUMPRODUCT((ListeB='recap S1'!$B53)*(OFFSET(ListeB,,4)='recap S1'!AY$3)*(OFFSET(ListeB,,1)='recap S1'!AY$2)),"")</f>
        <v/>
      </c>
      <c r="AZ53" s="32">
        <f t="shared" ca="1" si="1"/>
        <v>0</v>
      </c>
    </row>
    <row r="54" spans="1:52">
      <c r="A54" s="41" t="str">
        <f>IF('SEANCE 1'!$B52&lt;&gt;"",'SEANCE 1'!$A52,"")</f>
        <v/>
      </c>
      <c r="B54" s="41" t="str">
        <f t="array" aca="1" ref="B54" ca="1">IF(ISNA(INDEX(ListeB,MATCH(0,COUNTIF($B$3:B53,ListeB),0))),"",INDEX(ListeB,MATCH(0,COUNTIF($B$3:B53,ListeB),0)))</f>
        <v/>
      </c>
      <c r="C54" s="32" t="str">
        <f ca="1">IF(SUMPRODUCT((ListeB='recap S1'!$B54)*(OFFSET(ListeB,,4)='recap S1'!C$3)*(OFFSET(ListeB,,1)='recap S1'!C$2))&gt;0,SUMPRODUCT((ListeB='recap S1'!$B54)*(OFFSET(ListeB,,4)='recap S1'!C$3)*(OFFSET(ListeB,,1)='recap S1'!C$2)),"")</f>
        <v/>
      </c>
      <c r="D54" s="32" t="str">
        <f ca="1">IF(SUMPRODUCT((ListeB='recap S1'!$B54)*(OFFSET(ListeB,,4)='recap S1'!D$3)*(OFFSET(ListeB,,1)='recap S1'!D$2))&gt;0,SUMPRODUCT((ListeB='recap S1'!$B54)*(OFFSET(ListeB,,4)='recap S1'!D$3)*(OFFSET(ListeB,,1)='recap S1'!D$2)),"")</f>
        <v/>
      </c>
      <c r="E54" s="32" t="str">
        <f ca="1">IF(SUMPRODUCT((ListeB='recap S1'!$B54)*(OFFSET(ListeB,,4)='recap S1'!E$3)*(OFFSET(ListeB,,1)='recap S1'!E$2))&gt;0,SUMPRODUCT((ListeB='recap S1'!$B54)*(OFFSET(ListeB,,4)='recap S1'!E$3)*(OFFSET(ListeB,,1)='recap S1'!E$2)),"")</f>
        <v/>
      </c>
      <c r="F54" s="32" t="str">
        <f ca="1">IF(SUMPRODUCT((ListeB='recap S1'!$B54)*(OFFSET(ListeB,,4)='recap S1'!F$3)*(OFFSET(ListeB,,1)='recap S1'!F$2))&gt;0,SUMPRODUCT((ListeB='recap S1'!$B54)*(OFFSET(ListeB,,4)='recap S1'!F$3)*(OFFSET(ListeB,,1)='recap S1'!F$2)),"")</f>
        <v/>
      </c>
      <c r="G54" s="32" t="str">
        <f ca="1">IF(SUMPRODUCT((ListeB='recap S1'!$B54)*(OFFSET(ListeB,,4)='recap S1'!G$3)*(OFFSET(ListeB,,1)='recap S1'!G$2))&gt;0,SUMPRODUCT((ListeB='recap S1'!$B54)*(OFFSET(ListeB,,4)='recap S1'!G$3)*(OFFSET(ListeB,,1)='recap S1'!G$2)),"")</f>
        <v/>
      </c>
      <c r="H54" s="32" t="str">
        <f ca="1">IF(SUMPRODUCT((ListeB='recap S1'!$B54)*(OFFSET(ListeB,,4)='recap S1'!H$3)*(OFFSET(ListeB,,1)='recap S1'!H$2))&gt;0,SUMPRODUCT((ListeB='recap S1'!$B54)*(OFFSET(ListeB,,4)='recap S1'!H$3)*(OFFSET(ListeB,,1)='recap S1'!H$2)),"")</f>
        <v/>
      </c>
      <c r="I54" s="32" t="str">
        <f ca="1">IF(SUMPRODUCT((ListeB='recap S1'!$B54)*(OFFSET(ListeB,,4)='recap S1'!I$3)*(OFFSET(ListeB,,1)='recap S1'!I$2))&gt;0,SUMPRODUCT((ListeB='recap S1'!$B54)*(OFFSET(ListeB,,4)='recap S1'!I$3)*(OFFSET(ListeB,,1)='recap S1'!I$2)),"")</f>
        <v/>
      </c>
      <c r="J54" s="32" t="str">
        <f ca="1">IF(SUMPRODUCT((ListeB='recap S1'!$B54)*(OFFSET(ListeB,,4)='recap S1'!J$3)*(OFFSET(ListeB,,1)='recap S1'!J$2))&gt;0,SUMPRODUCT((ListeB='recap S1'!$B54)*(OFFSET(ListeB,,4)='recap S1'!J$3)*(OFFSET(ListeB,,1)='recap S1'!J$2)),"")</f>
        <v/>
      </c>
      <c r="K54" s="32" t="str">
        <f ca="1">IF(SUMPRODUCT((ListeB='recap S1'!$B54)*(OFFSET(ListeB,,4)='recap S1'!K$3)*(OFFSET(ListeB,,1)='recap S1'!K$2))&gt;0,SUMPRODUCT((ListeB='recap S1'!$B54)*(OFFSET(ListeB,,4)='recap S1'!K$3)*(OFFSET(ListeB,,1)='recap S1'!K$2)),"")</f>
        <v/>
      </c>
      <c r="L54" s="32" t="str">
        <f ca="1">IF(SUMPRODUCT((ListeB='recap S1'!$B54)*(OFFSET(ListeB,,4)='recap S1'!L$3)*(OFFSET(ListeB,,1)='recap S1'!L$2))&gt;0,SUMPRODUCT((ListeB='recap S1'!$B54)*(OFFSET(ListeB,,4)='recap S1'!L$3)*(OFFSET(ListeB,,1)='recap S1'!L$2)),"")</f>
        <v/>
      </c>
      <c r="M54" s="32" t="str">
        <f ca="1">IF(SUMPRODUCT((ListeB='recap S1'!$B54)*(OFFSET(ListeB,,4)='recap S1'!M$3)*(OFFSET(ListeB,,1)='recap S1'!M$2))&gt;0,SUMPRODUCT((ListeB='recap S1'!$B54)*(OFFSET(ListeB,,4)='recap S1'!M$3)*(OFFSET(ListeB,,1)='recap S1'!M$2)),"")</f>
        <v/>
      </c>
      <c r="N54" s="32" t="str">
        <f ca="1">IF(SUMPRODUCT((ListeB='recap S1'!$B54)*(OFFSET(ListeB,,4)='recap S1'!N$3)*(OFFSET(ListeB,,1)='recap S1'!N$2))&gt;0,SUMPRODUCT((ListeB='recap S1'!$B54)*(OFFSET(ListeB,,4)='recap S1'!N$3)*(OFFSET(ListeB,,1)='recap S1'!N$2)),"")</f>
        <v/>
      </c>
      <c r="O54" s="32" t="str">
        <f ca="1">IF(SUMPRODUCT((ListeB='recap S1'!$B54)*(OFFSET(ListeB,,4)='recap S1'!O$3)*(OFFSET(ListeB,,1)='recap S1'!O$2))&gt;0,SUMPRODUCT((ListeB='recap S1'!$B54)*(OFFSET(ListeB,,4)='recap S1'!O$3)*(OFFSET(ListeB,,1)='recap S1'!O$2)),"")</f>
        <v/>
      </c>
      <c r="P54" s="32" t="str">
        <f ca="1">IF(SUMPRODUCT((ListeB='recap S1'!$B54)*(OFFSET(ListeB,,4)='recap S1'!P$3)*(OFFSET(ListeB,,1)='recap S1'!P$2))&gt;0,SUMPRODUCT((ListeB='recap S1'!$B54)*(OFFSET(ListeB,,4)='recap S1'!P$3)*(OFFSET(ListeB,,1)='recap S1'!P$2)),"")</f>
        <v/>
      </c>
      <c r="Q54" s="32" t="str">
        <f ca="1">IF(SUMPRODUCT((ListeB='recap S1'!$B54)*(OFFSET(ListeB,,4)='recap S1'!Q$3)*(OFFSET(ListeB,,1)='recap S1'!Q$2))&gt;0,SUMPRODUCT((ListeB='recap S1'!$B54)*(OFFSET(ListeB,,4)='recap S1'!Q$3)*(OFFSET(ListeB,,1)='recap S1'!Q$2)),"")</f>
        <v/>
      </c>
      <c r="R54" s="32" t="str">
        <f ca="1">IF(SUMPRODUCT((ListeB='recap S1'!$B54)*(OFFSET(ListeB,,4)='recap S1'!R$3)*(OFFSET(ListeB,,1)='recap S1'!R$2))&gt;0,SUMPRODUCT((ListeB='recap S1'!$B54)*(OFFSET(ListeB,,4)='recap S1'!R$3)*(OFFSET(ListeB,,1)='recap S1'!R$2)),"")</f>
        <v/>
      </c>
      <c r="S54" s="32" t="str">
        <f ca="1">IF(SUMPRODUCT((ListeB='recap S1'!$B54)*(OFFSET(ListeB,,4)='recap S1'!S$3)*(OFFSET(ListeB,,1)='recap S1'!S$2))&gt;0,SUMPRODUCT((ListeB='recap S1'!$B54)*(OFFSET(ListeB,,4)='recap S1'!S$3)*(OFFSET(ListeB,,1)='recap S1'!S$2)),"")</f>
        <v/>
      </c>
      <c r="T54" s="32" t="str">
        <f ca="1">IF(SUMPRODUCT((ListeB='recap S1'!$B54)*(OFFSET(ListeB,,4)='recap S1'!T$3)*(OFFSET(ListeB,,1)='recap S1'!T$2))&gt;0,SUMPRODUCT((ListeB='recap S1'!$B54)*(OFFSET(ListeB,,4)='recap S1'!T$3)*(OFFSET(ListeB,,1)='recap S1'!T$2)),"")</f>
        <v/>
      </c>
      <c r="U54" s="32" t="str">
        <f ca="1">IF(SUMPRODUCT((ListeB='recap S1'!$B54)*(OFFSET(ListeB,,4)='recap S1'!U$3)*(OFFSET(ListeB,,1)='recap S1'!U$2))&gt;0,SUMPRODUCT((ListeB='recap S1'!$B54)*(OFFSET(ListeB,,4)='recap S1'!U$3)*(OFFSET(ListeB,,1)='recap S1'!U$2)),"")</f>
        <v/>
      </c>
      <c r="V54" s="32" t="str">
        <f ca="1">IF(SUMPRODUCT((ListeB='recap S1'!$B54)*(OFFSET(ListeB,,4)='recap S1'!V$3)*(OFFSET(ListeB,,1)='recap S1'!V$2))&gt;0,SUMPRODUCT((ListeB='recap S1'!$B54)*(OFFSET(ListeB,,4)='recap S1'!V$3)*(OFFSET(ListeB,,1)='recap S1'!V$2)),"")</f>
        <v/>
      </c>
      <c r="W54" s="32" t="str">
        <f ca="1">IF(SUMPRODUCT((ListeB='recap S1'!$B54)*(OFFSET(ListeB,,4)='recap S1'!W$3)*(OFFSET(ListeB,,1)='recap S1'!W$2))&gt;0,SUMPRODUCT((ListeB='recap S1'!$B54)*(OFFSET(ListeB,,4)='recap S1'!W$3)*(OFFSET(ListeB,,1)='recap S1'!W$2)),"")</f>
        <v/>
      </c>
      <c r="X54" s="32" t="str">
        <f ca="1">IF(SUMPRODUCT((ListeB='recap S1'!$B54)*(OFFSET(ListeB,,4)='recap S1'!X$3)*(OFFSET(ListeB,,1)='recap S1'!X$2))&gt;0,SUMPRODUCT((ListeB='recap S1'!$B54)*(OFFSET(ListeB,,4)='recap S1'!X$3)*(OFFSET(ListeB,,1)='recap S1'!X$2)),"")</f>
        <v/>
      </c>
      <c r="Y54" s="32" t="str">
        <f ca="1">IF(SUMPRODUCT((ListeB='recap S1'!$B54)*(OFFSET(ListeB,,4)='recap S1'!Y$3)*(OFFSET(ListeB,,1)='recap S1'!Y$2))&gt;0,SUMPRODUCT((ListeB='recap S1'!$B54)*(OFFSET(ListeB,,4)='recap S1'!Y$3)*(OFFSET(ListeB,,1)='recap S1'!Y$2)),"")</f>
        <v/>
      </c>
      <c r="Z54" s="32" t="str">
        <f ca="1">IF(SUMPRODUCT((ListeB='recap S1'!$B54)*(OFFSET(ListeB,,4)='recap S1'!Z$3)*(OFFSET(ListeB,,1)='recap S1'!Z$2))&gt;0,SUMPRODUCT((ListeB='recap S1'!$B54)*(OFFSET(ListeB,,4)='recap S1'!Z$3)*(OFFSET(ListeB,,1)='recap S1'!Z$2)),"")</f>
        <v/>
      </c>
      <c r="AA54" s="32" t="str">
        <f ca="1">IF(SUMPRODUCT((ListeB='recap S1'!$B54)*(OFFSET(ListeB,,4)='recap S1'!AA$3)*(OFFSET(ListeB,,1)='recap S1'!AA$2))&gt;0,SUMPRODUCT((ListeB='recap S1'!$B54)*(OFFSET(ListeB,,4)='recap S1'!AA$3)*(OFFSET(ListeB,,1)='recap S1'!AA$2)),"")</f>
        <v/>
      </c>
      <c r="AB54" s="32" t="str">
        <f ca="1">IF(SUMPRODUCT((ListeB='recap S1'!$B54)*(OFFSET(ListeB,,4)='recap S1'!AB$3)*(OFFSET(ListeB,,1)='recap S1'!AB$2))&gt;0,SUMPRODUCT((ListeB='recap S1'!$B54)*(OFFSET(ListeB,,4)='recap S1'!AB$3)*(OFFSET(ListeB,,1)='recap S1'!AB$2)),"")</f>
        <v/>
      </c>
      <c r="AC54" s="32" t="str">
        <f ca="1">IF(SUMPRODUCT((ListeB='recap S1'!$B54)*(OFFSET(ListeB,,4)='recap S1'!AC$3)*(OFFSET(ListeB,,1)='recap S1'!AC$2))&gt;0,SUMPRODUCT((ListeB='recap S1'!$B54)*(OFFSET(ListeB,,4)='recap S1'!AC$3)*(OFFSET(ListeB,,1)='recap S1'!AC$2)),"")</f>
        <v/>
      </c>
      <c r="AD54" s="32" t="str">
        <f ca="1">IF(SUMPRODUCT((ListeB='recap S1'!$B54)*(OFFSET(ListeB,,4)='recap S1'!AD$3)*(OFFSET(ListeB,,1)='recap S1'!AD$2))&gt;0,SUMPRODUCT((ListeB='recap S1'!$B54)*(OFFSET(ListeB,,4)='recap S1'!AD$3)*(OFFSET(ListeB,,1)='recap S1'!AD$2)),"")</f>
        <v/>
      </c>
      <c r="AE54" s="32" t="str">
        <f ca="1">IF(SUMPRODUCT((ListeB='recap S1'!$B54)*(OFFSET(ListeB,,4)='recap S1'!AE$3)*(OFFSET(ListeB,,1)='recap S1'!AE$2))&gt;0,SUMPRODUCT((ListeB='recap S1'!$B54)*(OFFSET(ListeB,,4)='recap S1'!AE$3)*(OFFSET(ListeB,,1)='recap S1'!AE$2)),"")</f>
        <v/>
      </c>
      <c r="AF54" s="32" t="str">
        <f ca="1">IF(SUMPRODUCT((ListeB='recap S1'!$B54)*(OFFSET(ListeB,,4)='recap S1'!AF$3)*(OFFSET(ListeB,,1)='recap S1'!AF$2))&gt;0,SUMPRODUCT((ListeB='recap S1'!$B54)*(OFFSET(ListeB,,4)='recap S1'!AF$3)*(OFFSET(ListeB,,1)='recap S1'!AF$2)),"")</f>
        <v/>
      </c>
      <c r="AG54" s="32" t="str">
        <f ca="1">IF(SUMPRODUCT((ListeB='recap S1'!$B54)*(OFFSET(ListeB,,4)='recap S1'!AG$3)*(OFFSET(ListeB,,1)='recap S1'!AG$2))&gt;0,SUMPRODUCT((ListeB='recap S1'!$B54)*(OFFSET(ListeB,,4)='recap S1'!AG$3)*(OFFSET(ListeB,,1)='recap S1'!AG$2)),"")</f>
        <v/>
      </c>
      <c r="AH54" s="32" t="str">
        <f ca="1">IF(SUMPRODUCT((ListeB='recap S1'!$B54)*(OFFSET(ListeB,,4)='recap S1'!AH$3)*(OFFSET(ListeB,,1)='recap S1'!AH$2))&gt;0,SUMPRODUCT((ListeB='recap S1'!$B54)*(OFFSET(ListeB,,4)='recap S1'!AH$3)*(OFFSET(ListeB,,1)='recap S1'!AH$2)),"")</f>
        <v/>
      </c>
      <c r="AI54" s="32" t="str">
        <f ca="1">IF(SUMPRODUCT((ListeB='recap S1'!$B54)*(OFFSET(ListeB,,4)='recap S1'!AI$3)*(OFFSET(ListeB,,1)='recap S1'!AI$2))&gt;0,SUMPRODUCT((ListeB='recap S1'!$B54)*(OFFSET(ListeB,,4)='recap S1'!AI$3)*(OFFSET(ListeB,,1)='recap S1'!AI$2)),"")</f>
        <v/>
      </c>
      <c r="AJ54" s="32" t="str">
        <f ca="1">IF(SUMPRODUCT((ListeB='recap S1'!$B54)*(OFFSET(ListeB,,4)='recap S1'!AJ$3)*(OFFSET(ListeB,,1)='recap S1'!AJ$2))&gt;0,SUMPRODUCT((ListeB='recap S1'!$B54)*(OFFSET(ListeB,,4)='recap S1'!AJ$3)*(OFFSET(ListeB,,1)='recap S1'!AJ$2)),"")</f>
        <v/>
      </c>
      <c r="AK54" s="32" t="str">
        <f ca="1">IF(SUMPRODUCT((ListeB='recap S1'!$B54)*(OFFSET(ListeB,,4)='recap S1'!AK$3)*(OFFSET(ListeB,,1)='recap S1'!AK$2))&gt;0,SUMPRODUCT((ListeB='recap S1'!$B54)*(OFFSET(ListeB,,4)='recap S1'!AK$3)*(OFFSET(ListeB,,1)='recap S1'!AK$2)),"")</f>
        <v/>
      </c>
      <c r="AL54" s="32" t="str">
        <f ca="1">IF(SUMPRODUCT((ListeB='recap S1'!$B54)*(OFFSET(ListeB,,4)='recap S1'!AL$3)*(OFFSET(ListeB,,1)='recap S1'!AL$2))&gt;0,SUMPRODUCT((ListeB='recap S1'!$B54)*(OFFSET(ListeB,,4)='recap S1'!AL$3)*(OFFSET(ListeB,,1)='recap S1'!AL$2)),"")</f>
        <v/>
      </c>
      <c r="AM54" s="32" t="str">
        <f ca="1">IF(SUMPRODUCT((ListeB='recap S1'!$B54)*(OFFSET(ListeB,,4)='recap S1'!AM$3)*(OFFSET(ListeB,,1)='recap S1'!AM$2))&gt;0,SUMPRODUCT((ListeB='recap S1'!$B54)*(OFFSET(ListeB,,4)='recap S1'!AM$3)*(OFFSET(ListeB,,1)='recap S1'!AM$2)),"")</f>
        <v/>
      </c>
      <c r="AN54" s="32" t="str">
        <f ca="1">IF(SUMPRODUCT((ListeB='recap S1'!$B54)*(OFFSET(ListeB,,4)='recap S1'!AN$3)*(OFFSET(ListeB,,1)='recap S1'!AN$2))&gt;0,SUMPRODUCT((ListeB='recap S1'!$B54)*(OFFSET(ListeB,,4)='recap S1'!AN$3)*(OFFSET(ListeB,,1)='recap S1'!AN$2)),"")</f>
        <v/>
      </c>
      <c r="AO54" s="32" t="str">
        <f ca="1">IF(SUMPRODUCT((ListeB='recap S1'!$B54)*(OFFSET(ListeB,,4)='recap S1'!AO$3)*(OFFSET(ListeB,,1)='recap S1'!AO$2))&gt;0,SUMPRODUCT((ListeB='recap S1'!$B54)*(OFFSET(ListeB,,4)='recap S1'!AO$3)*(OFFSET(ListeB,,1)='recap S1'!AO$2)),"")</f>
        <v/>
      </c>
      <c r="AP54" s="32" t="str">
        <f ca="1">IF(SUMPRODUCT((ListeB='recap S1'!$B54)*(OFFSET(ListeB,,4)='recap S1'!AP$3)*(OFFSET(ListeB,,1)='recap S1'!AP$2))&gt;0,SUMPRODUCT((ListeB='recap S1'!$B54)*(OFFSET(ListeB,,4)='recap S1'!AP$3)*(OFFSET(ListeB,,1)='recap S1'!AP$2)),"")</f>
        <v/>
      </c>
      <c r="AQ54" s="32" t="str">
        <f ca="1">IF(SUMPRODUCT((ListeB='recap S1'!$B54)*(OFFSET(ListeB,,4)='recap S1'!AQ$3)*(OFFSET(ListeB,,1)='recap S1'!AQ$2))&gt;0,SUMPRODUCT((ListeB='recap S1'!$B54)*(OFFSET(ListeB,,4)='recap S1'!AQ$3)*(OFFSET(ListeB,,1)='recap S1'!AQ$2)),"")</f>
        <v/>
      </c>
      <c r="AR54" s="32" t="str">
        <f ca="1">IF(SUMPRODUCT((ListeB='recap S1'!$B54)*(OFFSET(ListeB,,4)='recap S1'!AR$3)*(OFFSET(ListeB,,1)='recap S1'!AR$2))&gt;0,SUMPRODUCT((ListeB='recap S1'!$B54)*(OFFSET(ListeB,,4)='recap S1'!AR$3)*(OFFSET(ListeB,,1)='recap S1'!AR$2)),"")</f>
        <v/>
      </c>
      <c r="AS54" s="32" t="str">
        <f ca="1">IF(SUMPRODUCT((ListeB='recap S1'!$B54)*(OFFSET(ListeB,,4)='recap S1'!AS$3)*(OFFSET(ListeB,,1)='recap S1'!AS$2))&gt;0,SUMPRODUCT((ListeB='recap S1'!$B54)*(OFFSET(ListeB,,4)='recap S1'!AS$3)*(OFFSET(ListeB,,1)='recap S1'!AS$2)),"")</f>
        <v/>
      </c>
      <c r="AT54" s="32" t="str">
        <f ca="1">IF(SUMPRODUCT((ListeB='recap S1'!$B54)*(OFFSET(ListeB,,4)='recap S1'!AT$3)*(OFFSET(ListeB,,1)='recap S1'!AT$2))&gt;0,SUMPRODUCT((ListeB='recap S1'!$B54)*(OFFSET(ListeB,,4)='recap S1'!AT$3)*(OFFSET(ListeB,,1)='recap S1'!AT$2)),"")</f>
        <v/>
      </c>
      <c r="AU54" s="32" t="str">
        <f ca="1">IF(SUMPRODUCT((ListeB='recap S1'!$B54)*(OFFSET(ListeB,,4)='recap S1'!AU$3)*(OFFSET(ListeB,,1)='recap S1'!AU$2))&gt;0,SUMPRODUCT((ListeB='recap S1'!$B54)*(OFFSET(ListeB,,4)='recap S1'!AU$3)*(OFFSET(ListeB,,1)='recap S1'!AU$2)),"")</f>
        <v/>
      </c>
      <c r="AV54" s="32" t="str">
        <f ca="1">IF(SUMPRODUCT((ListeB='recap S1'!$B54)*(OFFSET(ListeB,,4)='recap S1'!AV$3)*(OFFSET(ListeB,,1)='recap S1'!AV$2))&gt;0,SUMPRODUCT((ListeB='recap S1'!$B54)*(OFFSET(ListeB,,4)='recap S1'!AV$3)*(OFFSET(ListeB,,1)='recap S1'!AV$2)),"")</f>
        <v/>
      </c>
      <c r="AW54" s="32" t="str">
        <f ca="1">IF(SUMPRODUCT((ListeB='recap S1'!$B54)*(OFFSET(ListeB,,4)='recap S1'!AW$3)*(OFFSET(ListeB,,1)='recap S1'!AW$2))&gt;0,SUMPRODUCT((ListeB='recap S1'!$B54)*(OFFSET(ListeB,,4)='recap S1'!AW$3)*(OFFSET(ListeB,,1)='recap S1'!AW$2)),"")</f>
        <v/>
      </c>
      <c r="AX54" s="32" t="str">
        <f ca="1">IF(SUMPRODUCT((ListeB='recap S1'!$B54)*(OFFSET(ListeB,,4)='recap S1'!AX$3)*(OFFSET(ListeB,,1)='recap S1'!AX$2))&gt;0,SUMPRODUCT((ListeB='recap S1'!$B54)*(OFFSET(ListeB,,4)='recap S1'!AX$3)*(OFFSET(ListeB,,1)='recap S1'!AX$2)),"")</f>
        <v/>
      </c>
      <c r="AY54" s="32" t="str">
        <f ca="1">IF(SUMPRODUCT((ListeB='recap S1'!$B54)*(OFFSET(ListeB,,4)='recap S1'!AY$3)*(OFFSET(ListeB,,1)='recap S1'!AY$2))&gt;0,SUMPRODUCT((ListeB='recap S1'!$B54)*(OFFSET(ListeB,,4)='recap S1'!AY$3)*(OFFSET(ListeB,,1)='recap S1'!AY$2)),"")</f>
        <v/>
      </c>
      <c r="AZ54" s="32">
        <f t="shared" ca="1" si="1"/>
        <v>0</v>
      </c>
    </row>
    <row r="55" spans="1:52">
      <c r="A55" s="41" t="str">
        <f>IF('SEANCE 1'!$B53&lt;&gt;"",'SEANCE 1'!$A53,"")</f>
        <v/>
      </c>
      <c r="B55" s="41" t="str">
        <f t="array" aca="1" ref="B55" ca="1">IF(ISNA(INDEX(ListeB,MATCH(0,COUNTIF($B$3:B54,ListeB),0))),"",INDEX(ListeB,MATCH(0,COUNTIF($B$3:B54,ListeB),0)))</f>
        <v/>
      </c>
      <c r="C55" s="32" t="str">
        <f ca="1">IF(SUMPRODUCT((ListeB='recap S1'!$B55)*(OFFSET(ListeB,,4)='recap S1'!C$3)*(OFFSET(ListeB,,1)='recap S1'!C$2))&gt;0,SUMPRODUCT((ListeB='recap S1'!$B55)*(OFFSET(ListeB,,4)='recap S1'!C$3)*(OFFSET(ListeB,,1)='recap S1'!C$2)),"")</f>
        <v/>
      </c>
      <c r="D55" s="32" t="str">
        <f ca="1">IF(SUMPRODUCT((ListeB='recap S1'!$B55)*(OFFSET(ListeB,,4)='recap S1'!D$3)*(OFFSET(ListeB,,1)='recap S1'!D$2))&gt;0,SUMPRODUCT((ListeB='recap S1'!$B55)*(OFFSET(ListeB,,4)='recap S1'!D$3)*(OFFSET(ListeB,,1)='recap S1'!D$2)),"")</f>
        <v/>
      </c>
      <c r="E55" s="32" t="str">
        <f ca="1">IF(SUMPRODUCT((ListeB='recap S1'!$B55)*(OFFSET(ListeB,,4)='recap S1'!E$3)*(OFFSET(ListeB,,1)='recap S1'!E$2))&gt;0,SUMPRODUCT((ListeB='recap S1'!$B55)*(OFFSET(ListeB,,4)='recap S1'!E$3)*(OFFSET(ListeB,,1)='recap S1'!E$2)),"")</f>
        <v/>
      </c>
      <c r="F55" s="32" t="str">
        <f ca="1">IF(SUMPRODUCT((ListeB='recap S1'!$B55)*(OFFSET(ListeB,,4)='recap S1'!F$3)*(OFFSET(ListeB,,1)='recap S1'!F$2))&gt;0,SUMPRODUCT((ListeB='recap S1'!$B55)*(OFFSET(ListeB,,4)='recap S1'!F$3)*(OFFSET(ListeB,,1)='recap S1'!F$2)),"")</f>
        <v/>
      </c>
      <c r="G55" s="32" t="str">
        <f ca="1">IF(SUMPRODUCT((ListeB='recap S1'!$B55)*(OFFSET(ListeB,,4)='recap S1'!G$3)*(OFFSET(ListeB,,1)='recap S1'!G$2))&gt;0,SUMPRODUCT((ListeB='recap S1'!$B55)*(OFFSET(ListeB,,4)='recap S1'!G$3)*(OFFSET(ListeB,,1)='recap S1'!G$2)),"")</f>
        <v/>
      </c>
      <c r="H55" s="32" t="str">
        <f ca="1">IF(SUMPRODUCT((ListeB='recap S1'!$B55)*(OFFSET(ListeB,,4)='recap S1'!H$3)*(OFFSET(ListeB,,1)='recap S1'!H$2))&gt;0,SUMPRODUCT((ListeB='recap S1'!$B55)*(OFFSET(ListeB,,4)='recap S1'!H$3)*(OFFSET(ListeB,,1)='recap S1'!H$2)),"")</f>
        <v/>
      </c>
      <c r="I55" s="32" t="str">
        <f ca="1">IF(SUMPRODUCT((ListeB='recap S1'!$B55)*(OFFSET(ListeB,,4)='recap S1'!I$3)*(OFFSET(ListeB,,1)='recap S1'!I$2))&gt;0,SUMPRODUCT((ListeB='recap S1'!$B55)*(OFFSET(ListeB,,4)='recap S1'!I$3)*(OFFSET(ListeB,,1)='recap S1'!I$2)),"")</f>
        <v/>
      </c>
      <c r="J55" s="32" t="str">
        <f ca="1">IF(SUMPRODUCT((ListeB='recap S1'!$B55)*(OFFSET(ListeB,,4)='recap S1'!J$3)*(OFFSET(ListeB,,1)='recap S1'!J$2))&gt;0,SUMPRODUCT((ListeB='recap S1'!$B55)*(OFFSET(ListeB,,4)='recap S1'!J$3)*(OFFSET(ListeB,,1)='recap S1'!J$2)),"")</f>
        <v/>
      </c>
      <c r="K55" s="32" t="str">
        <f ca="1">IF(SUMPRODUCT((ListeB='recap S1'!$B55)*(OFFSET(ListeB,,4)='recap S1'!K$3)*(OFFSET(ListeB,,1)='recap S1'!K$2))&gt;0,SUMPRODUCT((ListeB='recap S1'!$B55)*(OFFSET(ListeB,,4)='recap S1'!K$3)*(OFFSET(ListeB,,1)='recap S1'!K$2)),"")</f>
        <v/>
      </c>
      <c r="L55" s="32" t="str">
        <f ca="1">IF(SUMPRODUCT((ListeB='recap S1'!$B55)*(OFFSET(ListeB,,4)='recap S1'!L$3)*(OFFSET(ListeB,,1)='recap S1'!L$2))&gt;0,SUMPRODUCT((ListeB='recap S1'!$B55)*(OFFSET(ListeB,,4)='recap S1'!L$3)*(OFFSET(ListeB,,1)='recap S1'!L$2)),"")</f>
        <v/>
      </c>
      <c r="M55" s="32" t="str">
        <f ca="1">IF(SUMPRODUCT((ListeB='recap S1'!$B55)*(OFFSET(ListeB,,4)='recap S1'!M$3)*(OFFSET(ListeB,,1)='recap S1'!M$2))&gt;0,SUMPRODUCT((ListeB='recap S1'!$B55)*(OFFSET(ListeB,,4)='recap S1'!M$3)*(OFFSET(ListeB,,1)='recap S1'!M$2)),"")</f>
        <v/>
      </c>
      <c r="N55" s="32" t="str">
        <f ca="1">IF(SUMPRODUCT((ListeB='recap S1'!$B55)*(OFFSET(ListeB,,4)='recap S1'!N$3)*(OFFSET(ListeB,,1)='recap S1'!N$2))&gt;0,SUMPRODUCT((ListeB='recap S1'!$B55)*(OFFSET(ListeB,,4)='recap S1'!N$3)*(OFFSET(ListeB,,1)='recap S1'!N$2)),"")</f>
        <v/>
      </c>
      <c r="O55" s="32" t="str">
        <f ca="1">IF(SUMPRODUCT((ListeB='recap S1'!$B55)*(OFFSET(ListeB,,4)='recap S1'!O$3)*(OFFSET(ListeB,,1)='recap S1'!O$2))&gt;0,SUMPRODUCT((ListeB='recap S1'!$B55)*(OFFSET(ListeB,,4)='recap S1'!O$3)*(OFFSET(ListeB,,1)='recap S1'!O$2)),"")</f>
        <v/>
      </c>
      <c r="P55" s="32" t="str">
        <f ca="1">IF(SUMPRODUCT((ListeB='recap S1'!$B55)*(OFFSET(ListeB,,4)='recap S1'!P$3)*(OFFSET(ListeB,,1)='recap S1'!P$2))&gt;0,SUMPRODUCT((ListeB='recap S1'!$B55)*(OFFSET(ListeB,,4)='recap S1'!P$3)*(OFFSET(ListeB,,1)='recap S1'!P$2)),"")</f>
        <v/>
      </c>
      <c r="Q55" s="32" t="str">
        <f ca="1">IF(SUMPRODUCT((ListeB='recap S1'!$B55)*(OFFSET(ListeB,,4)='recap S1'!Q$3)*(OFFSET(ListeB,,1)='recap S1'!Q$2))&gt;0,SUMPRODUCT((ListeB='recap S1'!$B55)*(OFFSET(ListeB,,4)='recap S1'!Q$3)*(OFFSET(ListeB,,1)='recap S1'!Q$2)),"")</f>
        <v/>
      </c>
      <c r="R55" s="32" t="str">
        <f ca="1">IF(SUMPRODUCT((ListeB='recap S1'!$B55)*(OFFSET(ListeB,,4)='recap S1'!R$3)*(OFFSET(ListeB,,1)='recap S1'!R$2))&gt;0,SUMPRODUCT((ListeB='recap S1'!$B55)*(OFFSET(ListeB,,4)='recap S1'!R$3)*(OFFSET(ListeB,,1)='recap S1'!R$2)),"")</f>
        <v/>
      </c>
      <c r="S55" s="32" t="str">
        <f ca="1">IF(SUMPRODUCT((ListeB='recap S1'!$B55)*(OFFSET(ListeB,,4)='recap S1'!S$3)*(OFFSET(ListeB,,1)='recap S1'!S$2))&gt;0,SUMPRODUCT((ListeB='recap S1'!$B55)*(OFFSET(ListeB,,4)='recap S1'!S$3)*(OFFSET(ListeB,,1)='recap S1'!S$2)),"")</f>
        <v/>
      </c>
      <c r="T55" s="32" t="str">
        <f ca="1">IF(SUMPRODUCT((ListeB='recap S1'!$B55)*(OFFSET(ListeB,,4)='recap S1'!T$3)*(OFFSET(ListeB,,1)='recap S1'!T$2))&gt;0,SUMPRODUCT((ListeB='recap S1'!$B55)*(OFFSET(ListeB,,4)='recap S1'!T$3)*(OFFSET(ListeB,,1)='recap S1'!T$2)),"")</f>
        <v/>
      </c>
      <c r="U55" s="32" t="str">
        <f ca="1">IF(SUMPRODUCT((ListeB='recap S1'!$B55)*(OFFSET(ListeB,,4)='recap S1'!U$3)*(OFFSET(ListeB,,1)='recap S1'!U$2))&gt;0,SUMPRODUCT((ListeB='recap S1'!$B55)*(OFFSET(ListeB,,4)='recap S1'!U$3)*(OFFSET(ListeB,,1)='recap S1'!U$2)),"")</f>
        <v/>
      </c>
      <c r="V55" s="32" t="str">
        <f ca="1">IF(SUMPRODUCT((ListeB='recap S1'!$B55)*(OFFSET(ListeB,,4)='recap S1'!V$3)*(OFFSET(ListeB,,1)='recap S1'!V$2))&gt;0,SUMPRODUCT((ListeB='recap S1'!$B55)*(OFFSET(ListeB,,4)='recap S1'!V$3)*(OFFSET(ListeB,,1)='recap S1'!V$2)),"")</f>
        <v/>
      </c>
      <c r="W55" s="32" t="str">
        <f ca="1">IF(SUMPRODUCT((ListeB='recap S1'!$B55)*(OFFSET(ListeB,,4)='recap S1'!W$3)*(OFFSET(ListeB,,1)='recap S1'!W$2))&gt;0,SUMPRODUCT((ListeB='recap S1'!$B55)*(OFFSET(ListeB,,4)='recap S1'!W$3)*(OFFSET(ListeB,,1)='recap S1'!W$2)),"")</f>
        <v/>
      </c>
      <c r="X55" s="32" t="str">
        <f ca="1">IF(SUMPRODUCT((ListeB='recap S1'!$B55)*(OFFSET(ListeB,,4)='recap S1'!X$3)*(OFFSET(ListeB,,1)='recap S1'!X$2))&gt;0,SUMPRODUCT((ListeB='recap S1'!$B55)*(OFFSET(ListeB,,4)='recap S1'!X$3)*(OFFSET(ListeB,,1)='recap S1'!X$2)),"")</f>
        <v/>
      </c>
      <c r="Y55" s="32" t="str">
        <f ca="1">IF(SUMPRODUCT((ListeB='recap S1'!$B55)*(OFFSET(ListeB,,4)='recap S1'!Y$3)*(OFFSET(ListeB,,1)='recap S1'!Y$2))&gt;0,SUMPRODUCT((ListeB='recap S1'!$B55)*(OFFSET(ListeB,,4)='recap S1'!Y$3)*(OFFSET(ListeB,,1)='recap S1'!Y$2)),"")</f>
        <v/>
      </c>
      <c r="Z55" s="32" t="str">
        <f ca="1">IF(SUMPRODUCT((ListeB='recap S1'!$B55)*(OFFSET(ListeB,,4)='recap S1'!Z$3)*(OFFSET(ListeB,,1)='recap S1'!Z$2))&gt;0,SUMPRODUCT((ListeB='recap S1'!$B55)*(OFFSET(ListeB,,4)='recap S1'!Z$3)*(OFFSET(ListeB,,1)='recap S1'!Z$2)),"")</f>
        <v/>
      </c>
      <c r="AA55" s="32" t="str">
        <f ca="1">IF(SUMPRODUCT((ListeB='recap S1'!$B55)*(OFFSET(ListeB,,4)='recap S1'!AA$3)*(OFFSET(ListeB,,1)='recap S1'!AA$2))&gt;0,SUMPRODUCT((ListeB='recap S1'!$B55)*(OFFSET(ListeB,,4)='recap S1'!AA$3)*(OFFSET(ListeB,,1)='recap S1'!AA$2)),"")</f>
        <v/>
      </c>
      <c r="AB55" s="32" t="str">
        <f ca="1">IF(SUMPRODUCT((ListeB='recap S1'!$B55)*(OFFSET(ListeB,,4)='recap S1'!AB$3)*(OFFSET(ListeB,,1)='recap S1'!AB$2))&gt;0,SUMPRODUCT((ListeB='recap S1'!$B55)*(OFFSET(ListeB,,4)='recap S1'!AB$3)*(OFFSET(ListeB,,1)='recap S1'!AB$2)),"")</f>
        <v/>
      </c>
      <c r="AC55" s="32" t="str">
        <f ca="1">IF(SUMPRODUCT((ListeB='recap S1'!$B55)*(OFFSET(ListeB,,4)='recap S1'!AC$3)*(OFFSET(ListeB,,1)='recap S1'!AC$2))&gt;0,SUMPRODUCT((ListeB='recap S1'!$B55)*(OFFSET(ListeB,,4)='recap S1'!AC$3)*(OFFSET(ListeB,,1)='recap S1'!AC$2)),"")</f>
        <v/>
      </c>
      <c r="AD55" s="32" t="str">
        <f ca="1">IF(SUMPRODUCT((ListeB='recap S1'!$B55)*(OFFSET(ListeB,,4)='recap S1'!AD$3)*(OFFSET(ListeB,,1)='recap S1'!AD$2))&gt;0,SUMPRODUCT((ListeB='recap S1'!$B55)*(OFFSET(ListeB,,4)='recap S1'!AD$3)*(OFFSET(ListeB,,1)='recap S1'!AD$2)),"")</f>
        <v/>
      </c>
      <c r="AE55" s="32" t="str">
        <f ca="1">IF(SUMPRODUCT((ListeB='recap S1'!$B55)*(OFFSET(ListeB,,4)='recap S1'!AE$3)*(OFFSET(ListeB,,1)='recap S1'!AE$2))&gt;0,SUMPRODUCT((ListeB='recap S1'!$B55)*(OFFSET(ListeB,,4)='recap S1'!AE$3)*(OFFSET(ListeB,,1)='recap S1'!AE$2)),"")</f>
        <v/>
      </c>
      <c r="AF55" s="32" t="str">
        <f ca="1">IF(SUMPRODUCT((ListeB='recap S1'!$B55)*(OFFSET(ListeB,,4)='recap S1'!AF$3)*(OFFSET(ListeB,,1)='recap S1'!AF$2))&gt;0,SUMPRODUCT((ListeB='recap S1'!$B55)*(OFFSET(ListeB,,4)='recap S1'!AF$3)*(OFFSET(ListeB,,1)='recap S1'!AF$2)),"")</f>
        <v/>
      </c>
      <c r="AG55" s="32" t="str">
        <f ca="1">IF(SUMPRODUCT((ListeB='recap S1'!$B55)*(OFFSET(ListeB,,4)='recap S1'!AG$3)*(OFFSET(ListeB,,1)='recap S1'!AG$2))&gt;0,SUMPRODUCT((ListeB='recap S1'!$B55)*(OFFSET(ListeB,,4)='recap S1'!AG$3)*(OFFSET(ListeB,,1)='recap S1'!AG$2)),"")</f>
        <v/>
      </c>
      <c r="AH55" s="32" t="str">
        <f ca="1">IF(SUMPRODUCT((ListeB='recap S1'!$B55)*(OFFSET(ListeB,,4)='recap S1'!AH$3)*(OFFSET(ListeB,,1)='recap S1'!AH$2))&gt;0,SUMPRODUCT((ListeB='recap S1'!$B55)*(OFFSET(ListeB,,4)='recap S1'!AH$3)*(OFFSET(ListeB,,1)='recap S1'!AH$2)),"")</f>
        <v/>
      </c>
      <c r="AI55" s="32" t="str">
        <f ca="1">IF(SUMPRODUCT((ListeB='recap S1'!$B55)*(OFFSET(ListeB,,4)='recap S1'!AI$3)*(OFFSET(ListeB,,1)='recap S1'!AI$2))&gt;0,SUMPRODUCT((ListeB='recap S1'!$B55)*(OFFSET(ListeB,,4)='recap S1'!AI$3)*(OFFSET(ListeB,,1)='recap S1'!AI$2)),"")</f>
        <v/>
      </c>
      <c r="AJ55" s="32" t="str">
        <f ca="1">IF(SUMPRODUCT((ListeB='recap S1'!$B55)*(OFFSET(ListeB,,4)='recap S1'!AJ$3)*(OFFSET(ListeB,,1)='recap S1'!AJ$2))&gt;0,SUMPRODUCT((ListeB='recap S1'!$B55)*(OFFSET(ListeB,,4)='recap S1'!AJ$3)*(OFFSET(ListeB,,1)='recap S1'!AJ$2)),"")</f>
        <v/>
      </c>
      <c r="AK55" s="32" t="str">
        <f ca="1">IF(SUMPRODUCT((ListeB='recap S1'!$B55)*(OFFSET(ListeB,,4)='recap S1'!AK$3)*(OFFSET(ListeB,,1)='recap S1'!AK$2))&gt;0,SUMPRODUCT((ListeB='recap S1'!$B55)*(OFFSET(ListeB,,4)='recap S1'!AK$3)*(OFFSET(ListeB,,1)='recap S1'!AK$2)),"")</f>
        <v/>
      </c>
      <c r="AL55" s="32" t="str">
        <f ca="1">IF(SUMPRODUCT((ListeB='recap S1'!$B55)*(OFFSET(ListeB,,4)='recap S1'!AL$3)*(OFFSET(ListeB,,1)='recap S1'!AL$2))&gt;0,SUMPRODUCT((ListeB='recap S1'!$B55)*(OFFSET(ListeB,,4)='recap S1'!AL$3)*(OFFSET(ListeB,,1)='recap S1'!AL$2)),"")</f>
        <v/>
      </c>
      <c r="AM55" s="32" t="str">
        <f ca="1">IF(SUMPRODUCT((ListeB='recap S1'!$B55)*(OFFSET(ListeB,,4)='recap S1'!AM$3)*(OFFSET(ListeB,,1)='recap S1'!AM$2))&gt;0,SUMPRODUCT((ListeB='recap S1'!$B55)*(OFFSET(ListeB,,4)='recap S1'!AM$3)*(OFFSET(ListeB,,1)='recap S1'!AM$2)),"")</f>
        <v/>
      </c>
      <c r="AN55" s="32" t="str">
        <f ca="1">IF(SUMPRODUCT((ListeB='recap S1'!$B55)*(OFFSET(ListeB,,4)='recap S1'!AN$3)*(OFFSET(ListeB,,1)='recap S1'!AN$2))&gt;0,SUMPRODUCT((ListeB='recap S1'!$B55)*(OFFSET(ListeB,,4)='recap S1'!AN$3)*(OFFSET(ListeB,,1)='recap S1'!AN$2)),"")</f>
        <v/>
      </c>
      <c r="AO55" s="32" t="str">
        <f ca="1">IF(SUMPRODUCT((ListeB='recap S1'!$B55)*(OFFSET(ListeB,,4)='recap S1'!AO$3)*(OFFSET(ListeB,,1)='recap S1'!AO$2))&gt;0,SUMPRODUCT((ListeB='recap S1'!$B55)*(OFFSET(ListeB,,4)='recap S1'!AO$3)*(OFFSET(ListeB,,1)='recap S1'!AO$2)),"")</f>
        <v/>
      </c>
      <c r="AP55" s="32" t="str">
        <f ca="1">IF(SUMPRODUCT((ListeB='recap S1'!$B55)*(OFFSET(ListeB,,4)='recap S1'!AP$3)*(OFFSET(ListeB,,1)='recap S1'!AP$2))&gt;0,SUMPRODUCT((ListeB='recap S1'!$B55)*(OFFSET(ListeB,,4)='recap S1'!AP$3)*(OFFSET(ListeB,,1)='recap S1'!AP$2)),"")</f>
        <v/>
      </c>
      <c r="AQ55" s="32" t="str">
        <f ca="1">IF(SUMPRODUCT((ListeB='recap S1'!$B55)*(OFFSET(ListeB,,4)='recap S1'!AQ$3)*(OFFSET(ListeB,,1)='recap S1'!AQ$2))&gt;0,SUMPRODUCT((ListeB='recap S1'!$B55)*(OFFSET(ListeB,,4)='recap S1'!AQ$3)*(OFFSET(ListeB,,1)='recap S1'!AQ$2)),"")</f>
        <v/>
      </c>
      <c r="AR55" s="32" t="str">
        <f ca="1">IF(SUMPRODUCT((ListeB='recap S1'!$B55)*(OFFSET(ListeB,,4)='recap S1'!AR$3)*(OFFSET(ListeB,,1)='recap S1'!AR$2))&gt;0,SUMPRODUCT((ListeB='recap S1'!$B55)*(OFFSET(ListeB,,4)='recap S1'!AR$3)*(OFFSET(ListeB,,1)='recap S1'!AR$2)),"")</f>
        <v/>
      </c>
      <c r="AS55" s="32" t="str">
        <f ca="1">IF(SUMPRODUCT((ListeB='recap S1'!$B55)*(OFFSET(ListeB,,4)='recap S1'!AS$3)*(OFFSET(ListeB,,1)='recap S1'!AS$2))&gt;0,SUMPRODUCT((ListeB='recap S1'!$B55)*(OFFSET(ListeB,,4)='recap S1'!AS$3)*(OFFSET(ListeB,,1)='recap S1'!AS$2)),"")</f>
        <v/>
      </c>
      <c r="AT55" s="32" t="str">
        <f ca="1">IF(SUMPRODUCT((ListeB='recap S1'!$B55)*(OFFSET(ListeB,,4)='recap S1'!AT$3)*(OFFSET(ListeB,,1)='recap S1'!AT$2))&gt;0,SUMPRODUCT((ListeB='recap S1'!$B55)*(OFFSET(ListeB,,4)='recap S1'!AT$3)*(OFFSET(ListeB,,1)='recap S1'!AT$2)),"")</f>
        <v/>
      </c>
      <c r="AU55" s="32" t="str">
        <f ca="1">IF(SUMPRODUCT((ListeB='recap S1'!$B55)*(OFFSET(ListeB,,4)='recap S1'!AU$3)*(OFFSET(ListeB,,1)='recap S1'!AU$2))&gt;0,SUMPRODUCT((ListeB='recap S1'!$B55)*(OFFSET(ListeB,,4)='recap S1'!AU$3)*(OFFSET(ListeB,,1)='recap S1'!AU$2)),"")</f>
        <v/>
      </c>
      <c r="AV55" s="32" t="str">
        <f ca="1">IF(SUMPRODUCT((ListeB='recap S1'!$B55)*(OFFSET(ListeB,,4)='recap S1'!AV$3)*(OFFSET(ListeB,,1)='recap S1'!AV$2))&gt;0,SUMPRODUCT((ListeB='recap S1'!$B55)*(OFFSET(ListeB,,4)='recap S1'!AV$3)*(OFFSET(ListeB,,1)='recap S1'!AV$2)),"")</f>
        <v/>
      </c>
      <c r="AW55" s="32" t="str">
        <f ca="1">IF(SUMPRODUCT((ListeB='recap S1'!$B55)*(OFFSET(ListeB,,4)='recap S1'!AW$3)*(OFFSET(ListeB,,1)='recap S1'!AW$2))&gt;0,SUMPRODUCT((ListeB='recap S1'!$B55)*(OFFSET(ListeB,,4)='recap S1'!AW$3)*(OFFSET(ListeB,,1)='recap S1'!AW$2)),"")</f>
        <v/>
      </c>
      <c r="AX55" s="32" t="str">
        <f ca="1">IF(SUMPRODUCT((ListeB='recap S1'!$B55)*(OFFSET(ListeB,,4)='recap S1'!AX$3)*(OFFSET(ListeB,,1)='recap S1'!AX$2))&gt;0,SUMPRODUCT((ListeB='recap S1'!$B55)*(OFFSET(ListeB,,4)='recap S1'!AX$3)*(OFFSET(ListeB,,1)='recap S1'!AX$2)),"")</f>
        <v/>
      </c>
      <c r="AY55" s="32" t="str">
        <f ca="1">IF(SUMPRODUCT((ListeB='recap S1'!$B55)*(OFFSET(ListeB,,4)='recap S1'!AY$3)*(OFFSET(ListeB,,1)='recap S1'!AY$2))&gt;0,SUMPRODUCT((ListeB='recap S1'!$B55)*(OFFSET(ListeB,,4)='recap S1'!AY$3)*(OFFSET(ListeB,,1)='recap S1'!AY$2)),"")</f>
        <v/>
      </c>
      <c r="AZ55" s="32">
        <f t="shared" ca="1" si="1"/>
        <v>0</v>
      </c>
    </row>
    <row r="56" spans="1:52">
      <c r="A56" s="41" t="str">
        <f>IF('SEANCE 1'!$B54&lt;&gt;"",'SEANCE 1'!$A54,"")</f>
        <v/>
      </c>
      <c r="B56" s="41" t="str">
        <f t="array" aca="1" ref="B56" ca="1">IF(ISNA(INDEX(ListeB,MATCH(0,COUNTIF($B$3:B55,ListeB),0))),"",INDEX(ListeB,MATCH(0,COUNTIF($B$3:B55,ListeB),0)))</f>
        <v/>
      </c>
      <c r="C56" s="32" t="str">
        <f ca="1">IF(SUMPRODUCT((ListeB='recap S1'!$B56)*(OFFSET(ListeB,,4)='recap S1'!C$3)*(OFFSET(ListeB,,1)='recap S1'!C$2))&gt;0,SUMPRODUCT((ListeB='recap S1'!$B56)*(OFFSET(ListeB,,4)='recap S1'!C$3)*(OFFSET(ListeB,,1)='recap S1'!C$2)),"")</f>
        <v/>
      </c>
      <c r="D56" s="32" t="str">
        <f ca="1">IF(SUMPRODUCT((ListeB='recap S1'!$B56)*(OFFSET(ListeB,,4)='recap S1'!D$3)*(OFFSET(ListeB,,1)='recap S1'!D$2))&gt;0,SUMPRODUCT((ListeB='recap S1'!$B56)*(OFFSET(ListeB,,4)='recap S1'!D$3)*(OFFSET(ListeB,,1)='recap S1'!D$2)),"")</f>
        <v/>
      </c>
      <c r="E56" s="32" t="str">
        <f ca="1">IF(SUMPRODUCT((ListeB='recap S1'!$B56)*(OFFSET(ListeB,,4)='recap S1'!E$3)*(OFFSET(ListeB,,1)='recap S1'!E$2))&gt;0,SUMPRODUCT((ListeB='recap S1'!$B56)*(OFFSET(ListeB,,4)='recap S1'!E$3)*(OFFSET(ListeB,,1)='recap S1'!E$2)),"")</f>
        <v/>
      </c>
      <c r="F56" s="32" t="str">
        <f ca="1">IF(SUMPRODUCT((ListeB='recap S1'!$B56)*(OFFSET(ListeB,,4)='recap S1'!F$3)*(OFFSET(ListeB,,1)='recap S1'!F$2))&gt;0,SUMPRODUCT((ListeB='recap S1'!$B56)*(OFFSET(ListeB,,4)='recap S1'!F$3)*(OFFSET(ListeB,,1)='recap S1'!F$2)),"")</f>
        <v/>
      </c>
      <c r="G56" s="32" t="str">
        <f ca="1">IF(SUMPRODUCT((ListeB='recap S1'!$B56)*(OFFSET(ListeB,,4)='recap S1'!G$3)*(OFFSET(ListeB,,1)='recap S1'!G$2))&gt;0,SUMPRODUCT((ListeB='recap S1'!$B56)*(OFFSET(ListeB,,4)='recap S1'!G$3)*(OFFSET(ListeB,,1)='recap S1'!G$2)),"")</f>
        <v/>
      </c>
      <c r="H56" s="32" t="str">
        <f ca="1">IF(SUMPRODUCT((ListeB='recap S1'!$B56)*(OFFSET(ListeB,,4)='recap S1'!H$3)*(OFFSET(ListeB,,1)='recap S1'!H$2))&gt;0,SUMPRODUCT((ListeB='recap S1'!$B56)*(OFFSET(ListeB,,4)='recap S1'!H$3)*(OFFSET(ListeB,,1)='recap S1'!H$2)),"")</f>
        <v/>
      </c>
      <c r="I56" s="32" t="str">
        <f ca="1">IF(SUMPRODUCT((ListeB='recap S1'!$B56)*(OFFSET(ListeB,,4)='recap S1'!I$3)*(OFFSET(ListeB,,1)='recap S1'!I$2))&gt;0,SUMPRODUCT((ListeB='recap S1'!$B56)*(OFFSET(ListeB,,4)='recap S1'!I$3)*(OFFSET(ListeB,,1)='recap S1'!I$2)),"")</f>
        <v/>
      </c>
      <c r="J56" s="32" t="str">
        <f ca="1">IF(SUMPRODUCT((ListeB='recap S1'!$B56)*(OFFSET(ListeB,,4)='recap S1'!J$3)*(OFFSET(ListeB,,1)='recap S1'!J$2))&gt;0,SUMPRODUCT((ListeB='recap S1'!$B56)*(OFFSET(ListeB,,4)='recap S1'!J$3)*(OFFSET(ListeB,,1)='recap S1'!J$2)),"")</f>
        <v/>
      </c>
      <c r="K56" s="32" t="str">
        <f ca="1">IF(SUMPRODUCT((ListeB='recap S1'!$B56)*(OFFSET(ListeB,,4)='recap S1'!K$3)*(OFFSET(ListeB,,1)='recap S1'!K$2))&gt;0,SUMPRODUCT((ListeB='recap S1'!$B56)*(OFFSET(ListeB,,4)='recap S1'!K$3)*(OFFSET(ListeB,,1)='recap S1'!K$2)),"")</f>
        <v/>
      </c>
      <c r="L56" s="32" t="str">
        <f ca="1">IF(SUMPRODUCT((ListeB='recap S1'!$B56)*(OFFSET(ListeB,,4)='recap S1'!L$3)*(OFFSET(ListeB,,1)='recap S1'!L$2))&gt;0,SUMPRODUCT((ListeB='recap S1'!$B56)*(OFFSET(ListeB,,4)='recap S1'!L$3)*(OFFSET(ListeB,,1)='recap S1'!L$2)),"")</f>
        <v/>
      </c>
      <c r="M56" s="32" t="str">
        <f ca="1">IF(SUMPRODUCT((ListeB='recap S1'!$B56)*(OFFSET(ListeB,,4)='recap S1'!M$3)*(OFFSET(ListeB,,1)='recap S1'!M$2))&gt;0,SUMPRODUCT((ListeB='recap S1'!$B56)*(OFFSET(ListeB,,4)='recap S1'!M$3)*(OFFSET(ListeB,,1)='recap S1'!M$2)),"")</f>
        <v/>
      </c>
      <c r="N56" s="32" t="str">
        <f ca="1">IF(SUMPRODUCT((ListeB='recap S1'!$B56)*(OFFSET(ListeB,,4)='recap S1'!N$3)*(OFFSET(ListeB,,1)='recap S1'!N$2))&gt;0,SUMPRODUCT((ListeB='recap S1'!$B56)*(OFFSET(ListeB,,4)='recap S1'!N$3)*(OFFSET(ListeB,,1)='recap S1'!N$2)),"")</f>
        <v/>
      </c>
      <c r="O56" s="32" t="str">
        <f ca="1">IF(SUMPRODUCT((ListeB='recap S1'!$B56)*(OFFSET(ListeB,,4)='recap S1'!O$3)*(OFFSET(ListeB,,1)='recap S1'!O$2))&gt;0,SUMPRODUCT((ListeB='recap S1'!$B56)*(OFFSET(ListeB,,4)='recap S1'!O$3)*(OFFSET(ListeB,,1)='recap S1'!O$2)),"")</f>
        <v/>
      </c>
      <c r="P56" s="32" t="str">
        <f ca="1">IF(SUMPRODUCT((ListeB='recap S1'!$B56)*(OFFSET(ListeB,,4)='recap S1'!P$3)*(OFFSET(ListeB,,1)='recap S1'!P$2))&gt;0,SUMPRODUCT((ListeB='recap S1'!$B56)*(OFFSET(ListeB,,4)='recap S1'!P$3)*(OFFSET(ListeB,,1)='recap S1'!P$2)),"")</f>
        <v/>
      </c>
      <c r="Q56" s="32" t="str">
        <f ca="1">IF(SUMPRODUCT((ListeB='recap S1'!$B56)*(OFFSET(ListeB,,4)='recap S1'!Q$3)*(OFFSET(ListeB,,1)='recap S1'!Q$2))&gt;0,SUMPRODUCT((ListeB='recap S1'!$B56)*(OFFSET(ListeB,,4)='recap S1'!Q$3)*(OFFSET(ListeB,,1)='recap S1'!Q$2)),"")</f>
        <v/>
      </c>
      <c r="R56" s="32" t="str">
        <f ca="1">IF(SUMPRODUCT((ListeB='recap S1'!$B56)*(OFFSET(ListeB,,4)='recap S1'!R$3)*(OFFSET(ListeB,,1)='recap S1'!R$2))&gt;0,SUMPRODUCT((ListeB='recap S1'!$B56)*(OFFSET(ListeB,,4)='recap S1'!R$3)*(OFFSET(ListeB,,1)='recap S1'!R$2)),"")</f>
        <v/>
      </c>
      <c r="S56" s="32" t="str">
        <f ca="1">IF(SUMPRODUCT((ListeB='recap S1'!$B56)*(OFFSET(ListeB,,4)='recap S1'!S$3)*(OFFSET(ListeB,,1)='recap S1'!S$2))&gt;0,SUMPRODUCT((ListeB='recap S1'!$B56)*(OFFSET(ListeB,,4)='recap S1'!S$3)*(OFFSET(ListeB,,1)='recap S1'!S$2)),"")</f>
        <v/>
      </c>
      <c r="T56" s="32" t="str">
        <f ca="1">IF(SUMPRODUCT((ListeB='recap S1'!$B56)*(OFFSET(ListeB,,4)='recap S1'!T$3)*(OFFSET(ListeB,,1)='recap S1'!T$2))&gt;0,SUMPRODUCT((ListeB='recap S1'!$B56)*(OFFSET(ListeB,,4)='recap S1'!T$3)*(OFFSET(ListeB,,1)='recap S1'!T$2)),"")</f>
        <v/>
      </c>
      <c r="U56" s="32" t="str">
        <f ca="1">IF(SUMPRODUCT((ListeB='recap S1'!$B56)*(OFFSET(ListeB,,4)='recap S1'!U$3)*(OFFSET(ListeB,,1)='recap S1'!U$2))&gt;0,SUMPRODUCT((ListeB='recap S1'!$B56)*(OFFSET(ListeB,,4)='recap S1'!U$3)*(OFFSET(ListeB,,1)='recap S1'!U$2)),"")</f>
        <v/>
      </c>
      <c r="V56" s="32" t="str">
        <f ca="1">IF(SUMPRODUCT((ListeB='recap S1'!$B56)*(OFFSET(ListeB,,4)='recap S1'!V$3)*(OFFSET(ListeB,,1)='recap S1'!V$2))&gt;0,SUMPRODUCT((ListeB='recap S1'!$B56)*(OFFSET(ListeB,,4)='recap S1'!V$3)*(OFFSET(ListeB,,1)='recap S1'!V$2)),"")</f>
        <v/>
      </c>
      <c r="W56" s="32" t="str">
        <f ca="1">IF(SUMPRODUCT((ListeB='recap S1'!$B56)*(OFFSET(ListeB,,4)='recap S1'!W$3)*(OFFSET(ListeB,,1)='recap S1'!W$2))&gt;0,SUMPRODUCT((ListeB='recap S1'!$B56)*(OFFSET(ListeB,,4)='recap S1'!W$3)*(OFFSET(ListeB,,1)='recap S1'!W$2)),"")</f>
        <v/>
      </c>
      <c r="X56" s="32" t="str">
        <f ca="1">IF(SUMPRODUCT((ListeB='recap S1'!$B56)*(OFFSET(ListeB,,4)='recap S1'!X$3)*(OFFSET(ListeB,,1)='recap S1'!X$2))&gt;0,SUMPRODUCT((ListeB='recap S1'!$B56)*(OFFSET(ListeB,,4)='recap S1'!X$3)*(OFFSET(ListeB,,1)='recap S1'!X$2)),"")</f>
        <v/>
      </c>
      <c r="Y56" s="32" t="str">
        <f ca="1">IF(SUMPRODUCT((ListeB='recap S1'!$B56)*(OFFSET(ListeB,,4)='recap S1'!Y$3)*(OFFSET(ListeB,,1)='recap S1'!Y$2))&gt;0,SUMPRODUCT((ListeB='recap S1'!$B56)*(OFFSET(ListeB,,4)='recap S1'!Y$3)*(OFFSET(ListeB,,1)='recap S1'!Y$2)),"")</f>
        <v/>
      </c>
      <c r="Z56" s="32" t="str">
        <f ca="1">IF(SUMPRODUCT((ListeB='recap S1'!$B56)*(OFFSET(ListeB,,4)='recap S1'!Z$3)*(OFFSET(ListeB,,1)='recap S1'!Z$2))&gt;0,SUMPRODUCT((ListeB='recap S1'!$B56)*(OFFSET(ListeB,,4)='recap S1'!Z$3)*(OFFSET(ListeB,,1)='recap S1'!Z$2)),"")</f>
        <v/>
      </c>
      <c r="AA56" s="32" t="str">
        <f ca="1">IF(SUMPRODUCT((ListeB='recap S1'!$B56)*(OFFSET(ListeB,,4)='recap S1'!AA$3)*(OFFSET(ListeB,,1)='recap S1'!AA$2))&gt;0,SUMPRODUCT((ListeB='recap S1'!$B56)*(OFFSET(ListeB,,4)='recap S1'!AA$3)*(OFFSET(ListeB,,1)='recap S1'!AA$2)),"")</f>
        <v/>
      </c>
      <c r="AB56" s="32" t="str">
        <f ca="1">IF(SUMPRODUCT((ListeB='recap S1'!$B56)*(OFFSET(ListeB,,4)='recap S1'!AB$3)*(OFFSET(ListeB,,1)='recap S1'!AB$2))&gt;0,SUMPRODUCT((ListeB='recap S1'!$B56)*(OFFSET(ListeB,,4)='recap S1'!AB$3)*(OFFSET(ListeB,,1)='recap S1'!AB$2)),"")</f>
        <v/>
      </c>
      <c r="AC56" s="32" t="str">
        <f ca="1">IF(SUMPRODUCT((ListeB='recap S1'!$B56)*(OFFSET(ListeB,,4)='recap S1'!AC$3)*(OFFSET(ListeB,,1)='recap S1'!AC$2))&gt;0,SUMPRODUCT((ListeB='recap S1'!$B56)*(OFFSET(ListeB,,4)='recap S1'!AC$3)*(OFFSET(ListeB,,1)='recap S1'!AC$2)),"")</f>
        <v/>
      </c>
      <c r="AD56" s="32" t="str">
        <f ca="1">IF(SUMPRODUCT((ListeB='recap S1'!$B56)*(OFFSET(ListeB,,4)='recap S1'!AD$3)*(OFFSET(ListeB,,1)='recap S1'!AD$2))&gt;0,SUMPRODUCT((ListeB='recap S1'!$B56)*(OFFSET(ListeB,,4)='recap S1'!AD$3)*(OFFSET(ListeB,,1)='recap S1'!AD$2)),"")</f>
        <v/>
      </c>
      <c r="AE56" s="32" t="str">
        <f ca="1">IF(SUMPRODUCT((ListeB='recap S1'!$B56)*(OFFSET(ListeB,,4)='recap S1'!AE$3)*(OFFSET(ListeB,,1)='recap S1'!AE$2))&gt;0,SUMPRODUCT((ListeB='recap S1'!$B56)*(OFFSET(ListeB,,4)='recap S1'!AE$3)*(OFFSET(ListeB,,1)='recap S1'!AE$2)),"")</f>
        <v/>
      </c>
      <c r="AF56" s="32" t="str">
        <f ca="1">IF(SUMPRODUCT((ListeB='recap S1'!$B56)*(OFFSET(ListeB,,4)='recap S1'!AF$3)*(OFFSET(ListeB,,1)='recap S1'!AF$2))&gt;0,SUMPRODUCT((ListeB='recap S1'!$B56)*(OFFSET(ListeB,,4)='recap S1'!AF$3)*(OFFSET(ListeB,,1)='recap S1'!AF$2)),"")</f>
        <v/>
      </c>
      <c r="AG56" s="32" t="str">
        <f ca="1">IF(SUMPRODUCT((ListeB='recap S1'!$B56)*(OFFSET(ListeB,,4)='recap S1'!AG$3)*(OFFSET(ListeB,,1)='recap S1'!AG$2))&gt;0,SUMPRODUCT((ListeB='recap S1'!$B56)*(OFFSET(ListeB,,4)='recap S1'!AG$3)*(OFFSET(ListeB,,1)='recap S1'!AG$2)),"")</f>
        <v/>
      </c>
      <c r="AH56" s="32" t="str">
        <f ca="1">IF(SUMPRODUCT((ListeB='recap S1'!$B56)*(OFFSET(ListeB,,4)='recap S1'!AH$3)*(OFFSET(ListeB,,1)='recap S1'!AH$2))&gt;0,SUMPRODUCT((ListeB='recap S1'!$B56)*(OFFSET(ListeB,,4)='recap S1'!AH$3)*(OFFSET(ListeB,,1)='recap S1'!AH$2)),"")</f>
        <v/>
      </c>
      <c r="AI56" s="32" t="str">
        <f ca="1">IF(SUMPRODUCT((ListeB='recap S1'!$B56)*(OFFSET(ListeB,,4)='recap S1'!AI$3)*(OFFSET(ListeB,,1)='recap S1'!AI$2))&gt;0,SUMPRODUCT((ListeB='recap S1'!$B56)*(OFFSET(ListeB,,4)='recap S1'!AI$3)*(OFFSET(ListeB,,1)='recap S1'!AI$2)),"")</f>
        <v/>
      </c>
      <c r="AJ56" s="32" t="str">
        <f ca="1">IF(SUMPRODUCT((ListeB='recap S1'!$B56)*(OFFSET(ListeB,,4)='recap S1'!AJ$3)*(OFFSET(ListeB,,1)='recap S1'!AJ$2))&gt;0,SUMPRODUCT((ListeB='recap S1'!$B56)*(OFFSET(ListeB,,4)='recap S1'!AJ$3)*(OFFSET(ListeB,,1)='recap S1'!AJ$2)),"")</f>
        <v/>
      </c>
      <c r="AK56" s="32" t="str">
        <f ca="1">IF(SUMPRODUCT((ListeB='recap S1'!$B56)*(OFFSET(ListeB,,4)='recap S1'!AK$3)*(OFFSET(ListeB,,1)='recap S1'!AK$2))&gt;0,SUMPRODUCT((ListeB='recap S1'!$B56)*(OFFSET(ListeB,,4)='recap S1'!AK$3)*(OFFSET(ListeB,,1)='recap S1'!AK$2)),"")</f>
        <v/>
      </c>
      <c r="AL56" s="32" t="str">
        <f ca="1">IF(SUMPRODUCT((ListeB='recap S1'!$B56)*(OFFSET(ListeB,,4)='recap S1'!AL$3)*(OFFSET(ListeB,,1)='recap S1'!AL$2))&gt;0,SUMPRODUCT((ListeB='recap S1'!$B56)*(OFFSET(ListeB,,4)='recap S1'!AL$3)*(OFFSET(ListeB,,1)='recap S1'!AL$2)),"")</f>
        <v/>
      </c>
      <c r="AM56" s="32" t="str">
        <f ca="1">IF(SUMPRODUCT((ListeB='recap S1'!$B56)*(OFFSET(ListeB,,4)='recap S1'!AM$3)*(OFFSET(ListeB,,1)='recap S1'!AM$2))&gt;0,SUMPRODUCT((ListeB='recap S1'!$B56)*(OFFSET(ListeB,,4)='recap S1'!AM$3)*(OFFSET(ListeB,,1)='recap S1'!AM$2)),"")</f>
        <v/>
      </c>
      <c r="AN56" s="32" t="str">
        <f ca="1">IF(SUMPRODUCT((ListeB='recap S1'!$B56)*(OFFSET(ListeB,,4)='recap S1'!AN$3)*(OFFSET(ListeB,,1)='recap S1'!AN$2))&gt;0,SUMPRODUCT((ListeB='recap S1'!$B56)*(OFFSET(ListeB,,4)='recap S1'!AN$3)*(OFFSET(ListeB,,1)='recap S1'!AN$2)),"")</f>
        <v/>
      </c>
      <c r="AO56" s="32" t="str">
        <f ca="1">IF(SUMPRODUCT((ListeB='recap S1'!$B56)*(OFFSET(ListeB,,4)='recap S1'!AO$3)*(OFFSET(ListeB,,1)='recap S1'!AO$2))&gt;0,SUMPRODUCT((ListeB='recap S1'!$B56)*(OFFSET(ListeB,,4)='recap S1'!AO$3)*(OFFSET(ListeB,,1)='recap S1'!AO$2)),"")</f>
        <v/>
      </c>
      <c r="AP56" s="32" t="str">
        <f ca="1">IF(SUMPRODUCT((ListeB='recap S1'!$B56)*(OFFSET(ListeB,,4)='recap S1'!AP$3)*(OFFSET(ListeB,,1)='recap S1'!AP$2))&gt;0,SUMPRODUCT((ListeB='recap S1'!$B56)*(OFFSET(ListeB,,4)='recap S1'!AP$3)*(OFFSET(ListeB,,1)='recap S1'!AP$2)),"")</f>
        <v/>
      </c>
      <c r="AQ56" s="32" t="str">
        <f ca="1">IF(SUMPRODUCT((ListeB='recap S1'!$B56)*(OFFSET(ListeB,,4)='recap S1'!AQ$3)*(OFFSET(ListeB,,1)='recap S1'!AQ$2))&gt;0,SUMPRODUCT((ListeB='recap S1'!$B56)*(OFFSET(ListeB,,4)='recap S1'!AQ$3)*(OFFSET(ListeB,,1)='recap S1'!AQ$2)),"")</f>
        <v/>
      </c>
      <c r="AR56" s="32" t="str">
        <f ca="1">IF(SUMPRODUCT((ListeB='recap S1'!$B56)*(OFFSET(ListeB,,4)='recap S1'!AR$3)*(OFFSET(ListeB,,1)='recap S1'!AR$2))&gt;0,SUMPRODUCT((ListeB='recap S1'!$B56)*(OFFSET(ListeB,,4)='recap S1'!AR$3)*(OFFSET(ListeB,,1)='recap S1'!AR$2)),"")</f>
        <v/>
      </c>
      <c r="AS56" s="32" t="str">
        <f ca="1">IF(SUMPRODUCT((ListeB='recap S1'!$B56)*(OFFSET(ListeB,,4)='recap S1'!AS$3)*(OFFSET(ListeB,,1)='recap S1'!AS$2))&gt;0,SUMPRODUCT((ListeB='recap S1'!$B56)*(OFFSET(ListeB,,4)='recap S1'!AS$3)*(OFFSET(ListeB,,1)='recap S1'!AS$2)),"")</f>
        <v/>
      </c>
      <c r="AT56" s="32" t="str">
        <f ca="1">IF(SUMPRODUCT((ListeB='recap S1'!$B56)*(OFFSET(ListeB,,4)='recap S1'!AT$3)*(OFFSET(ListeB,,1)='recap S1'!AT$2))&gt;0,SUMPRODUCT((ListeB='recap S1'!$B56)*(OFFSET(ListeB,,4)='recap S1'!AT$3)*(OFFSET(ListeB,,1)='recap S1'!AT$2)),"")</f>
        <v/>
      </c>
      <c r="AU56" s="32" t="str">
        <f ca="1">IF(SUMPRODUCT((ListeB='recap S1'!$B56)*(OFFSET(ListeB,,4)='recap S1'!AU$3)*(OFFSET(ListeB,,1)='recap S1'!AU$2))&gt;0,SUMPRODUCT((ListeB='recap S1'!$B56)*(OFFSET(ListeB,,4)='recap S1'!AU$3)*(OFFSET(ListeB,,1)='recap S1'!AU$2)),"")</f>
        <v/>
      </c>
      <c r="AV56" s="32" t="str">
        <f ca="1">IF(SUMPRODUCT((ListeB='recap S1'!$B56)*(OFFSET(ListeB,,4)='recap S1'!AV$3)*(OFFSET(ListeB,,1)='recap S1'!AV$2))&gt;0,SUMPRODUCT((ListeB='recap S1'!$B56)*(OFFSET(ListeB,,4)='recap S1'!AV$3)*(OFFSET(ListeB,,1)='recap S1'!AV$2)),"")</f>
        <v/>
      </c>
      <c r="AW56" s="32" t="str">
        <f ca="1">IF(SUMPRODUCT((ListeB='recap S1'!$B56)*(OFFSET(ListeB,,4)='recap S1'!AW$3)*(OFFSET(ListeB,,1)='recap S1'!AW$2))&gt;0,SUMPRODUCT((ListeB='recap S1'!$B56)*(OFFSET(ListeB,,4)='recap S1'!AW$3)*(OFFSET(ListeB,,1)='recap S1'!AW$2)),"")</f>
        <v/>
      </c>
      <c r="AX56" s="32" t="str">
        <f ca="1">IF(SUMPRODUCT((ListeB='recap S1'!$B56)*(OFFSET(ListeB,,4)='recap S1'!AX$3)*(OFFSET(ListeB,,1)='recap S1'!AX$2))&gt;0,SUMPRODUCT((ListeB='recap S1'!$B56)*(OFFSET(ListeB,,4)='recap S1'!AX$3)*(OFFSET(ListeB,,1)='recap S1'!AX$2)),"")</f>
        <v/>
      </c>
      <c r="AY56" s="32" t="str">
        <f ca="1">IF(SUMPRODUCT((ListeB='recap S1'!$B56)*(OFFSET(ListeB,,4)='recap S1'!AY$3)*(OFFSET(ListeB,,1)='recap S1'!AY$2))&gt;0,SUMPRODUCT((ListeB='recap S1'!$B56)*(OFFSET(ListeB,,4)='recap S1'!AY$3)*(OFFSET(ListeB,,1)='recap S1'!AY$2)),"")</f>
        <v/>
      </c>
      <c r="AZ56" s="32">
        <f t="shared" ca="1" si="1"/>
        <v>0</v>
      </c>
    </row>
    <row r="57" spans="1:52">
      <c r="A57" s="41" t="str">
        <f>IF('SEANCE 1'!$B55&lt;&gt;"",'SEANCE 1'!$A55,"")</f>
        <v/>
      </c>
      <c r="B57" s="41" t="str">
        <f t="array" aca="1" ref="B57" ca="1">IF(ISNA(INDEX(ListeB,MATCH(0,COUNTIF($B$3:B56,ListeB),0))),"",INDEX(ListeB,MATCH(0,COUNTIF($B$3:B56,ListeB),0)))</f>
        <v/>
      </c>
      <c r="C57" s="32" t="str">
        <f ca="1">IF(SUMPRODUCT((ListeB='recap S1'!$B57)*(OFFSET(ListeB,,4)='recap S1'!C$3)*(OFFSET(ListeB,,1)='recap S1'!C$2))&gt;0,SUMPRODUCT((ListeB='recap S1'!$B57)*(OFFSET(ListeB,,4)='recap S1'!C$3)*(OFFSET(ListeB,,1)='recap S1'!C$2)),"")</f>
        <v/>
      </c>
      <c r="D57" s="32" t="str">
        <f ca="1">IF(SUMPRODUCT((ListeB='recap S1'!$B57)*(OFFSET(ListeB,,4)='recap S1'!D$3)*(OFFSET(ListeB,,1)='recap S1'!D$2))&gt;0,SUMPRODUCT((ListeB='recap S1'!$B57)*(OFFSET(ListeB,,4)='recap S1'!D$3)*(OFFSET(ListeB,,1)='recap S1'!D$2)),"")</f>
        <v/>
      </c>
      <c r="E57" s="32" t="str">
        <f ca="1">IF(SUMPRODUCT((ListeB='recap S1'!$B57)*(OFFSET(ListeB,,4)='recap S1'!E$3)*(OFFSET(ListeB,,1)='recap S1'!E$2))&gt;0,SUMPRODUCT((ListeB='recap S1'!$B57)*(OFFSET(ListeB,,4)='recap S1'!E$3)*(OFFSET(ListeB,,1)='recap S1'!E$2)),"")</f>
        <v/>
      </c>
      <c r="F57" s="32" t="str">
        <f ca="1">IF(SUMPRODUCT((ListeB='recap S1'!$B57)*(OFFSET(ListeB,,4)='recap S1'!F$3)*(OFFSET(ListeB,,1)='recap S1'!F$2))&gt;0,SUMPRODUCT((ListeB='recap S1'!$B57)*(OFFSET(ListeB,,4)='recap S1'!F$3)*(OFFSET(ListeB,,1)='recap S1'!F$2)),"")</f>
        <v/>
      </c>
      <c r="G57" s="32" t="str">
        <f ca="1">IF(SUMPRODUCT((ListeB='recap S1'!$B57)*(OFFSET(ListeB,,4)='recap S1'!G$3)*(OFFSET(ListeB,,1)='recap S1'!G$2))&gt;0,SUMPRODUCT((ListeB='recap S1'!$B57)*(OFFSET(ListeB,,4)='recap S1'!G$3)*(OFFSET(ListeB,,1)='recap S1'!G$2)),"")</f>
        <v/>
      </c>
      <c r="H57" s="32" t="str">
        <f ca="1">IF(SUMPRODUCT((ListeB='recap S1'!$B57)*(OFFSET(ListeB,,4)='recap S1'!H$3)*(OFFSET(ListeB,,1)='recap S1'!H$2))&gt;0,SUMPRODUCT((ListeB='recap S1'!$B57)*(OFFSET(ListeB,,4)='recap S1'!H$3)*(OFFSET(ListeB,,1)='recap S1'!H$2)),"")</f>
        <v/>
      </c>
      <c r="I57" s="32" t="str">
        <f ca="1">IF(SUMPRODUCT((ListeB='recap S1'!$B57)*(OFFSET(ListeB,,4)='recap S1'!I$3)*(OFFSET(ListeB,,1)='recap S1'!I$2))&gt;0,SUMPRODUCT((ListeB='recap S1'!$B57)*(OFFSET(ListeB,,4)='recap S1'!I$3)*(OFFSET(ListeB,,1)='recap S1'!I$2)),"")</f>
        <v/>
      </c>
      <c r="J57" s="32" t="str">
        <f ca="1">IF(SUMPRODUCT((ListeB='recap S1'!$B57)*(OFFSET(ListeB,,4)='recap S1'!J$3)*(OFFSET(ListeB,,1)='recap S1'!J$2))&gt;0,SUMPRODUCT((ListeB='recap S1'!$B57)*(OFFSET(ListeB,,4)='recap S1'!J$3)*(OFFSET(ListeB,,1)='recap S1'!J$2)),"")</f>
        <v/>
      </c>
      <c r="K57" s="32" t="str">
        <f ca="1">IF(SUMPRODUCT((ListeB='recap S1'!$B57)*(OFFSET(ListeB,,4)='recap S1'!K$3)*(OFFSET(ListeB,,1)='recap S1'!K$2))&gt;0,SUMPRODUCT((ListeB='recap S1'!$B57)*(OFFSET(ListeB,,4)='recap S1'!K$3)*(OFFSET(ListeB,,1)='recap S1'!K$2)),"")</f>
        <v/>
      </c>
      <c r="L57" s="32" t="str">
        <f ca="1">IF(SUMPRODUCT((ListeB='recap S1'!$B57)*(OFFSET(ListeB,,4)='recap S1'!L$3)*(OFFSET(ListeB,,1)='recap S1'!L$2))&gt;0,SUMPRODUCT((ListeB='recap S1'!$B57)*(OFFSET(ListeB,,4)='recap S1'!L$3)*(OFFSET(ListeB,,1)='recap S1'!L$2)),"")</f>
        <v/>
      </c>
      <c r="M57" s="32" t="str">
        <f ca="1">IF(SUMPRODUCT((ListeB='recap S1'!$B57)*(OFFSET(ListeB,,4)='recap S1'!M$3)*(OFFSET(ListeB,,1)='recap S1'!M$2))&gt;0,SUMPRODUCT((ListeB='recap S1'!$B57)*(OFFSET(ListeB,,4)='recap S1'!M$3)*(OFFSET(ListeB,,1)='recap S1'!M$2)),"")</f>
        <v/>
      </c>
      <c r="N57" s="32" t="str">
        <f ca="1">IF(SUMPRODUCT((ListeB='recap S1'!$B57)*(OFFSET(ListeB,,4)='recap S1'!N$3)*(OFFSET(ListeB,,1)='recap S1'!N$2))&gt;0,SUMPRODUCT((ListeB='recap S1'!$B57)*(OFFSET(ListeB,,4)='recap S1'!N$3)*(OFFSET(ListeB,,1)='recap S1'!N$2)),"")</f>
        <v/>
      </c>
      <c r="O57" s="32" t="str">
        <f ca="1">IF(SUMPRODUCT((ListeB='recap S1'!$B57)*(OFFSET(ListeB,,4)='recap S1'!O$3)*(OFFSET(ListeB,,1)='recap S1'!O$2))&gt;0,SUMPRODUCT((ListeB='recap S1'!$B57)*(OFFSET(ListeB,,4)='recap S1'!O$3)*(OFFSET(ListeB,,1)='recap S1'!O$2)),"")</f>
        <v/>
      </c>
      <c r="P57" s="32" t="str">
        <f ca="1">IF(SUMPRODUCT((ListeB='recap S1'!$B57)*(OFFSET(ListeB,,4)='recap S1'!P$3)*(OFFSET(ListeB,,1)='recap S1'!P$2))&gt;0,SUMPRODUCT((ListeB='recap S1'!$B57)*(OFFSET(ListeB,,4)='recap S1'!P$3)*(OFFSET(ListeB,,1)='recap S1'!P$2)),"")</f>
        <v/>
      </c>
      <c r="Q57" s="32" t="str">
        <f ca="1">IF(SUMPRODUCT((ListeB='recap S1'!$B57)*(OFFSET(ListeB,,4)='recap S1'!Q$3)*(OFFSET(ListeB,,1)='recap S1'!Q$2))&gt;0,SUMPRODUCT((ListeB='recap S1'!$B57)*(OFFSET(ListeB,,4)='recap S1'!Q$3)*(OFFSET(ListeB,,1)='recap S1'!Q$2)),"")</f>
        <v/>
      </c>
      <c r="R57" s="32" t="str">
        <f ca="1">IF(SUMPRODUCT((ListeB='recap S1'!$B57)*(OFFSET(ListeB,,4)='recap S1'!R$3)*(OFFSET(ListeB,,1)='recap S1'!R$2))&gt;0,SUMPRODUCT((ListeB='recap S1'!$B57)*(OFFSET(ListeB,,4)='recap S1'!R$3)*(OFFSET(ListeB,,1)='recap S1'!R$2)),"")</f>
        <v/>
      </c>
      <c r="S57" s="32" t="str">
        <f ca="1">IF(SUMPRODUCT((ListeB='recap S1'!$B57)*(OFFSET(ListeB,,4)='recap S1'!S$3)*(OFFSET(ListeB,,1)='recap S1'!S$2))&gt;0,SUMPRODUCT((ListeB='recap S1'!$B57)*(OFFSET(ListeB,,4)='recap S1'!S$3)*(OFFSET(ListeB,,1)='recap S1'!S$2)),"")</f>
        <v/>
      </c>
      <c r="T57" s="32" t="str">
        <f ca="1">IF(SUMPRODUCT((ListeB='recap S1'!$B57)*(OFFSET(ListeB,,4)='recap S1'!T$3)*(OFFSET(ListeB,,1)='recap S1'!T$2))&gt;0,SUMPRODUCT((ListeB='recap S1'!$B57)*(OFFSET(ListeB,,4)='recap S1'!T$3)*(OFFSET(ListeB,,1)='recap S1'!T$2)),"")</f>
        <v/>
      </c>
      <c r="U57" s="32" t="str">
        <f ca="1">IF(SUMPRODUCT((ListeB='recap S1'!$B57)*(OFFSET(ListeB,,4)='recap S1'!U$3)*(OFFSET(ListeB,,1)='recap S1'!U$2))&gt;0,SUMPRODUCT((ListeB='recap S1'!$B57)*(OFFSET(ListeB,,4)='recap S1'!U$3)*(OFFSET(ListeB,,1)='recap S1'!U$2)),"")</f>
        <v/>
      </c>
      <c r="V57" s="32" t="str">
        <f ca="1">IF(SUMPRODUCT((ListeB='recap S1'!$B57)*(OFFSET(ListeB,,4)='recap S1'!V$3)*(OFFSET(ListeB,,1)='recap S1'!V$2))&gt;0,SUMPRODUCT((ListeB='recap S1'!$B57)*(OFFSET(ListeB,,4)='recap S1'!V$3)*(OFFSET(ListeB,,1)='recap S1'!V$2)),"")</f>
        <v/>
      </c>
      <c r="W57" s="32" t="str">
        <f ca="1">IF(SUMPRODUCT((ListeB='recap S1'!$B57)*(OFFSET(ListeB,,4)='recap S1'!W$3)*(OFFSET(ListeB,,1)='recap S1'!W$2))&gt;0,SUMPRODUCT((ListeB='recap S1'!$B57)*(OFFSET(ListeB,,4)='recap S1'!W$3)*(OFFSET(ListeB,,1)='recap S1'!W$2)),"")</f>
        <v/>
      </c>
      <c r="X57" s="32" t="str">
        <f ca="1">IF(SUMPRODUCT((ListeB='recap S1'!$B57)*(OFFSET(ListeB,,4)='recap S1'!X$3)*(OFFSET(ListeB,,1)='recap S1'!X$2))&gt;0,SUMPRODUCT((ListeB='recap S1'!$B57)*(OFFSET(ListeB,,4)='recap S1'!X$3)*(OFFSET(ListeB,,1)='recap S1'!X$2)),"")</f>
        <v/>
      </c>
      <c r="Y57" s="32" t="str">
        <f ca="1">IF(SUMPRODUCT((ListeB='recap S1'!$B57)*(OFFSET(ListeB,,4)='recap S1'!Y$3)*(OFFSET(ListeB,,1)='recap S1'!Y$2))&gt;0,SUMPRODUCT((ListeB='recap S1'!$B57)*(OFFSET(ListeB,,4)='recap S1'!Y$3)*(OFFSET(ListeB,,1)='recap S1'!Y$2)),"")</f>
        <v/>
      </c>
      <c r="Z57" s="32" t="str">
        <f ca="1">IF(SUMPRODUCT((ListeB='recap S1'!$B57)*(OFFSET(ListeB,,4)='recap S1'!Z$3)*(OFFSET(ListeB,,1)='recap S1'!Z$2))&gt;0,SUMPRODUCT((ListeB='recap S1'!$B57)*(OFFSET(ListeB,,4)='recap S1'!Z$3)*(OFFSET(ListeB,,1)='recap S1'!Z$2)),"")</f>
        <v/>
      </c>
      <c r="AA57" s="32" t="str">
        <f ca="1">IF(SUMPRODUCT((ListeB='recap S1'!$B57)*(OFFSET(ListeB,,4)='recap S1'!AA$3)*(OFFSET(ListeB,,1)='recap S1'!AA$2))&gt;0,SUMPRODUCT((ListeB='recap S1'!$B57)*(OFFSET(ListeB,,4)='recap S1'!AA$3)*(OFFSET(ListeB,,1)='recap S1'!AA$2)),"")</f>
        <v/>
      </c>
      <c r="AB57" s="32" t="str">
        <f ca="1">IF(SUMPRODUCT((ListeB='recap S1'!$B57)*(OFFSET(ListeB,,4)='recap S1'!AB$3)*(OFFSET(ListeB,,1)='recap S1'!AB$2))&gt;0,SUMPRODUCT((ListeB='recap S1'!$B57)*(OFFSET(ListeB,,4)='recap S1'!AB$3)*(OFFSET(ListeB,,1)='recap S1'!AB$2)),"")</f>
        <v/>
      </c>
      <c r="AC57" s="32" t="str">
        <f ca="1">IF(SUMPRODUCT((ListeB='recap S1'!$B57)*(OFFSET(ListeB,,4)='recap S1'!AC$3)*(OFFSET(ListeB,,1)='recap S1'!AC$2))&gt;0,SUMPRODUCT((ListeB='recap S1'!$B57)*(OFFSET(ListeB,,4)='recap S1'!AC$3)*(OFFSET(ListeB,,1)='recap S1'!AC$2)),"")</f>
        <v/>
      </c>
      <c r="AD57" s="32" t="str">
        <f ca="1">IF(SUMPRODUCT((ListeB='recap S1'!$B57)*(OFFSET(ListeB,,4)='recap S1'!AD$3)*(OFFSET(ListeB,,1)='recap S1'!AD$2))&gt;0,SUMPRODUCT((ListeB='recap S1'!$B57)*(OFFSET(ListeB,,4)='recap S1'!AD$3)*(OFFSET(ListeB,,1)='recap S1'!AD$2)),"")</f>
        <v/>
      </c>
      <c r="AE57" s="32" t="str">
        <f ca="1">IF(SUMPRODUCT((ListeB='recap S1'!$B57)*(OFFSET(ListeB,,4)='recap S1'!AE$3)*(OFFSET(ListeB,,1)='recap S1'!AE$2))&gt;0,SUMPRODUCT((ListeB='recap S1'!$B57)*(OFFSET(ListeB,,4)='recap S1'!AE$3)*(OFFSET(ListeB,,1)='recap S1'!AE$2)),"")</f>
        <v/>
      </c>
      <c r="AF57" s="32" t="str">
        <f ca="1">IF(SUMPRODUCT((ListeB='recap S1'!$B57)*(OFFSET(ListeB,,4)='recap S1'!AF$3)*(OFFSET(ListeB,,1)='recap S1'!AF$2))&gt;0,SUMPRODUCT((ListeB='recap S1'!$B57)*(OFFSET(ListeB,,4)='recap S1'!AF$3)*(OFFSET(ListeB,,1)='recap S1'!AF$2)),"")</f>
        <v/>
      </c>
      <c r="AG57" s="32" t="str">
        <f ca="1">IF(SUMPRODUCT((ListeB='recap S1'!$B57)*(OFFSET(ListeB,,4)='recap S1'!AG$3)*(OFFSET(ListeB,,1)='recap S1'!AG$2))&gt;0,SUMPRODUCT((ListeB='recap S1'!$B57)*(OFFSET(ListeB,,4)='recap S1'!AG$3)*(OFFSET(ListeB,,1)='recap S1'!AG$2)),"")</f>
        <v/>
      </c>
      <c r="AH57" s="32" t="str">
        <f ca="1">IF(SUMPRODUCT((ListeB='recap S1'!$B57)*(OFFSET(ListeB,,4)='recap S1'!AH$3)*(OFFSET(ListeB,,1)='recap S1'!AH$2))&gt;0,SUMPRODUCT((ListeB='recap S1'!$B57)*(OFFSET(ListeB,,4)='recap S1'!AH$3)*(OFFSET(ListeB,,1)='recap S1'!AH$2)),"")</f>
        <v/>
      </c>
      <c r="AI57" s="32" t="str">
        <f ca="1">IF(SUMPRODUCT((ListeB='recap S1'!$B57)*(OFFSET(ListeB,,4)='recap S1'!AI$3)*(OFFSET(ListeB,,1)='recap S1'!AI$2))&gt;0,SUMPRODUCT((ListeB='recap S1'!$B57)*(OFFSET(ListeB,,4)='recap S1'!AI$3)*(OFFSET(ListeB,,1)='recap S1'!AI$2)),"")</f>
        <v/>
      </c>
      <c r="AJ57" s="32" t="str">
        <f ca="1">IF(SUMPRODUCT((ListeB='recap S1'!$B57)*(OFFSET(ListeB,,4)='recap S1'!AJ$3)*(OFFSET(ListeB,,1)='recap S1'!AJ$2))&gt;0,SUMPRODUCT((ListeB='recap S1'!$B57)*(OFFSET(ListeB,,4)='recap S1'!AJ$3)*(OFFSET(ListeB,,1)='recap S1'!AJ$2)),"")</f>
        <v/>
      </c>
      <c r="AK57" s="32" t="str">
        <f ca="1">IF(SUMPRODUCT((ListeB='recap S1'!$B57)*(OFFSET(ListeB,,4)='recap S1'!AK$3)*(OFFSET(ListeB,,1)='recap S1'!AK$2))&gt;0,SUMPRODUCT((ListeB='recap S1'!$B57)*(OFFSET(ListeB,,4)='recap S1'!AK$3)*(OFFSET(ListeB,,1)='recap S1'!AK$2)),"")</f>
        <v/>
      </c>
      <c r="AL57" s="32" t="str">
        <f ca="1">IF(SUMPRODUCT((ListeB='recap S1'!$B57)*(OFFSET(ListeB,,4)='recap S1'!AL$3)*(OFFSET(ListeB,,1)='recap S1'!AL$2))&gt;0,SUMPRODUCT((ListeB='recap S1'!$B57)*(OFFSET(ListeB,,4)='recap S1'!AL$3)*(OFFSET(ListeB,,1)='recap S1'!AL$2)),"")</f>
        <v/>
      </c>
      <c r="AM57" s="32" t="str">
        <f ca="1">IF(SUMPRODUCT((ListeB='recap S1'!$B57)*(OFFSET(ListeB,,4)='recap S1'!AM$3)*(OFFSET(ListeB,,1)='recap S1'!AM$2))&gt;0,SUMPRODUCT((ListeB='recap S1'!$B57)*(OFFSET(ListeB,,4)='recap S1'!AM$3)*(OFFSET(ListeB,,1)='recap S1'!AM$2)),"")</f>
        <v/>
      </c>
      <c r="AN57" s="32" t="str">
        <f ca="1">IF(SUMPRODUCT((ListeB='recap S1'!$B57)*(OFFSET(ListeB,,4)='recap S1'!AN$3)*(OFFSET(ListeB,,1)='recap S1'!AN$2))&gt;0,SUMPRODUCT((ListeB='recap S1'!$B57)*(OFFSET(ListeB,,4)='recap S1'!AN$3)*(OFFSET(ListeB,,1)='recap S1'!AN$2)),"")</f>
        <v/>
      </c>
      <c r="AO57" s="32" t="str">
        <f ca="1">IF(SUMPRODUCT((ListeB='recap S1'!$B57)*(OFFSET(ListeB,,4)='recap S1'!AO$3)*(OFFSET(ListeB,,1)='recap S1'!AO$2))&gt;0,SUMPRODUCT((ListeB='recap S1'!$B57)*(OFFSET(ListeB,,4)='recap S1'!AO$3)*(OFFSET(ListeB,,1)='recap S1'!AO$2)),"")</f>
        <v/>
      </c>
      <c r="AP57" s="32" t="str">
        <f ca="1">IF(SUMPRODUCT((ListeB='recap S1'!$B57)*(OFFSET(ListeB,,4)='recap S1'!AP$3)*(OFFSET(ListeB,,1)='recap S1'!AP$2))&gt;0,SUMPRODUCT((ListeB='recap S1'!$B57)*(OFFSET(ListeB,,4)='recap S1'!AP$3)*(OFFSET(ListeB,,1)='recap S1'!AP$2)),"")</f>
        <v/>
      </c>
      <c r="AQ57" s="32" t="str">
        <f ca="1">IF(SUMPRODUCT((ListeB='recap S1'!$B57)*(OFFSET(ListeB,,4)='recap S1'!AQ$3)*(OFFSET(ListeB,,1)='recap S1'!AQ$2))&gt;0,SUMPRODUCT((ListeB='recap S1'!$B57)*(OFFSET(ListeB,,4)='recap S1'!AQ$3)*(OFFSET(ListeB,,1)='recap S1'!AQ$2)),"")</f>
        <v/>
      </c>
      <c r="AR57" s="32" t="str">
        <f ca="1">IF(SUMPRODUCT((ListeB='recap S1'!$B57)*(OFFSET(ListeB,,4)='recap S1'!AR$3)*(OFFSET(ListeB,,1)='recap S1'!AR$2))&gt;0,SUMPRODUCT((ListeB='recap S1'!$B57)*(OFFSET(ListeB,,4)='recap S1'!AR$3)*(OFFSET(ListeB,,1)='recap S1'!AR$2)),"")</f>
        <v/>
      </c>
      <c r="AS57" s="32" t="str">
        <f ca="1">IF(SUMPRODUCT((ListeB='recap S1'!$B57)*(OFFSET(ListeB,,4)='recap S1'!AS$3)*(OFFSET(ListeB,,1)='recap S1'!AS$2))&gt;0,SUMPRODUCT((ListeB='recap S1'!$B57)*(OFFSET(ListeB,,4)='recap S1'!AS$3)*(OFFSET(ListeB,,1)='recap S1'!AS$2)),"")</f>
        <v/>
      </c>
      <c r="AT57" s="32" t="str">
        <f ca="1">IF(SUMPRODUCT((ListeB='recap S1'!$B57)*(OFFSET(ListeB,,4)='recap S1'!AT$3)*(OFFSET(ListeB,,1)='recap S1'!AT$2))&gt;0,SUMPRODUCT((ListeB='recap S1'!$B57)*(OFFSET(ListeB,,4)='recap S1'!AT$3)*(OFFSET(ListeB,,1)='recap S1'!AT$2)),"")</f>
        <v/>
      </c>
      <c r="AU57" s="32" t="str">
        <f ca="1">IF(SUMPRODUCT((ListeB='recap S1'!$B57)*(OFFSET(ListeB,,4)='recap S1'!AU$3)*(OFFSET(ListeB,,1)='recap S1'!AU$2))&gt;0,SUMPRODUCT((ListeB='recap S1'!$B57)*(OFFSET(ListeB,,4)='recap S1'!AU$3)*(OFFSET(ListeB,,1)='recap S1'!AU$2)),"")</f>
        <v/>
      </c>
      <c r="AV57" s="32" t="str">
        <f ca="1">IF(SUMPRODUCT((ListeB='recap S1'!$B57)*(OFFSET(ListeB,,4)='recap S1'!AV$3)*(OFFSET(ListeB,,1)='recap S1'!AV$2))&gt;0,SUMPRODUCT((ListeB='recap S1'!$B57)*(OFFSET(ListeB,,4)='recap S1'!AV$3)*(OFFSET(ListeB,,1)='recap S1'!AV$2)),"")</f>
        <v/>
      </c>
      <c r="AW57" s="32" t="str">
        <f ca="1">IF(SUMPRODUCT((ListeB='recap S1'!$B57)*(OFFSET(ListeB,,4)='recap S1'!AW$3)*(OFFSET(ListeB,,1)='recap S1'!AW$2))&gt;0,SUMPRODUCT((ListeB='recap S1'!$B57)*(OFFSET(ListeB,,4)='recap S1'!AW$3)*(OFFSET(ListeB,,1)='recap S1'!AW$2)),"")</f>
        <v/>
      </c>
      <c r="AX57" s="32" t="str">
        <f ca="1">IF(SUMPRODUCT((ListeB='recap S1'!$B57)*(OFFSET(ListeB,,4)='recap S1'!AX$3)*(OFFSET(ListeB,,1)='recap S1'!AX$2))&gt;0,SUMPRODUCT((ListeB='recap S1'!$B57)*(OFFSET(ListeB,,4)='recap S1'!AX$3)*(OFFSET(ListeB,,1)='recap S1'!AX$2)),"")</f>
        <v/>
      </c>
      <c r="AY57" s="32" t="str">
        <f ca="1">IF(SUMPRODUCT((ListeB='recap S1'!$B57)*(OFFSET(ListeB,,4)='recap S1'!AY$3)*(OFFSET(ListeB,,1)='recap S1'!AY$2))&gt;0,SUMPRODUCT((ListeB='recap S1'!$B57)*(OFFSET(ListeB,,4)='recap S1'!AY$3)*(OFFSET(ListeB,,1)='recap S1'!AY$2)),"")</f>
        <v/>
      </c>
      <c r="AZ57" s="32">
        <f t="shared" ca="1" si="1"/>
        <v>0</v>
      </c>
    </row>
    <row r="58" spans="1:52">
      <c r="A58" s="41" t="str">
        <f>IF('SEANCE 1'!$B56&lt;&gt;"",'SEANCE 1'!$A56,"")</f>
        <v/>
      </c>
      <c r="B58" s="41" t="str">
        <f t="array" aca="1" ref="B58" ca="1">IF(ISNA(INDEX(ListeB,MATCH(0,COUNTIF($B$3:B57,ListeB),0))),"",INDEX(ListeB,MATCH(0,COUNTIF($B$3:B57,ListeB),0)))</f>
        <v/>
      </c>
      <c r="C58" s="32" t="str">
        <f ca="1">IF(SUMPRODUCT((ListeB='recap S1'!$B58)*(OFFSET(ListeB,,4)='recap S1'!C$3)*(OFFSET(ListeB,,1)='recap S1'!C$2))&gt;0,SUMPRODUCT((ListeB='recap S1'!$B58)*(OFFSET(ListeB,,4)='recap S1'!C$3)*(OFFSET(ListeB,,1)='recap S1'!C$2)),"")</f>
        <v/>
      </c>
      <c r="D58" s="32" t="str">
        <f ca="1">IF(SUMPRODUCT((ListeB='recap S1'!$B58)*(OFFSET(ListeB,,4)='recap S1'!D$3)*(OFFSET(ListeB,,1)='recap S1'!D$2))&gt;0,SUMPRODUCT((ListeB='recap S1'!$B58)*(OFFSET(ListeB,,4)='recap S1'!D$3)*(OFFSET(ListeB,,1)='recap S1'!D$2)),"")</f>
        <v/>
      </c>
      <c r="E58" s="32" t="str">
        <f ca="1">IF(SUMPRODUCT((ListeB='recap S1'!$B58)*(OFFSET(ListeB,,4)='recap S1'!E$3)*(OFFSET(ListeB,,1)='recap S1'!E$2))&gt;0,SUMPRODUCT((ListeB='recap S1'!$B58)*(OFFSET(ListeB,,4)='recap S1'!E$3)*(OFFSET(ListeB,,1)='recap S1'!E$2)),"")</f>
        <v/>
      </c>
      <c r="F58" s="32" t="str">
        <f ca="1">IF(SUMPRODUCT((ListeB='recap S1'!$B58)*(OFFSET(ListeB,,4)='recap S1'!F$3)*(OFFSET(ListeB,,1)='recap S1'!F$2))&gt;0,SUMPRODUCT((ListeB='recap S1'!$B58)*(OFFSET(ListeB,,4)='recap S1'!F$3)*(OFFSET(ListeB,,1)='recap S1'!F$2)),"")</f>
        <v/>
      </c>
      <c r="G58" s="32" t="str">
        <f ca="1">IF(SUMPRODUCT((ListeB='recap S1'!$B58)*(OFFSET(ListeB,,4)='recap S1'!G$3)*(OFFSET(ListeB,,1)='recap S1'!G$2))&gt;0,SUMPRODUCT((ListeB='recap S1'!$B58)*(OFFSET(ListeB,,4)='recap S1'!G$3)*(OFFSET(ListeB,,1)='recap S1'!G$2)),"")</f>
        <v/>
      </c>
      <c r="H58" s="32" t="str">
        <f ca="1">IF(SUMPRODUCT((ListeB='recap S1'!$B58)*(OFFSET(ListeB,,4)='recap S1'!H$3)*(OFFSET(ListeB,,1)='recap S1'!H$2))&gt;0,SUMPRODUCT((ListeB='recap S1'!$B58)*(OFFSET(ListeB,,4)='recap S1'!H$3)*(OFFSET(ListeB,,1)='recap S1'!H$2)),"")</f>
        <v/>
      </c>
      <c r="I58" s="32" t="str">
        <f ca="1">IF(SUMPRODUCT((ListeB='recap S1'!$B58)*(OFFSET(ListeB,,4)='recap S1'!I$3)*(OFFSET(ListeB,,1)='recap S1'!I$2))&gt;0,SUMPRODUCT((ListeB='recap S1'!$B58)*(OFFSET(ListeB,,4)='recap S1'!I$3)*(OFFSET(ListeB,,1)='recap S1'!I$2)),"")</f>
        <v/>
      </c>
      <c r="J58" s="32" t="str">
        <f ca="1">IF(SUMPRODUCT((ListeB='recap S1'!$B58)*(OFFSET(ListeB,,4)='recap S1'!J$3)*(OFFSET(ListeB,,1)='recap S1'!J$2))&gt;0,SUMPRODUCT((ListeB='recap S1'!$B58)*(OFFSET(ListeB,,4)='recap S1'!J$3)*(OFFSET(ListeB,,1)='recap S1'!J$2)),"")</f>
        <v/>
      </c>
      <c r="K58" s="32" t="str">
        <f ca="1">IF(SUMPRODUCT((ListeB='recap S1'!$B58)*(OFFSET(ListeB,,4)='recap S1'!K$3)*(OFFSET(ListeB,,1)='recap S1'!K$2))&gt;0,SUMPRODUCT((ListeB='recap S1'!$B58)*(OFFSET(ListeB,,4)='recap S1'!K$3)*(OFFSET(ListeB,,1)='recap S1'!K$2)),"")</f>
        <v/>
      </c>
      <c r="L58" s="32" t="str">
        <f ca="1">IF(SUMPRODUCT((ListeB='recap S1'!$B58)*(OFFSET(ListeB,,4)='recap S1'!L$3)*(OFFSET(ListeB,,1)='recap S1'!L$2))&gt;0,SUMPRODUCT((ListeB='recap S1'!$B58)*(OFFSET(ListeB,,4)='recap S1'!L$3)*(OFFSET(ListeB,,1)='recap S1'!L$2)),"")</f>
        <v/>
      </c>
      <c r="M58" s="32" t="str">
        <f ca="1">IF(SUMPRODUCT((ListeB='recap S1'!$B58)*(OFFSET(ListeB,,4)='recap S1'!M$3)*(OFFSET(ListeB,,1)='recap S1'!M$2))&gt;0,SUMPRODUCT((ListeB='recap S1'!$B58)*(OFFSET(ListeB,,4)='recap S1'!M$3)*(OFFSET(ListeB,,1)='recap S1'!M$2)),"")</f>
        <v/>
      </c>
      <c r="N58" s="32" t="str">
        <f ca="1">IF(SUMPRODUCT((ListeB='recap S1'!$B58)*(OFFSET(ListeB,,4)='recap S1'!N$3)*(OFFSET(ListeB,,1)='recap S1'!N$2))&gt;0,SUMPRODUCT((ListeB='recap S1'!$B58)*(OFFSET(ListeB,,4)='recap S1'!N$3)*(OFFSET(ListeB,,1)='recap S1'!N$2)),"")</f>
        <v/>
      </c>
      <c r="O58" s="32" t="str">
        <f ca="1">IF(SUMPRODUCT((ListeB='recap S1'!$B58)*(OFFSET(ListeB,,4)='recap S1'!O$3)*(OFFSET(ListeB,,1)='recap S1'!O$2))&gt;0,SUMPRODUCT((ListeB='recap S1'!$B58)*(OFFSET(ListeB,,4)='recap S1'!O$3)*(OFFSET(ListeB,,1)='recap S1'!O$2)),"")</f>
        <v/>
      </c>
      <c r="P58" s="32" t="str">
        <f ca="1">IF(SUMPRODUCT((ListeB='recap S1'!$B58)*(OFFSET(ListeB,,4)='recap S1'!P$3)*(OFFSET(ListeB,,1)='recap S1'!P$2))&gt;0,SUMPRODUCT((ListeB='recap S1'!$B58)*(OFFSET(ListeB,,4)='recap S1'!P$3)*(OFFSET(ListeB,,1)='recap S1'!P$2)),"")</f>
        <v/>
      </c>
      <c r="Q58" s="32" t="str">
        <f ca="1">IF(SUMPRODUCT((ListeB='recap S1'!$B58)*(OFFSET(ListeB,,4)='recap S1'!Q$3)*(OFFSET(ListeB,,1)='recap S1'!Q$2))&gt;0,SUMPRODUCT((ListeB='recap S1'!$B58)*(OFFSET(ListeB,,4)='recap S1'!Q$3)*(OFFSET(ListeB,,1)='recap S1'!Q$2)),"")</f>
        <v/>
      </c>
      <c r="R58" s="32" t="str">
        <f ca="1">IF(SUMPRODUCT((ListeB='recap S1'!$B58)*(OFFSET(ListeB,,4)='recap S1'!R$3)*(OFFSET(ListeB,,1)='recap S1'!R$2))&gt;0,SUMPRODUCT((ListeB='recap S1'!$B58)*(OFFSET(ListeB,,4)='recap S1'!R$3)*(OFFSET(ListeB,,1)='recap S1'!R$2)),"")</f>
        <v/>
      </c>
      <c r="S58" s="32" t="str">
        <f ca="1">IF(SUMPRODUCT((ListeB='recap S1'!$B58)*(OFFSET(ListeB,,4)='recap S1'!S$3)*(OFFSET(ListeB,,1)='recap S1'!S$2))&gt;0,SUMPRODUCT((ListeB='recap S1'!$B58)*(OFFSET(ListeB,,4)='recap S1'!S$3)*(OFFSET(ListeB,,1)='recap S1'!S$2)),"")</f>
        <v/>
      </c>
      <c r="T58" s="32" t="str">
        <f ca="1">IF(SUMPRODUCT((ListeB='recap S1'!$B58)*(OFFSET(ListeB,,4)='recap S1'!T$3)*(OFFSET(ListeB,,1)='recap S1'!T$2))&gt;0,SUMPRODUCT((ListeB='recap S1'!$B58)*(OFFSET(ListeB,,4)='recap S1'!T$3)*(OFFSET(ListeB,,1)='recap S1'!T$2)),"")</f>
        <v/>
      </c>
      <c r="U58" s="32" t="str">
        <f ca="1">IF(SUMPRODUCT((ListeB='recap S1'!$B58)*(OFFSET(ListeB,,4)='recap S1'!U$3)*(OFFSET(ListeB,,1)='recap S1'!U$2))&gt;0,SUMPRODUCT((ListeB='recap S1'!$B58)*(OFFSET(ListeB,,4)='recap S1'!U$3)*(OFFSET(ListeB,,1)='recap S1'!U$2)),"")</f>
        <v/>
      </c>
      <c r="V58" s="32" t="str">
        <f ca="1">IF(SUMPRODUCT((ListeB='recap S1'!$B58)*(OFFSET(ListeB,,4)='recap S1'!V$3)*(OFFSET(ListeB,,1)='recap S1'!V$2))&gt;0,SUMPRODUCT((ListeB='recap S1'!$B58)*(OFFSET(ListeB,,4)='recap S1'!V$3)*(OFFSET(ListeB,,1)='recap S1'!V$2)),"")</f>
        <v/>
      </c>
      <c r="W58" s="32" t="str">
        <f ca="1">IF(SUMPRODUCT((ListeB='recap S1'!$B58)*(OFFSET(ListeB,,4)='recap S1'!W$3)*(OFFSET(ListeB,,1)='recap S1'!W$2))&gt;0,SUMPRODUCT((ListeB='recap S1'!$B58)*(OFFSET(ListeB,,4)='recap S1'!W$3)*(OFFSET(ListeB,,1)='recap S1'!W$2)),"")</f>
        <v/>
      </c>
      <c r="X58" s="32" t="str">
        <f ca="1">IF(SUMPRODUCT((ListeB='recap S1'!$B58)*(OFFSET(ListeB,,4)='recap S1'!X$3)*(OFFSET(ListeB,,1)='recap S1'!X$2))&gt;0,SUMPRODUCT((ListeB='recap S1'!$B58)*(OFFSET(ListeB,,4)='recap S1'!X$3)*(OFFSET(ListeB,,1)='recap S1'!X$2)),"")</f>
        <v/>
      </c>
      <c r="Y58" s="32" t="str">
        <f ca="1">IF(SUMPRODUCT((ListeB='recap S1'!$B58)*(OFFSET(ListeB,,4)='recap S1'!Y$3)*(OFFSET(ListeB,,1)='recap S1'!Y$2))&gt;0,SUMPRODUCT((ListeB='recap S1'!$B58)*(OFFSET(ListeB,,4)='recap S1'!Y$3)*(OFFSET(ListeB,,1)='recap S1'!Y$2)),"")</f>
        <v/>
      </c>
      <c r="Z58" s="32" t="str">
        <f ca="1">IF(SUMPRODUCT((ListeB='recap S1'!$B58)*(OFFSET(ListeB,,4)='recap S1'!Z$3)*(OFFSET(ListeB,,1)='recap S1'!Z$2))&gt;0,SUMPRODUCT((ListeB='recap S1'!$B58)*(OFFSET(ListeB,,4)='recap S1'!Z$3)*(OFFSET(ListeB,,1)='recap S1'!Z$2)),"")</f>
        <v/>
      </c>
      <c r="AA58" s="32" t="str">
        <f ca="1">IF(SUMPRODUCT((ListeB='recap S1'!$B58)*(OFFSET(ListeB,,4)='recap S1'!AA$3)*(OFFSET(ListeB,,1)='recap S1'!AA$2))&gt;0,SUMPRODUCT((ListeB='recap S1'!$B58)*(OFFSET(ListeB,,4)='recap S1'!AA$3)*(OFFSET(ListeB,,1)='recap S1'!AA$2)),"")</f>
        <v/>
      </c>
      <c r="AB58" s="32" t="str">
        <f ca="1">IF(SUMPRODUCT((ListeB='recap S1'!$B58)*(OFFSET(ListeB,,4)='recap S1'!AB$3)*(OFFSET(ListeB,,1)='recap S1'!AB$2))&gt;0,SUMPRODUCT((ListeB='recap S1'!$B58)*(OFFSET(ListeB,,4)='recap S1'!AB$3)*(OFFSET(ListeB,,1)='recap S1'!AB$2)),"")</f>
        <v/>
      </c>
      <c r="AC58" s="32" t="str">
        <f ca="1">IF(SUMPRODUCT((ListeB='recap S1'!$B58)*(OFFSET(ListeB,,4)='recap S1'!AC$3)*(OFFSET(ListeB,,1)='recap S1'!AC$2))&gt;0,SUMPRODUCT((ListeB='recap S1'!$B58)*(OFFSET(ListeB,,4)='recap S1'!AC$3)*(OFFSET(ListeB,,1)='recap S1'!AC$2)),"")</f>
        <v/>
      </c>
      <c r="AD58" s="32" t="str">
        <f ca="1">IF(SUMPRODUCT((ListeB='recap S1'!$B58)*(OFFSET(ListeB,,4)='recap S1'!AD$3)*(OFFSET(ListeB,,1)='recap S1'!AD$2))&gt;0,SUMPRODUCT((ListeB='recap S1'!$B58)*(OFFSET(ListeB,,4)='recap S1'!AD$3)*(OFFSET(ListeB,,1)='recap S1'!AD$2)),"")</f>
        <v/>
      </c>
      <c r="AE58" s="32" t="str">
        <f ca="1">IF(SUMPRODUCT((ListeB='recap S1'!$B58)*(OFFSET(ListeB,,4)='recap S1'!AE$3)*(OFFSET(ListeB,,1)='recap S1'!AE$2))&gt;0,SUMPRODUCT((ListeB='recap S1'!$B58)*(OFFSET(ListeB,,4)='recap S1'!AE$3)*(OFFSET(ListeB,,1)='recap S1'!AE$2)),"")</f>
        <v/>
      </c>
      <c r="AF58" s="32" t="str">
        <f ca="1">IF(SUMPRODUCT((ListeB='recap S1'!$B58)*(OFFSET(ListeB,,4)='recap S1'!AF$3)*(OFFSET(ListeB,,1)='recap S1'!AF$2))&gt;0,SUMPRODUCT((ListeB='recap S1'!$B58)*(OFFSET(ListeB,,4)='recap S1'!AF$3)*(OFFSET(ListeB,,1)='recap S1'!AF$2)),"")</f>
        <v/>
      </c>
      <c r="AG58" s="32" t="str">
        <f ca="1">IF(SUMPRODUCT((ListeB='recap S1'!$B58)*(OFFSET(ListeB,,4)='recap S1'!AG$3)*(OFFSET(ListeB,,1)='recap S1'!AG$2))&gt;0,SUMPRODUCT((ListeB='recap S1'!$B58)*(OFFSET(ListeB,,4)='recap S1'!AG$3)*(OFFSET(ListeB,,1)='recap S1'!AG$2)),"")</f>
        <v/>
      </c>
      <c r="AH58" s="32" t="str">
        <f ca="1">IF(SUMPRODUCT((ListeB='recap S1'!$B58)*(OFFSET(ListeB,,4)='recap S1'!AH$3)*(OFFSET(ListeB,,1)='recap S1'!AH$2))&gt;0,SUMPRODUCT((ListeB='recap S1'!$B58)*(OFFSET(ListeB,,4)='recap S1'!AH$3)*(OFFSET(ListeB,,1)='recap S1'!AH$2)),"")</f>
        <v/>
      </c>
      <c r="AI58" s="32" t="str">
        <f ca="1">IF(SUMPRODUCT((ListeB='recap S1'!$B58)*(OFFSET(ListeB,,4)='recap S1'!AI$3)*(OFFSET(ListeB,,1)='recap S1'!AI$2))&gt;0,SUMPRODUCT((ListeB='recap S1'!$B58)*(OFFSET(ListeB,,4)='recap S1'!AI$3)*(OFFSET(ListeB,,1)='recap S1'!AI$2)),"")</f>
        <v/>
      </c>
      <c r="AJ58" s="32" t="str">
        <f ca="1">IF(SUMPRODUCT((ListeB='recap S1'!$B58)*(OFFSET(ListeB,,4)='recap S1'!AJ$3)*(OFFSET(ListeB,,1)='recap S1'!AJ$2))&gt;0,SUMPRODUCT((ListeB='recap S1'!$B58)*(OFFSET(ListeB,,4)='recap S1'!AJ$3)*(OFFSET(ListeB,,1)='recap S1'!AJ$2)),"")</f>
        <v/>
      </c>
      <c r="AK58" s="32" t="str">
        <f ca="1">IF(SUMPRODUCT((ListeB='recap S1'!$B58)*(OFFSET(ListeB,,4)='recap S1'!AK$3)*(OFFSET(ListeB,,1)='recap S1'!AK$2))&gt;0,SUMPRODUCT((ListeB='recap S1'!$B58)*(OFFSET(ListeB,,4)='recap S1'!AK$3)*(OFFSET(ListeB,,1)='recap S1'!AK$2)),"")</f>
        <v/>
      </c>
      <c r="AL58" s="32" t="str">
        <f ca="1">IF(SUMPRODUCT((ListeB='recap S1'!$B58)*(OFFSET(ListeB,,4)='recap S1'!AL$3)*(OFFSET(ListeB,,1)='recap S1'!AL$2))&gt;0,SUMPRODUCT((ListeB='recap S1'!$B58)*(OFFSET(ListeB,,4)='recap S1'!AL$3)*(OFFSET(ListeB,,1)='recap S1'!AL$2)),"")</f>
        <v/>
      </c>
      <c r="AM58" s="32" t="str">
        <f ca="1">IF(SUMPRODUCT((ListeB='recap S1'!$B58)*(OFFSET(ListeB,,4)='recap S1'!AM$3)*(OFFSET(ListeB,,1)='recap S1'!AM$2))&gt;0,SUMPRODUCT((ListeB='recap S1'!$B58)*(OFFSET(ListeB,,4)='recap S1'!AM$3)*(OFFSET(ListeB,,1)='recap S1'!AM$2)),"")</f>
        <v/>
      </c>
      <c r="AN58" s="32" t="str">
        <f ca="1">IF(SUMPRODUCT((ListeB='recap S1'!$B58)*(OFFSET(ListeB,,4)='recap S1'!AN$3)*(OFFSET(ListeB,,1)='recap S1'!AN$2))&gt;0,SUMPRODUCT((ListeB='recap S1'!$B58)*(OFFSET(ListeB,,4)='recap S1'!AN$3)*(OFFSET(ListeB,,1)='recap S1'!AN$2)),"")</f>
        <v/>
      </c>
      <c r="AO58" s="32" t="str">
        <f ca="1">IF(SUMPRODUCT((ListeB='recap S1'!$B58)*(OFFSET(ListeB,,4)='recap S1'!AO$3)*(OFFSET(ListeB,,1)='recap S1'!AO$2))&gt;0,SUMPRODUCT((ListeB='recap S1'!$B58)*(OFFSET(ListeB,,4)='recap S1'!AO$3)*(OFFSET(ListeB,,1)='recap S1'!AO$2)),"")</f>
        <v/>
      </c>
      <c r="AP58" s="32" t="str">
        <f ca="1">IF(SUMPRODUCT((ListeB='recap S1'!$B58)*(OFFSET(ListeB,,4)='recap S1'!AP$3)*(OFFSET(ListeB,,1)='recap S1'!AP$2))&gt;0,SUMPRODUCT((ListeB='recap S1'!$B58)*(OFFSET(ListeB,,4)='recap S1'!AP$3)*(OFFSET(ListeB,,1)='recap S1'!AP$2)),"")</f>
        <v/>
      </c>
      <c r="AQ58" s="32" t="str">
        <f ca="1">IF(SUMPRODUCT((ListeB='recap S1'!$B58)*(OFFSET(ListeB,,4)='recap S1'!AQ$3)*(OFFSET(ListeB,,1)='recap S1'!AQ$2))&gt;0,SUMPRODUCT((ListeB='recap S1'!$B58)*(OFFSET(ListeB,,4)='recap S1'!AQ$3)*(OFFSET(ListeB,,1)='recap S1'!AQ$2)),"")</f>
        <v/>
      </c>
      <c r="AR58" s="32" t="str">
        <f ca="1">IF(SUMPRODUCT((ListeB='recap S1'!$B58)*(OFFSET(ListeB,,4)='recap S1'!AR$3)*(OFFSET(ListeB,,1)='recap S1'!AR$2))&gt;0,SUMPRODUCT((ListeB='recap S1'!$B58)*(OFFSET(ListeB,,4)='recap S1'!AR$3)*(OFFSET(ListeB,,1)='recap S1'!AR$2)),"")</f>
        <v/>
      </c>
      <c r="AS58" s="32" t="str">
        <f ca="1">IF(SUMPRODUCT((ListeB='recap S1'!$B58)*(OFFSET(ListeB,,4)='recap S1'!AS$3)*(OFFSET(ListeB,,1)='recap S1'!AS$2))&gt;0,SUMPRODUCT((ListeB='recap S1'!$B58)*(OFFSET(ListeB,,4)='recap S1'!AS$3)*(OFFSET(ListeB,,1)='recap S1'!AS$2)),"")</f>
        <v/>
      </c>
      <c r="AT58" s="32" t="str">
        <f ca="1">IF(SUMPRODUCT((ListeB='recap S1'!$B58)*(OFFSET(ListeB,,4)='recap S1'!AT$3)*(OFFSET(ListeB,,1)='recap S1'!AT$2))&gt;0,SUMPRODUCT((ListeB='recap S1'!$B58)*(OFFSET(ListeB,,4)='recap S1'!AT$3)*(OFFSET(ListeB,,1)='recap S1'!AT$2)),"")</f>
        <v/>
      </c>
      <c r="AU58" s="32" t="str">
        <f ca="1">IF(SUMPRODUCT((ListeB='recap S1'!$B58)*(OFFSET(ListeB,,4)='recap S1'!AU$3)*(OFFSET(ListeB,,1)='recap S1'!AU$2))&gt;0,SUMPRODUCT((ListeB='recap S1'!$B58)*(OFFSET(ListeB,,4)='recap S1'!AU$3)*(OFFSET(ListeB,,1)='recap S1'!AU$2)),"")</f>
        <v/>
      </c>
      <c r="AV58" s="32" t="str">
        <f ca="1">IF(SUMPRODUCT((ListeB='recap S1'!$B58)*(OFFSET(ListeB,,4)='recap S1'!AV$3)*(OFFSET(ListeB,,1)='recap S1'!AV$2))&gt;0,SUMPRODUCT((ListeB='recap S1'!$B58)*(OFFSET(ListeB,,4)='recap S1'!AV$3)*(OFFSET(ListeB,,1)='recap S1'!AV$2)),"")</f>
        <v/>
      </c>
      <c r="AW58" s="32" t="str">
        <f ca="1">IF(SUMPRODUCT((ListeB='recap S1'!$B58)*(OFFSET(ListeB,,4)='recap S1'!AW$3)*(OFFSET(ListeB,,1)='recap S1'!AW$2))&gt;0,SUMPRODUCT((ListeB='recap S1'!$B58)*(OFFSET(ListeB,,4)='recap S1'!AW$3)*(OFFSET(ListeB,,1)='recap S1'!AW$2)),"")</f>
        <v/>
      </c>
      <c r="AX58" s="32" t="str">
        <f ca="1">IF(SUMPRODUCT((ListeB='recap S1'!$B58)*(OFFSET(ListeB,,4)='recap S1'!AX$3)*(OFFSET(ListeB,,1)='recap S1'!AX$2))&gt;0,SUMPRODUCT((ListeB='recap S1'!$B58)*(OFFSET(ListeB,,4)='recap S1'!AX$3)*(OFFSET(ListeB,,1)='recap S1'!AX$2)),"")</f>
        <v/>
      </c>
      <c r="AY58" s="32" t="str">
        <f ca="1">IF(SUMPRODUCT((ListeB='recap S1'!$B58)*(OFFSET(ListeB,,4)='recap S1'!AY$3)*(OFFSET(ListeB,,1)='recap S1'!AY$2))&gt;0,SUMPRODUCT((ListeB='recap S1'!$B58)*(OFFSET(ListeB,,4)='recap S1'!AY$3)*(OFFSET(ListeB,,1)='recap S1'!AY$2)),"")</f>
        <v/>
      </c>
      <c r="AZ58" s="32">
        <f t="shared" ca="1" si="1"/>
        <v>0</v>
      </c>
    </row>
    <row r="59" spans="1:52">
      <c r="A59" s="41" t="str">
        <f>IF('SEANCE 1'!$B57&lt;&gt;"",'SEANCE 1'!$A57,"")</f>
        <v/>
      </c>
      <c r="B59" s="41" t="str">
        <f t="array" aca="1" ref="B59" ca="1">IF(ISNA(INDEX(ListeB,MATCH(0,COUNTIF($B$3:B58,ListeB),0))),"",INDEX(ListeB,MATCH(0,COUNTIF($B$3:B58,ListeB),0)))</f>
        <v/>
      </c>
      <c r="C59" s="32" t="str">
        <f ca="1">IF(SUMPRODUCT((ListeB='recap S1'!$B59)*(OFFSET(ListeB,,4)='recap S1'!C$3)*(OFFSET(ListeB,,1)='recap S1'!C$2))&gt;0,SUMPRODUCT((ListeB='recap S1'!$B59)*(OFFSET(ListeB,,4)='recap S1'!C$3)*(OFFSET(ListeB,,1)='recap S1'!C$2)),"")</f>
        <v/>
      </c>
      <c r="D59" s="32" t="str">
        <f ca="1">IF(SUMPRODUCT((ListeB='recap S1'!$B59)*(OFFSET(ListeB,,4)='recap S1'!D$3)*(OFFSET(ListeB,,1)='recap S1'!D$2))&gt;0,SUMPRODUCT((ListeB='recap S1'!$B59)*(OFFSET(ListeB,,4)='recap S1'!D$3)*(OFFSET(ListeB,,1)='recap S1'!D$2)),"")</f>
        <v/>
      </c>
      <c r="E59" s="32" t="str">
        <f ca="1">IF(SUMPRODUCT((ListeB='recap S1'!$B59)*(OFFSET(ListeB,,4)='recap S1'!E$3)*(OFFSET(ListeB,,1)='recap S1'!E$2))&gt;0,SUMPRODUCT((ListeB='recap S1'!$B59)*(OFFSET(ListeB,,4)='recap S1'!E$3)*(OFFSET(ListeB,,1)='recap S1'!E$2)),"")</f>
        <v/>
      </c>
      <c r="F59" s="32" t="str">
        <f ca="1">IF(SUMPRODUCT((ListeB='recap S1'!$B59)*(OFFSET(ListeB,,4)='recap S1'!F$3)*(OFFSET(ListeB,,1)='recap S1'!F$2))&gt;0,SUMPRODUCT((ListeB='recap S1'!$B59)*(OFFSET(ListeB,,4)='recap S1'!F$3)*(OFFSET(ListeB,,1)='recap S1'!F$2)),"")</f>
        <v/>
      </c>
      <c r="G59" s="32" t="str">
        <f ca="1">IF(SUMPRODUCT((ListeB='recap S1'!$B59)*(OFFSET(ListeB,,4)='recap S1'!G$3)*(OFFSET(ListeB,,1)='recap S1'!G$2))&gt;0,SUMPRODUCT((ListeB='recap S1'!$B59)*(OFFSET(ListeB,,4)='recap S1'!G$3)*(OFFSET(ListeB,,1)='recap S1'!G$2)),"")</f>
        <v/>
      </c>
      <c r="H59" s="32" t="str">
        <f ca="1">IF(SUMPRODUCT((ListeB='recap S1'!$B59)*(OFFSET(ListeB,,4)='recap S1'!H$3)*(OFFSET(ListeB,,1)='recap S1'!H$2))&gt;0,SUMPRODUCT((ListeB='recap S1'!$B59)*(OFFSET(ListeB,,4)='recap S1'!H$3)*(OFFSET(ListeB,,1)='recap S1'!H$2)),"")</f>
        <v/>
      </c>
      <c r="I59" s="32" t="str">
        <f ca="1">IF(SUMPRODUCT((ListeB='recap S1'!$B59)*(OFFSET(ListeB,,4)='recap S1'!I$3)*(OFFSET(ListeB,,1)='recap S1'!I$2))&gt;0,SUMPRODUCT((ListeB='recap S1'!$B59)*(OFFSET(ListeB,,4)='recap S1'!I$3)*(OFFSET(ListeB,,1)='recap S1'!I$2)),"")</f>
        <v/>
      </c>
      <c r="J59" s="32" t="str">
        <f ca="1">IF(SUMPRODUCT((ListeB='recap S1'!$B59)*(OFFSET(ListeB,,4)='recap S1'!J$3)*(OFFSET(ListeB,,1)='recap S1'!J$2))&gt;0,SUMPRODUCT((ListeB='recap S1'!$B59)*(OFFSET(ListeB,,4)='recap S1'!J$3)*(OFFSET(ListeB,,1)='recap S1'!J$2)),"")</f>
        <v/>
      </c>
      <c r="K59" s="32" t="str">
        <f ca="1">IF(SUMPRODUCT((ListeB='recap S1'!$B59)*(OFFSET(ListeB,,4)='recap S1'!K$3)*(OFFSET(ListeB,,1)='recap S1'!K$2))&gt;0,SUMPRODUCT((ListeB='recap S1'!$B59)*(OFFSET(ListeB,,4)='recap S1'!K$3)*(OFFSET(ListeB,,1)='recap S1'!K$2)),"")</f>
        <v/>
      </c>
      <c r="L59" s="32" t="str">
        <f ca="1">IF(SUMPRODUCT((ListeB='recap S1'!$B59)*(OFFSET(ListeB,,4)='recap S1'!L$3)*(OFFSET(ListeB,,1)='recap S1'!L$2))&gt;0,SUMPRODUCT((ListeB='recap S1'!$B59)*(OFFSET(ListeB,,4)='recap S1'!L$3)*(OFFSET(ListeB,,1)='recap S1'!L$2)),"")</f>
        <v/>
      </c>
      <c r="M59" s="32" t="str">
        <f ca="1">IF(SUMPRODUCT((ListeB='recap S1'!$B59)*(OFFSET(ListeB,,4)='recap S1'!M$3)*(OFFSET(ListeB,,1)='recap S1'!M$2))&gt;0,SUMPRODUCT((ListeB='recap S1'!$B59)*(OFFSET(ListeB,,4)='recap S1'!M$3)*(OFFSET(ListeB,,1)='recap S1'!M$2)),"")</f>
        <v/>
      </c>
      <c r="N59" s="32" t="str">
        <f ca="1">IF(SUMPRODUCT((ListeB='recap S1'!$B59)*(OFFSET(ListeB,,4)='recap S1'!N$3)*(OFFSET(ListeB,,1)='recap S1'!N$2))&gt;0,SUMPRODUCT((ListeB='recap S1'!$B59)*(OFFSET(ListeB,,4)='recap S1'!N$3)*(OFFSET(ListeB,,1)='recap S1'!N$2)),"")</f>
        <v/>
      </c>
      <c r="O59" s="32" t="str">
        <f ca="1">IF(SUMPRODUCT((ListeB='recap S1'!$B59)*(OFFSET(ListeB,,4)='recap S1'!O$3)*(OFFSET(ListeB,,1)='recap S1'!O$2))&gt;0,SUMPRODUCT((ListeB='recap S1'!$B59)*(OFFSET(ListeB,,4)='recap S1'!O$3)*(OFFSET(ListeB,,1)='recap S1'!O$2)),"")</f>
        <v/>
      </c>
      <c r="P59" s="32" t="str">
        <f ca="1">IF(SUMPRODUCT((ListeB='recap S1'!$B59)*(OFFSET(ListeB,,4)='recap S1'!P$3)*(OFFSET(ListeB,,1)='recap S1'!P$2))&gt;0,SUMPRODUCT((ListeB='recap S1'!$B59)*(OFFSET(ListeB,,4)='recap S1'!P$3)*(OFFSET(ListeB,,1)='recap S1'!P$2)),"")</f>
        <v/>
      </c>
      <c r="Q59" s="32" t="str">
        <f ca="1">IF(SUMPRODUCT((ListeB='recap S1'!$B59)*(OFFSET(ListeB,,4)='recap S1'!Q$3)*(OFFSET(ListeB,,1)='recap S1'!Q$2))&gt;0,SUMPRODUCT((ListeB='recap S1'!$B59)*(OFFSET(ListeB,,4)='recap S1'!Q$3)*(OFFSET(ListeB,,1)='recap S1'!Q$2)),"")</f>
        <v/>
      </c>
      <c r="R59" s="32" t="str">
        <f ca="1">IF(SUMPRODUCT((ListeB='recap S1'!$B59)*(OFFSET(ListeB,,4)='recap S1'!R$3)*(OFFSET(ListeB,,1)='recap S1'!R$2))&gt;0,SUMPRODUCT((ListeB='recap S1'!$B59)*(OFFSET(ListeB,,4)='recap S1'!R$3)*(OFFSET(ListeB,,1)='recap S1'!R$2)),"")</f>
        <v/>
      </c>
      <c r="S59" s="32" t="str">
        <f ca="1">IF(SUMPRODUCT((ListeB='recap S1'!$B59)*(OFFSET(ListeB,,4)='recap S1'!S$3)*(OFFSET(ListeB,,1)='recap S1'!S$2))&gt;0,SUMPRODUCT((ListeB='recap S1'!$B59)*(OFFSET(ListeB,,4)='recap S1'!S$3)*(OFFSET(ListeB,,1)='recap S1'!S$2)),"")</f>
        <v/>
      </c>
      <c r="T59" s="32" t="str">
        <f ca="1">IF(SUMPRODUCT((ListeB='recap S1'!$B59)*(OFFSET(ListeB,,4)='recap S1'!T$3)*(OFFSET(ListeB,,1)='recap S1'!T$2))&gt;0,SUMPRODUCT((ListeB='recap S1'!$B59)*(OFFSET(ListeB,,4)='recap S1'!T$3)*(OFFSET(ListeB,,1)='recap S1'!T$2)),"")</f>
        <v/>
      </c>
      <c r="U59" s="32" t="str">
        <f ca="1">IF(SUMPRODUCT((ListeB='recap S1'!$B59)*(OFFSET(ListeB,,4)='recap S1'!U$3)*(OFFSET(ListeB,,1)='recap S1'!U$2))&gt;0,SUMPRODUCT((ListeB='recap S1'!$B59)*(OFFSET(ListeB,,4)='recap S1'!U$3)*(OFFSET(ListeB,,1)='recap S1'!U$2)),"")</f>
        <v/>
      </c>
      <c r="V59" s="32" t="str">
        <f ca="1">IF(SUMPRODUCT((ListeB='recap S1'!$B59)*(OFFSET(ListeB,,4)='recap S1'!V$3)*(OFFSET(ListeB,,1)='recap S1'!V$2))&gt;0,SUMPRODUCT((ListeB='recap S1'!$B59)*(OFFSET(ListeB,,4)='recap S1'!V$3)*(OFFSET(ListeB,,1)='recap S1'!V$2)),"")</f>
        <v/>
      </c>
      <c r="W59" s="32" t="str">
        <f ca="1">IF(SUMPRODUCT((ListeB='recap S1'!$B59)*(OFFSET(ListeB,,4)='recap S1'!W$3)*(OFFSET(ListeB,,1)='recap S1'!W$2))&gt;0,SUMPRODUCT((ListeB='recap S1'!$B59)*(OFFSET(ListeB,,4)='recap S1'!W$3)*(OFFSET(ListeB,,1)='recap S1'!W$2)),"")</f>
        <v/>
      </c>
      <c r="X59" s="32" t="str">
        <f ca="1">IF(SUMPRODUCT((ListeB='recap S1'!$B59)*(OFFSET(ListeB,,4)='recap S1'!X$3)*(OFFSET(ListeB,,1)='recap S1'!X$2))&gt;0,SUMPRODUCT((ListeB='recap S1'!$B59)*(OFFSET(ListeB,,4)='recap S1'!X$3)*(OFFSET(ListeB,,1)='recap S1'!X$2)),"")</f>
        <v/>
      </c>
      <c r="Y59" s="32" t="str">
        <f ca="1">IF(SUMPRODUCT((ListeB='recap S1'!$B59)*(OFFSET(ListeB,,4)='recap S1'!Y$3)*(OFFSET(ListeB,,1)='recap S1'!Y$2))&gt;0,SUMPRODUCT((ListeB='recap S1'!$B59)*(OFFSET(ListeB,,4)='recap S1'!Y$3)*(OFFSET(ListeB,,1)='recap S1'!Y$2)),"")</f>
        <v/>
      </c>
      <c r="Z59" s="32" t="str">
        <f ca="1">IF(SUMPRODUCT((ListeB='recap S1'!$B59)*(OFFSET(ListeB,,4)='recap S1'!Z$3)*(OFFSET(ListeB,,1)='recap S1'!Z$2))&gt;0,SUMPRODUCT((ListeB='recap S1'!$B59)*(OFFSET(ListeB,,4)='recap S1'!Z$3)*(OFFSET(ListeB,,1)='recap S1'!Z$2)),"")</f>
        <v/>
      </c>
      <c r="AA59" s="32" t="str">
        <f ca="1">IF(SUMPRODUCT((ListeB='recap S1'!$B59)*(OFFSET(ListeB,,4)='recap S1'!AA$3)*(OFFSET(ListeB,,1)='recap S1'!AA$2))&gt;0,SUMPRODUCT((ListeB='recap S1'!$B59)*(OFFSET(ListeB,,4)='recap S1'!AA$3)*(OFFSET(ListeB,,1)='recap S1'!AA$2)),"")</f>
        <v/>
      </c>
      <c r="AB59" s="32" t="str">
        <f ca="1">IF(SUMPRODUCT((ListeB='recap S1'!$B59)*(OFFSET(ListeB,,4)='recap S1'!AB$3)*(OFFSET(ListeB,,1)='recap S1'!AB$2))&gt;0,SUMPRODUCT((ListeB='recap S1'!$B59)*(OFFSET(ListeB,,4)='recap S1'!AB$3)*(OFFSET(ListeB,,1)='recap S1'!AB$2)),"")</f>
        <v/>
      </c>
      <c r="AC59" s="32" t="str">
        <f ca="1">IF(SUMPRODUCT((ListeB='recap S1'!$B59)*(OFFSET(ListeB,,4)='recap S1'!AC$3)*(OFFSET(ListeB,,1)='recap S1'!AC$2))&gt;0,SUMPRODUCT((ListeB='recap S1'!$B59)*(OFFSET(ListeB,,4)='recap S1'!AC$3)*(OFFSET(ListeB,,1)='recap S1'!AC$2)),"")</f>
        <v/>
      </c>
      <c r="AD59" s="32" t="str">
        <f ca="1">IF(SUMPRODUCT((ListeB='recap S1'!$B59)*(OFFSET(ListeB,,4)='recap S1'!AD$3)*(OFFSET(ListeB,,1)='recap S1'!AD$2))&gt;0,SUMPRODUCT((ListeB='recap S1'!$B59)*(OFFSET(ListeB,,4)='recap S1'!AD$3)*(OFFSET(ListeB,,1)='recap S1'!AD$2)),"")</f>
        <v/>
      </c>
      <c r="AE59" s="32" t="str">
        <f ca="1">IF(SUMPRODUCT((ListeB='recap S1'!$B59)*(OFFSET(ListeB,,4)='recap S1'!AE$3)*(OFFSET(ListeB,,1)='recap S1'!AE$2))&gt;0,SUMPRODUCT((ListeB='recap S1'!$B59)*(OFFSET(ListeB,,4)='recap S1'!AE$3)*(OFFSET(ListeB,,1)='recap S1'!AE$2)),"")</f>
        <v/>
      </c>
      <c r="AF59" s="32" t="str">
        <f ca="1">IF(SUMPRODUCT((ListeB='recap S1'!$B59)*(OFFSET(ListeB,,4)='recap S1'!AF$3)*(OFFSET(ListeB,,1)='recap S1'!AF$2))&gt;0,SUMPRODUCT((ListeB='recap S1'!$B59)*(OFFSET(ListeB,,4)='recap S1'!AF$3)*(OFFSET(ListeB,,1)='recap S1'!AF$2)),"")</f>
        <v/>
      </c>
      <c r="AG59" s="32" t="str">
        <f ca="1">IF(SUMPRODUCT((ListeB='recap S1'!$B59)*(OFFSET(ListeB,,4)='recap S1'!AG$3)*(OFFSET(ListeB,,1)='recap S1'!AG$2))&gt;0,SUMPRODUCT((ListeB='recap S1'!$B59)*(OFFSET(ListeB,,4)='recap S1'!AG$3)*(OFFSET(ListeB,,1)='recap S1'!AG$2)),"")</f>
        <v/>
      </c>
      <c r="AH59" s="32" t="str">
        <f ca="1">IF(SUMPRODUCT((ListeB='recap S1'!$B59)*(OFFSET(ListeB,,4)='recap S1'!AH$3)*(OFFSET(ListeB,,1)='recap S1'!AH$2))&gt;0,SUMPRODUCT((ListeB='recap S1'!$B59)*(OFFSET(ListeB,,4)='recap S1'!AH$3)*(OFFSET(ListeB,,1)='recap S1'!AH$2)),"")</f>
        <v/>
      </c>
      <c r="AI59" s="32" t="str">
        <f ca="1">IF(SUMPRODUCT((ListeB='recap S1'!$B59)*(OFFSET(ListeB,,4)='recap S1'!AI$3)*(OFFSET(ListeB,,1)='recap S1'!AI$2))&gt;0,SUMPRODUCT((ListeB='recap S1'!$B59)*(OFFSET(ListeB,,4)='recap S1'!AI$3)*(OFFSET(ListeB,,1)='recap S1'!AI$2)),"")</f>
        <v/>
      </c>
      <c r="AJ59" s="32" t="str">
        <f ca="1">IF(SUMPRODUCT((ListeB='recap S1'!$B59)*(OFFSET(ListeB,,4)='recap S1'!AJ$3)*(OFFSET(ListeB,,1)='recap S1'!AJ$2))&gt;0,SUMPRODUCT((ListeB='recap S1'!$B59)*(OFFSET(ListeB,,4)='recap S1'!AJ$3)*(OFFSET(ListeB,,1)='recap S1'!AJ$2)),"")</f>
        <v/>
      </c>
      <c r="AK59" s="32" t="str">
        <f ca="1">IF(SUMPRODUCT((ListeB='recap S1'!$B59)*(OFFSET(ListeB,,4)='recap S1'!AK$3)*(OFFSET(ListeB,,1)='recap S1'!AK$2))&gt;0,SUMPRODUCT((ListeB='recap S1'!$B59)*(OFFSET(ListeB,,4)='recap S1'!AK$3)*(OFFSET(ListeB,,1)='recap S1'!AK$2)),"")</f>
        <v/>
      </c>
      <c r="AL59" s="32" t="str">
        <f ca="1">IF(SUMPRODUCT((ListeB='recap S1'!$B59)*(OFFSET(ListeB,,4)='recap S1'!AL$3)*(OFFSET(ListeB,,1)='recap S1'!AL$2))&gt;0,SUMPRODUCT((ListeB='recap S1'!$B59)*(OFFSET(ListeB,,4)='recap S1'!AL$3)*(OFFSET(ListeB,,1)='recap S1'!AL$2)),"")</f>
        <v/>
      </c>
      <c r="AM59" s="32" t="str">
        <f ca="1">IF(SUMPRODUCT((ListeB='recap S1'!$B59)*(OFFSET(ListeB,,4)='recap S1'!AM$3)*(OFFSET(ListeB,,1)='recap S1'!AM$2))&gt;0,SUMPRODUCT((ListeB='recap S1'!$B59)*(OFFSET(ListeB,,4)='recap S1'!AM$3)*(OFFSET(ListeB,,1)='recap S1'!AM$2)),"")</f>
        <v/>
      </c>
      <c r="AN59" s="32" t="str">
        <f ca="1">IF(SUMPRODUCT((ListeB='recap S1'!$B59)*(OFFSET(ListeB,,4)='recap S1'!AN$3)*(OFFSET(ListeB,,1)='recap S1'!AN$2))&gt;0,SUMPRODUCT((ListeB='recap S1'!$B59)*(OFFSET(ListeB,,4)='recap S1'!AN$3)*(OFFSET(ListeB,,1)='recap S1'!AN$2)),"")</f>
        <v/>
      </c>
      <c r="AO59" s="32" t="str">
        <f ca="1">IF(SUMPRODUCT((ListeB='recap S1'!$B59)*(OFFSET(ListeB,,4)='recap S1'!AO$3)*(OFFSET(ListeB,,1)='recap S1'!AO$2))&gt;0,SUMPRODUCT((ListeB='recap S1'!$B59)*(OFFSET(ListeB,,4)='recap S1'!AO$3)*(OFFSET(ListeB,,1)='recap S1'!AO$2)),"")</f>
        <v/>
      </c>
      <c r="AP59" s="32" t="str">
        <f ca="1">IF(SUMPRODUCT((ListeB='recap S1'!$B59)*(OFFSET(ListeB,,4)='recap S1'!AP$3)*(OFFSET(ListeB,,1)='recap S1'!AP$2))&gt;0,SUMPRODUCT((ListeB='recap S1'!$B59)*(OFFSET(ListeB,,4)='recap S1'!AP$3)*(OFFSET(ListeB,,1)='recap S1'!AP$2)),"")</f>
        <v/>
      </c>
      <c r="AQ59" s="32" t="str">
        <f ca="1">IF(SUMPRODUCT((ListeB='recap S1'!$B59)*(OFFSET(ListeB,,4)='recap S1'!AQ$3)*(OFFSET(ListeB,,1)='recap S1'!AQ$2))&gt;0,SUMPRODUCT((ListeB='recap S1'!$B59)*(OFFSET(ListeB,,4)='recap S1'!AQ$3)*(OFFSET(ListeB,,1)='recap S1'!AQ$2)),"")</f>
        <v/>
      </c>
      <c r="AR59" s="32" t="str">
        <f ca="1">IF(SUMPRODUCT((ListeB='recap S1'!$B59)*(OFFSET(ListeB,,4)='recap S1'!AR$3)*(OFFSET(ListeB,,1)='recap S1'!AR$2))&gt;0,SUMPRODUCT((ListeB='recap S1'!$B59)*(OFFSET(ListeB,,4)='recap S1'!AR$3)*(OFFSET(ListeB,,1)='recap S1'!AR$2)),"")</f>
        <v/>
      </c>
      <c r="AS59" s="32" t="str">
        <f ca="1">IF(SUMPRODUCT((ListeB='recap S1'!$B59)*(OFFSET(ListeB,,4)='recap S1'!AS$3)*(OFFSET(ListeB,,1)='recap S1'!AS$2))&gt;0,SUMPRODUCT((ListeB='recap S1'!$B59)*(OFFSET(ListeB,,4)='recap S1'!AS$3)*(OFFSET(ListeB,,1)='recap S1'!AS$2)),"")</f>
        <v/>
      </c>
      <c r="AT59" s="32" t="str">
        <f ca="1">IF(SUMPRODUCT((ListeB='recap S1'!$B59)*(OFFSET(ListeB,,4)='recap S1'!AT$3)*(OFFSET(ListeB,,1)='recap S1'!AT$2))&gt;0,SUMPRODUCT((ListeB='recap S1'!$B59)*(OFFSET(ListeB,,4)='recap S1'!AT$3)*(OFFSET(ListeB,,1)='recap S1'!AT$2)),"")</f>
        <v/>
      </c>
      <c r="AU59" s="32" t="str">
        <f ca="1">IF(SUMPRODUCT((ListeB='recap S1'!$B59)*(OFFSET(ListeB,,4)='recap S1'!AU$3)*(OFFSET(ListeB,,1)='recap S1'!AU$2))&gt;0,SUMPRODUCT((ListeB='recap S1'!$B59)*(OFFSET(ListeB,,4)='recap S1'!AU$3)*(OFFSET(ListeB,,1)='recap S1'!AU$2)),"")</f>
        <v/>
      </c>
      <c r="AV59" s="32" t="str">
        <f ca="1">IF(SUMPRODUCT((ListeB='recap S1'!$B59)*(OFFSET(ListeB,,4)='recap S1'!AV$3)*(OFFSET(ListeB,,1)='recap S1'!AV$2))&gt;0,SUMPRODUCT((ListeB='recap S1'!$B59)*(OFFSET(ListeB,,4)='recap S1'!AV$3)*(OFFSET(ListeB,,1)='recap S1'!AV$2)),"")</f>
        <v/>
      </c>
      <c r="AW59" s="32" t="str">
        <f ca="1">IF(SUMPRODUCT((ListeB='recap S1'!$B59)*(OFFSET(ListeB,,4)='recap S1'!AW$3)*(OFFSET(ListeB,,1)='recap S1'!AW$2))&gt;0,SUMPRODUCT((ListeB='recap S1'!$B59)*(OFFSET(ListeB,,4)='recap S1'!AW$3)*(OFFSET(ListeB,,1)='recap S1'!AW$2)),"")</f>
        <v/>
      </c>
      <c r="AX59" s="32" t="str">
        <f ca="1">IF(SUMPRODUCT((ListeB='recap S1'!$B59)*(OFFSET(ListeB,,4)='recap S1'!AX$3)*(OFFSET(ListeB,,1)='recap S1'!AX$2))&gt;0,SUMPRODUCT((ListeB='recap S1'!$B59)*(OFFSET(ListeB,,4)='recap S1'!AX$3)*(OFFSET(ListeB,,1)='recap S1'!AX$2)),"")</f>
        <v/>
      </c>
      <c r="AY59" s="32" t="str">
        <f ca="1">IF(SUMPRODUCT((ListeB='recap S1'!$B59)*(OFFSET(ListeB,,4)='recap S1'!AY$3)*(OFFSET(ListeB,,1)='recap S1'!AY$2))&gt;0,SUMPRODUCT((ListeB='recap S1'!$B59)*(OFFSET(ListeB,,4)='recap S1'!AY$3)*(OFFSET(ListeB,,1)='recap S1'!AY$2)),"")</f>
        <v/>
      </c>
      <c r="AZ59" s="32">
        <f t="shared" ca="1" si="1"/>
        <v>0</v>
      </c>
    </row>
    <row r="60" spans="1:52">
      <c r="A60" s="41" t="str">
        <f>IF('SEANCE 1'!$B58&lt;&gt;"",'SEANCE 1'!$A58,"")</f>
        <v/>
      </c>
      <c r="B60" s="41" t="str">
        <f t="array" aca="1" ref="B60" ca="1">IF(ISNA(INDEX(ListeB,MATCH(0,COUNTIF($B$3:B59,ListeB),0))),"",INDEX(ListeB,MATCH(0,COUNTIF($B$3:B59,ListeB),0)))</f>
        <v/>
      </c>
      <c r="C60" s="32" t="str">
        <f ca="1">IF(SUMPRODUCT((ListeB='recap S1'!$B60)*(OFFSET(ListeB,,4)='recap S1'!C$3)*(OFFSET(ListeB,,1)='recap S1'!C$2))&gt;0,SUMPRODUCT((ListeB='recap S1'!$B60)*(OFFSET(ListeB,,4)='recap S1'!C$3)*(OFFSET(ListeB,,1)='recap S1'!C$2)),"")</f>
        <v/>
      </c>
      <c r="D60" s="32" t="str">
        <f ca="1">IF(SUMPRODUCT((ListeB='recap S1'!$B60)*(OFFSET(ListeB,,4)='recap S1'!D$3)*(OFFSET(ListeB,,1)='recap S1'!D$2))&gt;0,SUMPRODUCT((ListeB='recap S1'!$B60)*(OFFSET(ListeB,,4)='recap S1'!D$3)*(OFFSET(ListeB,,1)='recap S1'!D$2)),"")</f>
        <v/>
      </c>
      <c r="E60" s="32"/>
      <c r="F60" s="32" t="str">
        <f ca="1">IF(SUMPRODUCT((ListeB='recap S1'!$B60)*(OFFSET(ListeB,,4)='recap S1'!F$3)*(OFFSET(ListeB,,1)='recap S1'!F$2))&gt;0,SUMPRODUCT((ListeB='recap S1'!$B60)*(OFFSET(ListeB,,4)='recap S1'!F$3)*(OFFSET(ListeB,,1)='recap S1'!F$2)),"")</f>
        <v/>
      </c>
      <c r="G60" s="32" t="str">
        <f ca="1">IF(SUMPRODUCT((ListeB='recap S1'!$B60)*(OFFSET(ListeB,,4)='recap S1'!G$3)*(OFFSET(ListeB,,1)='recap S1'!G$2))&gt;0,SUMPRODUCT((ListeB='recap S1'!$B60)*(OFFSET(ListeB,,4)='recap S1'!G$3)*(OFFSET(ListeB,,1)='recap S1'!G$2)),"")</f>
        <v/>
      </c>
      <c r="H60" s="32"/>
      <c r="I60" s="32" t="str">
        <f ca="1">IF(SUMPRODUCT((ListeB='recap S1'!$B60)*(OFFSET(ListeB,,4)='recap S1'!I$3)*(OFFSET(ListeB,,1)='recap S1'!I$2))&gt;0,SUMPRODUCT((ListeB='recap S1'!$B60)*(OFFSET(ListeB,,4)='recap S1'!I$3)*(OFFSET(ListeB,,1)='recap S1'!I$2)),"")</f>
        <v/>
      </c>
      <c r="J60" s="32" t="str">
        <f ca="1">IF(SUMPRODUCT((ListeB='recap S1'!$B60)*(OFFSET(ListeB,,4)='recap S1'!J$3)*(OFFSET(ListeB,,1)='recap S1'!J$2))&gt;0,SUMPRODUCT((ListeB='recap S1'!$B60)*(OFFSET(ListeB,,4)='recap S1'!J$3)*(OFFSET(ListeB,,1)='recap S1'!J$2)),"")</f>
        <v/>
      </c>
      <c r="K60" s="32" t="str">
        <f ca="1">IF(SUMPRODUCT((ListeB='recap S1'!$B60)*(OFFSET(ListeB,,4)='recap S1'!K$3)*(OFFSET(ListeB,,1)='recap S1'!K$2))&gt;0,SUMPRODUCT((ListeB='recap S1'!$B60)*(OFFSET(ListeB,,4)='recap S1'!K$3)*(OFFSET(ListeB,,1)='recap S1'!K$2)),"")</f>
        <v/>
      </c>
      <c r="L60" s="32"/>
      <c r="M60" s="32" t="str">
        <f ca="1">IF(SUMPRODUCT((ListeB='recap S1'!$B60)*(OFFSET(ListeB,,4)='recap S1'!M$3)*(OFFSET(ListeB,,1)='recap S1'!M$2))&gt;0,SUMPRODUCT((ListeB='recap S1'!$B60)*(OFFSET(ListeB,,4)='recap S1'!M$3)*(OFFSET(ListeB,,1)='recap S1'!M$2)),"")</f>
        <v/>
      </c>
      <c r="N60" s="32" t="str">
        <f ca="1">IF(SUMPRODUCT((ListeB='recap S1'!$B60)*(OFFSET(ListeB,,4)='recap S1'!N$3)*(OFFSET(ListeB,,1)='recap S1'!N$2))&gt;0,SUMPRODUCT((ListeB='recap S1'!$B60)*(OFFSET(ListeB,,4)='recap S1'!N$3)*(OFFSET(ListeB,,1)='recap S1'!N$2)),"")</f>
        <v/>
      </c>
      <c r="O60" s="32"/>
      <c r="P60" s="32" t="str">
        <f ca="1">IF(SUMPRODUCT((ListeB='recap S1'!$B60)*(OFFSET(ListeB,,4)='recap S1'!P$3)*(OFFSET(ListeB,,1)='recap S1'!P$2))&gt;0,SUMPRODUCT((ListeB='recap S1'!$B60)*(OFFSET(ListeB,,4)='recap S1'!P$3)*(OFFSET(ListeB,,1)='recap S1'!P$2)),"")</f>
        <v/>
      </c>
      <c r="Q60" s="32" t="str">
        <f ca="1">IF(SUMPRODUCT((ListeB='recap S1'!$B60)*(OFFSET(ListeB,,4)='recap S1'!Q$3)*(OFFSET(ListeB,,1)='recap S1'!Q$2))&gt;0,SUMPRODUCT((ListeB='recap S1'!$B60)*(OFFSET(ListeB,,4)='recap S1'!Q$3)*(OFFSET(ListeB,,1)='recap S1'!Q$2)),"")</f>
        <v/>
      </c>
      <c r="R60" s="32"/>
      <c r="S60" s="32" t="str">
        <f ca="1">IF(SUMPRODUCT((ListeB='recap S1'!$B60)*(OFFSET(ListeB,,4)='recap S1'!S$3)*(OFFSET(ListeB,,1)='recap S1'!S$2))&gt;0,SUMPRODUCT((ListeB='recap S1'!$B60)*(OFFSET(ListeB,,4)='recap S1'!S$3)*(OFFSET(ListeB,,1)='recap S1'!S$2)),"")</f>
        <v/>
      </c>
      <c r="T60" s="32" t="str">
        <f ca="1">IF(SUMPRODUCT((ListeB='recap S1'!$B60)*(OFFSET(ListeB,,4)='recap S1'!T$3)*(OFFSET(ListeB,,1)='recap S1'!T$2))&gt;0,SUMPRODUCT((ListeB='recap S1'!$B60)*(OFFSET(ListeB,,4)='recap S1'!T$3)*(OFFSET(ListeB,,1)='recap S1'!T$2)),"")</f>
        <v/>
      </c>
      <c r="U60" s="32" t="str">
        <f ca="1">IF(SUMPRODUCT((ListeB='recap S1'!$B60)*(OFFSET(ListeB,,4)='recap S1'!U$3)*(OFFSET(ListeB,,1)='recap S1'!U$2))&gt;0,SUMPRODUCT((ListeB='recap S1'!$B60)*(OFFSET(ListeB,,4)='recap S1'!U$3)*(OFFSET(ListeB,,1)='recap S1'!U$2)),"")</f>
        <v/>
      </c>
      <c r="V60" s="32"/>
      <c r="W60" s="32" t="str">
        <f ca="1">IF(SUMPRODUCT((ListeB='recap S1'!$B60)*(OFFSET(ListeB,,4)='recap S1'!W$3)*(OFFSET(ListeB,,1)='recap S1'!W$2))&gt;0,SUMPRODUCT((ListeB='recap S1'!$B60)*(OFFSET(ListeB,,4)='recap S1'!W$3)*(OFFSET(ListeB,,1)='recap S1'!W$2)),"")</f>
        <v/>
      </c>
      <c r="X60" s="32"/>
      <c r="Y60" s="32" t="str">
        <f ca="1">IF(SUMPRODUCT((ListeB='recap S1'!$B60)*(OFFSET(ListeB,,4)='recap S1'!Y$3)*(OFFSET(ListeB,,1)='recap S1'!Y$2))&gt;0,SUMPRODUCT((ListeB='recap S1'!$B60)*(OFFSET(ListeB,,4)='recap S1'!Y$3)*(OFFSET(ListeB,,1)='recap S1'!Y$2)),"")</f>
        <v/>
      </c>
      <c r="Z60" s="32" t="str">
        <f ca="1">IF(SUMPRODUCT((ListeB='recap S1'!$B60)*(OFFSET(ListeB,,4)='recap S1'!Z$3)*(OFFSET(ListeB,,1)='recap S1'!Z$2))&gt;0,SUMPRODUCT((ListeB='recap S1'!$B60)*(OFFSET(ListeB,,4)='recap S1'!Z$3)*(OFFSET(ListeB,,1)='recap S1'!Z$2)),"")</f>
        <v/>
      </c>
      <c r="AA60" s="32" t="str">
        <f ca="1">IF(SUMPRODUCT((ListeB='recap S1'!$B60)*(OFFSET(ListeB,,4)='recap S1'!AA$3)*(OFFSET(ListeB,,1)='recap S1'!AA$2))&gt;0,SUMPRODUCT((ListeB='recap S1'!$B60)*(OFFSET(ListeB,,4)='recap S1'!AA$3)*(OFFSET(ListeB,,1)='recap S1'!AA$2)),"")</f>
        <v/>
      </c>
      <c r="AB60" s="32"/>
      <c r="AC60" s="32" t="str">
        <f ca="1">IF(SUMPRODUCT((ListeB='recap S1'!$B60)*(OFFSET(ListeB,,4)='recap S1'!AC$3)*(OFFSET(ListeB,,1)='recap S1'!AC$2))&gt;0,SUMPRODUCT((ListeB='recap S1'!$B60)*(OFFSET(ListeB,,4)='recap S1'!AC$3)*(OFFSET(ListeB,,1)='recap S1'!AC$2)),"")</f>
        <v/>
      </c>
      <c r="AD60" s="32"/>
      <c r="AE60" s="32" t="str">
        <f ca="1">IF(SUMPRODUCT((ListeB='recap S1'!$B60)*(OFFSET(ListeB,,4)='recap S1'!AE$3)*(OFFSET(ListeB,,1)='recap S1'!AE$2))&gt;0,SUMPRODUCT((ListeB='recap S1'!$B60)*(OFFSET(ListeB,,4)='recap S1'!AE$3)*(OFFSET(ListeB,,1)='recap S1'!AE$2)),"")</f>
        <v/>
      </c>
      <c r="AF60" s="32" t="str">
        <f ca="1">IF(SUMPRODUCT((ListeB='recap S1'!$B60)*(OFFSET(ListeB,,4)='recap S1'!AF$3)*(OFFSET(ListeB,,1)='recap S1'!AF$2))&gt;0,SUMPRODUCT((ListeB='recap S1'!$B60)*(OFFSET(ListeB,,4)='recap S1'!AF$3)*(OFFSET(ListeB,,1)='recap S1'!AF$2)),"")</f>
        <v/>
      </c>
      <c r="AG60" s="32"/>
      <c r="AH60" s="32" t="str">
        <f ca="1">IF(SUMPRODUCT((ListeB='recap S1'!$B60)*(OFFSET(ListeB,,4)='recap S1'!AH$3)*(OFFSET(ListeB,,1)='recap S1'!AH$2))&gt;0,SUMPRODUCT((ListeB='recap S1'!$B60)*(OFFSET(ListeB,,4)='recap S1'!AH$3)*(OFFSET(ListeB,,1)='recap S1'!AH$2)),"")</f>
        <v/>
      </c>
      <c r="AI60" s="32" t="str">
        <f ca="1">IF(SUMPRODUCT((ListeB='recap S1'!$B60)*(OFFSET(ListeB,,4)='recap S1'!AI$3)*(OFFSET(ListeB,,1)='recap S1'!AI$2))&gt;0,SUMPRODUCT((ListeB='recap S1'!$B60)*(OFFSET(ListeB,,4)='recap S1'!AI$3)*(OFFSET(ListeB,,1)='recap S1'!AI$2)),"")</f>
        <v/>
      </c>
      <c r="AJ60" s="32" t="str">
        <f ca="1">IF(SUMPRODUCT((ListeB='recap S1'!$B60)*(OFFSET(ListeB,,4)='recap S1'!AJ$3)*(OFFSET(ListeB,,1)='recap S1'!AJ$2))&gt;0,SUMPRODUCT((ListeB='recap S1'!$B60)*(OFFSET(ListeB,,4)='recap S1'!AJ$3)*(OFFSET(ListeB,,1)='recap S1'!AJ$2)),"")</f>
        <v/>
      </c>
      <c r="AK60" s="32"/>
      <c r="AL60" s="32" t="str">
        <f ca="1">IF(SUMPRODUCT((ListeB='recap S1'!$B60)*(OFFSET(ListeB,,4)='recap S1'!AL$3)*(OFFSET(ListeB,,1)='recap S1'!AL$2))&gt;0,SUMPRODUCT((ListeB='recap S1'!$B60)*(OFFSET(ListeB,,4)='recap S1'!AL$3)*(OFFSET(ListeB,,1)='recap S1'!AL$2)),"")</f>
        <v/>
      </c>
      <c r="AM60" s="32"/>
      <c r="AN60" s="32" t="str">
        <f ca="1">IF(SUMPRODUCT((ListeB='recap S1'!$B60)*(OFFSET(ListeB,,4)='recap S1'!AN$3)*(OFFSET(ListeB,,1)='recap S1'!AN$2))&gt;0,SUMPRODUCT((ListeB='recap S1'!$B60)*(OFFSET(ListeB,,4)='recap S1'!AN$3)*(OFFSET(ListeB,,1)='recap S1'!AN$2)),"")</f>
        <v/>
      </c>
      <c r="AO60" s="32" t="str">
        <f ca="1">IF(SUMPRODUCT((ListeB='recap S1'!$B60)*(OFFSET(ListeB,,4)='recap S1'!AO$3)*(OFFSET(ListeB,,1)='recap S1'!AO$2))&gt;0,SUMPRODUCT((ListeB='recap S1'!$B60)*(OFFSET(ListeB,,4)='recap S1'!AO$3)*(OFFSET(ListeB,,1)='recap S1'!AO$2)),"")</f>
        <v/>
      </c>
      <c r="AP60" s="32"/>
      <c r="AQ60" s="32"/>
      <c r="AR60" s="32"/>
      <c r="AS60" s="32" t="str">
        <f ca="1">IF(SUMPRODUCT((ListeB='recap S1'!$B60)*(OFFSET(ListeB,,4)='recap S1'!AS$3)*(OFFSET(ListeB,,1)='recap S1'!AS$2))&gt;0,SUMPRODUCT((ListeB='recap S1'!$B60)*(OFFSET(ListeB,,4)='recap S1'!AS$3)*(OFFSET(ListeB,,1)='recap S1'!AS$2)),"")</f>
        <v/>
      </c>
      <c r="AT60" s="32" t="str">
        <f ca="1">IF(SUMPRODUCT((ListeB='recap S1'!$B60)*(OFFSET(ListeB,,4)='recap S1'!AT$3)*(OFFSET(ListeB,,1)='recap S1'!AT$2))&gt;0,SUMPRODUCT((ListeB='recap S1'!$B60)*(OFFSET(ListeB,,4)='recap S1'!AT$3)*(OFFSET(ListeB,,1)='recap S1'!AT$2)),"")</f>
        <v/>
      </c>
      <c r="AU60" s="32"/>
      <c r="AV60" s="32" t="str">
        <f ca="1">IF(SUMPRODUCT((ListeB='recap S1'!$B60)*(OFFSET(ListeB,,4)='recap S1'!AV$3)*(OFFSET(ListeB,,1)='recap S1'!AV$2))&gt;0,SUMPRODUCT((ListeB='recap S1'!$B60)*(OFFSET(ListeB,,4)='recap S1'!AV$3)*(OFFSET(ListeB,,1)='recap S1'!AV$2)),"")</f>
        <v/>
      </c>
      <c r="AW60" s="32" t="str">
        <f ca="1">IF(SUMPRODUCT((ListeB='recap S1'!$B60)*(OFFSET(ListeB,,4)='recap S1'!AW$3)*(OFFSET(ListeB,,1)='recap S1'!AW$2))&gt;0,SUMPRODUCT((ListeB='recap S1'!$B60)*(OFFSET(ListeB,,4)='recap S1'!AW$3)*(OFFSET(ListeB,,1)='recap S1'!AW$2)),"")</f>
        <v/>
      </c>
      <c r="AX60" s="32" t="str">
        <f ca="1">IF(SUMPRODUCT((ListeB='recap S1'!$B60)*(OFFSET(ListeB,,4)='recap S1'!AX$3)*(OFFSET(ListeB,,1)='recap S1'!AX$2))&gt;0,SUMPRODUCT((ListeB='recap S1'!$B60)*(OFFSET(ListeB,,4)='recap S1'!AX$3)*(OFFSET(ListeB,,1)='recap S1'!AX$2)),"")</f>
        <v/>
      </c>
      <c r="AY60" s="34"/>
      <c r="AZ60" s="32">
        <f t="shared" ca="1" si="1"/>
        <v>0</v>
      </c>
    </row>
    <row r="61" spans="1:52">
      <c r="A61" s="41" t="str">
        <f>IF('SEANCE 1'!$B59&lt;&gt;"",'SEANCE 1'!$A59,"")</f>
        <v/>
      </c>
      <c r="B61" s="41" t="str">
        <f t="array" aca="1" ref="B61" ca="1">IF(ISNA(INDEX(ListeB,MATCH(0,COUNTIF($B$3:B60,ListeB),0))),"",INDEX(ListeB,MATCH(0,COUNTIF($B$3:B60,ListeB),0)))</f>
        <v/>
      </c>
      <c r="C61" s="32" t="str">
        <f ca="1">IF(SUMPRODUCT((ListeB='recap S1'!$B61)*(OFFSET(ListeB,,4)='recap S1'!C$3)*(OFFSET(ListeB,,1)='recap S1'!C$2))&gt;0,SUMPRODUCT((ListeB='recap S1'!$B61)*(OFFSET(ListeB,,4)='recap S1'!C$3)*(OFFSET(ListeB,,1)='recap S1'!C$2)),"")</f>
        <v/>
      </c>
      <c r="D61" s="32" t="str">
        <f ca="1">IF(SUMPRODUCT((ListeB='recap S1'!$B61)*(OFFSET(ListeB,,4)='recap S1'!D$3)*(OFFSET(ListeB,,1)='recap S1'!D$2))&gt;0,SUMPRODUCT((ListeB='recap S1'!$B61)*(OFFSET(ListeB,,4)='recap S1'!D$3)*(OFFSET(ListeB,,1)='recap S1'!D$2)),"")</f>
        <v/>
      </c>
      <c r="E61" s="32"/>
      <c r="F61" s="32" t="str">
        <f ca="1">IF(SUMPRODUCT((ListeB='recap S1'!$B61)*(OFFSET(ListeB,,4)='recap S1'!F$3)*(OFFSET(ListeB,,1)='recap S1'!F$2))&gt;0,SUMPRODUCT((ListeB='recap S1'!$B61)*(OFFSET(ListeB,,4)='recap S1'!F$3)*(OFFSET(ListeB,,1)='recap S1'!F$2)),"")</f>
        <v/>
      </c>
      <c r="G61" s="32" t="str">
        <f ca="1">IF(SUMPRODUCT((ListeB='recap S1'!$B61)*(OFFSET(ListeB,,4)='recap S1'!G$3)*(OFFSET(ListeB,,1)='recap S1'!G$2))&gt;0,SUMPRODUCT((ListeB='recap S1'!$B61)*(OFFSET(ListeB,,4)='recap S1'!G$3)*(OFFSET(ListeB,,1)='recap S1'!G$2)),"")</f>
        <v/>
      </c>
      <c r="H61" s="32"/>
      <c r="I61" s="32" t="str">
        <f ca="1">IF(SUMPRODUCT((ListeB='recap S1'!$B61)*(OFFSET(ListeB,,4)='recap S1'!I$3)*(OFFSET(ListeB,,1)='recap S1'!I$2))&gt;0,SUMPRODUCT((ListeB='recap S1'!$B61)*(OFFSET(ListeB,,4)='recap S1'!I$3)*(OFFSET(ListeB,,1)='recap S1'!I$2)),"")</f>
        <v/>
      </c>
      <c r="J61" s="32" t="str">
        <f ca="1">IF(SUMPRODUCT((ListeB='recap S1'!$B61)*(OFFSET(ListeB,,4)='recap S1'!J$3)*(OFFSET(ListeB,,1)='recap S1'!J$2))&gt;0,SUMPRODUCT((ListeB='recap S1'!$B61)*(OFFSET(ListeB,,4)='recap S1'!J$3)*(OFFSET(ListeB,,1)='recap S1'!J$2)),"")</f>
        <v/>
      </c>
      <c r="K61" s="32" t="str">
        <f ca="1">IF(SUMPRODUCT((ListeB='recap S1'!$B61)*(OFFSET(ListeB,,4)='recap S1'!K$3)*(OFFSET(ListeB,,1)='recap S1'!K$2))&gt;0,SUMPRODUCT((ListeB='recap S1'!$B61)*(OFFSET(ListeB,,4)='recap S1'!K$3)*(OFFSET(ListeB,,1)='recap S1'!K$2)),"")</f>
        <v/>
      </c>
      <c r="L61" s="32"/>
      <c r="M61" s="32" t="str">
        <f ca="1">IF(SUMPRODUCT((ListeB='recap S1'!$B61)*(OFFSET(ListeB,,4)='recap S1'!M$3)*(OFFSET(ListeB,,1)='recap S1'!M$2))&gt;0,SUMPRODUCT((ListeB='recap S1'!$B61)*(OFFSET(ListeB,,4)='recap S1'!M$3)*(OFFSET(ListeB,,1)='recap S1'!M$2)),"")</f>
        <v/>
      </c>
      <c r="N61" s="32" t="str">
        <f ca="1">IF(SUMPRODUCT((ListeB='recap S1'!$B61)*(OFFSET(ListeB,,4)='recap S1'!N$3)*(OFFSET(ListeB,,1)='recap S1'!N$2))&gt;0,SUMPRODUCT((ListeB='recap S1'!$B61)*(OFFSET(ListeB,,4)='recap S1'!N$3)*(OFFSET(ListeB,,1)='recap S1'!N$2)),"")</f>
        <v/>
      </c>
      <c r="O61" s="32"/>
      <c r="P61" s="32" t="str">
        <f ca="1">IF(SUMPRODUCT((ListeB='recap S1'!$B61)*(OFFSET(ListeB,,4)='recap S1'!P$3)*(OFFSET(ListeB,,1)='recap S1'!P$2))&gt;0,SUMPRODUCT((ListeB='recap S1'!$B61)*(OFFSET(ListeB,,4)='recap S1'!P$3)*(OFFSET(ListeB,,1)='recap S1'!P$2)),"")</f>
        <v/>
      </c>
      <c r="Q61" s="32" t="str">
        <f ca="1">IF(SUMPRODUCT((ListeB='recap S1'!$B61)*(OFFSET(ListeB,,4)='recap S1'!Q$3)*(OFFSET(ListeB,,1)='recap S1'!Q$2))&gt;0,SUMPRODUCT((ListeB='recap S1'!$B61)*(OFFSET(ListeB,,4)='recap S1'!Q$3)*(OFFSET(ListeB,,1)='recap S1'!Q$2)),"")</f>
        <v/>
      </c>
      <c r="R61" s="32"/>
      <c r="S61" s="32" t="str">
        <f ca="1">IF(SUMPRODUCT((ListeB='recap S1'!$B61)*(OFFSET(ListeB,,4)='recap S1'!S$3)*(OFFSET(ListeB,,1)='recap S1'!S$2))&gt;0,SUMPRODUCT((ListeB='recap S1'!$B61)*(OFFSET(ListeB,,4)='recap S1'!S$3)*(OFFSET(ListeB,,1)='recap S1'!S$2)),"")</f>
        <v/>
      </c>
      <c r="T61" s="32" t="str">
        <f ca="1">IF(SUMPRODUCT((ListeB='recap S1'!$B61)*(OFFSET(ListeB,,4)='recap S1'!T$3)*(OFFSET(ListeB,,1)='recap S1'!T$2))&gt;0,SUMPRODUCT((ListeB='recap S1'!$B61)*(OFFSET(ListeB,,4)='recap S1'!T$3)*(OFFSET(ListeB,,1)='recap S1'!T$2)),"")</f>
        <v/>
      </c>
      <c r="U61" s="32" t="str">
        <f ca="1">IF(SUMPRODUCT((ListeB='recap S1'!$B61)*(OFFSET(ListeB,,4)='recap S1'!U$3)*(OFFSET(ListeB,,1)='recap S1'!U$2))&gt;0,SUMPRODUCT((ListeB='recap S1'!$B61)*(OFFSET(ListeB,,4)='recap S1'!U$3)*(OFFSET(ListeB,,1)='recap S1'!U$2)),"")</f>
        <v/>
      </c>
      <c r="V61" s="32"/>
      <c r="W61" s="32" t="str">
        <f ca="1">IF(SUMPRODUCT((ListeB='recap S1'!$B61)*(OFFSET(ListeB,,4)='recap S1'!W$3)*(OFFSET(ListeB,,1)='recap S1'!W$2))&gt;0,SUMPRODUCT((ListeB='recap S1'!$B61)*(OFFSET(ListeB,,4)='recap S1'!W$3)*(OFFSET(ListeB,,1)='recap S1'!W$2)),"")</f>
        <v/>
      </c>
      <c r="X61" s="32"/>
      <c r="Y61" s="32" t="str">
        <f ca="1">IF(SUMPRODUCT((ListeB='recap S1'!$B61)*(OFFSET(ListeB,,4)='recap S1'!Y$3)*(OFFSET(ListeB,,1)='recap S1'!Y$2))&gt;0,SUMPRODUCT((ListeB='recap S1'!$B61)*(OFFSET(ListeB,,4)='recap S1'!Y$3)*(OFFSET(ListeB,,1)='recap S1'!Y$2)),"")</f>
        <v/>
      </c>
      <c r="Z61" s="32" t="str">
        <f ca="1">IF(SUMPRODUCT((ListeB='recap S1'!$B61)*(OFFSET(ListeB,,4)='recap S1'!Z$3)*(OFFSET(ListeB,,1)='recap S1'!Z$2))&gt;0,SUMPRODUCT((ListeB='recap S1'!$B61)*(OFFSET(ListeB,,4)='recap S1'!Z$3)*(OFFSET(ListeB,,1)='recap S1'!Z$2)),"")</f>
        <v/>
      </c>
      <c r="AA61" s="32" t="str">
        <f ca="1">IF(SUMPRODUCT((ListeB='recap S1'!$B61)*(OFFSET(ListeB,,4)='recap S1'!AA$3)*(OFFSET(ListeB,,1)='recap S1'!AA$2))&gt;0,SUMPRODUCT((ListeB='recap S1'!$B61)*(OFFSET(ListeB,,4)='recap S1'!AA$3)*(OFFSET(ListeB,,1)='recap S1'!AA$2)),"")</f>
        <v/>
      </c>
      <c r="AB61" s="32"/>
      <c r="AC61" s="32" t="str">
        <f ca="1">IF(SUMPRODUCT((ListeB='recap S1'!$B61)*(OFFSET(ListeB,,4)='recap S1'!AC$3)*(OFFSET(ListeB,,1)='recap S1'!AC$2))&gt;0,SUMPRODUCT((ListeB='recap S1'!$B61)*(OFFSET(ListeB,,4)='recap S1'!AC$3)*(OFFSET(ListeB,,1)='recap S1'!AC$2)),"")</f>
        <v/>
      </c>
      <c r="AD61" s="32"/>
      <c r="AE61" s="32" t="str">
        <f ca="1">IF(SUMPRODUCT((ListeB='recap S1'!$B61)*(OFFSET(ListeB,,4)='recap S1'!AE$3)*(OFFSET(ListeB,,1)='recap S1'!AE$2))&gt;0,SUMPRODUCT((ListeB='recap S1'!$B61)*(OFFSET(ListeB,,4)='recap S1'!AE$3)*(OFFSET(ListeB,,1)='recap S1'!AE$2)),"")</f>
        <v/>
      </c>
      <c r="AF61" s="32" t="str">
        <f ca="1">IF(SUMPRODUCT((ListeB='recap S1'!$B61)*(OFFSET(ListeB,,4)='recap S1'!AF$3)*(OFFSET(ListeB,,1)='recap S1'!AF$2))&gt;0,SUMPRODUCT((ListeB='recap S1'!$B61)*(OFFSET(ListeB,,4)='recap S1'!AF$3)*(OFFSET(ListeB,,1)='recap S1'!AF$2)),"")</f>
        <v/>
      </c>
      <c r="AG61" s="32"/>
      <c r="AH61" s="32" t="str">
        <f ca="1">IF(SUMPRODUCT((ListeB='recap S1'!$B61)*(OFFSET(ListeB,,4)='recap S1'!AH$3)*(OFFSET(ListeB,,1)='recap S1'!AH$2))&gt;0,SUMPRODUCT((ListeB='recap S1'!$B61)*(OFFSET(ListeB,,4)='recap S1'!AH$3)*(OFFSET(ListeB,,1)='recap S1'!AH$2)),"")</f>
        <v/>
      </c>
      <c r="AI61" s="32" t="str">
        <f ca="1">IF(SUMPRODUCT((ListeB='recap S1'!$B61)*(OFFSET(ListeB,,4)='recap S1'!AI$3)*(OFFSET(ListeB,,1)='recap S1'!AI$2))&gt;0,SUMPRODUCT((ListeB='recap S1'!$B61)*(OFFSET(ListeB,,4)='recap S1'!AI$3)*(OFFSET(ListeB,,1)='recap S1'!AI$2)),"")</f>
        <v/>
      </c>
      <c r="AJ61" s="32" t="str">
        <f ca="1">IF(SUMPRODUCT((ListeB='recap S1'!$B61)*(OFFSET(ListeB,,4)='recap S1'!AJ$3)*(OFFSET(ListeB,,1)='recap S1'!AJ$2))&gt;0,SUMPRODUCT((ListeB='recap S1'!$B61)*(OFFSET(ListeB,,4)='recap S1'!AJ$3)*(OFFSET(ListeB,,1)='recap S1'!AJ$2)),"")</f>
        <v/>
      </c>
      <c r="AK61" s="32"/>
      <c r="AL61" s="32" t="str">
        <f ca="1">IF(SUMPRODUCT((ListeB='recap S1'!$B61)*(OFFSET(ListeB,,4)='recap S1'!AL$3)*(OFFSET(ListeB,,1)='recap S1'!AL$2))&gt;0,SUMPRODUCT((ListeB='recap S1'!$B61)*(OFFSET(ListeB,,4)='recap S1'!AL$3)*(OFFSET(ListeB,,1)='recap S1'!AL$2)),"")</f>
        <v/>
      </c>
      <c r="AM61" s="32"/>
      <c r="AN61" s="32" t="str">
        <f ca="1">IF(SUMPRODUCT((ListeB='recap S1'!$B61)*(OFFSET(ListeB,,4)='recap S1'!AN$3)*(OFFSET(ListeB,,1)='recap S1'!AN$2))&gt;0,SUMPRODUCT((ListeB='recap S1'!$B61)*(OFFSET(ListeB,,4)='recap S1'!AN$3)*(OFFSET(ListeB,,1)='recap S1'!AN$2)),"")</f>
        <v/>
      </c>
      <c r="AO61" s="32" t="str">
        <f ca="1">IF(SUMPRODUCT((ListeB='recap S1'!$B61)*(OFFSET(ListeB,,4)='recap S1'!AO$3)*(OFFSET(ListeB,,1)='recap S1'!AO$2))&gt;0,SUMPRODUCT((ListeB='recap S1'!$B61)*(OFFSET(ListeB,,4)='recap S1'!AO$3)*(OFFSET(ListeB,,1)='recap S1'!AO$2)),"")</f>
        <v/>
      </c>
      <c r="AP61" s="32"/>
      <c r="AQ61" s="32"/>
      <c r="AR61" s="32"/>
      <c r="AS61" s="32" t="str">
        <f ca="1">IF(SUMPRODUCT((ListeB='recap S1'!$B61)*(OFFSET(ListeB,,4)='recap S1'!AS$3)*(OFFSET(ListeB,,1)='recap S1'!AS$2))&gt;0,SUMPRODUCT((ListeB='recap S1'!$B61)*(OFFSET(ListeB,,4)='recap S1'!AS$3)*(OFFSET(ListeB,,1)='recap S1'!AS$2)),"")</f>
        <v/>
      </c>
      <c r="AT61" s="32" t="str">
        <f ca="1">IF(SUMPRODUCT((ListeB='recap S1'!$B61)*(OFFSET(ListeB,,4)='recap S1'!AT$3)*(OFFSET(ListeB,,1)='recap S1'!AT$2))&gt;0,SUMPRODUCT((ListeB='recap S1'!$B61)*(OFFSET(ListeB,,4)='recap S1'!AT$3)*(OFFSET(ListeB,,1)='recap S1'!AT$2)),"")</f>
        <v/>
      </c>
      <c r="AU61" s="32"/>
      <c r="AV61" s="32" t="str">
        <f ca="1">IF(SUMPRODUCT((ListeB='recap S1'!$B61)*(OFFSET(ListeB,,4)='recap S1'!AV$3)*(OFFSET(ListeB,,1)='recap S1'!AV$2))&gt;0,SUMPRODUCT((ListeB='recap S1'!$B61)*(OFFSET(ListeB,,4)='recap S1'!AV$3)*(OFFSET(ListeB,,1)='recap S1'!AV$2)),"")</f>
        <v/>
      </c>
      <c r="AW61" s="32" t="str">
        <f ca="1">IF(SUMPRODUCT((ListeB='recap S1'!$B61)*(OFFSET(ListeB,,4)='recap S1'!AW$3)*(OFFSET(ListeB,,1)='recap S1'!AW$2))&gt;0,SUMPRODUCT((ListeB='recap S1'!$B61)*(OFFSET(ListeB,,4)='recap S1'!AW$3)*(OFFSET(ListeB,,1)='recap S1'!AW$2)),"")</f>
        <v/>
      </c>
      <c r="AX61" s="32" t="str">
        <f ca="1">IF(SUMPRODUCT((ListeB='recap S1'!$B61)*(OFFSET(ListeB,,4)='recap S1'!AX$3)*(OFFSET(ListeB,,1)='recap S1'!AX$2))&gt;0,SUMPRODUCT((ListeB='recap S1'!$B61)*(OFFSET(ListeB,,4)='recap S1'!AX$3)*(OFFSET(ListeB,,1)='recap S1'!AX$2)),"")</f>
        <v/>
      </c>
      <c r="AY61" s="34"/>
      <c r="AZ61" s="32">
        <f t="shared" ca="1" si="1"/>
        <v>0</v>
      </c>
    </row>
    <row r="62" spans="1:52">
      <c r="A62" s="41" t="str">
        <f>IF('SEANCE 1'!$B60&lt;&gt;"",'SEANCE 1'!$A60,"")</f>
        <v/>
      </c>
      <c r="B62" s="41" t="str">
        <f t="array" aca="1" ref="B62" ca="1">IF(ISNA(INDEX(ListeB,MATCH(0,COUNTIF($B$3:B61,ListeB),0))),"",INDEX(ListeB,MATCH(0,COUNTIF($B$3:B61,ListeB),0)))</f>
        <v/>
      </c>
      <c r="C62" s="32" t="str">
        <f ca="1">IF(SUMPRODUCT((ListeB='recap S1'!$B62)*(OFFSET(ListeB,,4)='recap S1'!C$3)*(OFFSET(ListeB,,1)='recap S1'!C$2))&gt;0,SUMPRODUCT((ListeB='recap S1'!$B62)*(OFFSET(ListeB,,4)='recap S1'!C$3)*(OFFSET(ListeB,,1)='recap S1'!C$2)),"")</f>
        <v/>
      </c>
      <c r="D62" s="32" t="str">
        <f ca="1">IF(SUMPRODUCT((ListeB='recap S1'!$B62)*(OFFSET(ListeB,,4)='recap S1'!D$3)*(OFFSET(ListeB,,1)='recap S1'!D$2))&gt;0,SUMPRODUCT((ListeB='recap S1'!$B62)*(OFFSET(ListeB,,4)='recap S1'!D$3)*(OFFSET(ListeB,,1)='recap S1'!D$2)),"")</f>
        <v/>
      </c>
      <c r="E62" s="32"/>
      <c r="F62" s="32" t="str">
        <f ca="1">IF(SUMPRODUCT((ListeB='recap S1'!$B62)*(OFFSET(ListeB,,4)='recap S1'!F$3)*(OFFSET(ListeB,,1)='recap S1'!F$2))&gt;0,SUMPRODUCT((ListeB='recap S1'!$B62)*(OFFSET(ListeB,,4)='recap S1'!F$3)*(OFFSET(ListeB,,1)='recap S1'!F$2)),"")</f>
        <v/>
      </c>
      <c r="G62" s="32" t="str">
        <f ca="1">IF(SUMPRODUCT((ListeB='recap S1'!$B62)*(OFFSET(ListeB,,4)='recap S1'!G$3)*(OFFSET(ListeB,,1)='recap S1'!G$2))&gt;0,SUMPRODUCT((ListeB='recap S1'!$B62)*(OFFSET(ListeB,,4)='recap S1'!G$3)*(OFFSET(ListeB,,1)='recap S1'!G$2)),"")</f>
        <v/>
      </c>
      <c r="H62" s="32"/>
      <c r="I62" s="32" t="str">
        <f ca="1">IF(SUMPRODUCT((ListeB='recap S1'!$B62)*(OFFSET(ListeB,,4)='recap S1'!I$3)*(OFFSET(ListeB,,1)='recap S1'!I$2))&gt;0,SUMPRODUCT((ListeB='recap S1'!$B62)*(OFFSET(ListeB,,4)='recap S1'!I$3)*(OFFSET(ListeB,,1)='recap S1'!I$2)),"")</f>
        <v/>
      </c>
      <c r="J62" s="32" t="str">
        <f ca="1">IF(SUMPRODUCT((ListeB='recap S1'!$B62)*(OFFSET(ListeB,,4)='recap S1'!J$3)*(OFFSET(ListeB,,1)='recap S1'!J$2))&gt;0,SUMPRODUCT((ListeB='recap S1'!$B62)*(OFFSET(ListeB,,4)='recap S1'!J$3)*(OFFSET(ListeB,,1)='recap S1'!J$2)),"")</f>
        <v/>
      </c>
      <c r="K62" s="32" t="str">
        <f ca="1">IF(SUMPRODUCT((ListeB='recap S1'!$B62)*(OFFSET(ListeB,,4)='recap S1'!K$3)*(OFFSET(ListeB,,1)='recap S1'!K$2))&gt;0,SUMPRODUCT((ListeB='recap S1'!$B62)*(OFFSET(ListeB,,4)='recap S1'!K$3)*(OFFSET(ListeB,,1)='recap S1'!K$2)),"")</f>
        <v/>
      </c>
      <c r="L62" s="32"/>
      <c r="M62" s="32" t="str">
        <f ca="1">IF(SUMPRODUCT((ListeB='recap S1'!$B62)*(OFFSET(ListeB,,4)='recap S1'!M$3)*(OFFSET(ListeB,,1)='recap S1'!M$2))&gt;0,SUMPRODUCT((ListeB='recap S1'!$B62)*(OFFSET(ListeB,,4)='recap S1'!M$3)*(OFFSET(ListeB,,1)='recap S1'!M$2)),"")</f>
        <v/>
      </c>
      <c r="N62" s="32" t="str">
        <f ca="1">IF(SUMPRODUCT((ListeB='recap S1'!$B62)*(OFFSET(ListeB,,4)='recap S1'!N$3)*(OFFSET(ListeB,,1)='recap S1'!N$2))&gt;0,SUMPRODUCT((ListeB='recap S1'!$B62)*(OFFSET(ListeB,,4)='recap S1'!N$3)*(OFFSET(ListeB,,1)='recap S1'!N$2)),"")</f>
        <v/>
      </c>
      <c r="O62" s="32"/>
      <c r="P62" s="32" t="str">
        <f ca="1">IF(SUMPRODUCT((ListeB='recap S1'!$B62)*(OFFSET(ListeB,,4)='recap S1'!P$3)*(OFFSET(ListeB,,1)='recap S1'!P$2))&gt;0,SUMPRODUCT((ListeB='recap S1'!$B62)*(OFFSET(ListeB,,4)='recap S1'!P$3)*(OFFSET(ListeB,,1)='recap S1'!P$2)),"")</f>
        <v/>
      </c>
      <c r="Q62" s="32" t="str">
        <f ca="1">IF(SUMPRODUCT((ListeB='recap S1'!$B62)*(OFFSET(ListeB,,4)='recap S1'!Q$3)*(OFFSET(ListeB,,1)='recap S1'!Q$2))&gt;0,SUMPRODUCT((ListeB='recap S1'!$B62)*(OFFSET(ListeB,,4)='recap S1'!Q$3)*(OFFSET(ListeB,,1)='recap S1'!Q$2)),"")</f>
        <v/>
      </c>
      <c r="R62" s="32"/>
      <c r="S62" s="32" t="str">
        <f ca="1">IF(SUMPRODUCT((ListeB='recap S1'!$B62)*(OFFSET(ListeB,,4)='recap S1'!S$3)*(OFFSET(ListeB,,1)='recap S1'!S$2))&gt;0,SUMPRODUCT((ListeB='recap S1'!$B62)*(OFFSET(ListeB,,4)='recap S1'!S$3)*(OFFSET(ListeB,,1)='recap S1'!S$2)),"")</f>
        <v/>
      </c>
      <c r="T62" s="32" t="str">
        <f ca="1">IF(SUMPRODUCT((ListeB='recap S1'!$B62)*(OFFSET(ListeB,,4)='recap S1'!T$3)*(OFFSET(ListeB,,1)='recap S1'!T$2))&gt;0,SUMPRODUCT((ListeB='recap S1'!$B62)*(OFFSET(ListeB,,4)='recap S1'!T$3)*(OFFSET(ListeB,,1)='recap S1'!T$2)),"")</f>
        <v/>
      </c>
      <c r="U62" s="32" t="str">
        <f ca="1">IF(SUMPRODUCT((ListeB='recap S1'!$B62)*(OFFSET(ListeB,,4)='recap S1'!U$3)*(OFFSET(ListeB,,1)='recap S1'!U$2))&gt;0,SUMPRODUCT((ListeB='recap S1'!$B62)*(OFFSET(ListeB,,4)='recap S1'!U$3)*(OFFSET(ListeB,,1)='recap S1'!U$2)),"")</f>
        <v/>
      </c>
      <c r="V62" s="32"/>
      <c r="W62" s="32" t="str">
        <f ca="1">IF(SUMPRODUCT((ListeB='recap S1'!$B62)*(OFFSET(ListeB,,4)='recap S1'!W$3)*(OFFSET(ListeB,,1)='recap S1'!W$2))&gt;0,SUMPRODUCT((ListeB='recap S1'!$B62)*(OFFSET(ListeB,,4)='recap S1'!W$3)*(OFFSET(ListeB,,1)='recap S1'!W$2)),"")</f>
        <v/>
      </c>
      <c r="X62" s="32"/>
      <c r="Y62" s="32" t="str">
        <f ca="1">IF(SUMPRODUCT((ListeB='recap S1'!$B62)*(OFFSET(ListeB,,4)='recap S1'!Y$3)*(OFFSET(ListeB,,1)='recap S1'!Y$2))&gt;0,SUMPRODUCT((ListeB='recap S1'!$B62)*(OFFSET(ListeB,,4)='recap S1'!Y$3)*(OFFSET(ListeB,,1)='recap S1'!Y$2)),"")</f>
        <v/>
      </c>
      <c r="Z62" s="32" t="str">
        <f ca="1">IF(SUMPRODUCT((ListeB='recap S1'!$B62)*(OFFSET(ListeB,,4)='recap S1'!Z$3)*(OFFSET(ListeB,,1)='recap S1'!Z$2))&gt;0,SUMPRODUCT((ListeB='recap S1'!$B62)*(OFFSET(ListeB,,4)='recap S1'!Z$3)*(OFFSET(ListeB,,1)='recap S1'!Z$2)),"")</f>
        <v/>
      </c>
      <c r="AA62" s="32" t="str">
        <f ca="1">IF(SUMPRODUCT((ListeB='recap S1'!$B62)*(OFFSET(ListeB,,4)='recap S1'!AA$3)*(OFFSET(ListeB,,1)='recap S1'!AA$2))&gt;0,SUMPRODUCT((ListeB='recap S1'!$B62)*(OFFSET(ListeB,,4)='recap S1'!AA$3)*(OFFSET(ListeB,,1)='recap S1'!AA$2)),"")</f>
        <v/>
      </c>
      <c r="AB62" s="32"/>
      <c r="AC62" s="32" t="str">
        <f ca="1">IF(SUMPRODUCT((ListeB='recap S1'!$B62)*(OFFSET(ListeB,,4)='recap S1'!AC$3)*(OFFSET(ListeB,,1)='recap S1'!AC$2))&gt;0,SUMPRODUCT((ListeB='recap S1'!$B62)*(OFFSET(ListeB,,4)='recap S1'!AC$3)*(OFFSET(ListeB,,1)='recap S1'!AC$2)),"")</f>
        <v/>
      </c>
      <c r="AD62" s="32"/>
      <c r="AE62" s="32" t="str">
        <f ca="1">IF(SUMPRODUCT((ListeB='recap S1'!$B62)*(OFFSET(ListeB,,4)='recap S1'!AE$3)*(OFFSET(ListeB,,1)='recap S1'!AE$2))&gt;0,SUMPRODUCT((ListeB='recap S1'!$B62)*(OFFSET(ListeB,,4)='recap S1'!AE$3)*(OFFSET(ListeB,,1)='recap S1'!AE$2)),"")</f>
        <v/>
      </c>
      <c r="AF62" s="32" t="str">
        <f ca="1">IF(SUMPRODUCT((ListeB='recap S1'!$B62)*(OFFSET(ListeB,,4)='recap S1'!AF$3)*(OFFSET(ListeB,,1)='recap S1'!AF$2))&gt;0,SUMPRODUCT((ListeB='recap S1'!$B62)*(OFFSET(ListeB,,4)='recap S1'!AF$3)*(OFFSET(ListeB,,1)='recap S1'!AF$2)),"")</f>
        <v/>
      </c>
      <c r="AG62" s="32"/>
      <c r="AH62" s="32" t="str">
        <f ca="1">IF(SUMPRODUCT((ListeB='recap S1'!$B62)*(OFFSET(ListeB,,4)='recap S1'!AH$3)*(OFFSET(ListeB,,1)='recap S1'!AH$2))&gt;0,SUMPRODUCT((ListeB='recap S1'!$B62)*(OFFSET(ListeB,,4)='recap S1'!AH$3)*(OFFSET(ListeB,,1)='recap S1'!AH$2)),"")</f>
        <v/>
      </c>
      <c r="AI62" s="32" t="str">
        <f ca="1">IF(SUMPRODUCT((ListeB='recap S1'!$B62)*(OFFSET(ListeB,,4)='recap S1'!AI$3)*(OFFSET(ListeB,,1)='recap S1'!AI$2))&gt;0,SUMPRODUCT((ListeB='recap S1'!$B62)*(OFFSET(ListeB,,4)='recap S1'!AI$3)*(OFFSET(ListeB,,1)='recap S1'!AI$2)),"")</f>
        <v/>
      </c>
      <c r="AJ62" s="32" t="str">
        <f ca="1">IF(SUMPRODUCT((ListeB='recap S1'!$B62)*(OFFSET(ListeB,,4)='recap S1'!AJ$3)*(OFFSET(ListeB,,1)='recap S1'!AJ$2))&gt;0,SUMPRODUCT((ListeB='recap S1'!$B62)*(OFFSET(ListeB,,4)='recap S1'!AJ$3)*(OFFSET(ListeB,,1)='recap S1'!AJ$2)),"")</f>
        <v/>
      </c>
      <c r="AK62" s="32"/>
      <c r="AL62" s="32" t="str">
        <f ca="1">IF(SUMPRODUCT((ListeB='recap S1'!$B62)*(OFFSET(ListeB,,4)='recap S1'!AL$3)*(OFFSET(ListeB,,1)='recap S1'!AL$2))&gt;0,SUMPRODUCT((ListeB='recap S1'!$B62)*(OFFSET(ListeB,,4)='recap S1'!AL$3)*(OFFSET(ListeB,,1)='recap S1'!AL$2)),"")</f>
        <v/>
      </c>
      <c r="AM62" s="32"/>
      <c r="AN62" s="32" t="str">
        <f ca="1">IF(SUMPRODUCT((ListeB='recap S1'!$B62)*(OFFSET(ListeB,,4)='recap S1'!AN$3)*(OFFSET(ListeB,,1)='recap S1'!AN$2))&gt;0,SUMPRODUCT((ListeB='recap S1'!$B62)*(OFFSET(ListeB,,4)='recap S1'!AN$3)*(OFFSET(ListeB,,1)='recap S1'!AN$2)),"")</f>
        <v/>
      </c>
      <c r="AO62" s="32" t="str">
        <f ca="1">IF(SUMPRODUCT((ListeB='recap S1'!$B62)*(OFFSET(ListeB,,4)='recap S1'!AO$3)*(OFFSET(ListeB,,1)='recap S1'!AO$2))&gt;0,SUMPRODUCT((ListeB='recap S1'!$B62)*(OFFSET(ListeB,,4)='recap S1'!AO$3)*(OFFSET(ListeB,,1)='recap S1'!AO$2)),"")</f>
        <v/>
      </c>
      <c r="AP62" s="32"/>
      <c r="AQ62" s="32"/>
      <c r="AR62" s="32"/>
      <c r="AS62" s="32" t="str">
        <f ca="1">IF(SUMPRODUCT((ListeB='recap S1'!$B62)*(OFFSET(ListeB,,4)='recap S1'!AS$3)*(OFFSET(ListeB,,1)='recap S1'!AS$2))&gt;0,SUMPRODUCT((ListeB='recap S1'!$B62)*(OFFSET(ListeB,,4)='recap S1'!AS$3)*(OFFSET(ListeB,,1)='recap S1'!AS$2)),"")</f>
        <v/>
      </c>
      <c r="AT62" s="32" t="str">
        <f ca="1">IF(SUMPRODUCT((ListeB='recap S1'!$B62)*(OFFSET(ListeB,,4)='recap S1'!AT$3)*(OFFSET(ListeB,,1)='recap S1'!AT$2))&gt;0,SUMPRODUCT((ListeB='recap S1'!$B62)*(OFFSET(ListeB,,4)='recap S1'!AT$3)*(OFFSET(ListeB,,1)='recap S1'!AT$2)),"")</f>
        <v/>
      </c>
      <c r="AU62" s="32"/>
      <c r="AV62" s="32" t="str">
        <f ca="1">IF(SUMPRODUCT((ListeB='recap S1'!$B62)*(OFFSET(ListeB,,4)='recap S1'!AV$3)*(OFFSET(ListeB,,1)='recap S1'!AV$2))&gt;0,SUMPRODUCT((ListeB='recap S1'!$B62)*(OFFSET(ListeB,,4)='recap S1'!AV$3)*(OFFSET(ListeB,,1)='recap S1'!AV$2)),"")</f>
        <v/>
      </c>
      <c r="AW62" s="32" t="str">
        <f ca="1">IF(SUMPRODUCT((ListeB='recap S1'!$B62)*(OFFSET(ListeB,,4)='recap S1'!AW$3)*(OFFSET(ListeB,,1)='recap S1'!AW$2))&gt;0,SUMPRODUCT((ListeB='recap S1'!$B62)*(OFFSET(ListeB,,4)='recap S1'!AW$3)*(OFFSET(ListeB,,1)='recap S1'!AW$2)),"")</f>
        <v/>
      </c>
      <c r="AX62" s="32" t="str">
        <f ca="1">IF(SUMPRODUCT((ListeB='recap S1'!$B62)*(OFFSET(ListeB,,4)='recap S1'!AX$3)*(OFFSET(ListeB,,1)='recap S1'!AX$2))&gt;0,SUMPRODUCT((ListeB='recap S1'!$B62)*(OFFSET(ListeB,,4)='recap S1'!AX$3)*(OFFSET(ListeB,,1)='recap S1'!AX$2)),"")</f>
        <v/>
      </c>
      <c r="AY62" s="34"/>
      <c r="AZ62" s="32">
        <f t="shared" ca="1" si="1"/>
        <v>0</v>
      </c>
    </row>
    <row r="63" spans="1:52">
      <c r="A63" s="41" t="str">
        <f>IF('SEANCE 1'!$B61&lt;&gt;"",'SEANCE 1'!$A61,"")</f>
        <v/>
      </c>
      <c r="B63" s="41" t="str">
        <f t="array" aca="1" ref="B63" ca="1">IF(ISNA(INDEX(ListeB,MATCH(0,COUNTIF($B$3:B62,ListeB),0))),"",INDEX(ListeB,MATCH(0,COUNTIF($B$3:B62,ListeB),0)))</f>
        <v/>
      </c>
      <c r="C63" s="32" t="str">
        <f ca="1">IF(SUMPRODUCT((ListeB='recap S1'!$B63)*(OFFSET(ListeB,,4)='recap S1'!C$3)*(OFFSET(ListeB,,1)='recap S1'!C$2))&gt;0,SUMPRODUCT((ListeB='recap S1'!$B63)*(OFFSET(ListeB,,4)='recap S1'!C$3)*(OFFSET(ListeB,,1)='recap S1'!C$2)),"")</f>
        <v/>
      </c>
      <c r="D63" s="32" t="str">
        <f ca="1">IF(SUMPRODUCT((ListeB='recap S1'!$B63)*(OFFSET(ListeB,,4)='recap S1'!D$3)*(OFFSET(ListeB,,1)='recap S1'!D$2))&gt;0,SUMPRODUCT((ListeB='recap S1'!$B63)*(OFFSET(ListeB,,4)='recap S1'!D$3)*(OFFSET(ListeB,,1)='recap S1'!D$2)),"")</f>
        <v/>
      </c>
      <c r="E63" s="32"/>
      <c r="F63" s="32" t="str">
        <f ca="1">IF(SUMPRODUCT((ListeB='recap S1'!$B63)*(OFFSET(ListeB,,4)='recap S1'!F$3)*(OFFSET(ListeB,,1)='recap S1'!F$2))&gt;0,SUMPRODUCT((ListeB='recap S1'!$B63)*(OFFSET(ListeB,,4)='recap S1'!F$3)*(OFFSET(ListeB,,1)='recap S1'!F$2)),"")</f>
        <v/>
      </c>
      <c r="G63" s="32" t="str">
        <f ca="1">IF(SUMPRODUCT((ListeB='recap S1'!$B63)*(OFFSET(ListeB,,4)='recap S1'!G$3)*(OFFSET(ListeB,,1)='recap S1'!G$2))&gt;0,SUMPRODUCT((ListeB='recap S1'!$B63)*(OFFSET(ListeB,,4)='recap S1'!G$3)*(OFFSET(ListeB,,1)='recap S1'!G$2)),"")</f>
        <v/>
      </c>
      <c r="H63" s="32"/>
      <c r="I63" s="32" t="str">
        <f ca="1">IF(SUMPRODUCT((ListeB='recap S1'!$B63)*(OFFSET(ListeB,,4)='recap S1'!I$3)*(OFFSET(ListeB,,1)='recap S1'!I$2))&gt;0,SUMPRODUCT((ListeB='recap S1'!$B63)*(OFFSET(ListeB,,4)='recap S1'!I$3)*(OFFSET(ListeB,,1)='recap S1'!I$2)),"")</f>
        <v/>
      </c>
      <c r="J63" s="32" t="str">
        <f ca="1">IF(SUMPRODUCT((ListeB='recap S1'!$B63)*(OFFSET(ListeB,,4)='recap S1'!J$3)*(OFFSET(ListeB,,1)='recap S1'!J$2))&gt;0,SUMPRODUCT((ListeB='recap S1'!$B63)*(OFFSET(ListeB,,4)='recap S1'!J$3)*(OFFSET(ListeB,,1)='recap S1'!J$2)),"")</f>
        <v/>
      </c>
      <c r="K63" s="32" t="str">
        <f ca="1">IF(SUMPRODUCT((ListeB='recap S1'!$B63)*(OFFSET(ListeB,,4)='recap S1'!K$3)*(OFFSET(ListeB,,1)='recap S1'!K$2))&gt;0,SUMPRODUCT((ListeB='recap S1'!$B63)*(OFFSET(ListeB,,4)='recap S1'!K$3)*(OFFSET(ListeB,,1)='recap S1'!K$2)),"")</f>
        <v/>
      </c>
      <c r="L63" s="32"/>
      <c r="M63" s="32" t="str">
        <f ca="1">IF(SUMPRODUCT((ListeB='recap S1'!$B63)*(OFFSET(ListeB,,4)='recap S1'!M$3)*(OFFSET(ListeB,,1)='recap S1'!M$2))&gt;0,SUMPRODUCT((ListeB='recap S1'!$B63)*(OFFSET(ListeB,,4)='recap S1'!M$3)*(OFFSET(ListeB,,1)='recap S1'!M$2)),"")</f>
        <v/>
      </c>
      <c r="N63" s="32" t="str">
        <f ca="1">IF(SUMPRODUCT((ListeB='recap S1'!$B63)*(OFFSET(ListeB,,4)='recap S1'!N$3)*(OFFSET(ListeB,,1)='recap S1'!N$2))&gt;0,SUMPRODUCT((ListeB='recap S1'!$B63)*(OFFSET(ListeB,,4)='recap S1'!N$3)*(OFFSET(ListeB,,1)='recap S1'!N$2)),"")</f>
        <v/>
      </c>
      <c r="O63" s="32"/>
      <c r="P63" s="32" t="str">
        <f ca="1">IF(SUMPRODUCT((ListeB='recap S1'!$B63)*(OFFSET(ListeB,,4)='recap S1'!P$3)*(OFFSET(ListeB,,1)='recap S1'!P$2))&gt;0,SUMPRODUCT((ListeB='recap S1'!$B63)*(OFFSET(ListeB,,4)='recap S1'!P$3)*(OFFSET(ListeB,,1)='recap S1'!P$2)),"")</f>
        <v/>
      </c>
      <c r="Q63" s="32" t="str">
        <f ca="1">IF(SUMPRODUCT((ListeB='recap S1'!$B63)*(OFFSET(ListeB,,4)='recap S1'!Q$3)*(OFFSET(ListeB,,1)='recap S1'!Q$2))&gt;0,SUMPRODUCT((ListeB='recap S1'!$B63)*(OFFSET(ListeB,,4)='recap S1'!Q$3)*(OFFSET(ListeB,,1)='recap S1'!Q$2)),"")</f>
        <v/>
      </c>
      <c r="R63" s="32"/>
      <c r="S63" s="32" t="str">
        <f ca="1">IF(SUMPRODUCT((ListeB='recap S1'!$B63)*(OFFSET(ListeB,,4)='recap S1'!S$3)*(OFFSET(ListeB,,1)='recap S1'!S$2))&gt;0,SUMPRODUCT((ListeB='recap S1'!$B63)*(OFFSET(ListeB,,4)='recap S1'!S$3)*(OFFSET(ListeB,,1)='recap S1'!S$2)),"")</f>
        <v/>
      </c>
      <c r="T63" s="32" t="str">
        <f ca="1">IF(SUMPRODUCT((ListeB='recap S1'!$B63)*(OFFSET(ListeB,,4)='recap S1'!T$3)*(OFFSET(ListeB,,1)='recap S1'!T$2))&gt;0,SUMPRODUCT((ListeB='recap S1'!$B63)*(OFFSET(ListeB,,4)='recap S1'!T$3)*(OFFSET(ListeB,,1)='recap S1'!T$2)),"")</f>
        <v/>
      </c>
      <c r="U63" s="32" t="str">
        <f ca="1">IF(SUMPRODUCT((ListeB='recap S1'!$B63)*(OFFSET(ListeB,,4)='recap S1'!U$3)*(OFFSET(ListeB,,1)='recap S1'!U$2))&gt;0,SUMPRODUCT((ListeB='recap S1'!$B63)*(OFFSET(ListeB,,4)='recap S1'!U$3)*(OFFSET(ListeB,,1)='recap S1'!U$2)),"")</f>
        <v/>
      </c>
      <c r="V63" s="32"/>
      <c r="W63" s="32" t="str">
        <f ca="1">IF(SUMPRODUCT((ListeB='recap S1'!$B63)*(OFFSET(ListeB,,4)='recap S1'!W$3)*(OFFSET(ListeB,,1)='recap S1'!W$2))&gt;0,SUMPRODUCT((ListeB='recap S1'!$B63)*(OFFSET(ListeB,,4)='recap S1'!W$3)*(OFFSET(ListeB,,1)='recap S1'!W$2)),"")</f>
        <v/>
      </c>
      <c r="X63" s="32"/>
      <c r="Y63" s="32" t="str">
        <f ca="1">IF(SUMPRODUCT((ListeB='recap S1'!$B63)*(OFFSET(ListeB,,4)='recap S1'!Y$3)*(OFFSET(ListeB,,1)='recap S1'!Y$2))&gt;0,SUMPRODUCT((ListeB='recap S1'!$B63)*(OFFSET(ListeB,,4)='recap S1'!Y$3)*(OFFSET(ListeB,,1)='recap S1'!Y$2)),"")</f>
        <v/>
      </c>
      <c r="Z63" s="32" t="str">
        <f ca="1">IF(SUMPRODUCT((ListeB='recap S1'!$B63)*(OFFSET(ListeB,,4)='recap S1'!Z$3)*(OFFSET(ListeB,,1)='recap S1'!Z$2))&gt;0,SUMPRODUCT((ListeB='recap S1'!$B63)*(OFFSET(ListeB,,4)='recap S1'!Z$3)*(OFFSET(ListeB,,1)='recap S1'!Z$2)),"")</f>
        <v/>
      </c>
      <c r="AA63" s="32" t="str">
        <f ca="1">IF(SUMPRODUCT((ListeB='recap S1'!$B63)*(OFFSET(ListeB,,4)='recap S1'!AA$3)*(OFFSET(ListeB,,1)='recap S1'!AA$2))&gt;0,SUMPRODUCT((ListeB='recap S1'!$B63)*(OFFSET(ListeB,,4)='recap S1'!AA$3)*(OFFSET(ListeB,,1)='recap S1'!AA$2)),"")</f>
        <v/>
      </c>
      <c r="AB63" s="32"/>
      <c r="AC63" s="32" t="str">
        <f ca="1">IF(SUMPRODUCT((ListeB='recap S1'!$B63)*(OFFSET(ListeB,,4)='recap S1'!AC$3)*(OFFSET(ListeB,,1)='recap S1'!AC$2))&gt;0,SUMPRODUCT((ListeB='recap S1'!$B63)*(OFFSET(ListeB,,4)='recap S1'!AC$3)*(OFFSET(ListeB,,1)='recap S1'!AC$2)),"")</f>
        <v/>
      </c>
      <c r="AD63" s="32"/>
      <c r="AE63" s="32" t="str">
        <f ca="1">IF(SUMPRODUCT((ListeB='recap S1'!$B63)*(OFFSET(ListeB,,4)='recap S1'!AE$3)*(OFFSET(ListeB,,1)='recap S1'!AE$2))&gt;0,SUMPRODUCT((ListeB='recap S1'!$B63)*(OFFSET(ListeB,,4)='recap S1'!AE$3)*(OFFSET(ListeB,,1)='recap S1'!AE$2)),"")</f>
        <v/>
      </c>
      <c r="AF63" s="32" t="str">
        <f ca="1">IF(SUMPRODUCT((ListeB='recap S1'!$B63)*(OFFSET(ListeB,,4)='recap S1'!AF$3)*(OFFSET(ListeB,,1)='recap S1'!AF$2))&gt;0,SUMPRODUCT((ListeB='recap S1'!$B63)*(OFFSET(ListeB,,4)='recap S1'!AF$3)*(OFFSET(ListeB,,1)='recap S1'!AF$2)),"")</f>
        <v/>
      </c>
      <c r="AG63" s="32"/>
      <c r="AH63" s="32" t="str">
        <f ca="1">IF(SUMPRODUCT((ListeB='recap S1'!$B63)*(OFFSET(ListeB,,4)='recap S1'!AH$3)*(OFFSET(ListeB,,1)='recap S1'!AH$2))&gt;0,SUMPRODUCT((ListeB='recap S1'!$B63)*(OFFSET(ListeB,,4)='recap S1'!AH$3)*(OFFSET(ListeB,,1)='recap S1'!AH$2)),"")</f>
        <v/>
      </c>
      <c r="AI63" s="32" t="str">
        <f ca="1">IF(SUMPRODUCT((ListeB='recap S1'!$B63)*(OFFSET(ListeB,,4)='recap S1'!AI$3)*(OFFSET(ListeB,,1)='recap S1'!AI$2))&gt;0,SUMPRODUCT((ListeB='recap S1'!$B63)*(OFFSET(ListeB,,4)='recap S1'!AI$3)*(OFFSET(ListeB,,1)='recap S1'!AI$2)),"")</f>
        <v/>
      </c>
      <c r="AJ63" s="32" t="str">
        <f ca="1">IF(SUMPRODUCT((ListeB='recap S1'!$B63)*(OFFSET(ListeB,,4)='recap S1'!AJ$3)*(OFFSET(ListeB,,1)='recap S1'!AJ$2))&gt;0,SUMPRODUCT((ListeB='recap S1'!$B63)*(OFFSET(ListeB,,4)='recap S1'!AJ$3)*(OFFSET(ListeB,,1)='recap S1'!AJ$2)),"")</f>
        <v/>
      </c>
      <c r="AK63" s="32"/>
      <c r="AL63" s="32" t="str">
        <f ca="1">IF(SUMPRODUCT((ListeB='recap S1'!$B63)*(OFFSET(ListeB,,4)='recap S1'!AL$3)*(OFFSET(ListeB,,1)='recap S1'!AL$2))&gt;0,SUMPRODUCT((ListeB='recap S1'!$B63)*(OFFSET(ListeB,,4)='recap S1'!AL$3)*(OFFSET(ListeB,,1)='recap S1'!AL$2)),"")</f>
        <v/>
      </c>
      <c r="AM63" s="32"/>
      <c r="AN63" s="32" t="str">
        <f ca="1">IF(SUMPRODUCT((ListeB='recap S1'!$B63)*(OFFSET(ListeB,,4)='recap S1'!AN$3)*(OFFSET(ListeB,,1)='recap S1'!AN$2))&gt;0,SUMPRODUCT((ListeB='recap S1'!$B63)*(OFFSET(ListeB,,4)='recap S1'!AN$3)*(OFFSET(ListeB,,1)='recap S1'!AN$2)),"")</f>
        <v/>
      </c>
      <c r="AO63" s="32" t="str">
        <f ca="1">IF(SUMPRODUCT((ListeB='recap S1'!$B63)*(OFFSET(ListeB,,4)='recap S1'!AO$3)*(OFFSET(ListeB,,1)='recap S1'!AO$2))&gt;0,SUMPRODUCT((ListeB='recap S1'!$B63)*(OFFSET(ListeB,,4)='recap S1'!AO$3)*(OFFSET(ListeB,,1)='recap S1'!AO$2)),"")</f>
        <v/>
      </c>
      <c r="AP63" s="32"/>
      <c r="AQ63" s="32"/>
      <c r="AR63" s="32"/>
      <c r="AS63" s="32" t="str">
        <f ca="1">IF(SUMPRODUCT((ListeB='recap S1'!$B63)*(OFFSET(ListeB,,4)='recap S1'!AS$3)*(OFFSET(ListeB,,1)='recap S1'!AS$2))&gt;0,SUMPRODUCT((ListeB='recap S1'!$B63)*(OFFSET(ListeB,,4)='recap S1'!AS$3)*(OFFSET(ListeB,,1)='recap S1'!AS$2)),"")</f>
        <v/>
      </c>
      <c r="AT63" s="32" t="str">
        <f ca="1">IF(SUMPRODUCT((ListeB='recap S1'!$B63)*(OFFSET(ListeB,,4)='recap S1'!AT$3)*(OFFSET(ListeB,,1)='recap S1'!AT$2))&gt;0,SUMPRODUCT((ListeB='recap S1'!$B63)*(OFFSET(ListeB,,4)='recap S1'!AT$3)*(OFFSET(ListeB,,1)='recap S1'!AT$2)),"")</f>
        <v/>
      </c>
      <c r="AU63" s="32"/>
      <c r="AV63" s="32" t="str">
        <f ca="1">IF(SUMPRODUCT((ListeB='recap S1'!$B63)*(OFFSET(ListeB,,4)='recap S1'!AV$3)*(OFFSET(ListeB,,1)='recap S1'!AV$2))&gt;0,SUMPRODUCT((ListeB='recap S1'!$B63)*(OFFSET(ListeB,,4)='recap S1'!AV$3)*(OFFSET(ListeB,,1)='recap S1'!AV$2)),"")</f>
        <v/>
      </c>
      <c r="AW63" s="32" t="str">
        <f ca="1">IF(SUMPRODUCT((ListeB='recap S1'!$B63)*(OFFSET(ListeB,,4)='recap S1'!AW$3)*(OFFSET(ListeB,,1)='recap S1'!AW$2))&gt;0,SUMPRODUCT((ListeB='recap S1'!$B63)*(OFFSET(ListeB,,4)='recap S1'!AW$3)*(OFFSET(ListeB,,1)='recap S1'!AW$2)),"")</f>
        <v/>
      </c>
      <c r="AX63" s="32" t="str">
        <f ca="1">IF(SUMPRODUCT((ListeB='recap S1'!$B63)*(OFFSET(ListeB,,4)='recap S1'!AX$3)*(OFFSET(ListeB,,1)='recap S1'!AX$2))&gt;0,SUMPRODUCT((ListeB='recap S1'!$B63)*(OFFSET(ListeB,,4)='recap S1'!AX$3)*(OFFSET(ListeB,,1)='recap S1'!AX$2)),"")</f>
        <v/>
      </c>
      <c r="AY63" s="34"/>
      <c r="AZ63" s="32">
        <f t="shared" ca="1" si="1"/>
        <v>0</v>
      </c>
    </row>
    <row r="64" spans="1:52">
      <c r="A64" s="41" t="str">
        <f>IF('SEANCE 1'!$B62&lt;&gt;"",'SEANCE 1'!$A62,"")</f>
        <v/>
      </c>
      <c r="B64" s="41" t="str">
        <f t="array" aca="1" ref="B64" ca="1">IF(ISNA(INDEX(ListeB,MATCH(0,COUNTIF($B$3:B63,ListeB),0))),"",INDEX(ListeB,MATCH(0,COUNTIF($B$3:B63,ListeB),0)))</f>
        <v/>
      </c>
      <c r="C64" s="32" t="str">
        <f ca="1">IF(SUMPRODUCT((ListeB='recap S1'!$B64)*(OFFSET(ListeB,,4)='recap S1'!C$3)*(OFFSET(ListeB,,1)='recap S1'!C$2))&gt;0,SUMPRODUCT((ListeB='recap S1'!$B64)*(OFFSET(ListeB,,4)='recap S1'!C$3)*(OFFSET(ListeB,,1)='recap S1'!C$2)),"")</f>
        <v/>
      </c>
      <c r="D64" s="32" t="str">
        <f ca="1">IF(SUMPRODUCT((ListeB='recap S1'!$B64)*(OFFSET(ListeB,,4)='recap S1'!D$3)*(OFFSET(ListeB,,1)='recap S1'!D$2))&gt;0,SUMPRODUCT((ListeB='recap S1'!$B64)*(OFFSET(ListeB,,4)='recap S1'!D$3)*(OFFSET(ListeB,,1)='recap S1'!D$2)),"")</f>
        <v/>
      </c>
      <c r="E64" s="32"/>
      <c r="F64" s="32" t="str">
        <f ca="1">IF(SUMPRODUCT((ListeB='recap S1'!$B64)*(OFFSET(ListeB,,4)='recap S1'!F$3)*(OFFSET(ListeB,,1)='recap S1'!F$2))&gt;0,SUMPRODUCT((ListeB='recap S1'!$B64)*(OFFSET(ListeB,,4)='recap S1'!F$3)*(OFFSET(ListeB,,1)='recap S1'!F$2)),"")</f>
        <v/>
      </c>
      <c r="G64" s="32" t="str">
        <f ca="1">IF(SUMPRODUCT((ListeB='recap S1'!$B64)*(OFFSET(ListeB,,4)='recap S1'!G$3)*(OFFSET(ListeB,,1)='recap S1'!G$2))&gt;0,SUMPRODUCT((ListeB='recap S1'!$B64)*(OFFSET(ListeB,,4)='recap S1'!G$3)*(OFFSET(ListeB,,1)='recap S1'!G$2)),"")</f>
        <v/>
      </c>
      <c r="H64" s="32"/>
      <c r="I64" s="32" t="str">
        <f ca="1">IF(SUMPRODUCT((ListeB='recap S1'!$B64)*(OFFSET(ListeB,,4)='recap S1'!I$3)*(OFFSET(ListeB,,1)='recap S1'!I$2))&gt;0,SUMPRODUCT((ListeB='recap S1'!$B64)*(OFFSET(ListeB,,4)='recap S1'!I$3)*(OFFSET(ListeB,,1)='recap S1'!I$2)),"")</f>
        <v/>
      </c>
      <c r="J64" s="32" t="str">
        <f ca="1">IF(SUMPRODUCT((ListeB='recap S1'!$B64)*(OFFSET(ListeB,,4)='recap S1'!J$3)*(OFFSET(ListeB,,1)='recap S1'!J$2))&gt;0,SUMPRODUCT((ListeB='recap S1'!$B64)*(OFFSET(ListeB,,4)='recap S1'!J$3)*(OFFSET(ListeB,,1)='recap S1'!J$2)),"")</f>
        <v/>
      </c>
      <c r="K64" s="32" t="str">
        <f ca="1">IF(SUMPRODUCT((ListeB='recap S1'!$B64)*(OFFSET(ListeB,,4)='recap S1'!K$3)*(OFFSET(ListeB,,1)='recap S1'!K$2))&gt;0,SUMPRODUCT((ListeB='recap S1'!$B64)*(OFFSET(ListeB,,4)='recap S1'!K$3)*(OFFSET(ListeB,,1)='recap S1'!K$2)),"")</f>
        <v/>
      </c>
      <c r="L64" s="32"/>
      <c r="M64" s="32" t="str">
        <f ca="1">IF(SUMPRODUCT((ListeB='recap S1'!$B64)*(OFFSET(ListeB,,4)='recap S1'!M$3)*(OFFSET(ListeB,,1)='recap S1'!M$2))&gt;0,SUMPRODUCT((ListeB='recap S1'!$B64)*(OFFSET(ListeB,,4)='recap S1'!M$3)*(OFFSET(ListeB,,1)='recap S1'!M$2)),"")</f>
        <v/>
      </c>
      <c r="N64" s="32" t="str">
        <f ca="1">IF(SUMPRODUCT((ListeB='recap S1'!$B64)*(OFFSET(ListeB,,4)='recap S1'!N$3)*(OFFSET(ListeB,,1)='recap S1'!N$2))&gt;0,SUMPRODUCT((ListeB='recap S1'!$B64)*(OFFSET(ListeB,,4)='recap S1'!N$3)*(OFFSET(ListeB,,1)='recap S1'!N$2)),"")</f>
        <v/>
      </c>
      <c r="O64" s="32"/>
      <c r="P64" s="32" t="str">
        <f ca="1">IF(SUMPRODUCT((ListeB='recap S1'!$B64)*(OFFSET(ListeB,,4)='recap S1'!P$3)*(OFFSET(ListeB,,1)='recap S1'!P$2))&gt;0,SUMPRODUCT((ListeB='recap S1'!$B64)*(OFFSET(ListeB,,4)='recap S1'!P$3)*(OFFSET(ListeB,,1)='recap S1'!P$2)),"")</f>
        <v/>
      </c>
      <c r="Q64" s="32" t="str">
        <f ca="1">IF(SUMPRODUCT((ListeB='recap S1'!$B64)*(OFFSET(ListeB,,4)='recap S1'!Q$3)*(OFFSET(ListeB,,1)='recap S1'!Q$2))&gt;0,SUMPRODUCT((ListeB='recap S1'!$B64)*(OFFSET(ListeB,,4)='recap S1'!Q$3)*(OFFSET(ListeB,,1)='recap S1'!Q$2)),"")</f>
        <v/>
      </c>
      <c r="R64" s="32"/>
      <c r="S64" s="32" t="str">
        <f ca="1">IF(SUMPRODUCT((ListeB='recap S1'!$B64)*(OFFSET(ListeB,,4)='recap S1'!S$3)*(OFFSET(ListeB,,1)='recap S1'!S$2))&gt;0,SUMPRODUCT((ListeB='recap S1'!$B64)*(OFFSET(ListeB,,4)='recap S1'!S$3)*(OFFSET(ListeB,,1)='recap S1'!S$2)),"")</f>
        <v/>
      </c>
      <c r="T64" s="32" t="str">
        <f ca="1">IF(SUMPRODUCT((ListeB='recap S1'!$B64)*(OFFSET(ListeB,,4)='recap S1'!T$3)*(OFFSET(ListeB,,1)='recap S1'!T$2))&gt;0,SUMPRODUCT((ListeB='recap S1'!$B64)*(OFFSET(ListeB,,4)='recap S1'!T$3)*(OFFSET(ListeB,,1)='recap S1'!T$2)),"")</f>
        <v/>
      </c>
      <c r="U64" s="32" t="str">
        <f ca="1">IF(SUMPRODUCT((ListeB='recap S1'!$B64)*(OFFSET(ListeB,,4)='recap S1'!U$3)*(OFFSET(ListeB,,1)='recap S1'!U$2))&gt;0,SUMPRODUCT((ListeB='recap S1'!$B64)*(OFFSET(ListeB,,4)='recap S1'!U$3)*(OFFSET(ListeB,,1)='recap S1'!U$2)),"")</f>
        <v/>
      </c>
      <c r="V64" s="32"/>
      <c r="W64" s="32" t="str">
        <f ca="1">IF(SUMPRODUCT((ListeB='recap S1'!$B64)*(OFFSET(ListeB,,4)='recap S1'!W$3)*(OFFSET(ListeB,,1)='recap S1'!W$2))&gt;0,SUMPRODUCT((ListeB='recap S1'!$B64)*(OFFSET(ListeB,,4)='recap S1'!W$3)*(OFFSET(ListeB,,1)='recap S1'!W$2)),"")</f>
        <v/>
      </c>
      <c r="X64" s="32"/>
      <c r="Y64" s="32" t="str">
        <f ca="1">IF(SUMPRODUCT((ListeB='recap S1'!$B64)*(OFFSET(ListeB,,4)='recap S1'!Y$3)*(OFFSET(ListeB,,1)='recap S1'!Y$2))&gt;0,SUMPRODUCT((ListeB='recap S1'!$B64)*(OFFSET(ListeB,,4)='recap S1'!Y$3)*(OFFSET(ListeB,,1)='recap S1'!Y$2)),"")</f>
        <v/>
      </c>
      <c r="Z64" s="32" t="str">
        <f ca="1">IF(SUMPRODUCT((ListeB='recap S1'!$B64)*(OFFSET(ListeB,,4)='recap S1'!Z$3)*(OFFSET(ListeB,,1)='recap S1'!Z$2))&gt;0,SUMPRODUCT((ListeB='recap S1'!$B64)*(OFFSET(ListeB,,4)='recap S1'!Z$3)*(OFFSET(ListeB,,1)='recap S1'!Z$2)),"")</f>
        <v/>
      </c>
      <c r="AA64" s="32" t="str">
        <f ca="1">IF(SUMPRODUCT((ListeB='recap S1'!$B64)*(OFFSET(ListeB,,4)='recap S1'!AA$3)*(OFFSET(ListeB,,1)='recap S1'!AA$2))&gt;0,SUMPRODUCT((ListeB='recap S1'!$B64)*(OFFSET(ListeB,,4)='recap S1'!AA$3)*(OFFSET(ListeB,,1)='recap S1'!AA$2)),"")</f>
        <v/>
      </c>
      <c r="AB64" s="32"/>
      <c r="AC64" s="32" t="str">
        <f ca="1">IF(SUMPRODUCT((ListeB='recap S1'!$B64)*(OFFSET(ListeB,,4)='recap S1'!AC$3)*(OFFSET(ListeB,,1)='recap S1'!AC$2))&gt;0,SUMPRODUCT((ListeB='recap S1'!$B64)*(OFFSET(ListeB,,4)='recap S1'!AC$3)*(OFFSET(ListeB,,1)='recap S1'!AC$2)),"")</f>
        <v/>
      </c>
      <c r="AD64" s="32"/>
      <c r="AE64" s="32" t="str">
        <f ca="1">IF(SUMPRODUCT((ListeB='recap S1'!$B64)*(OFFSET(ListeB,,4)='recap S1'!AE$3)*(OFFSET(ListeB,,1)='recap S1'!AE$2))&gt;0,SUMPRODUCT((ListeB='recap S1'!$B64)*(OFFSET(ListeB,,4)='recap S1'!AE$3)*(OFFSET(ListeB,,1)='recap S1'!AE$2)),"")</f>
        <v/>
      </c>
      <c r="AF64" s="32" t="str">
        <f ca="1">IF(SUMPRODUCT((ListeB='recap S1'!$B64)*(OFFSET(ListeB,,4)='recap S1'!AF$3)*(OFFSET(ListeB,,1)='recap S1'!AF$2))&gt;0,SUMPRODUCT((ListeB='recap S1'!$B64)*(OFFSET(ListeB,,4)='recap S1'!AF$3)*(OFFSET(ListeB,,1)='recap S1'!AF$2)),"")</f>
        <v/>
      </c>
      <c r="AG64" s="32"/>
      <c r="AH64" s="32" t="str">
        <f ca="1">IF(SUMPRODUCT((ListeB='recap S1'!$B64)*(OFFSET(ListeB,,4)='recap S1'!AH$3)*(OFFSET(ListeB,,1)='recap S1'!AH$2))&gt;0,SUMPRODUCT((ListeB='recap S1'!$B64)*(OFFSET(ListeB,,4)='recap S1'!AH$3)*(OFFSET(ListeB,,1)='recap S1'!AH$2)),"")</f>
        <v/>
      </c>
      <c r="AI64" s="32" t="str">
        <f ca="1">IF(SUMPRODUCT((ListeB='recap S1'!$B64)*(OFFSET(ListeB,,4)='recap S1'!AI$3)*(OFFSET(ListeB,,1)='recap S1'!AI$2))&gt;0,SUMPRODUCT((ListeB='recap S1'!$B64)*(OFFSET(ListeB,,4)='recap S1'!AI$3)*(OFFSET(ListeB,,1)='recap S1'!AI$2)),"")</f>
        <v/>
      </c>
      <c r="AJ64" s="32" t="str">
        <f ca="1">IF(SUMPRODUCT((ListeB='recap S1'!$B64)*(OFFSET(ListeB,,4)='recap S1'!AJ$3)*(OFFSET(ListeB,,1)='recap S1'!AJ$2))&gt;0,SUMPRODUCT((ListeB='recap S1'!$B64)*(OFFSET(ListeB,,4)='recap S1'!AJ$3)*(OFFSET(ListeB,,1)='recap S1'!AJ$2)),"")</f>
        <v/>
      </c>
      <c r="AK64" s="32"/>
      <c r="AL64" s="32" t="str">
        <f ca="1">IF(SUMPRODUCT((ListeB='recap S1'!$B64)*(OFFSET(ListeB,,4)='recap S1'!AL$3)*(OFFSET(ListeB,,1)='recap S1'!AL$2))&gt;0,SUMPRODUCT((ListeB='recap S1'!$B64)*(OFFSET(ListeB,,4)='recap S1'!AL$3)*(OFFSET(ListeB,,1)='recap S1'!AL$2)),"")</f>
        <v/>
      </c>
      <c r="AM64" s="32"/>
      <c r="AN64" s="32" t="str">
        <f ca="1">IF(SUMPRODUCT((ListeB='recap S1'!$B64)*(OFFSET(ListeB,,4)='recap S1'!AN$3)*(OFFSET(ListeB,,1)='recap S1'!AN$2))&gt;0,SUMPRODUCT((ListeB='recap S1'!$B64)*(OFFSET(ListeB,,4)='recap S1'!AN$3)*(OFFSET(ListeB,,1)='recap S1'!AN$2)),"")</f>
        <v/>
      </c>
      <c r="AO64" s="32" t="str">
        <f ca="1">IF(SUMPRODUCT((ListeB='recap S1'!$B64)*(OFFSET(ListeB,,4)='recap S1'!AO$3)*(OFFSET(ListeB,,1)='recap S1'!AO$2))&gt;0,SUMPRODUCT((ListeB='recap S1'!$B64)*(OFFSET(ListeB,,4)='recap S1'!AO$3)*(OFFSET(ListeB,,1)='recap S1'!AO$2)),"")</f>
        <v/>
      </c>
      <c r="AP64" s="32"/>
      <c r="AQ64" s="32"/>
      <c r="AR64" s="32"/>
      <c r="AS64" s="32" t="str">
        <f ca="1">IF(SUMPRODUCT((ListeB='recap S1'!$B64)*(OFFSET(ListeB,,4)='recap S1'!AS$3)*(OFFSET(ListeB,,1)='recap S1'!AS$2))&gt;0,SUMPRODUCT((ListeB='recap S1'!$B64)*(OFFSET(ListeB,,4)='recap S1'!AS$3)*(OFFSET(ListeB,,1)='recap S1'!AS$2)),"")</f>
        <v/>
      </c>
      <c r="AT64" s="32" t="str">
        <f ca="1">IF(SUMPRODUCT((ListeB='recap S1'!$B64)*(OFFSET(ListeB,,4)='recap S1'!AT$3)*(OFFSET(ListeB,,1)='recap S1'!AT$2))&gt;0,SUMPRODUCT((ListeB='recap S1'!$B64)*(OFFSET(ListeB,,4)='recap S1'!AT$3)*(OFFSET(ListeB,,1)='recap S1'!AT$2)),"")</f>
        <v/>
      </c>
      <c r="AU64" s="32"/>
      <c r="AV64" s="32" t="str">
        <f ca="1">IF(SUMPRODUCT((ListeB='recap S1'!$B64)*(OFFSET(ListeB,,4)='recap S1'!AV$3)*(OFFSET(ListeB,,1)='recap S1'!AV$2))&gt;0,SUMPRODUCT((ListeB='recap S1'!$B64)*(OFFSET(ListeB,,4)='recap S1'!AV$3)*(OFFSET(ListeB,,1)='recap S1'!AV$2)),"")</f>
        <v/>
      </c>
      <c r="AW64" s="32" t="str">
        <f ca="1">IF(SUMPRODUCT((ListeB='recap S1'!$B64)*(OFFSET(ListeB,,4)='recap S1'!AW$3)*(OFFSET(ListeB,,1)='recap S1'!AW$2))&gt;0,SUMPRODUCT((ListeB='recap S1'!$B64)*(OFFSET(ListeB,,4)='recap S1'!AW$3)*(OFFSET(ListeB,,1)='recap S1'!AW$2)),"")</f>
        <v/>
      </c>
      <c r="AX64" s="32" t="str">
        <f ca="1">IF(SUMPRODUCT((ListeB='recap S1'!$B64)*(OFFSET(ListeB,,4)='recap S1'!AX$3)*(OFFSET(ListeB,,1)='recap S1'!AX$2))&gt;0,SUMPRODUCT((ListeB='recap S1'!$B64)*(OFFSET(ListeB,,4)='recap S1'!AX$3)*(OFFSET(ListeB,,1)='recap S1'!AX$2)),"")</f>
        <v/>
      </c>
      <c r="AY64" s="34"/>
      <c r="AZ64" s="32">
        <f t="shared" ca="1" si="1"/>
        <v>0</v>
      </c>
    </row>
    <row r="65" spans="1:52">
      <c r="A65" s="41" t="str">
        <f>IF('SEANCE 1'!$B63&lt;&gt;"",'SEANCE 1'!$A63,"")</f>
        <v/>
      </c>
      <c r="B65" s="41" t="str">
        <f t="array" aca="1" ref="B65" ca="1">IF(ISNA(INDEX(ListeB,MATCH(0,COUNTIF($B$3:B64,ListeB),0))),"",INDEX(ListeB,MATCH(0,COUNTIF($B$3:B64,ListeB),0)))</f>
        <v/>
      </c>
      <c r="C65" s="32" t="str">
        <f ca="1">IF(SUMPRODUCT((ListeB='recap S1'!$B65)*(OFFSET(ListeB,,4)='recap S1'!C$3)*(OFFSET(ListeB,,1)='recap S1'!C$2))&gt;0,SUMPRODUCT((ListeB='recap S1'!$B65)*(OFFSET(ListeB,,4)='recap S1'!C$3)*(OFFSET(ListeB,,1)='recap S1'!C$2)),"")</f>
        <v/>
      </c>
      <c r="D65" s="32" t="str">
        <f ca="1">IF(SUMPRODUCT((ListeB='recap S1'!$B65)*(OFFSET(ListeB,,4)='recap S1'!D$3)*(OFFSET(ListeB,,1)='recap S1'!D$2))&gt;0,SUMPRODUCT((ListeB='recap S1'!$B65)*(OFFSET(ListeB,,4)='recap S1'!D$3)*(OFFSET(ListeB,,1)='recap S1'!D$2)),"")</f>
        <v/>
      </c>
      <c r="E65" s="32"/>
      <c r="F65" s="32" t="str">
        <f ca="1">IF(SUMPRODUCT((ListeB='recap S1'!$B65)*(OFFSET(ListeB,,4)='recap S1'!F$3)*(OFFSET(ListeB,,1)='recap S1'!F$2))&gt;0,SUMPRODUCT((ListeB='recap S1'!$B65)*(OFFSET(ListeB,,4)='recap S1'!F$3)*(OFFSET(ListeB,,1)='recap S1'!F$2)),"")</f>
        <v/>
      </c>
      <c r="G65" s="32" t="str">
        <f ca="1">IF(SUMPRODUCT((ListeB='recap S1'!$B65)*(OFFSET(ListeB,,4)='recap S1'!G$3)*(OFFSET(ListeB,,1)='recap S1'!G$2))&gt;0,SUMPRODUCT((ListeB='recap S1'!$B65)*(OFFSET(ListeB,,4)='recap S1'!G$3)*(OFFSET(ListeB,,1)='recap S1'!G$2)),"")</f>
        <v/>
      </c>
      <c r="H65" s="32"/>
      <c r="I65" s="32" t="str">
        <f ca="1">IF(SUMPRODUCT((ListeB='recap S1'!$B65)*(OFFSET(ListeB,,4)='recap S1'!I$3)*(OFFSET(ListeB,,1)='recap S1'!I$2))&gt;0,SUMPRODUCT((ListeB='recap S1'!$B65)*(OFFSET(ListeB,,4)='recap S1'!I$3)*(OFFSET(ListeB,,1)='recap S1'!I$2)),"")</f>
        <v/>
      </c>
      <c r="J65" s="32" t="str">
        <f ca="1">IF(SUMPRODUCT((ListeB='recap S1'!$B65)*(OFFSET(ListeB,,4)='recap S1'!J$3)*(OFFSET(ListeB,,1)='recap S1'!J$2))&gt;0,SUMPRODUCT((ListeB='recap S1'!$B65)*(OFFSET(ListeB,,4)='recap S1'!J$3)*(OFFSET(ListeB,,1)='recap S1'!J$2)),"")</f>
        <v/>
      </c>
      <c r="K65" s="32" t="str">
        <f ca="1">IF(SUMPRODUCT((ListeB='recap S1'!$B65)*(OFFSET(ListeB,,4)='recap S1'!K$3)*(OFFSET(ListeB,,1)='recap S1'!K$2))&gt;0,SUMPRODUCT((ListeB='recap S1'!$B65)*(OFFSET(ListeB,,4)='recap S1'!K$3)*(OFFSET(ListeB,,1)='recap S1'!K$2)),"")</f>
        <v/>
      </c>
      <c r="L65" s="32"/>
      <c r="M65" s="32" t="str">
        <f ca="1">IF(SUMPRODUCT((ListeB='recap S1'!$B65)*(OFFSET(ListeB,,4)='recap S1'!M$3)*(OFFSET(ListeB,,1)='recap S1'!M$2))&gt;0,SUMPRODUCT((ListeB='recap S1'!$B65)*(OFFSET(ListeB,,4)='recap S1'!M$3)*(OFFSET(ListeB,,1)='recap S1'!M$2)),"")</f>
        <v/>
      </c>
      <c r="N65" s="32" t="str">
        <f ca="1">IF(SUMPRODUCT((ListeB='recap S1'!$B65)*(OFFSET(ListeB,,4)='recap S1'!N$3)*(OFFSET(ListeB,,1)='recap S1'!N$2))&gt;0,SUMPRODUCT((ListeB='recap S1'!$B65)*(OFFSET(ListeB,,4)='recap S1'!N$3)*(OFFSET(ListeB,,1)='recap S1'!N$2)),"")</f>
        <v/>
      </c>
      <c r="O65" s="32"/>
      <c r="P65" s="32" t="str">
        <f ca="1">IF(SUMPRODUCT((ListeB='recap S1'!$B65)*(OFFSET(ListeB,,4)='recap S1'!P$3)*(OFFSET(ListeB,,1)='recap S1'!P$2))&gt;0,SUMPRODUCT((ListeB='recap S1'!$B65)*(OFFSET(ListeB,,4)='recap S1'!P$3)*(OFFSET(ListeB,,1)='recap S1'!P$2)),"")</f>
        <v/>
      </c>
      <c r="Q65" s="32" t="str">
        <f ca="1">IF(SUMPRODUCT((ListeB='recap S1'!$B65)*(OFFSET(ListeB,,4)='recap S1'!Q$3)*(OFFSET(ListeB,,1)='recap S1'!Q$2))&gt;0,SUMPRODUCT((ListeB='recap S1'!$B65)*(OFFSET(ListeB,,4)='recap S1'!Q$3)*(OFFSET(ListeB,,1)='recap S1'!Q$2)),"")</f>
        <v/>
      </c>
      <c r="R65" s="32"/>
      <c r="S65" s="32" t="str">
        <f ca="1">IF(SUMPRODUCT((ListeB='recap S1'!$B65)*(OFFSET(ListeB,,4)='recap S1'!S$3)*(OFFSET(ListeB,,1)='recap S1'!S$2))&gt;0,SUMPRODUCT((ListeB='recap S1'!$B65)*(OFFSET(ListeB,,4)='recap S1'!S$3)*(OFFSET(ListeB,,1)='recap S1'!S$2)),"")</f>
        <v/>
      </c>
      <c r="T65" s="32" t="str">
        <f ca="1">IF(SUMPRODUCT((ListeB='recap S1'!$B65)*(OFFSET(ListeB,,4)='recap S1'!T$3)*(OFFSET(ListeB,,1)='recap S1'!T$2))&gt;0,SUMPRODUCT((ListeB='recap S1'!$B65)*(OFFSET(ListeB,,4)='recap S1'!T$3)*(OFFSET(ListeB,,1)='recap S1'!T$2)),"")</f>
        <v/>
      </c>
      <c r="U65" s="32" t="str">
        <f ca="1">IF(SUMPRODUCT((ListeB='recap S1'!$B65)*(OFFSET(ListeB,,4)='recap S1'!U$3)*(OFFSET(ListeB,,1)='recap S1'!U$2))&gt;0,SUMPRODUCT((ListeB='recap S1'!$B65)*(OFFSET(ListeB,,4)='recap S1'!U$3)*(OFFSET(ListeB,,1)='recap S1'!U$2)),"")</f>
        <v/>
      </c>
      <c r="V65" s="32"/>
      <c r="W65" s="32" t="str">
        <f ca="1">IF(SUMPRODUCT((ListeB='recap S1'!$B65)*(OFFSET(ListeB,,4)='recap S1'!W$3)*(OFFSET(ListeB,,1)='recap S1'!W$2))&gt;0,SUMPRODUCT((ListeB='recap S1'!$B65)*(OFFSET(ListeB,,4)='recap S1'!W$3)*(OFFSET(ListeB,,1)='recap S1'!W$2)),"")</f>
        <v/>
      </c>
      <c r="X65" s="32"/>
      <c r="Y65" s="32" t="str">
        <f ca="1">IF(SUMPRODUCT((ListeB='recap S1'!$B65)*(OFFSET(ListeB,,4)='recap S1'!Y$3)*(OFFSET(ListeB,,1)='recap S1'!Y$2))&gt;0,SUMPRODUCT((ListeB='recap S1'!$B65)*(OFFSET(ListeB,,4)='recap S1'!Y$3)*(OFFSET(ListeB,,1)='recap S1'!Y$2)),"")</f>
        <v/>
      </c>
      <c r="Z65" s="32" t="str">
        <f ca="1">IF(SUMPRODUCT((ListeB='recap S1'!$B65)*(OFFSET(ListeB,,4)='recap S1'!Z$3)*(OFFSET(ListeB,,1)='recap S1'!Z$2))&gt;0,SUMPRODUCT((ListeB='recap S1'!$B65)*(OFFSET(ListeB,,4)='recap S1'!Z$3)*(OFFSET(ListeB,,1)='recap S1'!Z$2)),"")</f>
        <v/>
      </c>
      <c r="AA65" s="32" t="str">
        <f ca="1">IF(SUMPRODUCT((ListeB='recap S1'!$B65)*(OFFSET(ListeB,,4)='recap S1'!AA$3)*(OFFSET(ListeB,,1)='recap S1'!AA$2))&gt;0,SUMPRODUCT((ListeB='recap S1'!$B65)*(OFFSET(ListeB,,4)='recap S1'!AA$3)*(OFFSET(ListeB,,1)='recap S1'!AA$2)),"")</f>
        <v/>
      </c>
      <c r="AB65" s="32"/>
      <c r="AC65" s="32" t="str">
        <f ca="1">IF(SUMPRODUCT((ListeB='recap S1'!$B65)*(OFFSET(ListeB,,4)='recap S1'!AC$3)*(OFFSET(ListeB,,1)='recap S1'!AC$2))&gt;0,SUMPRODUCT((ListeB='recap S1'!$B65)*(OFFSET(ListeB,,4)='recap S1'!AC$3)*(OFFSET(ListeB,,1)='recap S1'!AC$2)),"")</f>
        <v/>
      </c>
      <c r="AD65" s="32"/>
      <c r="AE65" s="32" t="str">
        <f ca="1">IF(SUMPRODUCT((ListeB='recap S1'!$B65)*(OFFSET(ListeB,,4)='recap S1'!AE$3)*(OFFSET(ListeB,,1)='recap S1'!AE$2))&gt;0,SUMPRODUCT((ListeB='recap S1'!$B65)*(OFFSET(ListeB,,4)='recap S1'!AE$3)*(OFFSET(ListeB,,1)='recap S1'!AE$2)),"")</f>
        <v/>
      </c>
      <c r="AF65" s="32" t="str">
        <f ca="1">IF(SUMPRODUCT((ListeB='recap S1'!$B65)*(OFFSET(ListeB,,4)='recap S1'!AF$3)*(OFFSET(ListeB,,1)='recap S1'!AF$2))&gt;0,SUMPRODUCT((ListeB='recap S1'!$B65)*(OFFSET(ListeB,,4)='recap S1'!AF$3)*(OFFSET(ListeB,,1)='recap S1'!AF$2)),"")</f>
        <v/>
      </c>
      <c r="AG65" s="32"/>
      <c r="AH65" s="32" t="str">
        <f ca="1">IF(SUMPRODUCT((ListeB='recap S1'!$B65)*(OFFSET(ListeB,,4)='recap S1'!AH$3)*(OFFSET(ListeB,,1)='recap S1'!AH$2))&gt;0,SUMPRODUCT((ListeB='recap S1'!$B65)*(OFFSET(ListeB,,4)='recap S1'!AH$3)*(OFFSET(ListeB,,1)='recap S1'!AH$2)),"")</f>
        <v/>
      </c>
      <c r="AI65" s="32" t="str">
        <f ca="1">IF(SUMPRODUCT((ListeB='recap S1'!$B65)*(OFFSET(ListeB,,4)='recap S1'!AI$3)*(OFFSET(ListeB,,1)='recap S1'!AI$2))&gt;0,SUMPRODUCT((ListeB='recap S1'!$B65)*(OFFSET(ListeB,,4)='recap S1'!AI$3)*(OFFSET(ListeB,,1)='recap S1'!AI$2)),"")</f>
        <v/>
      </c>
      <c r="AJ65" s="32" t="str">
        <f ca="1">IF(SUMPRODUCT((ListeB='recap S1'!$B65)*(OFFSET(ListeB,,4)='recap S1'!AJ$3)*(OFFSET(ListeB,,1)='recap S1'!AJ$2))&gt;0,SUMPRODUCT((ListeB='recap S1'!$B65)*(OFFSET(ListeB,,4)='recap S1'!AJ$3)*(OFFSET(ListeB,,1)='recap S1'!AJ$2)),"")</f>
        <v/>
      </c>
      <c r="AK65" s="32"/>
      <c r="AL65" s="32" t="str">
        <f ca="1">IF(SUMPRODUCT((ListeB='recap S1'!$B65)*(OFFSET(ListeB,,4)='recap S1'!AL$3)*(OFFSET(ListeB,,1)='recap S1'!AL$2))&gt;0,SUMPRODUCT((ListeB='recap S1'!$B65)*(OFFSET(ListeB,,4)='recap S1'!AL$3)*(OFFSET(ListeB,,1)='recap S1'!AL$2)),"")</f>
        <v/>
      </c>
      <c r="AM65" s="32"/>
      <c r="AN65" s="32" t="str">
        <f ca="1">IF(SUMPRODUCT((ListeB='recap S1'!$B65)*(OFFSET(ListeB,,4)='recap S1'!AN$3)*(OFFSET(ListeB,,1)='recap S1'!AN$2))&gt;0,SUMPRODUCT((ListeB='recap S1'!$B65)*(OFFSET(ListeB,,4)='recap S1'!AN$3)*(OFFSET(ListeB,,1)='recap S1'!AN$2)),"")</f>
        <v/>
      </c>
      <c r="AO65" s="32" t="str">
        <f ca="1">IF(SUMPRODUCT((ListeB='recap S1'!$B65)*(OFFSET(ListeB,,4)='recap S1'!AO$3)*(OFFSET(ListeB,,1)='recap S1'!AO$2))&gt;0,SUMPRODUCT((ListeB='recap S1'!$B65)*(OFFSET(ListeB,,4)='recap S1'!AO$3)*(OFFSET(ListeB,,1)='recap S1'!AO$2)),"")</f>
        <v/>
      </c>
      <c r="AP65" s="32"/>
      <c r="AQ65" s="32"/>
      <c r="AR65" s="32"/>
      <c r="AS65" s="32" t="str">
        <f ca="1">IF(SUMPRODUCT((ListeB='recap S1'!$B65)*(OFFSET(ListeB,,4)='recap S1'!AS$3)*(OFFSET(ListeB,,1)='recap S1'!AS$2))&gt;0,SUMPRODUCT((ListeB='recap S1'!$B65)*(OFFSET(ListeB,,4)='recap S1'!AS$3)*(OFFSET(ListeB,,1)='recap S1'!AS$2)),"")</f>
        <v/>
      </c>
      <c r="AT65" s="32" t="str">
        <f ca="1">IF(SUMPRODUCT((ListeB='recap S1'!$B65)*(OFFSET(ListeB,,4)='recap S1'!AT$3)*(OFFSET(ListeB,,1)='recap S1'!AT$2))&gt;0,SUMPRODUCT((ListeB='recap S1'!$B65)*(OFFSET(ListeB,,4)='recap S1'!AT$3)*(OFFSET(ListeB,,1)='recap S1'!AT$2)),"")</f>
        <v/>
      </c>
      <c r="AU65" s="32"/>
      <c r="AV65" s="32" t="str">
        <f ca="1">IF(SUMPRODUCT((ListeB='recap S1'!$B65)*(OFFSET(ListeB,,4)='recap S1'!AV$3)*(OFFSET(ListeB,,1)='recap S1'!AV$2))&gt;0,SUMPRODUCT((ListeB='recap S1'!$B65)*(OFFSET(ListeB,,4)='recap S1'!AV$3)*(OFFSET(ListeB,,1)='recap S1'!AV$2)),"")</f>
        <v/>
      </c>
      <c r="AW65" s="32" t="str">
        <f ca="1">IF(SUMPRODUCT((ListeB='recap S1'!$B65)*(OFFSET(ListeB,,4)='recap S1'!AW$3)*(OFFSET(ListeB,,1)='recap S1'!AW$2))&gt;0,SUMPRODUCT((ListeB='recap S1'!$B65)*(OFFSET(ListeB,,4)='recap S1'!AW$3)*(OFFSET(ListeB,,1)='recap S1'!AW$2)),"")</f>
        <v/>
      </c>
      <c r="AX65" s="32" t="str">
        <f ca="1">IF(SUMPRODUCT((ListeB='recap S1'!$B65)*(OFFSET(ListeB,,4)='recap S1'!AX$3)*(OFFSET(ListeB,,1)='recap S1'!AX$2))&gt;0,SUMPRODUCT((ListeB='recap S1'!$B65)*(OFFSET(ListeB,,4)='recap S1'!AX$3)*(OFFSET(ListeB,,1)='recap S1'!AX$2)),"")</f>
        <v/>
      </c>
      <c r="AY65" s="34"/>
      <c r="AZ65" s="32">
        <f t="shared" ca="1" si="1"/>
        <v>0</v>
      </c>
    </row>
    <row r="66" spans="1:52">
      <c r="A66" s="41" t="str">
        <f>IF('SEANCE 1'!$B64&lt;&gt;"",'SEANCE 1'!$A64,"")</f>
        <v/>
      </c>
      <c r="B66" s="41" t="str">
        <f t="array" aca="1" ref="B66" ca="1">IF(ISNA(INDEX(ListeB,MATCH(0,COUNTIF($B$3:B65,ListeB),0))),"",INDEX(ListeB,MATCH(0,COUNTIF($B$3:B65,ListeB),0)))</f>
        <v/>
      </c>
      <c r="C66" s="32" t="str">
        <f ca="1">IF(SUMPRODUCT((ListeB='recap S1'!$B66)*(OFFSET(ListeB,,4)='recap S1'!C$3)*(OFFSET(ListeB,,1)='recap S1'!C$2))&gt;0,SUMPRODUCT((ListeB='recap S1'!$B66)*(OFFSET(ListeB,,4)='recap S1'!C$3)*(OFFSET(ListeB,,1)='recap S1'!C$2)),"")</f>
        <v/>
      </c>
      <c r="D66" s="32" t="str">
        <f ca="1">IF(SUMPRODUCT((ListeB='recap S1'!$B66)*(OFFSET(ListeB,,4)='recap S1'!D$3)*(OFFSET(ListeB,,1)='recap S1'!D$2))&gt;0,SUMPRODUCT((ListeB='recap S1'!$B66)*(OFFSET(ListeB,,4)='recap S1'!D$3)*(OFFSET(ListeB,,1)='recap S1'!D$2)),"")</f>
        <v/>
      </c>
      <c r="E66" s="32"/>
      <c r="F66" s="32" t="str">
        <f ca="1">IF(SUMPRODUCT((ListeB='recap S1'!$B66)*(OFFSET(ListeB,,4)='recap S1'!F$3)*(OFFSET(ListeB,,1)='recap S1'!F$2))&gt;0,SUMPRODUCT((ListeB='recap S1'!$B66)*(OFFSET(ListeB,,4)='recap S1'!F$3)*(OFFSET(ListeB,,1)='recap S1'!F$2)),"")</f>
        <v/>
      </c>
      <c r="G66" s="32" t="str">
        <f ca="1">IF(SUMPRODUCT((ListeB='recap S1'!$B66)*(OFFSET(ListeB,,4)='recap S1'!G$3)*(OFFSET(ListeB,,1)='recap S1'!G$2))&gt;0,SUMPRODUCT((ListeB='recap S1'!$B66)*(OFFSET(ListeB,,4)='recap S1'!G$3)*(OFFSET(ListeB,,1)='recap S1'!G$2)),"")</f>
        <v/>
      </c>
      <c r="H66" s="32"/>
      <c r="I66" s="32" t="str">
        <f ca="1">IF(SUMPRODUCT((ListeB='recap S1'!$B66)*(OFFSET(ListeB,,4)='recap S1'!I$3)*(OFFSET(ListeB,,1)='recap S1'!I$2))&gt;0,SUMPRODUCT((ListeB='recap S1'!$B66)*(OFFSET(ListeB,,4)='recap S1'!I$3)*(OFFSET(ListeB,,1)='recap S1'!I$2)),"")</f>
        <v/>
      </c>
      <c r="J66" s="32" t="str">
        <f ca="1">IF(SUMPRODUCT((ListeB='recap S1'!$B66)*(OFFSET(ListeB,,4)='recap S1'!J$3)*(OFFSET(ListeB,,1)='recap S1'!J$2))&gt;0,SUMPRODUCT((ListeB='recap S1'!$B66)*(OFFSET(ListeB,,4)='recap S1'!J$3)*(OFFSET(ListeB,,1)='recap S1'!J$2)),"")</f>
        <v/>
      </c>
      <c r="K66" s="32" t="str">
        <f ca="1">IF(SUMPRODUCT((ListeB='recap S1'!$B66)*(OFFSET(ListeB,,4)='recap S1'!K$3)*(OFFSET(ListeB,,1)='recap S1'!K$2))&gt;0,SUMPRODUCT((ListeB='recap S1'!$B66)*(OFFSET(ListeB,,4)='recap S1'!K$3)*(OFFSET(ListeB,,1)='recap S1'!K$2)),"")</f>
        <v/>
      </c>
      <c r="L66" s="32"/>
      <c r="M66" s="32" t="str">
        <f ca="1">IF(SUMPRODUCT((ListeB='recap S1'!$B66)*(OFFSET(ListeB,,4)='recap S1'!M$3)*(OFFSET(ListeB,,1)='recap S1'!M$2))&gt;0,SUMPRODUCT((ListeB='recap S1'!$B66)*(OFFSET(ListeB,,4)='recap S1'!M$3)*(OFFSET(ListeB,,1)='recap S1'!M$2)),"")</f>
        <v/>
      </c>
      <c r="N66" s="32" t="str">
        <f ca="1">IF(SUMPRODUCT((ListeB='recap S1'!$B66)*(OFFSET(ListeB,,4)='recap S1'!N$3)*(OFFSET(ListeB,,1)='recap S1'!N$2))&gt;0,SUMPRODUCT((ListeB='recap S1'!$B66)*(OFFSET(ListeB,,4)='recap S1'!N$3)*(OFFSET(ListeB,,1)='recap S1'!N$2)),"")</f>
        <v/>
      </c>
      <c r="O66" s="32"/>
      <c r="P66" s="32" t="str">
        <f ca="1">IF(SUMPRODUCT((ListeB='recap S1'!$B66)*(OFFSET(ListeB,,4)='recap S1'!P$3)*(OFFSET(ListeB,,1)='recap S1'!P$2))&gt;0,SUMPRODUCT((ListeB='recap S1'!$B66)*(OFFSET(ListeB,,4)='recap S1'!P$3)*(OFFSET(ListeB,,1)='recap S1'!P$2)),"")</f>
        <v/>
      </c>
      <c r="Q66" s="32" t="str">
        <f ca="1">IF(SUMPRODUCT((ListeB='recap S1'!$B66)*(OFFSET(ListeB,,4)='recap S1'!Q$3)*(OFFSET(ListeB,,1)='recap S1'!Q$2))&gt;0,SUMPRODUCT((ListeB='recap S1'!$B66)*(OFFSET(ListeB,,4)='recap S1'!Q$3)*(OFFSET(ListeB,,1)='recap S1'!Q$2)),"")</f>
        <v/>
      </c>
      <c r="R66" s="32"/>
      <c r="S66" s="32" t="str">
        <f ca="1">IF(SUMPRODUCT((ListeB='recap S1'!$B66)*(OFFSET(ListeB,,4)='recap S1'!S$3)*(OFFSET(ListeB,,1)='recap S1'!S$2))&gt;0,SUMPRODUCT((ListeB='recap S1'!$B66)*(OFFSET(ListeB,,4)='recap S1'!S$3)*(OFFSET(ListeB,,1)='recap S1'!S$2)),"")</f>
        <v/>
      </c>
      <c r="T66" s="32" t="str">
        <f ca="1">IF(SUMPRODUCT((ListeB='recap S1'!$B66)*(OFFSET(ListeB,,4)='recap S1'!T$3)*(OFFSET(ListeB,,1)='recap S1'!T$2))&gt;0,SUMPRODUCT((ListeB='recap S1'!$B66)*(OFFSET(ListeB,,4)='recap S1'!T$3)*(OFFSET(ListeB,,1)='recap S1'!T$2)),"")</f>
        <v/>
      </c>
      <c r="U66" s="32" t="str">
        <f ca="1">IF(SUMPRODUCT((ListeB='recap S1'!$B66)*(OFFSET(ListeB,,4)='recap S1'!U$3)*(OFFSET(ListeB,,1)='recap S1'!U$2))&gt;0,SUMPRODUCT((ListeB='recap S1'!$B66)*(OFFSET(ListeB,,4)='recap S1'!U$3)*(OFFSET(ListeB,,1)='recap S1'!U$2)),"")</f>
        <v/>
      </c>
      <c r="V66" s="32"/>
      <c r="W66" s="32" t="str">
        <f ca="1">IF(SUMPRODUCT((ListeB='recap S1'!$B66)*(OFFSET(ListeB,,4)='recap S1'!W$3)*(OFFSET(ListeB,,1)='recap S1'!W$2))&gt;0,SUMPRODUCT((ListeB='recap S1'!$B66)*(OFFSET(ListeB,,4)='recap S1'!W$3)*(OFFSET(ListeB,,1)='recap S1'!W$2)),"")</f>
        <v/>
      </c>
      <c r="X66" s="32"/>
      <c r="Y66" s="32" t="str">
        <f ca="1">IF(SUMPRODUCT((ListeB='recap S1'!$B66)*(OFFSET(ListeB,,4)='recap S1'!Y$3)*(OFFSET(ListeB,,1)='recap S1'!Y$2))&gt;0,SUMPRODUCT((ListeB='recap S1'!$B66)*(OFFSET(ListeB,,4)='recap S1'!Y$3)*(OFFSET(ListeB,,1)='recap S1'!Y$2)),"")</f>
        <v/>
      </c>
      <c r="Z66" s="32" t="str">
        <f ca="1">IF(SUMPRODUCT((ListeB='recap S1'!$B66)*(OFFSET(ListeB,,4)='recap S1'!Z$3)*(OFFSET(ListeB,,1)='recap S1'!Z$2))&gt;0,SUMPRODUCT((ListeB='recap S1'!$B66)*(OFFSET(ListeB,,4)='recap S1'!Z$3)*(OFFSET(ListeB,,1)='recap S1'!Z$2)),"")</f>
        <v/>
      </c>
      <c r="AA66" s="32" t="str">
        <f ca="1">IF(SUMPRODUCT((ListeB='recap S1'!$B66)*(OFFSET(ListeB,,4)='recap S1'!AA$3)*(OFFSET(ListeB,,1)='recap S1'!AA$2))&gt;0,SUMPRODUCT((ListeB='recap S1'!$B66)*(OFFSET(ListeB,,4)='recap S1'!AA$3)*(OFFSET(ListeB,,1)='recap S1'!AA$2)),"")</f>
        <v/>
      </c>
      <c r="AB66" s="32"/>
      <c r="AC66" s="32" t="str">
        <f ca="1">IF(SUMPRODUCT((ListeB='recap S1'!$B66)*(OFFSET(ListeB,,4)='recap S1'!AC$3)*(OFFSET(ListeB,,1)='recap S1'!AC$2))&gt;0,SUMPRODUCT((ListeB='recap S1'!$B66)*(OFFSET(ListeB,,4)='recap S1'!AC$3)*(OFFSET(ListeB,,1)='recap S1'!AC$2)),"")</f>
        <v/>
      </c>
      <c r="AD66" s="32"/>
      <c r="AE66" s="32" t="str">
        <f ca="1">IF(SUMPRODUCT((ListeB='recap S1'!$B66)*(OFFSET(ListeB,,4)='recap S1'!AE$3)*(OFFSET(ListeB,,1)='recap S1'!AE$2))&gt;0,SUMPRODUCT((ListeB='recap S1'!$B66)*(OFFSET(ListeB,,4)='recap S1'!AE$3)*(OFFSET(ListeB,,1)='recap S1'!AE$2)),"")</f>
        <v/>
      </c>
      <c r="AF66" s="32" t="str">
        <f ca="1">IF(SUMPRODUCT((ListeB='recap S1'!$B66)*(OFFSET(ListeB,,4)='recap S1'!AF$3)*(OFFSET(ListeB,,1)='recap S1'!AF$2))&gt;0,SUMPRODUCT((ListeB='recap S1'!$B66)*(OFFSET(ListeB,,4)='recap S1'!AF$3)*(OFFSET(ListeB,,1)='recap S1'!AF$2)),"")</f>
        <v/>
      </c>
      <c r="AG66" s="32"/>
      <c r="AH66" s="32" t="str">
        <f ca="1">IF(SUMPRODUCT((ListeB='recap S1'!$B66)*(OFFSET(ListeB,,4)='recap S1'!AH$3)*(OFFSET(ListeB,,1)='recap S1'!AH$2))&gt;0,SUMPRODUCT((ListeB='recap S1'!$B66)*(OFFSET(ListeB,,4)='recap S1'!AH$3)*(OFFSET(ListeB,,1)='recap S1'!AH$2)),"")</f>
        <v/>
      </c>
      <c r="AI66" s="32" t="str">
        <f ca="1">IF(SUMPRODUCT((ListeB='recap S1'!$B66)*(OFFSET(ListeB,,4)='recap S1'!AI$3)*(OFFSET(ListeB,,1)='recap S1'!AI$2))&gt;0,SUMPRODUCT((ListeB='recap S1'!$B66)*(OFFSET(ListeB,,4)='recap S1'!AI$3)*(OFFSET(ListeB,,1)='recap S1'!AI$2)),"")</f>
        <v/>
      </c>
      <c r="AJ66" s="32" t="str">
        <f ca="1">IF(SUMPRODUCT((ListeB='recap S1'!$B66)*(OFFSET(ListeB,,4)='recap S1'!AJ$3)*(OFFSET(ListeB,,1)='recap S1'!AJ$2))&gt;0,SUMPRODUCT((ListeB='recap S1'!$B66)*(OFFSET(ListeB,,4)='recap S1'!AJ$3)*(OFFSET(ListeB,,1)='recap S1'!AJ$2)),"")</f>
        <v/>
      </c>
      <c r="AK66" s="32"/>
      <c r="AL66" s="32" t="str">
        <f ca="1">IF(SUMPRODUCT((ListeB='recap S1'!$B66)*(OFFSET(ListeB,,4)='recap S1'!AL$3)*(OFFSET(ListeB,,1)='recap S1'!AL$2))&gt;0,SUMPRODUCT((ListeB='recap S1'!$B66)*(OFFSET(ListeB,,4)='recap S1'!AL$3)*(OFFSET(ListeB,,1)='recap S1'!AL$2)),"")</f>
        <v/>
      </c>
      <c r="AM66" s="32"/>
      <c r="AN66" s="32" t="str">
        <f ca="1">IF(SUMPRODUCT((ListeB='recap S1'!$B66)*(OFFSET(ListeB,,4)='recap S1'!AN$3)*(OFFSET(ListeB,,1)='recap S1'!AN$2))&gt;0,SUMPRODUCT((ListeB='recap S1'!$B66)*(OFFSET(ListeB,,4)='recap S1'!AN$3)*(OFFSET(ListeB,,1)='recap S1'!AN$2)),"")</f>
        <v/>
      </c>
      <c r="AO66" s="32" t="str">
        <f ca="1">IF(SUMPRODUCT((ListeB='recap S1'!$B66)*(OFFSET(ListeB,,4)='recap S1'!AO$3)*(OFFSET(ListeB,,1)='recap S1'!AO$2))&gt;0,SUMPRODUCT((ListeB='recap S1'!$B66)*(OFFSET(ListeB,,4)='recap S1'!AO$3)*(OFFSET(ListeB,,1)='recap S1'!AO$2)),"")</f>
        <v/>
      </c>
      <c r="AP66" s="32"/>
      <c r="AQ66" s="32"/>
      <c r="AR66" s="32"/>
      <c r="AS66" s="32" t="str">
        <f ca="1">IF(SUMPRODUCT((ListeB='recap S1'!$B66)*(OFFSET(ListeB,,4)='recap S1'!AS$3)*(OFFSET(ListeB,,1)='recap S1'!AS$2))&gt;0,SUMPRODUCT((ListeB='recap S1'!$B66)*(OFFSET(ListeB,,4)='recap S1'!AS$3)*(OFFSET(ListeB,,1)='recap S1'!AS$2)),"")</f>
        <v/>
      </c>
      <c r="AT66" s="32" t="str">
        <f ca="1">IF(SUMPRODUCT((ListeB='recap S1'!$B66)*(OFFSET(ListeB,,4)='recap S1'!AT$3)*(OFFSET(ListeB,,1)='recap S1'!AT$2))&gt;0,SUMPRODUCT((ListeB='recap S1'!$B66)*(OFFSET(ListeB,,4)='recap S1'!AT$3)*(OFFSET(ListeB,,1)='recap S1'!AT$2)),"")</f>
        <v/>
      </c>
      <c r="AU66" s="32"/>
      <c r="AV66" s="32" t="str">
        <f ca="1">IF(SUMPRODUCT((ListeB='recap S1'!$B66)*(OFFSET(ListeB,,4)='recap S1'!AV$3)*(OFFSET(ListeB,,1)='recap S1'!AV$2))&gt;0,SUMPRODUCT((ListeB='recap S1'!$B66)*(OFFSET(ListeB,,4)='recap S1'!AV$3)*(OFFSET(ListeB,,1)='recap S1'!AV$2)),"")</f>
        <v/>
      </c>
      <c r="AW66" s="32" t="str">
        <f ca="1">IF(SUMPRODUCT((ListeB='recap S1'!$B66)*(OFFSET(ListeB,,4)='recap S1'!AW$3)*(OFFSET(ListeB,,1)='recap S1'!AW$2))&gt;0,SUMPRODUCT((ListeB='recap S1'!$B66)*(OFFSET(ListeB,,4)='recap S1'!AW$3)*(OFFSET(ListeB,,1)='recap S1'!AW$2)),"")</f>
        <v/>
      </c>
      <c r="AX66" s="32" t="str">
        <f ca="1">IF(SUMPRODUCT((ListeB='recap S1'!$B66)*(OFFSET(ListeB,,4)='recap S1'!AX$3)*(OFFSET(ListeB,,1)='recap S1'!AX$2))&gt;0,SUMPRODUCT((ListeB='recap S1'!$B66)*(OFFSET(ListeB,,4)='recap S1'!AX$3)*(OFFSET(ListeB,,1)='recap S1'!AX$2)),"")</f>
        <v/>
      </c>
      <c r="AY66" s="34"/>
      <c r="AZ66" s="32">
        <f t="shared" ca="1" si="1"/>
        <v>0</v>
      </c>
    </row>
    <row r="67" spans="1:52">
      <c r="A67" s="41" t="str">
        <f>IF('SEANCE 1'!$B65&lt;&gt;"",'SEANCE 1'!$A65,"")</f>
        <v/>
      </c>
      <c r="B67" s="41" t="str">
        <f t="array" aca="1" ref="B67" ca="1">IF(ISNA(INDEX(ListeB,MATCH(0,COUNTIF($B$3:B66,ListeB),0))),"",INDEX(ListeB,MATCH(0,COUNTIF($B$3:B66,ListeB),0)))</f>
        <v/>
      </c>
      <c r="C67" s="32" t="str">
        <f ca="1">IF(SUMPRODUCT((ListeB='recap S1'!$B67)*(OFFSET(ListeB,,4)='recap S1'!C$3)*(OFFSET(ListeB,,1)='recap S1'!C$2))&gt;0,SUMPRODUCT((ListeB='recap S1'!$B67)*(OFFSET(ListeB,,4)='recap S1'!C$3)*(OFFSET(ListeB,,1)='recap S1'!C$2)),"")</f>
        <v/>
      </c>
      <c r="D67" s="32" t="str">
        <f ca="1">IF(SUMPRODUCT((ListeB='recap S1'!$B67)*(OFFSET(ListeB,,4)='recap S1'!D$3)*(OFFSET(ListeB,,1)='recap S1'!D$2))&gt;0,SUMPRODUCT((ListeB='recap S1'!$B67)*(OFFSET(ListeB,,4)='recap S1'!D$3)*(OFFSET(ListeB,,1)='recap S1'!D$2)),"")</f>
        <v/>
      </c>
      <c r="E67" s="32"/>
      <c r="F67" s="32" t="str">
        <f ca="1">IF(SUMPRODUCT((ListeB='recap S1'!$B67)*(OFFSET(ListeB,,4)='recap S1'!F$3)*(OFFSET(ListeB,,1)='recap S1'!F$2))&gt;0,SUMPRODUCT((ListeB='recap S1'!$B67)*(OFFSET(ListeB,,4)='recap S1'!F$3)*(OFFSET(ListeB,,1)='recap S1'!F$2)),"")</f>
        <v/>
      </c>
      <c r="G67" s="32" t="str">
        <f ca="1">IF(SUMPRODUCT((ListeB='recap S1'!$B67)*(OFFSET(ListeB,,4)='recap S1'!G$3)*(OFFSET(ListeB,,1)='recap S1'!G$2))&gt;0,SUMPRODUCT((ListeB='recap S1'!$B67)*(OFFSET(ListeB,,4)='recap S1'!G$3)*(OFFSET(ListeB,,1)='recap S1'!G$2)),"")</f>
        <v/>
      </c>
      <c r="H67" s="32"/>
      <c r="I67" s="32" t="str">
        <f ca="1">IF(SUMPRODUCT((ListeB='recap S1'!$B67)*(OFFSET(ListeB,,4)='recap S1'!I$3)*(OFFSET(ListeB,,1)='recap S1'!I$2))&gt;0,SUMPRODUCT((ListeB='recap S1'!$B67)*(OFFSET(ListeB,,4)='recap S1'!I$3)*(OFFSET(ListeB,,1)='recap S1'!I$2)),"")</f>
        <v/>
      </c>
      <c r="J67" s="32" t="str">
        <f ca="1">IF(SUMPRODUCT((ListeB='recap S1'!$B67)*(OFFSET(ListeB,,4)='recap S1'!J$3)*(OFFSET(ListeB,,1)='recap S1'!J$2))&gt;0,SUMPRODUCT((ListeB='recap S1'!$B67)*(OFFSET(ListeB,,4)='recap S1'!J$3)*(OFFSET(ListeB,,1)='recap S1'!J$2)),"")</f>
        <v/>
      </c>
      <c r="K67" s="32" t="str">
        <f ca="1">IF(SUMPRODUCT((ListeB='recap S1'!$B67)*(OFFSET(ListeB,,4)='recap S1'!K$3)*(OFFSET(ListeB,,1)='recap S1'!K$2))&gt;0,SUMPRODUCT((ListeB='recap S1'!$B67)*(OFFSET(ListeB,,4)='recap S1'!K$3)*(OFFSET(ListeB,,1)='recap S1'!K$2)),"")</f>
        <v/>
      </c>
      <c r="L67" s="32"/>
      <c r="M67" s="32" t="str">
        <f ca="1">IF(SUMPRODUCT((ListeB='recap S1'!$B67)*(OFFSET(ListeB,,4)='recap S1'!M$3)*(OFFSET(ListeB,,1)='recap S1'!M$2))&gt;0,SUMPRODUCT((ListeB='recap S1'!$B67)*(OFFSET(ListeB,,4)='recap S1'!M$3)*(OFFSET(ListeB,,1)='recap S1'!M$2)),"")</f>
        <v/>
      </c>
      <c r="N67" s="32" t="str">
        <f ca="1">IF(SUMPRODUCT((ListeB='recap S1'!$B67)*(OFFSET(ListeB,,4)='recap S1'!N$3)*(OFFSET(ListeB,,1)='recap S1'!N$2))&gt;0,SUMPRODUCT((ListeB='recap S1'!$B67)*(OFFSET(ListeB,,4)='recap S1'!N$3)*(OFFSET(ListeB,,1)='recap S1'!N$2)),"")</f>
        <v/>
      </c>
      <c r="O67" s="32"/>
      <c r="P67" s="32" t="str">
        <f ca="1">IF(SUMPRODUCT((ListeB='recap S1'!$B67)*(OFFSET(ListeB,,4)='recap S1'!P$3)*(OFFSET(ListeB,,1)='recap S1'!P$2))&gt;0,SUMPRODUCT((ListeB='recap S1'!$B67)*(OFFSET(ListeB,,4)='recap S1'!P$3)*(OFFSET(ListeB,,1)='recap S1'!P$2)),"")</f>
        <v/>
      </c>
      <c r="Q67" s="32" t="str">
        <f ca="1">IF(SUMPRODUCT((ListeB='recap S1'!$B67)*(OFFSET(ListeB,,4)='recap S1'!Q$3)*(OFFSET(ListeB,,1)='recap S1'!Q$2))&gt;0,SUMPRODUCT((ListeB='recap S1'!$B67)*(OFFSET(ListeB,,4)='recap S1'!Q$3)*(OFFSET(ListeB,,1)='recap S1'!Q$2)),"")</f>
        <v/>
      </c>
      <c r="R67" s="32"/>
      <c r="S67" s="32" t="str">
        <f ca="1">IF(SUMPRODUCT((ListeB='recap S1'!$B67)*(OFFSET(ListeB,,4)='recap S1'!S$3)*(OFFSET(ListeB,,1)='recap S1'!S$2))&gt;0,SUMPRODUCT((ListeB='recap S1'!$B67)*(OFFSET(ListeB,,4)='recap S1'!S$3)*(OFFSET(ListeB,,1)='recap S1'!S$2)),"")</f>
        <v/>
      </c>
      <c r="T67" s="32" t="str">
        <f ca="1">IF(SUMPRODUCT((ListeB='recap S1'!$B67)*(OFFSET(ListeB,,4)='recap S1'!T$3)*(OFFSET(ListeB,,1)='recap S1'!T$2))&gt;0,SUMPRODUCT((ListeB='recap S1'!$B67)*(OFFSET(ListeB,,4)='recap S1'!T$3)*(OFFSET(ListeB,,1)='recap S1'!T$2)),"")</f>
        <v/>
      </c>
      <c r="U67" s="32" t="str">
        <f ca="1">IF(SUMPRODUCT((ListeB='recap S1'!$B67)*(OFFSET(ListeB,,4)='recap S1'!U$3)*(OFFSET(ListeB,,1)='recap S1'!U$2))&gt;0,SUMPRODUCT((ListeB='recap S1'!$B67)*(OFFSET(ListeB,,4)='recap S1'!U$3)*(OFFSET(ListeB,,1)='recap S1'!U$2)),"")</f>
        <v/>
      </c>
      <c r="V67" s="32"/>
      <c r="W67" s="32" t="str">
        <f ca="1">IF(SUMPRODUCT((ListeB='recap S1'!$B67)*(OFFSET(ListeB,,4)='recap S1'!W$3)*(OFFSET(ListeB,,1)='recap S1'!W$2))&gt;0,SUMPRODUCT((ListeB='recap S1'!$B67)*(OFFSET(ListeB,,4)='recap S1'!W$3)*(OFFSET(ListeB,,1)='recap S1'!W$2)),"")</f>
        <v/>
      </c>
      <c r="X67" s="32"/>
      <c r="Y67" s="32" t="str">
        <f ca="1">IF(SUMPRODUCT((ListeB='recap S1'!$B67)*(OFFSET(ListeB,,4)='recap S1'!Y$3)*(OFFSET(ListeB,,1)='recap S1'!Y$2))&gt;0,SUMPRODUCT((ListeB='recap S1'!$B67)*(OFFSET(ListeB,,4)='recap S1'!Y$3)*(OFFSET(ListeB,,1)='recap S1'!Y$2)),"")</f>
        <v/>
      </c>
      <c r="Z67" s="32" t="str">
        <f ca="1">IF(SUMPRODUCT((ListeB='recap S1'!$B67)*(OFFSET(ListeB,,4)='recap S1'!Z$3)*(OFFSET(ListeB,,1)='recap S1'!Z$2))&gt;0,SUMPRODUCT((ListeB='recap S1'!$B67)*(OFFSET(ListeB,,4)='recap S1'!Z$3)*(OFFSET(ListeB,,1)='recap S1'!Z$2)),"")</f>
        <v/>
      </c>
      <c r="AA67" s="32" t="str">
        <f ca="1">IF(SUMPRODUCT((ListeB='recap S1'!$B67)*(OFFSET(ListeB,,4)='recap S1'!AA$3)*(OFFSET(ListeB,,1)='recap S1'!AA$2))&gt;0,SUMPRODUCT((ListeB='recap S1'!$B67)*(OFFSET(ListeB,,4)='recap S1'!AA$3)*(OFFSET(ListeB,,1)='recap S1'!AA$2)),"")</f>
        <v/>
      </c>
      <c r="AB67" s="32"/>
      <c r="AC67" s="32" t="str">
        <f ca="1">IF(SUMPRODUCT((ListeB='recap S1'!$B67)*(OFFSET(ListeB,,4)='recap S1'!AC$3)*(OFFSET(ListeB,,1)='recap S1'!AC$2))&gt;0,SUMPRODUCT((ListeB='recap S1'!$B67)*(OFFSET(ListeB,,4)='recap S1'!AC$3)*(OFFSET(ListeB,,1)='recap S1'!AC$2)),"")</f>
        <v/>
      </c>
      <c r="AD67" s="32"/>
      <c r="AE67" s="32" t="str">
        <f ca="1">IF(SUMPRODUCT((ListeB='recap S1'!$B67)*(OFFSET(ListeB,,4)='recap S1'!AE$3)*(OFFSET(ListeB,,1)='recap S1'!AE$2))&gt;0,SUMPRODUCT((ListeB='recap S1'!$B67)*(OFFSET(ListeB,,4)='recap S1'!AE$3)*(OFFSET(ListeB,,1)='recap S1'!AE$2)),"")</f>
        <v/>
      </c>
      <c r="AF67" s="32" t="str">
        <f ca="1">IF(SUMPRODUCT((ListeB='recap S1'!$B67)*(OFFSET(ListeB,,4)='recap S1'!AF$3)*(OFFSET(ListeB,,1)='recap S1'!AF$2))&gt;0,SUMPRODUCT((ListeB='recap S1'!$B67)*(OFFSET(ListeB,,4)='recap S1'!AF$3)*(OFFSET(ListeB,,1)='recap S1'!AF$2)),"")</f>
        <v/>
      </c>
      <c r="AG67" s="32"/>
      <c r="AH67" s="32" t="str">
        <f ca="1">IF(SUMPRODUCT((ListeB='recap S1'!$B67)*(OFFSET(ListeB,,4)='recap S1'!AH$3)*(OFFSET(ListeB,,1)='recap S1'!AH$2))&gt;0,SUMPRODUCT((ListeB='recap S1'!$B67)*(OFFSET(ListeB,,4)='recap S1'!AH$3)*(OFFSET(ListeB,,1)='recap S1'!AH$2)),"")</f>
        <v/>
      </c>
      <c r="AI67" s="32" t="str">
        <f ca="1">IF(SUMPRODUCT((ListeB='recap S1'!$B67)*(OFFSET(ListeB,,4)='recap S1'!AI$3)*(OFFSET(ListeB,,1)='recap S1'!AI$2))&gt;0,SUMPRODUCT((ListeB='recap S1'!$B67)*(OFFSET(ListeB,,4)='recap S1'!AI$3)*(OFFSET(ListeB,,1)='recap S1'!AI$2)),"")</f>
        <v/>
      </c>
      <c r="AJ67" s="32" t="str">
        <f ca="1">IF(SUMPRODUCT((ListeB='recap S1'!$B67)*(OFFSET(ListeB,,4)='recap S1'!AJ$3)*(OFFSET(ListeB,,1)='recap S1'!AJ$2))&gt;0,SUMPRODUCT((ListeB='recap S1'!$B67)*(OFFSET(ListeB,,4)='recap S1'!AJ$3)*(OFFSET(ListeB,,1)='recap S1'!AJ$2)),"")</f>
        <v/>
      </c>
      <c r="AK67" s="32"/>
      <c r="AL67" s="32" t="str">
        <f ca="1">IF(SUMPRODUCT((ListeB='recap S1'!$B67)*(OFFSET(ListeB,,4)='recap S1'!AL$3)*(OFFSET(ListeB,,1)='recap S1'!AL$2))&gt;0,SUMPRODUCT((ListeB='recap S1'!$B67)*(OFFSET(ListeB,,4)='recap S1'!AL$3)*(OFFSET(ListeB,,1)='recap S1'!AL$2)),"")</f>
        <v/>
      </c>
      <c r="AM67" s="32"/>
      <c r="AN67" s="32" t="str">
        <f ca="1">IF(SUMPRODUCT((ListeB='recap S1'!$B67)*(OFFSET(ListeB,,4)='recap S1'!AN$3)*(OFFSET(ListeB,,1)='recap S1'!AN$2))&gt;0,SUMPRODUCT((ListeB='recap S1'!$B67)*(OFFSET(ListeB,,4)='recap S1'!AN$3)*(OFFSET(ListeB,,1)='recap S1'!AN$2)),"")</f>
        <v/>
      </c>
      <c r="AO67" s="32" t="str">
        <f ca="1">IF(SUMPRODUCT((ListeB='recap S1'!$B67)*(OFFSET(ListeB,,4)='recap S1'!AO$3)*(OFFSET(ListeB,,1)='recap S1'!AO$2))&gt;0,SUMPRODUCT((ListeB='recap S1'!$B67)*(OFFSET(ListeB,,4)='recap S1'!AO$3)*(OFFSET(ListeB,,1)='recap S1'!AO$2)),"")</f>
        <v/>
      </c>
      <c r="AP67" s="32"/>
      <c r="AQ67" s="32"/>
      <c r="AR67" s="32"/>
      <c r="AS67" s="32" t="str">
        <f ca="1">IF(SUMPRODUCT((ListeB='recap S1'!$B67)*(OFFSET(ListeB,,4)='recap S1'!AS$3)*(OFFSET(ListeB,,1)='recap S1'!AS$2))&gt;0,SUMPRODUCT((ListeB='recap S1'!$B67)*(OFFSET(ListeB,,4)='recap S1'!AS$3)*(OFFSET(ListeB,,1)='recap S1'!AS$2)),"")</f>
        <v/>
      </c>
      <c r="AT67" s="32" t="str">
        <f ca="1">IF(SUMPRODUCT((ListeB='recap S1'!$B67)*(OFFSET(ListeB,,4)='recap S1'!AT$3)*(OFFSET(ListeB,,1)='recap S1'!AT$2))&gt;0,SUMPRODUCT((ListeB='recap S1'!$B67)*(OFFSET(ListeB,,4)='recap S1'!AT$3)*(OFFSET(ListeB,,1)='recap S1'!AT$2)),"")</f>
        <v/>
      </c>
      <c r="AU67" s="32"/>
      <c r="AV67" s="32" t="str">
        <f ca="1">IF(SUMPRODUCT((ListeB='recap S1'!$B67)*(OFFSET(ListeB,,4)='recap S1'!AV$3)*(OFFSET(ListeB,,1)='recap S1'!AV$2))&gt;0,SUMPRODUCT((ListeB='recap S1'!$B67)*(OFFSET(ListeB,,4)='recap S1'!AV$3)*(OFFSET(ListeB,,1)='recap S1'!AV$2)),"")</f>
        <v/>
      </c>
      <c r="AW67" s="32" t="str">
        <f ca="1">IF(SUMPRODUCT((ListeB='recap S1'!$B67)*(OFFSET(ListeB,,4)='recap S1'!AW$3)*(OFFSET(ListeB,,1)='recap S1'!AW$2))&gt;0,SUMPRODUCT((ListeB='recap S1'!$B67)*(OFFSET(ListeB,,4)='recap S1'!AW$3)*(OFFSET(ListeB,,1)='recap S1'!AW$2)),"")</f>
        <v/>
      </c>
      <c r="AX67" s="32" t="str">
        <f ca="1">IF(SUMPRODUCT((ListeB='recap S1'!$B67)*(OFFSET(ListeB,,4)='recap S1'!AX$3)*(OFFSET(ListeB,,1)='recap S1'!AX$2))&gt;0,SUMPRODUCT((ListeB='recap S1'!$B67)*(OFFSET(ListeB,,4)='recap S1'!AX$3)*(OFFSET(ListeB,,1)='recap S1'!AX$2)),"")</f>
        <v/>
      </c>
      <c r="AY67" s="34"/>
      <c r="AZ67" s="32">
        <f t="shared" ca="1" si="1"/>
        <v>0</v>
      </c>
    </row>
    <row r="68" spans="1:52">
      <c r="A68" s="41" t="str">
        <f>IF('SEANCE 1'!$B66&lt;&gt;"",'SEANCE 1'!$A66,"")</f>
        <v/>
      </c>
      <c r="B68" s="41" t="str">
        <f t="array" aca="1" ref="B68" ca="1">IF(ISNA(INDEX(ListeB,MATCH(0,COUNTIF($B$3:B67,ListeB),0))),"",INDEX(ListeB,MATCH(0,COUNTIF($B$3:B67,ListeB),0)))</f>
        <v/>
      </c>
      <c r="C68" s="32" t="str">
        <f ca="1">IF(SUMPRODUCT((ListeB='recap S1'!$B68)*(OFFSET(ListeB,,4)='recap S1'!C$3)*(OFFSET(ListeB,,1)='recap S1'!C$2))&gt;0,SUMPRODUCT((ListeB='recap S1'!$B68)*(OFFSET(ListeB,,4)='recap S1'!C$3)*(OFFSET(ListeB,,1)='recap S1'!C$2)),"")</f>
        <v/>
      </c>
      <c r="D68" s="32" t="str">
        <f ca="1">IF(SUMPRODUCT((ListeB='recap S1'!$B68)*(OFFSET(ListeB,,4)='recap S1'!D$3)*(OFFSET(ListeB,,1)='recap S1'!D$2))&gt;0,SUMPRODUCT((ListeB='recap S1'!$B68)*(OFFSET(ListeB,,4)='recap S1'!D$3)*(OFFSET(ListeB,,1)='recap S1'!D$2)),"")</f>
        <v/>
      </c>
      <c r="E68" s="32"/>
      <c r="F68" s="32" t="str">
        <f ca="1">IF(SUMPRODUCT((ListeB='recap S1'!$B68)*(OFFSET(ListeB,,4)='recap S1'!F$3)*(OFFSET(ListeB,,1)='recap S1'!F$2))&gt;0,SUMPRODUCT((ListeB='recap S1'!$B68)*(OFFSET(ListeB,,4)='recap S1'!F$3)*(OFFSET(ListeB,,1)='recap S1'!F$2)),"")</f>
        <v/>
      </c>
      <c r="G68" s="32" t="str">
        <f ca="1">IF(SUMPRODUCT((ListeB='recap S1'!$B68)*(OFFSET(ListeB,,4)='recap S1'!G$3)*(OFFSET(ListeB,,1)='recap S1'!G$2))&gt;0,SUMPRODUCT((ListeB='recap S1'!$B68)*(OFFSET(ListeB,,4)='recap S1'!G$3)*(OFFSET(ListeB,,1)='recap S1'!G$2)),"")</f>
        <v/>
      </c>
      <c r="H68" s="32"/>
      <c r="I68" s="32" t="str">
        <f ca="1">IF(SUMPRODUCT((ListeB='recap S1'!$B68)*(OFFSET(ListeB,,4)='recap S1'!I$3)*(OFFSET(ListeB,,1)='recap S1'!I$2))&gt;0,SUMPRODUCT((ListeB='recap S1'!$B68)*(OFFSET(ListeB,,4)='recap S1'!I$3)*(OFFSET(ListeB,,1)='recap S1'!I$2)),"")</f>
        <v/>
      </c>
      <c r="J68" s="32" t="str">
        <f ca="1">IF(SUMPRODUCT((ListeB='recap S1'!$B68)*(OFFSET(ListeB,,4)='recap S1'!J$3)*(OFFSET(ListeB,,1)='recap S1'!J$2))&gt;0,SUMPRODUCT((ListeB='recap S1'!$B68)*(OFFSET(ListeB,,4)='recap S1'!J$3)*(OFFSET(ListeB,,1)='recap S1'!J$2)),"")</f>
        <v/>
      </c>
      <c r="K68" s="32" t="str">
        <f ca="1">IF(SUMPRODUCT((ListeB='recap S1'!$B68)*(OFFSET(ListeB,,4)='recap S1'!K$3)*(OFFSET(ListeB,,1)='recap S1'!K$2))&gt;0,SUMPRODUCT((ListeB='recap S1'!$B68)*(OFFSET(ListeB,,4)='recap S1'!K$3)*(OFFSET(ListeB,,1)='recap S1'!K$2)),"")</f>
        <v/>
      </c>
      <c r="L68" s="32"/>
      <c r="M68" s="32" t="str">
        <f ca="1">IF(SUMPRODUCT((ListeB='recap S1'!$B68)*(OFFSET(ListeB,,4)='recap S1'!M$3)*(OFFSET(ListeB,,1)='recap S1'!M$2))&gt;0,SUMPRODUCT((ListeB='recap S1'!$B68)*(OFFSET(ListeB,,4)='recap S1'!M$3)*(OFFSET(ListeB,,1)='recap S1'!M$2)),"")</f>
        <v/>
      </c>
      <c r="N68" s="32" t="str">
        <f ca="1">IF(SUMPRODUCT((ListeB='recap S1'!$B68)*(OFFSET(ListeB,,4)='recap S1'!N$3)*(OFFSET(ListeB,,1)='recap S1'!N$2))&gt;0,SUMPRODUCT((ListeB='recap S1'!$B68)*(OFFSET(ListeB,,4)='recap S1'!N$3)*(OFFSET(ListeB,,1)='recap S1'!N$2)),"")</f>
        <v/>
      </c>
      <c r="O68" s="32"/>
      <c r="P68" s="32" t="str">
        <f ca="1">IF(SUMPRODUCT((ListeB='recap S1'!$B68)*(OFFSET(ListeB,,4)='recap S1'!P$3)*(OFFSET(ListeB,,1)='recap S1'!P$2))&gt;0,SUMPRODUCT((ListeB='recap S1'!$B68)*(OFFSET(ListeB,,4)='recap S1'!P$3)*(OFFSET(ListeB,,1)='recap S1'!P$2)),"")</f>
        <v/>
      </c>
      <c r="Q68" s="32" t="str">
        <f ca="1">IF(SUMPRODUCT((ListeB='recap S1'!$B68)*(OFFSET(ListeB,,4)='recap S1'!Q$3)*(OFFSET(ListeB,,1)='recap S1'!Q$2))&gt;0,SUMPRODUCT((ListeB='recap S1'!$B68)*(OFFSET(ListeB,,4)='recap S1'!Q$3)*(OFFSET(ListeB,,1)='recap S1'!Q$2)),"")</f>
        <v/>
      </c>
      <c r="R68" s="32"/>
      <c r="S68" s="32" t="str">
        <f ca="1">IF(SUMPRODUCT((ListeB='recap S1'!$B68)*(OFFSET(ListeB,,4)='recap S1'!S$3)*(OFFSET(ListeB,,1)='recap S1'!S$2))&gt;0,SUMPRODUCT((ListeB='recap S1'!$B68)*(OFFSET(ListeB,,4)='recap S1'!S$3)*(OFFSET(ListeB,,1)='recap S1'!S$2)),"")</f>
        <v/>
      </c>
      <c r="T68" s="32" t="str">
        <f ca="1">IF(SUMPRODUCT((ListeB='recap S1'!$B68)*(OFFSET(ListeB,,4)='recap S1'!T$3)*(OFFSET(ListeB,,1)='recap S1'!T$2))&gt;0,SUMPRODUCT((ListeB='recap S1'!$B68)*(OFFSET(ListeB,,4)='recap S1'!T$3)*(OFFSET(ListeB,,1)='recap S1'!T$2)),"")</f>
        <v/>
      </c>
      <c r="U68" s="32" t="str">
        <f ca="1">IF(SUMPRODUCT((ListeB='recap S1'!$B68)*(OFFSET(ListeB,,4)='recap S1'!U$3)*(OFFSET(ListeB,,1)='recap S1'!U$2))&gt;0,SUMPRODUCT((ListeB='recap S1'!$B68)*(OFFSET(ListeB,,4)='recap S1'!U$3)*(OFFSET(ListeB,,1)='recap S1'!U$2)),"")</f>
        <v/>
      </c>
      <c r="V68" s="32"/>
      <c r="W68" s="32" t="str">
        <f ca="1">IF(SUMPRODUCT((ListeB='recap S1'!$B68)*(OFFSET(ListeB,,4)='recap S1'!W$3)*(OFFSET(ListeB,,1)='recap S1'!W$2))&gt;0,SUMPRODUCT((ListeB='recap S1'!$B68)*(OFFSET(ListeB,,4)='recap S1'!W$3)*(OFFSET(ListeB,,1)='recap S1'!W$2)),"")</f>
        <v/>
      </c>
      <c r="X68" s="32"/>
      <c r="Y68" s="32" t="str">
        <f ca="1">IF(SUMPRODUCT((ListeB='recap S1'!$B68)*(OFFSET(ListeB,,4)='recap S1'!Y$3)*(OFFSET(ListeB,,1)='recap S1'!Y$2))&gt;0,SUMPRODUCT((ListeB='recap S1'!$B68)*(OFFSET(ListeB,,4)='recap S1'!Y$3)*(OFFSET(ListeB,,1)='recap S1'!Y$2)),"")</f>
        <v/>
      </c>
      <c r="Z68" s="32" t="str">
        <f ca="1">IF(SUMPRODUCT((ListeB='recap S1'!$B68)*(OFFSET(ListeB,,4)='recap S1'!Z$3)*(OFFSET(ListeB,,1)='recap S1'!Z$2))&gt;0,SUMPRODUCT((ListeB='recap S1'!$B68)*(OFFSET(ListeB,,4)='recap S1'!Z$3)*(OFFSET(ListeB,,1)='recap S1'!Z$2)),"")</f>
        <v/>
      </c>
      <c r="AA68" s="32" t="str">
        <f ca="1">IF(SUMPRODUCT((ListeB='recap S1'!$B68)*(OFFSET(ListeB,,4)='recap S1'!AA$3)*(OFFSET(ListeB,,1)='recap S1'!AA$2))&gt;0,SUMPRODUCT((ListeB='recap S1'!$B68)*(OFFSET(ListeB,,4)='recap S1'!AA$3)*(OFFSET(ListeB,,1)='recap S1'!AA$2)),"")</f>
        <v/>
      </c>
      <c r="AB68" s="32"/>
      <c r="AC68" s="32" t="str">
        <f ca="1">IF(SUMPRODUCT((ListeB='recap S1'!$B68)*(OFFSET(ListeB,,4)='recap S1'!AC$3)*(OFFSET(ListeB,,1)='recap S1'!AC$2))&gt;0,SUMPRODUCT((ListeB='recap S1'!$B68)*(OFFSET(ListeB,,4)='recap S1'!AC$3)*(OFFSET(ListeB,,1)='recap S1'!AC$2)),"")</f>
        <v/>
      </c>
      <c r="AD68" s="32"/>
      <c r="AE68" s="32" t="str">
        <f ca="1">IF(SUMPRODUCT((ListeB='recap S1'!$B68)*(OFFSET(ListeB,,4)='recap S1'!AE$3)*(OFFSET(ListeB,,1)='recap S1'!AE$2))&gt;0,SUMPRODUCT((ListeB='recap S1'!$B68)*(OFFSET(ListeB,,4)='recap S1'!AE$3)*(OFFSET(ListeB,,1)='recap S1'!AE$2)),"")</f>
        <v/>
      </c>
      <c r="AF68" s="32" t="str">
        <f ca="1">IF(SUMPRODUCT((ListeB='recap S1'!$B68)*(OFFSET(ListeB,,4)='recap S1'!AF$3)*(OFFSET(ListeB,,1)='recap S1'!AF$2))&gt;0,SUMPRODUCT((ListeB='recap S1'!$B68)*(OFFSET(ListeB,,4)='recap S1'!AF$3)*(OFFSET(ListeB,,1)='recap S1'!AF$2)),"")</f>
        <v/>
      </c>
      <c r="AG68" s="32"/>
      <c r="AH68" s="32" t="str">
        <f ca="1">IF(SUMPRODUCT((ListeB='recap S1'!$B68)*(OFFSET(ListeB,,4)='recap S1'!AH$3)*(OFFSET(ListeB,,1)='recap S1'!AH$2))&gt;0,SUMPRODUCT((ListeB='recap S1'!$B68)*(OFFSET(ListeB,,4)='recap S1'!AH$3)*(OFFSET(ListeB,,1)='recap S1'!AH$2)),"")</f>
        <v/>
      </c>
      <c r="AI68" s="32" t="str">
        <f ca="1">IF(SUMPRODUCT((ListeB='recap S1'!$B68)*(OFFSET(ListeB,,4)='recap S1'!AI$3)*(OFFSET(ListeB,,1)='recap S1'!AI$2))&gt;0,SUMPRODUCT((ListeB='recap S1'!$B68)*(OFFSET(ListeB,,4)='recap S1'!AI$3)*(OFFSET(ListeB,,1)='recap S1'!AI$2)),"")</f>
        <v/>
      </c>
      <c r="AJ68" s="32" t="str">
        <f ca="1">IF(SUMPRODUCT((ListeB='recap S1'!$B68)*(OFFSET(ListeB,,4)='recap S1'!AJ$3)*(OFFSET(ListeB,,1)='recap S1'!AJ$2))&gt;0,SUMPRODUCT((ListeB='recap S1'!$B68)*(OFFSET(ListeB,,4)='recap S1'!AJ$3)*(OFFSET(ListeB,,1)='recap S1'!AJ$2)),"")</f>
        <v/>
      </c>
      <c r="AK68" s="32"/>
      <c r="AL68" s="32" t="str">
        <f ca="1">IF(SUMPRODUCT((ListeB='recap S1'!$B68)*(OFFSET(ListeB,,4)='recap S1'!AL$3)*(OFFSET(ListeB,,1)='recap S1'!AL$2))&gt;0,SUMPRODUCT((ListeB='recap S1'!$B68)*(OFFSET(ListeB,,4)='recap S1'!AL$3)*(OFFSET(ListeB,,1)='recap S1'!AL$2)),"")</f>
        <v/>
      </c>
      <c r="AM68" s="32"/>
      <c r="AN68" s="32" t="str">
        <f ca="1">IF(SUMPRODUCT((ListeB='recap S1'!$B68)*(OFFSET(ListeB,,4)='recap S1'!AN$3)*(OFFSET(ListeB,,1)='recap S1'!AN$2))&gt;0,SUMPRODUCT((ListeB='recap S1'!$B68)*(OFFSET(ListeB,,4)='recap S1'!AN$3)*(OFFSET(ListeB,,1)='recap S1'!AN$2)),"")</f>
        <v/>
      </c>
      <c r="AO68" s="32" t="str">
        <f ca="1">IF(SUMPRODUCT((ListeB='recap S1'!$B68)*(OFFSET(ListeB,,4)='recap S1'!AO$3)*(OFFSET(ListeB,,1)='recap S1'!AO$2))&gt;0,SUMPRODUCT((ListeB='recap S1'!$B68)*(OFFSET(ListeB,,4)='recap S1'!AO$3)*(OFFSET(ListeB,,1)='recap S1'!AO$2)),"")</f>
        <v/>
      </c>
      <c r="AP68" s="32"/>
      <c r="AQ68" s="32"/>
      <c r="AR68" s="32"/>
      <c r="AS68" s="32" t="str">
        <f ca="1">IF(SUMPRODUCT((ListeB='recap S1'!$B68)*(OFFSET(ListeB,,4)='recap S1'!AS$3)*(OFFSET(ListeB,,1)='recap S1'!AS$2))&gt;0,SUMPRODUCT((ListeB='recap S1'!$B68)*(OFFSET(ListeB,,4)='recap S1'!AS$3)*(OFFSET(ListeB,,1)='recap S1'!AS$2)),"")</f>
        <v/>
      </c>
      <c r="AT68" s="32" t="str">
        <f ca="1">IF(SUMPRODUCT((ListeB='recap S1'!$B68)*(OFFSET(ListeB,,4)='recap S1'!AT$3)*(OFFSET(ListeB,,1)='recap S1'!AT$2))&gt;0,SUMPRODUCT((ListeB='recap S1'!$B68)*(OFFSET(ListeB,,4)='recap S1'!AT$3)*(OFFSET(ListeB,,1)='recap S1'!AT$2)),"")</f>
        <v/>
      </c>
      <c r="AU68" s="32"/>
      <c r="AV68" s="32" t="str">
        <f ca="1">IF(SUMPRODUCT((ListeB='recap S1'!$B68)*(OFFSET(ListeB,,4)='recap S1'!AV$3)*(OFFSET(ListeB,,1)='recap S1'!AV$2))&gt;0,SUMPRODUCT((ListeB='recap S1'!$B68)*(OFFSET(ListeB,,4)='recap S1'!AV$3)*(OFFSET(ListeB,,1)='recap S1'!AV$2)),"")</f>
        <v/>
      </c>
      <c r="AW68" s="32" t="str">
        <f ca="1">IF(SUMPRODUCT((ListeB='recap S1'!$B68)*(OFFSET(ListeB,,4)='recap S1'!AW$3)*(OFFSET(ListeB,,1)='recap S1'!AW$2))&gt;0,SUMPRODUCT((ListeB='recap S1'!$B68)*(OFFSET(ListeB,,4)='recap S1'!AW$3)*(OFFSET(ListeB,,1)='recap S1'!AW$2)),"")</f>
        <v/>
      </c>
      <c r="AX68" s="32" t="str">
        <f ca="1">IF(SUMPRODUCT((ListeB='recap S1'!$B68)*(OFFSET(ListeB,,4)='recap S1'!AX$3)*(OFFSET(ListeB,,1)='recap S1'!AX$2))&gt;0,SUMPRODUCT((ListeB='recap S1'!$B68)*(OFFSET(ListeB,,4)='recap S1'!AX$3)*(OFFSET(ListeB,,1)='recap S1'!AX$2)),"")</f>
        <v/>
      </c>
      <c r="AY68" s="34"/>
      <c r="AZ68" s="32">
        <f t="shared" ref="AZ68:AZ99" ca="1" si="2">SUMPRODUCT(C68:AX68)</f>
        <v>0</v>
      </c>
    </row>
    <row r="69" spans="1:52">
      <c r="A69" s="41" t="str">
        <f>IF('SEANCE 1'!$B67&lt;&gt;"",'SEANCE 1'!$A67,"")</f>
        <v/>
      </c>
      <c r="B69" s="41" t="str">
        <f t="array" aca="1" ref="B69" ca="1">IF(ISNA(INDEX(ListeB,MATCH(0,COUNTIF($B$3:B68,ListeB),0))),"",INDEX(ListeB,MATCH(0,COUNTIF($B$3:B68,ListeB),0)))</f>
        <v/>
      </c>
      <c r="C69" s="32" t="str">
        <f ca="1">IF(SUMPRODUCT((ListeB='recap S1'!$B69)*(OFFSET(ListeB,,4)='recap S1'!C$3)*(OFFSET(ListeB,,1)='recap S1'!C$2))&gt;0,SUMPRODUCT((ListeB='recap S1'!$B69)*(OFFSET(ListeB,,4)='recap S1'!C$3)*(OFFSET(ListeB,,1)='recap S1'!C$2)),"")</f>
        <v/>
      </c>
      <c r="D69" s="32" t="str">
        <f ca="1">IF(SUMPRODUCT((ListeB='recap S1'!$B69)*(OFFSET(ListeB,,4)='recap S1'!D$3)*(OFFSET(ListeB,,1)='recap S1'!D$2))&gt;0,SUMPRODUCT((ListeB='recap S1'!$B69)*(OFFSET(ListeB,,4)='recap S1'!D$3)*(OFFSET(ListeB,,1)='recap S1'!D$2)),"")</f>
        <v/>
      </c>
      <c r="E69" s="32"/>
      <c r="F69" s="32" t="str">
        <f ca="1">IF(SUMPRODUCT((ListeB='recap S1'!$B69)*(OFFSET(ListeB,,4)='recap S1'!F$3)*(OFFSET(ListeB,,1)='recap S1'!F$2))&gt;0,SUMPRODUCT((ListeB='recap S1'!$B69)*(OFFSET(ListeB,,4)='recap S1'!F$3)*(OFFSET(ListeB,,1)='recap S1'!F$2)),"")</f>
        <v/>
      </c>
      <c r="G69" s="32" t="str">
        <f ca="1">IF(SUMPRODUCT((ListeB='recap S1'!$B69)*(OFFSET(ListeB,,4)='recap S1'!G$3)*(OFFSET(ListeB,,1)='recap S1'!G$2))&gt;0,SUMPRODUCT((ListeB='recap S1'!$B69)*(OFFSET(ListeB,,4)='recap S1'!G$3)*(OFFSET(ListeB,,1)='recap S1'!G$2)),"")</f>
        <v/>
      </c>
      <c r="H69" s="32"/>
      <c r="I69" s="32" t="str">
        <f ca="1">IF(SUMPRODUCT((ListeB='recap S1'!$B69)*(OFFSET(ListeB,,4)='recap S1'!I$3)*(OFFSET(ListeB,,1)='recap S1'!I$2))&gt;0,SUMPRODUCT((ListeB='recap S1'!$B69)*(OFFSET(ListeB,,4)='recap S1'!I$3)*(OFFSET(ListeB,,1)='recap S1'!I$2)),"")</f>
        <v/>
      </c>
      <c r="J69" s="32" t="str">
        <f ca="1">IF(SUMPRODUCT((ListeB='recap S1'!$B69)*(OFFSET(ListeB,,4)='recap S1'!J$3)*(OFFSET(ListeB,,1)='recap S1'!J$2))&gt;0,SUMPRODUCT((ListeB='recap S1'!$B69)*(OFFSET(ListeB,,4)='recap S1'!J$3)*(OFFSET(ListeB,,1)='recap S1'!J$2)),"")</f>
        <v/>
      </c>
      <c r="K69" s="32" t="str">
        <f ca="1">IF(SUMPRODUCT((ListeB='recap S1'!$B69)*(OFFSET(ListeB,,4)='recap S1'!K$3)*(OFFSET(ListeB,,1)='recap S1'!K$2))&gt;0,SUMPRODUCT((ListeB='recap S1'!$B69)*(OFFSET(ListeB,,4)='recap S1'!K$3)*(OFFSET(ListeB,,1)='recap S1'!K$2)),"")</f>
        <v/>
      </c>
      <c r="L69" s="32"/>
      <c r="M69" s="32" t="str">
        <f ca="1">IF(SUMPRODUCT((ListeB='recap S1'!$B69)*(OFFSET(ListeB,,4)='recap S1'!M$3)*(OFFSET(ListeB,,1)='recap S1'!M$2))&gt;0,SUMPRODUCT((ListeB='recap S1'!$B69)*(OFFSET(ListeB,,4)='recap S1'!M$3)*(OFFSET(ListeB,,1)='recap S1'!M$2)),"")</f>
        <v/>
      </c>
      <c r="N69" s="32" t="str">
        <f ca="1">IF(SUMPRODUCT((ListeB='recap S1'!$B69)*(OFFSET(ListeB,,4)='recap S1'!N$3)*(OFFSET(ListeB,,1)='recap S1'!N$2))&gt;0,SUMPRODUCT((ListeB='recap S1'!$B69)*(OFFSET(ListeB,,4)='recap S1'!N$3)*(OFFSET(ListeB,,1)='recap S1'!N$2)),"")</f>
        <v/>
      </c>
      <c r="O69" s="32"/>
      <c r="P69" s="32" t="str">
        <f ca="1">IF(SUMPRODUCT((ListeB='recap S1'!$B69)*(OFFSET(ListeB,,4)='recap S1'!P$3)*(OFFSET(ListeB,,1)='recap S1'!P$2))&gt;0,SUMPRODUCT((ListeB='recap S1'!$B69)*(OFFSET(ListeB,,4)='recap S1'!P$3)*(OFFSET(ListeB,,1)='recap S1'!P$2)),"")</f>
        <v/>
      </c>
      <c r="Q69" s="32" t="str">
        <f ca="1">IF(SUMPRODUCT((ListeB='recap S1'!$B69)*(OFFSET(ListeB,,4)='recap S1'!Q$3)*(OFFSET(ListeB,,1)='recap S1'!Q$2))&gt;0,SUMPRODUCT((ListeB='recap S1'!$B69)*(OFFSET(ListeB,,4)='recap S1'!Q$3)*(OFFSET(ListeB,,1)='recap S1'!Q$2)),"")</f>
        <v/>
      </c>
      <c r="R69" s="32"/>
      <c r="S69" s="32" t="str">
        <f ca="1">IF(SUMPRODUCT((ListeB='recap S1'!$B69)*(OFFSET(ListeB,,4)='recap S1'!S$3)*(OFFSET(ListeB,,1)='recap S1'!S$2))&gt;0,SUMPRODUCT((ListeB='recap S1'!$B69)*(OFFSET(ListeB,,4)='recap S1'!S$3)*(OFFSET(ListeB,,1)='recap S1'!S$2)),"")</f>
        <v/>
      </c>
      <c r="T69" s="32" t="str">
        <f ca="1">IF(SUMPRODUCT((ListeB='recap S1'!$B69)*(OFFSET(ListeB,,4)='recap S1'!T$3)*(OFFSET(ListeB,,1)='recap S1'!T$2))&gt;0,SUMPRODUCT((ListeB='recap S1'!$B69)*(OFFSET(ListeB,,4)='recap S1'!T$3)*(OFFSET(ListeB,,1)='recap S1'!T$2)),"")</f>
        <v/>
      </c>
      <c r="U69" s="32" t="str">
        <f ca="1">IF(SUMPRODUCT((ListeB='recap S1'!$B69)*(OFFSET(ListeB,,4)='recap S1'!U$3)*(OFFSET(ListeB,,1)='recap S1'!U$2))&gt;0,SUMPRODUCT((ListeB='recap S1'!$B69)*(OFFSET(ListeB,,4)='recap S1'!U$3)*(OFFSET(ListeB,,1)='recap S1'!U$2)),"")</f>
        <v/>
      </c>
      <c r="V69" s="32"/>
      <c r="W69" s="32" t="str">
        <f ca="1">IF(SUMPRODUCT((ListeB='recap S1'!$B69)*(OFFSET(ListeB,,4)='recap S1'!W$3)*(OFFSET(ListeB,,1)='recap S1'!W$2))&gt;0,SUMPRODUCT((ListeB='recap S1'!$B69)*(OFFSET(ListeB,,4)='recap S1'!W$3)*(OFFSET(ListeB,,1)='recap S1'!W$2)),"")</f>
        <v/>
      </c>
      <c r="X69" s="32"/>
      <c r="Y69" s="32" t="str">
        <f ca="1">IF(SUMPRODUCT((ListeB='recap S1'!$B69)*(OFFSET(ListeB,,4)='recap S1'!Y$3)*(OFFSET(ListeB,,1)='recap S1'!Y$2))&gt;0,SUMPRODUCT((ListeB='recap S1'!$B69)*(OFFSET(ListeB,,4)='recap S1'!Y$3)*(OFFSET(ListeB,,1)='recap S1'!Y$2)),"")</f>
        <v/>
      </c>
      <c r="Z69" s="32" t="str">
        <f ca="1">IF(SUMPRODUCT((ListeB='recap S1'!$B69)*(OFFSET(ListeB,,4)='recap S1'!Z$3)*(OFFSET(ListeB,,1)='recap S1'!Z$2))&gt;0,SUMPRODUCT((ListeB='recap S1'!$B69)*(OFFSET(ListeB,,4)='recap S1'!Z$3)*(OFFSET(ListeB,,1)='recap S1'!Z$2)),"")</f>
        <v/>
      </c>
      <c r="AA69" s="32" t="str">
        <f ca="1">IF(SUMPRODUCT((ListeB='recap S1'!$B69)*(OFFSET(ListeB,,4)='recap S1'!AA$3)*(OFFSET(ListeB,,1)='recap S1'!AA$2))&gt;0,SUMPRODUCT((ListeB='recap S1'!$B69)*(OFFSET(ListeB,,4)='recap S1'!AA$3)*(OFFSET(ListeB,,1)='recap S1'!AA$2)),"")</f>
        <v/>
      </c>
      <c r="AB69" s="32"/>
      <c r="AC69" s="32" t="str">
        <f ca="1">IF(SUMPRODUCT((ListeB='recap S1'!$B69)*(OFFSET(ListeB,,4)='recap S1'!AC$3)*(OFFSET(ListeB,,1)='recap S1'!AC$2))&gt;0,SUMPRODUCT((ListeB='recap S1'!$B69)*(OFFSET(ListeB,,4)='recap S1'!AC$3)*(OFFSET(ListeB,,1)='recap S1'!AC$2)),"")</f>
        <v/>
      </c>
      <c r="AD69" s="32"/>
      <c r="AE69" s="32" t="str">
        <f ca="1">IF(SUMPRODUCT((ListeB='recap S1'!$B69)*(OFFSET(ListeB,,4)='recap S1'!AE$3)*(OFFSET(ListeB,,1)='recap S1'!AE$2))&gt;0,SUMPRODUCT((ListeB='recap S1'!$B69)*(OFFSET(ListeB,,4)='recap S1'!AE$3)*(OFFSET(ListeB,,1)='recap S1'!AE$2)),"")</f>
        <v/>
      </c>
      <c r="AF69" s="32" t="str">
        <f ca="1">IF(SUMPRODUCT((ListeB='recap S1'!$B69)*(OFFSET(ListeB,,4)='recap S1'!AF$3)*(OFFSET(ListeB,,1)='recap S1'!AF$2))&gt;0,SUMPRODUCT((ListeB='recap S1'!$B69)*(OFFSET(ListeB,,4)='recap S1'!AF$3)*(OFFSET(ListeB,,1)='recap S1'!AF$2)),"")</f>
        <v/>
      </c>
      <c r="AG69" s="32"/>
      <c r="AH69" s="32" t="str">
        <f ca="1">IF(SUMPRODUCT((ListeB='recap S1'!$B69)*(OFFSET(ListeB,,4)='recap S1'!AH$3)*(OFFSET(ListeB,,1)='recap S1'!AH$2))&gt;0,SUMPRODUCT((ListeB='recap S1'!$B69)*(OFFSET(ListeB,,4)='recap S1'!AH$3)*(OFFSET(ListeB,,1)='recap S1'!AH$2)),"")</f>
        <v/>
      </c>
      <c r="AI69" s="32" t="str">
        <f ca="1">IF(SUMPRODUCT((ListeB='recap S1'!$B69)*(OFFSET(ListeB,,4)='recap S1'!AI$3)*(OFFSET(ListeB,,1)='recap S1'!AI$2))&gt;0,SUMPRODUCT((ListeB='recap S1'!$B69)*(OFFSET(ListeB,,4)='recap S1'!AI$3)*(OFFSET(ListeB,,1)='recap S1'!AI$2)),"")</f>
        <v/>
      </c>
      <c r="AJ69" s="32" t="str">
        <f ca="1">IF(SUMPRODUCT((ListeB='recap S1'!$B69)*(OFFSET(ListeB,,4)='recap S1'!AJ$3)*(OFFSET(ListeB,,1)='recap S1'!AJ$2))&gt;0,SUMPRODUCT((ListeB='recap S1'!$B69)*(OFFSET(ListeB,,4)='recap S1'!AJ$3)*(OFFSET(ListeB,,1)='recap S1'!AJ$2)),"")</f>
        <v/>
      </c>
      <c r="AK69" s="32"/>
      <c r="AL69" s="32" t="str">
        <f ca="1">IF(SUMPRODUCT((ListeB='recap S1'!$B69)*(OFFSET(ListeB,,4)='recap S1'!AL$3)*(OFFSET(ListeB,,1)='recap S1'!AL$2))&gt;0,SUMPRODUCT((ListeB='recap S1'!$B69)*(OFFSET(ListeB,,4)='recap S1'!AL$3)*(OFFSET(ListeB,,1)='recap S1'!AL$2)),"")</f>
        <v/>
      </c>
      <c r="AM69" s="32"/>
      <c r="AN69" s="32" t="str">
        <f ca="1">IF(SUMPRODUCT((ListeB='recap S1'!$B69)*(OFFSET(ListeB,,4)='recap S1'!AN$3)*(OFFSET(ListeB,,1)='recap S1'!AN$2))&gt;0,SUMPRODUCT((ListeB='recap S1'!$B69)*(OFFSET(ListeB,,4)='recap S1'!AN$3)*(OFFSET(ListeB,,1)='recap S1'!AN$2)),"")</f>
        <v/>
      </c>
      <c r="AO69" s="32" t="str">
        <f ca="1">IF(SUMPRODUCT((ListeB='recap S1'!$B69)*(OFFSET(ListeB,,4)='recap S1'!AO$3)*(OFFSET(ListeB,,1)='recap S1'!AO$2))&gt;0,SUMPRODUCT((ListeB='recap S1'!$B69)*(OFFSET(ListeB,,4)='recap S1'!AO$3)*(OFFSET(ListeB,,1)='recap S1'!AO$2)),"")</f>
        <v/>
      </c>
      <c r="AP69" s="32"/>
      <c r="AQ69" s="32"/>
      <c r="AR69" s="32"/>
      <c r="AS69" s="32" t="str">
        <f ca="1">IF(SUMPRODUCT((ListeB='recap S1'!$B69)*(OFFSET(ListeB,,4)='recap S1'!AS$3)*(OFFSET(ListeB,,1)='recap S1'!AS$2))&gt;0,SUMPRODUCT((ListeB='recap S1'!$B69)*(OFFSET(ListeB,,4)='recap S1'!AS$3)*(OFFSET(ListeB,,1)='recap S1'!AS$2)),"")</f>
        <v/>
      </c>
      <c r="AT69" s="32" t="str">
        <f ca="1">IF(SUMPRODUCT((ListeB='recap S1'!$B69)*(OFFSET(ListeB,,4)='recap S1'!AT$3)*(OFFSET(ListeB,,1)='recap S1'!AT$2))&gt;0,SUMPRODUCT((ListeB='recap S1'!$B69)*(OFFSET(ListeB,,4)='recap S1'!AT$3)*(OFFSET(ListeB,,1)='recap S1'!AT$2)),"")</f>
        <v/>
      </c>
      <c r="AU69" s="32"/>
      <c r="AV69" s="32" t="str">
        <f ca="1">IF(SUMPRODUCT((ListeB='recap S1'!$B69)*(OFFSET(ListeB,,4)='recap S1'!AV$3)*(OFFSET(ListeB,,1)='recap S1'!AV$2))&gt;0,SUMPRODUCT((ListeB='recap S1'!$B69)*(OFFSET(ListeB,,4)='recap S1'!AV$3)*(OFFSET(ListeB,,1)='recap S1'!AV$2)),"")</f>
        <v/>
      </c>
      <c r="AW69" s="32" t="str">
        <f ca="1">IF(SUMPRODUCT((ListeB='recap S1'!$B69)*(OFFSET(ListeB,,4)='recap S1'!AW$3)*(OFFSET(ListeB,,1)='recap S1'!AW$2))&gt;0,SUMPRODUCT((ListeB='recap S1'!$B69)*(OFFSET(ListeB,,4)='recap S1'!AW$3)*(OFFSET(ListeB,,1)='recap S1'!AW$2)),"")</f>
        <v/>
      </c>
      <c r="AX69" s="32" t="str">
        <f ca="1">IF(SUMPRODUCT((ListeB='recap S1'!$B69)*(OFFSET(ListeB,,4)='recap S1'!AX$3)*(OFFSET(ListeB,,1)='recap S1'!AX$2))&gt;0,SUMPRODUCT((ListeB='recap S1'!$B69)*(OFFSET(ListeB,,4)='recap S1'!AX$3)*(OFFSET(ListeB,,1)='recap S1'!AX$2)),"")</f>
        <v/>
      </c>
      <c r="AY69" s="34"/>
      <c r="AZ69" s="32">
        <f t="shared" ca="1" si="2"/>
        <v>0</v>
      </c>
    </row>
    <row r="70" spans="1:52">
      <c r="A70" s="41" t="str">
        <f>IF('SEANCE 1'!$B68&lt;&gt;"",'SEANCE 1'!$A68,"")</f>
        <v/>
      </c>
      <c r="B70" s="41" t="str">
        <f t="array" aca="1" ref="B70" ca="1">IF(ISNA(INDEX(ListeB,MATCH(0,COUNTIF($B$3:B69,ListeB),0))),"",INDEX(ListeB,MATCH(0,COUNTIF($B$3:B69,ListeB),0)))</f>
        <v/>
      </c>
      <c r="C70" s="32" t="str">
        <f ca="1">IF(SUMPRODUCT((ListeB='recap S1'!$B70)*(OFFSET(ListeB,,4)='recap S1'!C$3)*(OFFSET(ListeB,,1)='recap S1'!C$2))&gt;0,SUMPRODUCT((ListeB='recap S1'!$B70)*(OFFSET(ListeB,,4)='recap S1'!C$3)*(OFFSET(ListeB,,1)='recap S1'!C$2)),"")</f>
        <v/>
      </c>
      <c r="D70" s="32" t="str">
        <f ca="1">IF(SUMPRODUCT((ListeB='recap S1'!$B70)*(OFFSET(ListeB,,4)='recap S1'!D$3)*(OFFSET(ListeB,,1)='recap S1'!D$2))&gt;0,SUMPRODUCT((ListeB='recap S1'!$B70)*(OFFSET(ListeB,,4)='recap S1'!D$3)*(OFFSET(ListeB,,1)='recap S1'!D$2)),"")</f>
        <v/>
      </c>
      <c r="E70" s="32"/>
      <c r="F70" s="32" t="str">
        <f ca="1">IF(SUMPRODUCT((ListeB='recap S1'!$B70)*(OFFSET(ListeB,,4)='recap S1'!F$3)*(OFFSET(ListeB,,1)='recap S1'!F$2))&gt;0,SUMPRODUCT((ListeB='recap S1'!$B70)*(OFFSET(ListeB,,4)='recap S1'!F$3)*(OFFSET(ListeB,,1)='recap S1'!F$2)),"")</f>
        <v/>
      </c>
      <c r="G70" s="32" t="str">
        <f ca="1">IF(SUMPRODUCT((ListeB='recap S1'!$B70)*(OFFSET(ListeB,,4)='recap S1'!G$3)*(OFFSET(ListeB,,1)='recap S1'!G$2))&gt;0,SUMPRODUCT((ListeB='recap S1'!$B70)*(OFFSET(ListeB,,4)='recap S1'!G$3)*(OFFSET(ListeB,,1)='recap S1'!G$2)),"")</f>
        <v/>
      </c>
      <c r="H70" s="32"/>
      <c r="I70" s="32" t="str">
        <f ca="1">IF(SUMPRODUCT((ListeB='recap S1'!$B70)*(OFFSET(ListeB,,4)='recap S1'!I$3)*(OFFSET(ListeB,,1)='recap S1'!I$2))&gt;0,SUMPRODUCT((ListeB='recap S1'!$B70)*(OFFSET(ListeB,,4)='recap S1'!I$3)*(OFFSET(ListeB,,1)='recap S1'!I$2)),"")</f>
        <v/>
      </c>
      <c r="J70" s="32" t="str">
        <f ca="1">IF(SUMPRODUCT((ListeB='recap S1'!$B70)*(OFFSET(ListeB,,4)='recap S1'!J$3)*(OFFSET(ListeB,,1)='recap S1'!J$2))&gt;0,SUMPRODUCT((ListeB='recap S1'!$B70)*(OFFSET(ListeB,,4)='recap S1'!J$3)*(OFFSET(ListeB,,1)='recap S1'!J$2)),"")</f>
        <v/>
      </c>
      <c r="K70" s="32" t="str">
        <f ca="1">IF(SUMPRODUCT((ListeB='recap S1'!$B70)*(OFFSET(ListeB,,4)='recap S1'!K$3)*(OFFSET(ListeB,,1)='recap S1'!K$2))&gt;0,SUMPRODUCT((ListeB='recap S1'!$B70)*(OFFSET(ListeB,,4)='recap S1'!K$3)*(OFFSET(ListeB,,1)='recap S1'!K$2)),"")</f>
        <v/>
      </c>
      <c r="L70" s="32"/>
      <c r="M70" s="32" t="str">
        <f ca="1">IF(SUMPRODUCT((ListeB='recap S1'!$B70)*(OFFSET(ListeB,,4)='recap S1'!M$3)*(OFFSET(ListeB,,1)='recap S1'!M$2))&gt;0,SUMPRODUCT((ListeB='recap S1'!$B70)*(OFFSET(ListeB,,4)='recap S1'!M$3)*(OFFSET(ListeB,,1)='recap S1'!M$2)),"")</f>
        <v/>
      </c>
      <c r="N70" s="32" t="str">
        <f ca="1">IF(SUMPRODUCT((ListeB='recap S1'!$B70)*(OFFSET(ListeB,,4)='recap S1'!N$3)*(OFFSET(ListeB,,1)='recap S1'!N$2))&gt;0,SUMPRODUCT((ListeB='recap S1'!$B70)*(OFFSET(ListeB,,4)='recap S1'!N$3)*(OFFSET(ListeB,,1)='recap S1'!N$2)),"")</f>
        <v/>
      </c>
      <c r="O70" s="32"/>
      <c r="P70" s="32" t="str">
        <f ca="1">IF(SUMPRODUCT((ListeB='recap S1'!$B70)*(OFFSET(ListeB,,4)='recap S1'!P$3)*(OFFSET(ListeB,,1)='recap S1'!P$2))&gt;0,SUMPRODUCT((ListeB='recap S1'!$B70)*(OFFSET(ListeB,,4)='recap S1'!P$3)*(OFFSET(ListeB,,1)='recap S1'!P$2)),"")</f>
        <v/>
      </c>
      <c r="Q70" s="32" t="str">
        <f ca="1">IF(SUMPRODUCT((ListeB='recap S1'!$B70)*(OFFSET(ListeB,,4)='recap S1'!Q$3)*(OFFSET(ListeB,,1)='recap S1'!Q$2))&gt;0,SUMPRODUCT((ListeB='recap S1'!$B70)*(OFFSET(ListeB,,4)='recap S1'!Q$3)*(OFFSET(ListeB,,1)='recap S1'!Q$2)),"")</f>
        <v/>
      </c>
      <c r="R70" s="32"/>
      <c r="S70" s="32" t="str">
        <f ca="1">IF(SUMPRODUCT((ListeB='recap S1'!$B70)*(OFFSET(ListeB,,4)='recap S1'!S$3)*(OFFSET(ListeB,,1)='recap S1'!S$2))&gt;0,SUMPRODUCT((ListeB='recap S1'!$B70)*(OFFSET(ListeB,,4)='recap S1'!S$3)*(OFFSET(ListeB,,1)='recap S1'!S$2)),"")</f>
        <v/>
      </c>
      <c r="T70" s="32" t="str">
        <f ca="1">IF(SUMPRODUCT((ListeB='recap S1'!$B70)*(OFFSET(ListeB,,4)='recap S1'!T$3)*(OFFSET(ListeB,,1)='recap S1'!T$2))&gt;0,SUMPRODUCT((ListeB='recap S1'!$B70)*(OFFSET(ListeB,,4)='recap S1'!T$3)*(OFFSET(ListeB,,1)='recap S1'!T$2)),"")</f>
        <v/>
      </c>
      <c r="U70" s="32" t="str">
        <f ca="1">IF(SUMPRODUCT((ListeB='recap S1'!$B70)*(OFFSET(ListeB,,4)='recap S1'!U$3)*(OFFSET(ListeB,,1)='recap S1'!U$2))&gt;0,SUMPRODUCT((ListeB='recap S1'!$B70)*(OFFSET(ListeB,,4)='recap S1'!U$3)*(OFFSET(ListeB,,1)='recap S1'!U$2)),"")</f>
        <v/>
      </c>
      <c r="V70" s="32"/>
      <c r="W70" s="32" t="str">
        <f ca="1">IF(SUMPRODUCT((ListeB='recap S1'!$B70)*(OFFSET(ListeB,,4)='recap S1'!W$3)*(OFFSET(ListeB,,1)='recap S1'!W$2))&gt;0,SUMPRODUCT((ListeB='recap S1'!$B70)*(OFFSET(ListeB,,4)='recap S1'!W$3)*(OFFSET(ListeB,,1)='recap S1'!W$2)),"")</f>
        <v/>
      </c>
      <c r="X70" s="32"/>
      <c r="Y70" s="32" t="str">
        <f ca="1">IF(SUMPRODUCT((ListeB='recap S1'!$B70)*(OFFSET(ListeB,,4)='recap S1'!Y$3)*(OFFSET(ListeB,,1)='recap S1'!Y$2))&gt;0,SUMPRODUCT((ListeB='recap S1'!$B70)*(OFFSET(ListeB,,4)='recap S1'!Y$3)*(OFFSET(ListeB,,1)='recap S1'!Y$2)),"")</f>
        <v/>
      </c>
      <c r="Z70" s="32" t="str">
        <f ca="1">IF(SUMPRODUCT((ListeB='recap S1'!$B70)*(OFFSET(ListeB,,4)='recap S1'!Z$3)*(OFFSET(ListeB,,1)='recap S1'!Z$2))&gt;0,SUMPRODUCT((ListeB='recap S1'!$B70)*(OFFSET(ListeB,,4)='recap S1'!Z$3)*(OFFSET(ListeB,,1)='recap S1'!Z$2)),"")</f>
        <v/>
      </c>
      <c r="AA70" s="32" t="str">
        <f ca="1">IF(SUMPRODUCT((ListeB='recap S1'!$B70)*(OFFSET(ListeB,,4)='recap S1'!AA$3)*(OFFSET(ListeB,,1)='recap S1'!AA$2))&gt;0,SUMPRODUCT((ListeB='recap S1'!$B70)*(OFFSET(ListeB,,4)='recap S1'!AA$3)*(OFFSET(ListeB,,1)='recap S1'!AA$2)),"")</f>
        <v/>
      </c>
      <c r="AB70" s="32"/>
      <c r="AC70" s="32" t="str">
        <f ca="1">IF(SUMPRODUCT((ListeB='recap S1'!$B70)*(OFFSET(ListeB,,4)='recap S1'!AC$3)*(OFFSET(ListeB,,1)='recap S1'!AC$2))&gt;0,SUMPRODUCT((ListeB='recap S1'!$B70)*(OFFSET(ListeB,,4)='recap S1'!AC$3)*(OFFSET(ListeB,,1)='recap S1'!AC$2)),"")</f>
        <v/>
      </c>
      <c r="AD70" s="32"/>
      <c r="AE70" s="32" t="str">
        <f ca="1">IF(SUMPRODUCT((ListeB='recap S1'!$B70)*(OFFSET(ListeB,,4)='recap S1'!AE$3)*(OFFSET(ListeB,,1)='recap S1'!AE$2))&gt;0,SUMPRODUCT((ListeB='recap S1'!$B70)*(OFFSET(ListeB,,4)='recap S1'!AE$3)*(OFFSET(ListeB,,1)='recap S1'!AE$2)),"")</f>
        <v/>
      </c>
      <c r="AF70" s="32" t="str">
        <f ca="1">IF(SUMPRODUCT((ListeB='recap S1'!$B70)*(OFFSET(ListeB,,4)='recap S1'!AF$3)*(OFFSET(ListeB,,1)='recap S1'!AF$2))&gt;0,SUMPRODUCT((ListeB='recap S1'!$B70)*(OFFSET(ListeB,,4)='recap S1'!AF$3)*(OFFSET(ListeB,,1)='recap S1'!AF$2)),"")</f>
        <v/>
      </c>
      <c r="AG70" s="32"/>
      <c r="AH70" s="32" t="str">
        <f ca="1">IF(SUMPRODUCT((ListeB='recap S1'!$B70)*(OFFSET(ListeB,,4)='recap S1'!AH$3)*(OFFSET(ListeB,,1)='recap S1'!AH$2))&gt;0,SUMPRODUCT((ListeB='recap S1'!$B70)*(OFFSET(ListeB,,4)='recap S1'!AH$3)*(OFFSET(ListeB,,1)='recap S1'!AH$2)),"")</f>
        <v/>
      </c>
      <c r="AI70" s="32" t="str">
        <f ca="1">IF(SUMPRODUCT((ListeB='recap S1'!$B70)*(OFFSET(ListeB,,4)='recap S1'!AI$3)*(OFFSET(ListeB,,1)='recap S1'!AI$2))&gt;0,SUMPRODUCT((ListeB='recap S1'!$B70)*(OFFSET(ListeB,,4)='recap S1'!AI$3)*(OFFSET(ListeB,,1)='recap S1'!AI$2)),"")</f>
        <v/>
      </c>
      <c r="AJ70" s="32" t="str">
        <f ca="1">IF(SUMPRODUCT((ListeB='recap S1'!$B70)*(OFFSET(ListeB,,4)='recap S1'!AJ$3)*(OFFSET(ListeB,,1)='recap S1'!AJ$2))&gt;0,SUMPRODUCT((ListeB='recap S1'!$B70)*(OFFSET(ListeB,,4)='recap S1'!AJ$3)*(OFFSET(ListeB,,1)='recap S1'!AJ$2)),"")</f>
        <v/>
      </c>
      <c r="AK70" s="32"/>
      <c r="AL70" s="32" t="str">
        <f ca="1">IF(SUMPRODUCT((ListeB='recap S1'!$B70)*(OFFSET(ListeB,,4)='recap S1'!AL$3)*(OFFSET(ListeB,,1)='recap S1'!AL$2))&gt;0,SUMPRODUCT((ListeB='recap S1'!$B70)*(OFFSET(ListeB,,4)='recap S1'!AL$3)*(OFFSET(ListeB,,1)='recap S1'!AL$2)),"")</f>
        <v/>
      </c>
      <c r="AM70" s="32"/>
      <c r="AN70" s="32" t="str">
        <f ca="1">IF(SUMPRODUCT((ListeB='recap S1'!$B70)*(OFFSET(ListeB,,4)='recap S1'!AN$3)*(OFFSET(ListeB,,1)='recap S1'!AN$2))&gt;0,SUMPRODUCT((ListeB='recap S1'!$B70)*(OFFSET(ListeB,,4)='recap S1'!AN$3)*(OFFSET(ListeB,,1)='recap S1'!AN$2)),"")</f>
        <v/>
      </c>
      <c r="AO70" s="32" t="str">
        <f ca="1">IF(SUMPRODUCT((ListeB='recap S1'!$B70)*(OFFSET(ListeB,,4)='recap S1'!AO$3)*(OFFSET(ListeB,,1)='recap S1'!AO$2))&gt;0,SUMPRODUCT((ListeB='recap S1'!$B70)*(OFFSET(ListeB,,4)='recap S1'!AO$3)*(OFFSET(ListeB,,1)='recap S1'!AO$2)),"")</f>
        <v/>
      </c>
      <c r="AP70" s="32"/>
      <c r="AQ70" s="32"/>
      <c r="AR70" s="32"/>
      <c r="AS70" s="32" t="str">
        <f ca="1">IF(SUMPRODUCT((ListeB='recap S1'!$B70)*(OFFSET(ListeB,,4)='recap S1'!AS$3)*(OFFSET(ListeB,,1)='recap S1'!AS$2))&gt;0,SUMPRODUCT((ListeB='recap S1'!$B70)*(OFFSET(ListeB,,4)='recap S1'!AS$3)*(OFFSET(ListeB,,1)='recap S1'!AS$2)),"")</f>
        <v/>
      </c>
      <c r="AT70" s="32" t="str">
        <f ca="1">IF(SUMPRODUCT((ListeB='recap S1'!$B70)*(OFFSET(ListeB,,4)='recap S1'!AT$3)*(OFFSET(ListeB,,1)='recap S1'!AT$2))&gt;0,SUMPRODUCT((ListeB='recap S1'!$B70)*(OFFSET(ListeB,,4)='recap S1'!AT$3)*(OFFSET(ListeB,,1)='recap S1'!AT$2)),"")</f>
        <v/>
      </c>
      <c r="AU70" s="32"/>
      <c r="AV70" s="32" t="str">
        <f ca="1">IF(SUMPRODUCT((ListeB='recap S1'!$B70)*(OFFSET(ListeB,,4)='recap S1'!AV$3)*(OFFSET(ListeB,,1)='recap S1'!AV$2))&gt;0,SUMPRODUCT((ListeB='recap S1'!$B70)*(OFFSET(ListeB,,4)='recap S1'!AV$3)*(OFFSET(ListeB,,1)='recap S1'!AV$2)),"")</f>
        <v/>
      </c>
      <c r="AW70" s="32" t="str">
        <f ca="1">IF(SUMPRODUCT((ListeB='recap S1'!$B70)*(OFFSET(ListeB,,4)='recap S1'!AW$3)*(OFFSET(ListeB,,1)='recap S1'!AW$2))&gt;0,SUMPRODUCT((ListeB='recap S1'!$B70)*(OFFSET(ListeB,,4)='recap S1'!AW$3)*(OFFSET(ListeB,,1)='recap S1'!AW$2)),"")</f>
        <v/>
      </c>
      <c r="AX70" s="32" t="str">
        <f ca="1">IF(SUMPRODUCT((ListeB='recap S1'!$B70)*(OFFSET(ListeB,,4)='recap S1'!AX$3)*(OFFSET(ListeB,,1)='recap S1'!AX$2))&gt;0,SUMPRODUCT((ListeB='recap S1'!$B70)*(OFFSET(ListeB,,4)='recap S1'!AX$3)*(OFFSET(ListeB,,1)='recap S1'!AX$2)),"")</f>
        <v/>
      </c>
      <c r="AY70" s="34"/>
      <c r="AZ70" s="32">
        <f t="shared" ca="1" si="2"/>
        <v>0</v>
      </c>
    </row>
    <row r="71" spans="1:52">
      <c r="A71" s="41" t="str">
        <f>IF('SEANCE 1'!$B69&lt;&gt;"",'SEANCE 1'!$A69,"")</f>
        <v/>
      </c>
      <c r="B71" s="41" t="str">
        <f t="array" aca="1" ref="B71" ca="1">IF(ISNA(INDEX(ListeB,MATCH(0,COUNTIF($B$3:B70,ListeB),0))),"",INDEX(ListeB,MATCH(0,COUNTIF($B$3:B70,ListeB),0)))</f>
        <v/>
      </c>
      <c r="C71" s="32" t="str">
        <f ca="1">IF(SUMPRODUCT((ListeB='recap S1'!$B71)*(OFFSET(ListeB,,4)='recap S1'!C$3)*(OFFSET(ListeB,,1)='recap S1'!C$2))&gt;0,SUMPRODUCT((ListeB='recap S1'!$B71)*(OFFSET(ListeB,,4)='recap S1'!C$3)*(OFFSET(ListeB,,1)='recap S1'!C$2)),"")</f>
        <v/>
      </c>
      <c r="D71" s="32" t="str">
        <f ca="1">IF(SUMPRODUCT((ListeB='recap S1'!$B71)*(OFFSET(ListeB,,4)='recap S1'!D$3)*(OFFSET(ListeB,,1)='recap S1'!D$2))&gt;0,SUMPRODUCT((ListeB='recap S1'!$B71)*(OFFSET(ListeB,,4)='recap S1'!D$3)*(OFFSET(ListeB,,1)='recap S1'!D$2)),"")</f>
        <v/>
      </c>
      <c r="E71" s="32"/>
      <c r="F71" s="32" t="str">
        <f ca="1">IF(SUMPRODUCT((ListeB='recap S1'!$B71)*(OFFSET(ListeB,,4)='recap S1'!F$3)*(OFFSET(ListeB,,1)='recap S1'!F$2))&gt;0,SUMPRODUCT((ListeB='recap S1'!$B71)*(OFFSET(ListeB,,4)='recap S1'!F$3)*(OFFSET(ListeB,,1)='recap S1'!F$2)),"")</f>
        <v/>
      </c>
      <c r="G71" s="32" t="str">
        <f ca="1">IF(SUMPRODUCT((ListeB='recap S1'!$B71)*(OFFSET(ListeB,,4)='recap S1'!G$3)*(OFFSET(ListeB,,1)='recap S1'!G$2))&gt;0,SUMPRODUCT((ListeB='recap S1'!$B71)*(OFFSET(ListeB,,4)='recap S1'!G$3)*(OFFSET(ListeB,,1)='recap S1'!G$2)),"")</f>
        <v/>
      </c>
      <c r="H71" s="32"/>
      <c r="I71" s="32" t="str">
        <f ca="1">IF(SUMPRODUCT((ListeB='recap S1'!$B71)*(OFFSET(ListeB,,4)='recap S1'!I$3)*(OFFSET(ListeB,,1)='recap S1'!I$2))&gt;0,SUMPRODUCT((ListeB='recap S1'!$B71)*(OFFSET(ListeB,,4)='recap S1'!I$3)*(OFFSET(ListeB,,1)='recap S1'!I$2)),"")</f>
        <v/>
      </c>
      <c r="J71" s="32" t="str">
        <f ca="1">IF(SUMPRODUCT((ListeB='recap S1'!$B71)*(OFFSET(ListeB,,4)='recap S1'!J$3)*(OFFSET(ListeB,,1)='recap S1'!J$2))&gt;0,SUMPRODUCT((ListeB='recap S1'!$B71)*(OFFSET(ListeB,,4)='recap S1'!J$3)*(OFFSET(ListeB,,1)='recap S1'!J$2)),"")</f>
        <v/>
      </c>
      <c r="K71" s="32" t="str">
        <f ca="1">IF(SUMPRODUCT((ListeB='recap S1'!$B71)*(OFFSET(ListeB,,4)='recap S1'!K$3)*(OFFSET(ListeB,,1)='recap S1'!K$2))&gt;0,SUMPRODUCT((ListeB='recap S1'!$B71)*(OFFSET(ListeB,,4)='recap S1'!K$3)*(OFFSET(ListeB,,1)='recap S1'!K$2)),"")</f>
        <v/>
      </c>
      <c r="L71" s="32"/>
      <c r="M71" s="32" t="str">
        <f ca="1">IF(SUMPRODUCT((ListeB='recap S1'!$B71)*(OFFSET(ListeB,,4)='recap S1'!M$3)*(OFFSET(ListeB,,1)='recap S1'!M$2))&gt;0,SUMPRODUCT((ListeB='recap S1'!$B71)*(OFFSET(ListeB,,4)='recap S1'!M$3)*(OFFSET(ListeB,,1)='recap S1'!M$2)),"")</f>
        <v/>
      </c>
      <c r="N71" s="32" t="str">
        <f ca="1">IF(SUMPRODUCT((ListeB='recap S1'!$B71)*(OFFSET(ListeB,,4)='recap S1'!N$3)*(OFFSET(ListeB,,1)='recap S1'!N$2))&gt;0,SUMPRODUCT((ListeB='recap S1'!$B71)*(OFFSET(ListeB,,4)='recap S1'!N$3)*(OFFSET(ListeB,,1)='recap S1'!N$2)),"")</f>
        <v/>
      </c>
      <c r="O71" s="32"/>
      <c r="P71" s="32" t="str">
        <f ca="1">IF(SUMPRODUCT((ListeB='recap S1'!$B71)*(OFFSET(ListeB,,4)='recap S1'!P$3)*(OFFSET(ListeB,,1)='recap S1'!P$2))&gt;0,SUMPRODUCT((ListeB='recap S1'!$B71)*(OFFSET(ListeB,,4)='recap S1'!P$3)*(OFFSET(ListeB,,1)='recap S1'!P$2)),"")</f>
        <v/>
      </c>
      <c r="Q71" s="32" t="str">
        <f ca="1">IF(SUMPRODUCT((ListeB='recap S1'!$B71)*(OFFSET(ListeB,,4)='recap S1'!Q$3)*(OFFSET(ListeB,,1)='recap S1'!Q$2))&gt;0,SUMPRODUCT((ListeB='recap S1'!$B71)*(OFFSET(ListeB,,4)='recap S1'!Q$3)*(OFFSET(ListeB,,1)='recap S1'!Q$2)),"")</f>
        <v/>
      </c>
      <c r="R71" s="32"/>
      <c r="S71" s="32" t="str">
        <f ca="1">IF(SUMPRODUCT((ListeB='recap S1'!$B71)*(OFFSET(ListeB,,4)='recap S1'!S$3)*(OFFSET(ListeB,,1)='recap S1'!S$2))&gt;0,SUMPRODUCT((ListeB='recap S1'!$B71)*(OFFSET(ListeB,,4)='recap S1'!S$3)*(OFFSET(ListeB,,1)='recap S1'!S$2)),"")</f>
        <v/>
      </c>
      <c r="T71" s="32" t="str">
        <f ca="1">IF(SUMPRODUCT((ListeB='recap S1'!$B71)*(OFFSET(ListeB,,4)='recap S1'!T$3)*(OFFSET(ListeB,,1)='recap S1'!T$2))&gt;0,SUMPRODUCT((ListeB='recap S1'!$B71)*(OFFSET(ListeB,,4)='recap S1'!T$3)*(OFFSET(ListeB,,1)='recap S1'!T$2)),"")</f>
        <v/>
      </c>
      <c r="U71" s="32" t="str">
        <f ca="1">IF(SUMPRODUCT((ListeB='recap S1'!$B71)*(OFFSET(ListeB,,4)='recap S1'!U$3)*(OFFSET(ListeB,,1)='recap S1'!U$2))&gt;0,SUMPRODUCT((ListeB='recap S1'!$B71)*(OFFSET(ListeB,,4)='recap S1'!U$3)*(OFFSET(ListeB,,1)='recap S1'!U$2)),"")</f>
        <v/>
      </c>
      <c r="V71" s="32"/>
      <c r="W71" s="32" t="str">
        <f ca="1">IF(SUMPRODUCT((ListeB='recap S1'!$B71)*(OFFSET(ListeB,,4)='recap S1'!W$3)*(OFFSET(ListeB,,1)='recap S1'!W$2))&gt;0,SUMPRODUCT((ListeB='recap S1'!$B71)*(OFFSET(ListeB,,4)='recap S1'!W$3)*(OFFSET(ListeB,,1)='recap S1'!W$2)),"")</f>
        <v/>
      </c>
      <c r="X71" s="32"/>
      <c r="Y71" s="32" t="str">
        <f ca="1">IF(SUMPRODUCT((ListeB='recap S1'!$B71)*(OFFSET(ListeB,,4)='recap S1'!Y$3)*(OFFSET(ListeB,,1)='recap S1'!Y$2))&gt;0,SUMPRODUCT((ListeB='recap S1'!$B71)*(OFFSET(ListeB,,4)='recap S1'!Y$3)*(OFFSET(ListeB,,1)='recap S1'!Y$2)),"")</f>
        <v/>
      </c>
      <c r="Z71" s="32" t="str">
        <f ca="1">IF(SUMPRODUCT((ListeB='recap S1'!$B71)*(OFFSET(ListeB,,4)='recap S1'!Z$3)*(OFFSET(ListeB,,1)='recap S1'!Z$2))&gt;0,SUMPRODUCT((ListeB='recap S1'!$B71)*(OFFSET(ListeB,,4)='recap S1'!Z$3)*(OFFSET(ListeB,,1)='recap S1'!Z$2)),"")</f>
        <v/>
      </c>
      <c r="AA71" s="32" t="str">
        <f ca="1">IF(SUMPRODUCT((ListeB='recap S1'!$B71)*(OFFSET(ListeB,,4)='recap S1'!AA$3)*(OFFSET(ListeB,,1)='recap S1'!AA$2))&gt;0,SUMPRODUCT((ListeB='recap S1'!$B71)*(OFFSET(ListeB,,4)='recap S1'!AA$3)*(OFFSET(ListeB,,1)='recap S1'!AA$2)),"")</f>
        <v/>
      </c>
      <c r="AB71" s="32"/>
      <c r="AC71" s="32" t="str">
        <f ca="1">IF(SUMPRODUCT((ListeB='recap S1'!$B71)*(OFFSET(ListeB,,4)='recap S1'!AC$3)*(OFFSET(ListeB,,1)='recap S1'!AC$2))&gt;0,SUMPRODUCT((ListeB='recap S1'!$B71)*(OFFSET(ListeB,,4)='recap S1'!AC$3)*(OFFSET(ListeB,,1)='recap S1'!AC$2)),"")</f>
        <v/>
      </c>
      <c r="AD71" s="32"/>
      <c r="AE71" s="32" t="str">
        <f ca="1">IF(SUMPRODUCT((ListeB='recap S1'!$B71)*(OFFSET(ListeB,,4)='recap S1'!AE$3)*(OFFSET(ListeB,,1)='recap S1'!AE$2))&gt;0,SUMPRODUCT((ListeB='recap S1'!$B71)*(OFFSET(ListeB,,4)='recap S1'!AE$3)*(OFFSET(ListeB,,1)='recap S1'!AE$2)),"")</f>
        <v/>
      </c>
      <c r="AF71" s="32" t="str">
        <f ca="1">IF(SUMPRODUCT((ListeB='recap S1'!$B71)*(OFFSET(ListeB,,4)='recap S1'!AF$3)*(OFFSET(ListeB,,1)='recap S1'!AF$2))&gt;0,SUMPRODUCT((ListeB='recap S1'!$B71)*(OFFSET(ListeB,,4)='recap S1'!AF$3)*(OFFSET(ListeB,,1)='recap S1'!AF$2)),"")</f>
        <v/>
      </c>
      <c r="AG71" s="32"/>
      <c r="AH71" s="32" t="str">
        <f ca="1">IF(SUMPRODUCT((ListeB='recap S1'!$B71)*(OFFSET(ListeB,,4)='recap S1'!AH$3)*(OFFSET(ListeB,,1)='recap S1'!AH$2))&gt;0,SUMPRODUCT((ListeB='recap S1'!$B71)*(OFFSET(ListeB,,4)='recap S1'!AH$3)*(OFFSET(ListeB,,1)='recap S1'!AH$2)),"")</f>
        <v/>
      </c>
      <c r="AI71" s="32" t="str">
        <f ca="1">IF(SUMPRODUCT((ListeB='recap S1'!$B71)*(OFFSET(ListeB,,4)='recap S1'!AI$3)*(OFFSET(ListeB,,1)='recap S1'!AI$2))&gt;0,SUMPRODUCT((ListeB='recap S1'!$B71)*(OFFSET(ListeB,,4)='recap S1'!AI$3)*(OFFSET(ListeB,,1)='recap S1'!AI$2)),"")</f>
        <v/>
      </c>
      <c r="AJ71" s="32" t="str">
        <f ca="1">IF(SUMPRODUCT((ListeB='recap S1'!$B71)*(OFFSET(ListeB,,4)='recap S1'!AJ$3)*(OFFSET(ListeB,,1)='recap S1'!AJ$2))&gt;0,SUMPRODUCT((ListeB='recap S1'!$B71)*(OFFSET(ListeB,,4)='recap S1'!AJ$3)*(OFFSET(ListeB,,1)='recap S1'!AJ$2)),"")</f>
        <v/>
      </c>
      <c r="AK71" s="32"/>
      <c r="AL71" s="32" t="str">
        <f ca="1">IF(SUMPRODUCT((ListeB='recap S1'!$B71)*(OFFSET(ListeB,,4)='recap S1'!AL$3)*(OFFSET(ListeB,,1)='recap S1'!AL$2))&gt;0,SUMPRODUCT((ListeB='recap S1'!$B71)*(OFFSET(ListeB,,4)='recap S1'!AL$3)*(OFFSET(ListeB,,1)='recap S1'!AL$2)),"")</f>
        <v/>
      </c>
      <c r="AM71" s="32"/>
      <c r="AN71" s="32" t="str">
        <f ca="1">IF(SUMPRODUCT((ListeB='recap S1'!$B71)*(OFFSET(ListeB,,4)='recap S1'!AN$3)*(OFFSET(ListeB,,1)='recap S1'!AN$2))&gt;0,SUMPRODUCT((ListeB='recap S1'!$B71)*(OFFSET(ListeB,,4)='recap S1'!AN$3)*(OFFSET(ListeB,,1)='recap S1'!AN$2)),"")</f>
        <v/>
      </c>
      <c r="AO71" s="32" t="str">
        <f ca="1">IF(SUMPRODUCT((ListeB='recap S1'!$B71)*(OFFSET(ListeB,,4)='recap S1'!AO$3)*(OFFSET(ListeB,,1)='recap S1'!AO$2))&gt;0,SUMPRODUCT((ListeB='recap S1'!$B71)*(OFFSET(ListeB,,4)='recap S1'!AO$3)*(OFFSET(ListeB,,1)='recap S1'!AO$2)),"")</f>
        <v/>
      </c>
      <c r="AP71" s="32"/>
      <c r="AQ71" s="32"/>
      <c r="AR71" s="32"/>
      <c r="AS71" s="32" t="str">
        <f ca="1">IF(SUMPRODUCT((ListeB='recap S1'!$B71)*(OFFSET(ListeB,,4)='recap S1'!AS$3)*(OFFSET(ListeB,,1)='recap S1'!AS$2))&gt;0,SUMPRODUCT((ListeB='recap S1'!$B71)*(OFFSET(ListeB,,4)='recap S1'!AS$3)*(OFFSET(ListeB,,1)='recap S1'!AS$2)),"")</f>
        <v/>
      </c>
      <c r="AT71" s="32" t="str">
        <f ca="1">IF(SUMPRODUCT((ListeB='recap S1'!$B71)*(OFFSET(ListeB,,4)='recap S1'!AT$3)*(OFFSET(ListeB,,1)='recap S1'!AT$2))&gt;0,SUMPRODUCT((ListeB='recap S1'!$B71)*(OFFSET(ListeB,,4)='recap S1'!AT$3)*(OFFSET(ListeB,,1)='recap S1'!AT$2)),"")</f>
        <v/>
      </c>
      <c r="AU71" s="32"/>
      <c r="AV71" s="32" t="str">
        <f ca="1">IF(SUMPRODUCT((ListeB='recap S1'!$B71)*(OFFSET(ListeB,,4)='recap S1'!AV$3)*(OFFSET(ListeB,,1)='recap S1'!AV$2))&gt;0,SUMPRODUCT((ListeB='recap S1'!$B71)*(OFFSET(ListeB,,4)='recap S1'!AV$3)*(OFFSET(ListeB,,1)='recap S1'!AV$2)),"")</f>
        <v/>
      </c>
      <c r="AW71" s="32" t="str">
        <f ca="1">IF(SUMPRODUCT((ListeB='recap S1'!$B71)*(OFFSET(ListeB,,4)='recap S1'!AW$3)*(OFFSET(ListeB,,1)='recap S1'!AW$2))&gt;0,SUMPRODUCT((ListeB='recap S1'!$B71)*(OFFSET(ListeB,,4)='recap S1'!AW$3)*(OFFSET(ListeB,,1)='recap S1'!AW$2)),"")</f>
        <v/>
      </c>
      <c r="AX71" s="32" t="str">
        <f ca="1">IF(SUMPRODUCT((ListeB='recap S1'!$B71)*(OFFSET(ListeB,,4)='recap S1'!AX$3)*(OFFSET(ListeB,,1)='recap S1'!AX$2))&gt;0,SUMPRODUCT((ListeB='recap S1'!$B71)*(OFFSET(ListeB,,4)='recap S1'!AX$3)*(OFFSET(ListeB,,1)='recap S1'!AX$2)),"")</f>
        <v/>
      </c>
      <c r="AY71" s="34"/>
      <c r="AZ71" s="32">
        <f t="shared" ca="1" si="2"/>
        <v>0</v>
      </c>
    </row>
    <row r="72" spans="1:52">
      <c r="A72" s="41" t="str">
        <f>IF('SEANCE 1'!$B70&lt;&gt;"",'SEANCE 1'!$A70,"")</f>
        <v/>
      </c>
      <c r="B72" s="41" t="str">
        <f t="array" aca="1" ref="B72" ca="1">IF(ISNA(INDEX(ListeB,MATCH(0,COUNTIF($B$3:B71,ListeB),0))),"",INDEX(ListeB,MATCH(0,COUNTIF($B$3:B71,ListeB),0)))</f>
        <v/>
      </c>
      <c r="C72" s="32" t="str">
        <f ca="1">IF(SUMPRODUCT((ListeB='recap S1'!$B72)*(OFFSET(ListeB,,4)='recap S1'!C$3)*(OFFSET(ListeB,,1)='recap S1'!C$2))&gt;0,SUMPRODUCT((ListeB='recap S1'!$B72)*(OFFSET(ListeB,,4)='recap S1'!C$3)*(OFFSET(ListeB,,1)='recap S1'!C$2)),"")</f>
        <v/>
      </c>
      <c r="D72" s="32" t="str">
        <f ca="1">IF(SUMPRODUCT((ListeB='recap S1'!$B72)*(OFFSET(ListeB,,4)='recap S1'!D$3)*(OFFSET(ListeB,,1)='recap S1'!D$2))&gt;0,SUMPRODUCT((ListeB='recap S1'!$B72)*(OFFSET(ListeB,,4)='recap S1'!D$3)*(OFFSET(ListeB,,1)='recap S1'!D$2)),"")</f>
        <v/>
      </c>
      <c r="E72" s="32"/>
      <c r="F72" s="32" t="str">
        <f ca="1">IF(SUMPRODUCT((ListeB='recap S1'!$B72)*(OFFSET(ListeB,,4)='recap S1'!F$3)*(OFFSET(ListeB,,1)='recap S1'!F$2))&gt;0,SUMPRODUCT((ListeB='recap S1'!$B72)*(OFFSET(ListeB,,4)='recap S1'!F$3)*(OFFSET(ListeB,,1)='recap S1'!F$2)),"")</f>
        <v/>
      </c>
      <c r="G72" s="32" t="str">
        <f ca="1">IF(SUMPRODUCT((ListeB='recap S1'!$B72)*(OFFSET(ListeB,,4)='recap S1'!G$3)*(OFFSET(ListeB,,1)='recap S1'!G$2))&gt;0,SUMPRODUCT((ListeB='recap S1'!$B72)*(OFFSET(ListeB,,4)='recap S1'!G$3)*(OFFSET(ListeB,,1)='recap S1'!G$2)),"")</f>
        <v/>
      </c>
      <c r="H72" s="32"/>
      <c r="I72" s="32" t="str">
        <f ca="1">IF(SUMPRODUCT((ListeB='recap S1'!$B72)*(OFFSET(ListeB,,4)='recap S1'!I$3)*(OFFSET(ListeB,,1)='recap S1'!I$2))&gt;0,SUMPRODUCT((ListeB='recap S1'!$B72)*(OFFSET(ListeB,,4)='recap S1'!I$3)*(OFFSET(ListeB,,1)='recap S1'!I$2)),"")</f>
        <v/>
      </c>
      <c r="J72" s="32" t="str">
        <f ca="1">IF(SUMPRODUCT((ListeB='recap S1'!$B72)*(OFFSET(ListeB,,4)='recap S1'!J$3)*(OFFSET(ListeB,,1)='recap S1'!J$2))&gt;0,SUMPRODUCT((ListeB='recap S1'!$B72)*(OFFSET(ListeB,,4)='recap S1'!J$3)*(OFFSET(ListeB,,1)='recap S1'!J$2)),"")</f>
        <v/>
      </c>
      <c r="K72" s="32" t="str">
        <f ca="1">IF(SUMPRODUCT((ListeB='recap S1'!$B72)*(OFFSET(ListeB,,4)='recap S1'!K$3)*(OFFSET(ListeB,,1)='recap S1'!K$2))&gt;0,SUMPRODUCT((ListeB='recap S1'!$B72)*(OFFSET(ListeB,,4)='recap S1'!K$3)*(OFFSET(ListeB,,1)='recap S1'!K$2)),"")</f>
        <v/>
      </c>
      <c r="L72" s="32"/>
      <c r="M72" s="32" t="str">
        <f ca="1">IF(SUMPRODUCT((ListeB='recap S1'!$B72)*(OFFSET(ListeB,,4)='recap S1'!M$3)*(OFFSET(ListeB,,1)='recap S1'!M$2))&gt;0,SUMPRODUCT((ListeB='recap S1'!$B72)*(OFFSET(ListeB,,4)='recap S1'!M$3)*(OFFSET(ListeB,,1)='recap S1'!M$2)),"")</f>
        <v/>
      </c>
      <c r="N72" s="32" t="str">
        <f ca="1">IF(SUMPRODUCT((ListeB='recap S1'!$B72)*(OFFSET(ListeB,,4)='recap S1'!N$3)*(OFFSET(ListeB,,1)='recap S1'!N$2))&gt;0,SUMPRODUCT((ListeB='recap S1'!$B72)*(OFFSET(ListeB,,4)='recap S1'!N$3)*(OFFSET(ListeB,,1)='recap S1'!N$2)),"")</f>
        <v/>
      </c>
      <c r="O72" s="32"/>
      <c r="P72" s="32" t="str">
        <f ca="1">IF(SUMPRODUCT((ListeB='recap S1'!$B72)*(OFFSET(ListeB,,4)='recap S1'!P$3)*(OFFSET(ListeB,,1)='recap S1'!P$2))&gt;0,SUMPRODUCT((ListeB='recap S1'!$B72)*(OFFSET(ListeB,,4)='recap S1'!P$3)*(OFFSET(ListeB,,1)='recap S1'!P$2)),"")</f>
        <v/>
      </c>
      <c r="Q72" s="32" t="str">
        <f ca="1">IF(SUMPRODUCT((ListeB='recap S1'!$B72)*(OFFSET(ListeB,,4)='recap S1'!Q$3)*(OFFSET(ListeB,,1)='recap S1'!Q$2))&gt;0,SUMPRODUCT((ListeB='recap S1'!$B72)*(OFFSET(ListeB,,4)='recap S1'!Q$3)*(OFFSET(ListeB,,1)='recap S1'!Q$2)),"")</f>
        <v/>
      </c>
      <c r="R72" s="32"/>
      <c r="S72" s="32" t="str">
        <f ca="1">IF(SUMPRODUCT((ListeB='recap S1'!$B72)*(OFFSET(ListeB,,4)='recap S1'!S$3)*(OFFSET(ListeB,,1)='recap S1'!S$2))&gt;0,SUMPRODUCT((ListeB='recap S1'!$B72)*(OFFSET(ListeB,,4)='recap S1'!S$3)*(OFFSET(ListeB,,1)='recap S1'!S$2)),"")</f>
        <v/>
      </c>
      <c r="T72" s="32" t="str">
        <f ca="1">IF(SUMPRODUCT((ListeB='recap S1'!$B72)*(OFFSET(ListeB,,4)='recap S1'!T$3)*(OFFSET(ListeB,,1)='recap S1'!T$2))&gt;0,SUMPRODUCT((ListeB='recap S1'!$B72)*(OFFSET(ListeB,,4)='recap S1'!T$3)*(OFFSET(ListeB,,1)='recap S1'!T$2)),"")</f>
        <v/>
      </c>
      <c r="U72" s="32" t="str">
        <f ca="1">IF(SUMPRODUCT((ListeB='recap S1'!$B72)*(OFFSET(ListeB,,4)='recap S1'!U$3)*(OFFSET(ListeB,,1)='recap S1'!U$2))&gt;0,SUMPRODUCT((ListeB='recap S1'!$B72)*(OFFSET(ListeB,,4)='recap S1'!U$3)*(OFFSET(ListeB,,1)='recap S1'!U$2)),"")</f>
        <v/>
      </c>
      <c r="V72" s="32"/>
      <c r="W72" s="32" t="str">
        <f ca="1">IF(SUMPRODUCT((ListeB='recap S1'!$B72)*(OFFSET(ListeB,,4)='recap S1'!W$3)*(OFFSET(ListeB,,1)='recap S1'!W$2))&gt;0,SUMPRODUCT((ListeB='recap S1'!$B72)*(OFFSET(ListeB,,4)='recap S1'!W$3)*(OFFSET(ListeB,,1)='recap S1'!W$2)),"")</f>
        <v/>
      </c>
      <c r="X72" s="32"/>
      <c r="Y72" s="32" t="str">
        <f ca="1">IF(SUMPRODUCT((ListeB='recap S1'!$B72)*(OFFSET(ListeB,,4)='recap S1'!Y$3)*(OFFSET(ListeB,,1)='recap S1'!Y$2))&gt;0,SUMPRODUCT((ListeB='recap S1'!$B72)*(OFFSET(ListeB,,4)='recap S1'!Y$3)*(OFFSET(ListeB,,1)='recap S1'!Y$2)),"")</f>
        <v/>
      </c>
      <c r="Z72" s="32" t="str">
        <f ca="1">IF(SUMPRODUCT((ListeB='recap S1'!$B72)*(OFFSET(ListeB,,4)='recap S1'!Z$3)*(OFFSET(ListeB,,1)='recap S1'!Z$2))&gt;0,SUMPRODUCT((ListeB='recap S1'!$B72)*(OFFSET(ListeB,,4)='recap S1'!Z$3)*(OFFSET(ListeB,,1)='recap S1'!Z$2)),"")</f>
        <v/>
      </c>
      <c r="AA72" s="32" t="str">
        <f ca="1">IF(SUMPRODUCT((ListeB='recap S1'!$B72)*(OFFSET(ListeB,,4)='recap S1'!AA$3)*(OFFSET(ListeB,,1)='recap S1'!AA$2))&gt;0,SUMPRODUCT((ListeB='recap S1'!$B72)*(OFFSET(ListeB,,4)='recap S1'!AA$3)*(OFFSET(ListeB,,1)='recap S1'!AA$2)),"")</f>
        <v/>
      </c>
      <c r="AB72" s="32"/>
      <c r="AC72" s="32" t="str">
        <f ca="1">IF(SUMPRODUCT((ListeB='recap S1'!$B72)*(OFFSET(ListeB,,4)='recap S1'!AC$3)*(OFFSET(ListeB,,1)='recap S1'!AC$2))&gt;0,SUMPRODUCT((ListeB='recap S1'!$B72)*(OFFSET(ListeB,,4)='recap S1'!AC$3)*(OFFSET(ListeB,,1)='recap S1'!AC$2)),"")</f>
        <v/>
      </c>
      <c r="AD72" s="32"/>
      <c r="AE72" s="32" t="str">
        <f ca="1">IF(SUMPRODUCT((ListeB='recap S1'!$B72)*(OFFSET(ListeB,,4)='recap S1'!AE$3)*(OFFSET(ListeB,,1)='recap S1'!AE$2))&gt;0,SUMPRODUCT((ListeB='recap S1'!$B72)*(OFFSET(ListeB,,4)='recap S1'!AE$3)*(OFFSET(ListeB,,1)='recap S1'!AE$2)),"")</f>
        <v/>
      </c>
      <c r="AF72" s="32" t="str">
        <f ca="1">IF(SUMPRODUCT((ListeB='recap S1'!$B72)*(OFFSET(ListeB,,4)='recap S1'!AF$3)*(OFFSET(ListeB,,1)='recap S1'!AF$2))&gt;0,SUMPRODUCT((ListeB='recap S1'!$B72)*(OFFSET(ListeB,,4)='recap S1'!AF$3)*(OFFSET(ListeB,,1)='recap S1'!AF$2)),"")</f>
        <v/>
      </c>
      <c r="AG72" s="32"/>
      <c r="AH72" s="32" t="str">
        <f ca="1">IF(SUMPRODUCT((ListeB='recap S1'!$B72)*(OFFSET(ListeB,,4)='recap S1'!AH$3)*(OFFSET(ListeB,,1)='recap S1'!AH$2))&gt;0,SUMPRODUCT((ListeB='recap S1'!$B72)*(OFFSET(ListeB,,4)='recap S1'!AH$3)*(OFFSET(ListeB,,1)='recap S1'!AH$2)),"")</f>
        <v/>
      </c>
      <c r="AI72" s="32" t="str">
        <f ca="1">IF(SUMPRODUCT((ListeB='recap S1'!$B72)*(OFFSET(ListeB,,4)='recap S1'!AI$3)*(OFFSET(ListeB,,1)='recap S1'!AI$2))&gt;0,SUMPRODUCT((ListeB='recap S1'!$B72)*(OFFSET(ListeB,,4)='recap S1'!AI$3)*(OFFSET(ListeB,,1)='recap S1'!AI$2)),"")</f>
        <v/>
      </c>
      <c r="AJ72" s="32" t="str">
        <f ca="1">IF(SUMPRODUCT((ListeB='recap S1'!$B72)*(OFFSET(ListeB,,4)='recap S1'!AJ$3)*(OFFSET(ListeB,,1)='recap S1'!AJ$2))&gt;0,SUMPRODUCT((ListeB='recap S1'!$B72)*(OFFSET(ListeB,,4)='recap S1'!AJ$3)*(OFFSET(ListeB,,1)='recap S1'!AJ$2)),"")</f>
        <v/>
      </c>
      <c r="AK72" s="32"/>
      <c r="AL72" s="32" t="str">
        <f ca="1">IF(SUMPRODUCT((ListeB='recap S1'!$B72)*(OFFSET(ListeB,,4)='recap S1'!AL$3)*(OFFSET(ListeB,,1)='recap S1'!AL$2))&gt;0,SUMPRODUCT((ListeB='recap S1'!$B72)*(OFFSET(ListeB,,4)='recap S1'!AL$3)*(OFFSET(ListeB,,1)='recap S1'!AL$2)),"")</f>
        <v/>
      </c>
      <c r="AM72" s="32"/>
      <c r="AN72" s="32" t="str">
        <f ca="1">IF(SUMPRODUCT((ListeB='recap S1'!$B72)*(OFFSET(ListeB,,4)='recap S1'!AN$3)*(OFFSET(ListeB,,1)='recap S1'!AN$2))&gt;0,SUMPRODUCT((ListeB='recap S1'!$B72)*(OFFSET(ListeB,,4)='recap S1'!AN$3)*(OFFSET(ListeB,,1)='recap S1'!AN$2)),"")</f>
        <v/>
      </c>
      <c r="AO72" s="32" t="str">
        <f ca="1">IF(SUMPRODUCT((ListeB='recap S1'!$B72)*(OFFSET(ListeB,,4)='recap S1'!AO$3)*(OFFSET(ListeB,,1)='recap S1'!AO$2))&gt;0,SUMPRODUCT((ListeB='recap S1'!$B72)*(OFFSET(ListeB,,4)='recap S1'!AO$3)*(OFFSET(ListeB,,1)='recap S1'!AO$2)),"")</f>
        <v/>
      </c>
      <c r="AP72" s="32"/>
      <c r="AQ72" s="32"/>
      <c r="AR72" s="32"/>
      <c r="AS72" s="32" t="str">
        <f ca="1">IF(SUMPRODUCT((ListeB='recap S1'!$B72)*(OFFSET(ListeB,,4)='recap S1'!AS$3)*(OFFSET(ListeB,,1)='recap S1'!AS$2))&gt;0,SUMPRODUCT((ListeB='recap S1'!$B72)*(OFFSET(ListeB,,4)='recap S1'!AS$3)*(OFFSET(ListeB,,1)='recap S1'!AS$2)),"")</f>
        <v/>
      </c>
      <c r="AT72" s="32" t="str">
        <f ca="1">IF(SUMPRODUCT((ListeB='recap S1'!$B72)*(OFFSET(ListeB,,4)='recap S1'!AT$3)*(OFFSET(ListeB,,1)='recap S1'!AT$2))&gt;0,SUMPRODUCT((ListeB='recap S1'!$B72)*(OFFSET(ListeB,,4)='recap S1'!AT$3)*(OFFSET(ListeB,,1)='recap S1'!AT$2)),"")</f>
        <v/>
      </c>
      <c r="AU72" s="32"/>
      <c r="AV72" s="32" t="str">
        <f ca="1">IF(SUMPRODUCT((ListeB='recap S1'!$B72)*(OFFSET(ListeB,,4)='recap S1'!AV$3)*(OFFSET(ListeB,,1)='recap S1'!AV$2))&gt;0,SUMPRODUCT((ListeB='recap S1'!$B72)*(OFFSET(ListeB,,4)='recap S1'!AV$3)*(OFFSET(ListeB,,1)='recap S1'!AV$2)),"")</f>
        <v/>
      </c>
      <c r="AW72" s="32" t="str">
        <f ca="1">IF(SUMPRODUCT((ListeB='recap S1'!$B72)*(OFFSET(ListeB,,4)='recap S1'!AW$3)*(OFFSET(ListeB,,1)='recap S1'!AW$2))&gt;0,SUMPRODUCT((ListeB='recap S1'!$B72)*(OFFSET(ListeB,,4)='recap S1'!AW$3)*(OFFSET(ListeB,,1)='recap S1'!AW$2)),"")</f>
        <v/>
      </c>
      <c r="AX72" s="32" t="str">
        <f ca="1">IF(SUMPRODUCT((ListeB='recap S1'!$B72)*(OFFSET(ListeB,,4)='recap S1'!AX$3)*(OFFSET(ListeB,,1)='recap S1'!AX$2))&gt;0,SUMPRODUCT((ListeB='recap S1'!$B72)*(OFFSET(ListeB,,4)='recap S1'!AX$3)*(OFFSET(ListeB,,1)='recap S1'!AX$2)),"")</f>
        <v/>
      </c>
      <c r="AY72" s="34"/>
      <c r="AZ72" s="32">
        <f t="shared" ca="1" si="2"/>
        <v>0</v>
      </c>
    </row>
    <row r="73" spans="1:52">
      <c r="A73" s="41" t="str">
        <f>IF('SEANCE 1'!$B71&lt;&gt;"",'SEANCE 1'!$A71,"")</f>
        <v/>
      </c>
      <c r="B73" s="41" t="str">
        <f t="array" aca="1" ref="B73" ca="1">IF(ISNA(INDEX(ListeB,MATCH(0,COUNTIF($B$3:B72,ListeB),0))),"",INDEX(ListeB,MATCH(0,COUNTIF($B$3:B72,ListeB),0)))</f>
        <v/>
      </c>
      <c r="C73" s="32" t="str">
        <f ca="1">IF(SUMPRODUCT((ListeB='recap S1'!$B73)*(OFFSET(ListeB,,4)='recap S1'!C$3)*(OFFSET(ListeB,,1)='recap S1'!C$2))&gt;0,SUMPRODUCT((ListeB='recap S1'!$B73)*(OFFSET(ListeB,,4)='recap S1'!C$3)*(OFFSET(ListeB,,1)='recap S1'!C$2)),"")</f>
        <v/>
      </c>
      <c r="D73" s="32" t="str">
        <f ca="1">IF(SUMPRODUCT((ListeB='recap S1'!$B73)*(OFFSET(ListeB,,4)='recap S1'!D$3)*(OFFSET(ListeB,,1)='recap S1'!D$2))&gt;0,SUMPRODUCT((ListeB='recap S1'!$B73)*(OFFSET(ListeB,,4)='recap S1'!D$3)*(OFFSET(ListeB,,1)='recap S1'!D$2)),"")</f>
        <v/>
      </c>
      <c r="E73" s="32"/>
      <c r="F73" s="32" t="str">
        <f ca="1">IF(SUMPRODUCT((ListeB='recap S1'!$B73)*(OFFSET(ListeB,,4)='recap S1'!F$3)*(OFFSET(ListeB,,1)='recap S1'!F$2))&gt;0,SUMPRODUCT((ListeB='recap S1'!$B73)*(OFFSET(ListeB,,4)='recap S1'!F$3)*(OFFSET(ListeB,,1)='recap S1'!F$2)),"")</f>
        <v/>
      </c>
      <c r="G73" s="32" t="str">
        <f ca="1">IF(SUMPRODUCT((ListeB='recap S1'!$B73)*(OFFSET(ListeB,,4)='recap S1'!G$3)*(OFFSET(ListeB,,1)='recap S1'!G$2))&gt;0,SUMPRODUCT((ListeB='recap S1'!$B73)*(OFFSET(ListeB,,4)='recap S1'!G$3)*(OFFSET(ListeB,,1)='recap S1'!G$2)),"")</f>
        <v/>
      </c>
      <c r="H73" s="32"/>
      <c r="I73" s="32" t="str">
        <f ca="1">IF(SUMPRODUCT((ListeB='recap S1'!$B73)*(OFFSET(ListeB,,4)='recap S1'!I$3)*(OFFSET(ListeB,,1)='recap S1'!I$2))&gt;0,SUMPRODUCT((ListeB='recap S1'!$B73)*(OFFSET(ListeB,,4)='recap S1'!I$3)*(OFFSET(ListeB,,1)='recap S1'!I$2)),"")</f>
        <v/>
      </c>
      <c r="J73" s="32" t="str">
        <f ca="1">IF(SUMPRODUCT((ListeB='recap S1'!$B73)*(OFFSET(ListeB,,4)='recap S1'!J$3)*(OFFSET(ListeB,,1)='recap S1'!J$2))&gt;0,SUMPRODUCT((ListeB='recap S1'!$B73)*(OFFSET(ListeB,,4)='recap S1'!J$3)*(OFFSET(ListeB,,1)='recap S1'!J$2)),"")</f>
        <v/>
      </c>
      <c r="K73" s="32" t="str">
        <f ca="1">IF(SUMPRODUCT((ListeB='recap S1'!$B73)*(OFFSET(ListeB,,4)='recap S1'!K$3)*(OFFSET(ListeB,,1)='recap S1'!K$2))&gt;0,SUMPRODUCT((ListeB='recap S1'!$B73)*(OFFSET(ListeB,,4)='recap S1'!K$3)*(OFFSET(ListeB,,1)='recap S1'!K$2)),"")</f>
        <v/>
      </c>
      <c r="L73" s="32"/>
      <c r="M73" s="32" t="str">
        <f ca="1">IF(SUMPRODUCT((ListeB='recap S1'!$B73)*(OFFSET(ListeB,,4)='recap S1'!M$3)*(OFFSET(ListeB,,1)='recap S1'!M$2))&gt;0,SUMPRODUCT((ListeB='recap S1'!$B73)*(OFFSET(ListeB,,4)='recap S1'!M$3)*(OFFSET(ListeB,,1)='recap S1'!M$2)),"")</f>
        <v/>
      </c>
      <c r="N73" s="32" t="str">
        <f ca="1">IF(SUMPRODUCT((ListeB='recap S1'!$B73)*(OFFSET(ListeB,,4)='recap S1'!N$3)*(OFFSET(ListeB,,1)='recap S1'!N$2))&gt;0,SUMPRODUCT((ListeB='recap S1'!$B73)*(OFFSET(ListeB,,4)='recap S1'!N$3)*(OFFSET(ListeB,,1)='recap S1'!N$2)),"")</f>
        <v/>
      </c>
      <c r="O73" s="32"/>
      <c r="P73" s="32" t="str">
        <f ca="1">IF(SUMPRODUCT((ListeB='recap S1'!$B73)*(OFFSET(ListeB,,4)='recap S1'!P$3)*(OFFSET(ListeB,,1)='recap S1'!P$2))&gt;0,SUMPRODUCT((ListeB='recap S1'!$B73)*(OFFSET(ListeB,,4)='recap S1'!P$3)*(OFFSET(ListeB,,1)='recap S1'!P$2)),"")</f>
        <v/>
      </c>
      <c r="Q73" s="32" t="str">
        <f ca="1">IF(SUMPRODUCT((ListeB='recap S1'!$B73)*(OFFSET(ListeB,,4)='recap S1'!Q$3)*(OFFSET(ListeB,,1)='recap S1'!Q$2))&gt;0,SUMPRODUCT((ListeB='recap S1'!$B73)*(OFFSET(ListeB,,4)='recap S1'!Q$3)*(OFFSET(ListeB,,1)='recap S1'!Q$2)),"")</f>
        <v/>
      </c>
      <c r="R73" s="32"/>
      <c r="S73" s="32" t="str">
        <f ca="1">IF(SUMPRODUCT((ListeB='recap S1'!$B73)*(OFFSET(ListeB,,4)='recap S1'!S$3)*(OFFSET(ListeB,,1)='recap S1'!S$2))&gt;0,SUMPRODUCT((ListeB='recap S1'!$B73)*(OFFSET(ListeB,,4)='recap S1'!S$3)*(OFFSET(ListeB,,1)='recap S1'!S$2)),"")</f>
        <v/>
      </c>
      <c r="T73" s="32" t="str">
        <f ca="1">IF(SUMPRODUCT((ListeB='recap S1'!$B73)*(OFFSET(ListeB,,4)='recap S1'!T$3)*(OFFSET(ListeB,,1)='recap S1'!T$2))&gt;0,SUMPRODUCT((ListeB='recap S1'!$B73)*(OFFSET(ListeB,,4)='recap S1'!T$3)*(OFFSET(ListeB,,1)='recap S1'!T$2)),"")</f>
        <v/>
      </c>
      <c r="U73" s="32" t="str">
        <f ca="1">IF(SUMPRODUCT((ListeB='recap S1'!$B73)*(OFFSET(ListeB,,4)='recap S1'!U$3)*(OFFSET(ListeB,,1)='recap S1'!U$2))&gt;0,SUMPRODUCT((ListeB='recap S1'!$B73)*(OFFSET(ListeB,,4)='recap S1'!U$3)*(OFFSET(ListeB,,1)='recap S1'!U$2)),"")</f>
        <v/>
      </c>
      <c r="V73" s="32"/>
      <c r="W73" s="32" t="str">
        <f ca="1">IF(SUMPRODUCT((ListeB='recap S1'!$B73)*(OFFSET(ListeB,,4)='recap S1'!W$3)*(OFFSET(ListeB,,1)='recap S1'!W$2))&gt;0,SUMPRODUCT((ListeB='recap S1'!$B73)*(OFFSET(ListeB,,4)='recap S1'!W$3)*(OFFSET(ListeB,,1)='recap S1'!W$2)),"")</f>
        <v/>
      </c>
      <c r="X73" s="32"/>
      <c r="Y73" s="32" t="str">
        <f ca="1">IF(SUMPRODUCT((ListeB='recap S1'!$B73)*(OFFSET(ListeB,,4)='recap S1'!Y$3)*(OFFSET(ListeB,,1)='recap S1'!Y$2))&gt;0,SUMPRODUCT((ListeB='recap S1'!$B73)*(OFFSET(ListeB,,4)='recap S1'!Y$3)*(OFFSET(ListeB,,1)='recap S1'!Y$2)),"")</f>
        <v/>
      </c>
      <c r="Z73" s="32" t="str">
        <f ca="1">IF(SUMPRODUCT((ListeB='recap S1'!$B73)*(OFFSET(ListeB,,4)='recap S1'!Z$3)*(OFFSET(ListeB,,1)='recap S1'!Z$2))&gt;0,SUMPRODUCT((ListeB='recap S1'!$B73)*(OFFSET(ListeB,,4)='recap S1'!Z$3)*(OFFSET(ListeB,,1)='recap S1'!Z$2)),"")</f>
        <v/>
      </c>
      <c r="AA73" s="32" t="str">
        <f ca="1">IF(SUMPRODUCT((ListeB='recap S1'!$B73)*(OFFSET(ListeB,,4)='recap S1'!AA$3)*(OFFSET(ListeB,,1)='recap S1'!AA$2))&gt;0,SUMPRODUCT((ListeB='recap S1'!$B73)*(OFFSET(ListeB,,4)='recap S1'!AA$3)*(OFFSET(ListeB,,1)='recap S1'!AA$2)),"")</f>
        <v/>
      </c>
      <c r="AB73" s="32"/>
      <c r="AC73" s="32" t="str">
        <f ca="1">IF(SUMPRODUCT((ListeB='recap S1'!$B73)*(OFFSET(ListeB,,4)='recap S1'!AC$3)*(OFFSET(ListeB,,1)='recap S1'!AC$2))&gt;0,SUMPRODUCT((ListeB='recap S1'!$B73)*(OFFSET(ListeB,,4)='recap S1'!AC$3)*(OFFSET(ListeB,,1)='recap S1'!AC$2)),"")</f>
        <v/>
      </c>
      <c r="AD73" s="32"/>
      <c r="AE73" s="32" t="str">
        <f ca="1">IF(SUMPRODUCT((ListeB='recap S1'!$B73)*(OFFSET(ListeB,,4)='recap S1'!AE$3)*(OFFSET(ListeB,,1)='recap S1'!AE$2))&gt;0,SUMPRODUCT((ListeB='recap S1'!$B73)*(OFFSET(ListeB,,4)='recap S1'!AE$3)*(OFFSET(ListeB,,1)='recap S1'!AE$2)),"")</f>
        <v/>
      </c>
      <c r="AF73" s="32" t="str">
        <f ca="1">IF(SUMPRODUCT((ListeB='recap S1'!$B73)*(OFFSET(ListeB,,4)='recap S1'!AF$3)*(OFFSET(ListeB,,1)='recap S1'!AF$2))&gt;0,SUMPRODUCT((ListeB='recap S1'!$B73)*(OFFSET(ListeB,,4)='recap S1'!AF$3)*(OFFSET(ListeB,,1)='recap S1'!AF$2)),"")</f>
        <v/>
      </c>
      <c r="AG73" s="32"/>
      <c r="AH73" s="32" t="str">
        <f ca="1">IF(SUMPRODUCT((ListeB='recap S1'!$B73)*(OFFSET(ListeB,,4)='recap S1'!AH$3)*(OFFSET(ListeB,,1)='recap S1'!AH$2))&gt;0,SUMPRODUCT((ListeB='recap S1'!$B73)*(OFFSET(ListeB,,4)='recap S1'!AH$3)*(OFFSET(ListeB,,1)='recap S1'!AH$2)),"")</f>
        <v/>
      </c>
      <c r="AI73" s="32" t="str">
        <f ca="1">IF(SUMPRODUCT((ListeB='recap S1'!$B73)*(OFFSET(ListeB,,4)='recap S1'!AI$3)*(OFFSET(ListeB,,1)='recap S1'!AI$2))&gt;0,SUMPRODUCT((ListeB='recap S1'!$B73)*(OFFSET(ListeB,,4)='recap S1'!AI$3)*(OFFSET(ListeB,,1)='recap S1'!AI$2)),"")</f>
        <v/>
      </c>
      <c r="AJ73" s="32" t="str">
        <f ca="1">IF(SUMPRODUCT((ListeB='recap S1'!$B73)*(OFFSET(ListeB,,4)='recap S1'!AJ$3)*(OFFSET(ListeB,,1)='recap S1'!AJ$2))&gt;0,SUMPRODUCT((ListeB='recap S1'!$B73)*(OFFSET(ListeB,,4)='recap S1'!AJ$3)*(OFFSET(ListeB,,1)='recap S1'!AJ$2)),"")</f>
        <v/>
      </c>
      <c r="AK73" s="32"/>
      <c r="AL73" s="32" t="str">
        <f ca="1">IF(SUMPRODUCT((ListeB='recap S1'!$B73)*(OFFSET(ListeB,,4)='recap S1'!AL$3)*(OFFSET(ListeB,,1)='recap S1'!AL$2))&gt;0,SUMPRODUCT((ListeB='recap S1'!$B73)*(OFFSET(ListeB,,4)='recap S1'!AL$3)*(OFFSET(ListeB,,1)='recap S1'!AL$2)),"")</f>
        <v/>
      </c>
      <c r="AM73" s="32"/>
      <c r="AN73" s="32" t="str">
        <f ca="1">IF(SUMPRODUCT((ListeB='recap S1'!$B73)*(OFFSET(ListeB,,4)='recap S1'!AN$3)*(OFFSET(ListeB,,1)='recap S1'!AN$2))&gt;0,SUMPRODUCT((ListeB='recap S1'!$B73)*(OFFSET(ListeB,,4)='recap S1'!AN$3)*(OFFSET(ListeB,,1)='recap S1'!AN$2)),"")</f>
        <v/>
      </c>
      <c r="AO73" s="32" t="str">
        <f ca="1">IF(SUMPRODUCT((ListeB='recap S1'!$B73)*(OFFSET(ListeB,,4)='recap S1'!AO$3)*(OFFSET(ListeB,,1)='recap S1'!AO$2))&gt;0,SUMPRODUCT((ListeB='recap S1'!$B73)*(OFFSET(ListeB,,4)='recap S1'!AO$3)*(OFFSET(ListeB,,1)='recap S1'!AO$2)),"")</f>
        <v/>
      </c>
      <c r="AP73" s="32"/>
      <c r="AQ73" s="32"/>
      <c r="AR73" s="32"/>
      <c r="AS73" s="32" t="str">
        <f ca="1">IF(SUMPRODUCT((ListeB='recap S1'!$B73)*(OFFSET(ListeB,,4)='recap S1'!AS$3)*(OFFSET(ListeB,,1)='recap S1'!AS$2))&gt;0,SUMPRODUCT((ListeB='recap S1'!$B73)*(OFFSET(ListeB,,4)='recap S1'!AS$3)*(OFFSET(ListeB,,1)='recap S1'!AS$2)),"")</f>
        <v/>
      </c>
      <c r="AT73" s="32" t="str">
        <f ca="1">IF(SUMPRODUCT((ListeB='recap S1'!$B73)*(OFFSET(ListeB,,4)='recap S1'!AT$3)*(OFFSET(ListeB,,1)='recap S1'!AT$2))&gt;0,SUMPRODUCT((ListeB='recap S1'!$B73)*(OFFSET(ListeB,,4)='recap S1'!AT$3)*(OFFSET(ListeB,,1)='recap S1'!AT$2)),"")</f>
        <v/>
      </c>
      <c r="AU73" s="32"/>
      <c r="AV73" s="32" t="str">
        <f ca="1">IF(SUMPRODUCT((ListeB='recap S1'!$B73)*(OFFSET(ListeB,,4)='recap S1'!AV$3)*(OFFSET(ListeB,,1)='recap S1'!AV$2))&gt;0,SUMPRODUCT((ListeB='recap S1'!$B73)*(OFFSET(ListeB,,4)='recap S1'!AV$3)*(OFFSET(ListeB,,1)='recap S1'!AV$2)),"")</f>
        <v/>
      </c>
      <c r="AW73" s="32" t="str">
        <f ca="1">IF(SUMPRODUCT((ListeB='recap S1'!$B73)*(OFFSET(ListeB,,4)='recap S1'!AW$3)*(OFFSET(ListeB,,1)='recap S1'!AW$2))&gt;0,SUMPRODUCT((ListeB='recap S1'!$B73)*(OFFSET(ListeB,,4)='recap S1'!AW$3)*(OFFSET(ListeB,,1)='recap S1'!AW$2)),"")</f>
        <v/>
      </c>
      <c r="AX73" s="32" t="str">
        <f ca="1">IF(SUMPRODUCT((ListeB='recap S1'!$B73)*(OFFSET(ListeB,,4)='recap S1'!AX$3)*(OFFSET(ListeB,,1)='recap S1'!AX$2))&gt;0,SUMPRODUCT((ListeB='recap S1'!$B73)*(OFFSET(ListeB,,4)='recap S1'!AX$3)*(OFFSET(ListeB,,1)='recap S1'!AX$2)),"")</f>
        <v/>
      </c>
      <c r="AY73" s="34"/>
      <c r="AZ73" s="32">
        <f t="shared" ca="1" si="2"/>
        <v>0</v>
      </c>
    </row>
    <row r="74" spans="1:52">
      <c r="A74" s="41" t="str">
        <f>IF('SEANCE 1'!$B72&lt;&gt;"",'SEANCE 1'!$A72,"")</f>
        <v/>
      </c>
      <c r="B74" s="41" t="str">
        <f t="array" aca="1" ref="B74" ca="1">IF(ISNA(INDEX(ListeB,MATCH(0,COUNTIF($B$3:B73,ListeB),0))),"",INDEX(ListeB,MATCH(0,COUNTIF($B$3:B73,ListeB),0)))</f>
        <v/>
      </c>
      <c r="C74" s="32" t="str">
        <f ca="1">IF(SUMPRODUCT((ListeB='recap S1'!$B74)*(OFFSET(ListeB,,4)='recap S1'!C$3)*(OFFSET(ListeB,,1)='recap S1'!C$2))&gt;0,SUMPRODUCT((ListeB='recap S1'!$B74)*(OFFSET(ListeB,,4)='recap S1'!C$3)*(OFFSET(ListeB,,1)='recap S1'!C$2)),"")</f>
        <v/>
      </c>
      <c r="D74" s="32" t="str">
        <f ca="1">IF(SUMPRODUCT((ListeB='recap S1'!$B74)*(OFFSET(ListeB,,4)='recap S1'!D$3)*(OFFSET(ListeB,,1)='recap S1'!D$2))&gt;0,SUMPRODUCT((ListeB='recap S1'!$B74)*(OFFSET(ListeB,,4)='recap S1'!D$3)*(OFFSET(ListeB,,1)='recap S1'!D$2)),"")</f>
        <v/>
      </c>
      <c r="E74" s="32"/>
      <c r="F74" s="32" t="str">
        <f ca="1">IF(SUMPRODUCT((ListeB='recap S1'!$B74)*(OFFSET(ListeB,,4)='recap S1'!F$3)*(OFFSET(ListeB,,1)='recap S1'!F$2))&gt;0,SUMPRODUCT((ListeB='recap S1'!$B74)*(OFFSET(ListeB,,4)='recap S1'!F$3)*(OFFSET(ListeB,,1)='recap S1'!F$2)),"")</f>
        <v/>
      </c>
      <c r="G74" s="32" t="str">
        <f ca="1">IF(SUMPRODUCT((ListeB='recap S1'!$B74)*(OFFSET(ListeB,,4)='recap S1'!G$3)*(OFFSET(ListeB,,1)='recap S1'!G$2))&gt;0,SUMPRODUCT((ListeB='recap S1'!$B74)*(OFFSET(ListeB,,4)='recap S1'!G$3)*(OFFSET(ListeB,,1)='recap S1'!G$2)),"")</f>
        <v/>
      </c>
      <c r="H74" s="32"/>
      <c r="I74" s="32" t="str">
        <f ca="1">IF(SUMPRODUCT((ListeB='recap S1'!$B74)*(OFFSET(ListeB,,4)='recap S1'!I$3)*(OFFSET(ListeB,,1)='recap S1'!I$2))&gt;0,SUMPRODUCT((ListeB='recap S1'!$B74)*(OFFSET(ListeB,,4)='recap S1'!I$3)*(OFFSET(ListeB,,1)='recap S1'!I$2)),"")</f>
        <v/>
      </c>
      <c r="J74" s="32" t="str">
        <f ca="1">IF(SUMPRODUCT((ListeB='recap S1'!$B74)*(OFFSET(ListeB,,4)='recap S1'!J$3)*(OFFSET(ListeB,,1)='recap S1'!J$2))&gt;0,SUMPRODUCT((ListeB='recap S1'!$B74)*(OFFSET(ListeB,,4)='recap S1'!J$3)*(OFFSET(ListeB,,1)='recap S1'!J$2)),"")</f>
        <v/>
      </c>
      <c r="K74" s="32" t="str">
        <f ca="1">IF(SUMPRODUCT((ListeB='recap S1'!$B74)*(OFFSET(ListeB,,4)='recap S1'!K$3)*(OFFSET(ListeB,,1)='recap S1'!K$2))&gt;0,SUMPRODUCT((ListeB='recap S1'!$B74)*(OFFSET(ListeB,,4)='recap S1'!K$3)*(OFFSET(ListeB,,1)='recap S1'!K$2)),"")</f>
        <v/>
      </c>
      <c r="L74" s="32"/>
      <c r="M74" s="32" t="str">
        <f ca="1">IF(SUMPRODUCT((ListeB='recap S1'!$B74)*(OFFSET(ListeB,,4)='recap S1'!M$3)*(OFFSET(ListeB,,1)='recap S1'!M$2))&gt;0,SUMPRODUCT((ListeB='recap S1'!$B74)*(OFFSET(ListeB,,4)='recap S1'!M$3)*(OFFSET(ListeB,,1)='recap S1'!M$2)),"")</f>
        <v/>
      </c>
      <c r="N74" s="32" t="str">
        <f ca="1">IF(SUMPRODUCT((ListeB='recap S1'!$B74)*(OFFSET(ListeB,,4)='recap S1'!N$3)*(OFFSET(ListeB,,1)='recap S1'!N$2))&gt;0,SUMPRODUCT((ListeB='recap S1'!$B74)*(OFFSET(ListeB,,4)='recap S1'!N$3)*(OFFSET(ListeB,,1)='recap S1'!N$2)),"")</f>
        <v/>
      </c>
      <c r="O74" s="32"/>
      <c r="P74" s="32" t="str">
        <f ca="1">IF(SUMPRODUCT((ListeB='recap S1'!$B74)*(OFFSET(ListeB,,4)='recap S1'!P$3)*(OFFSET(ListeB,,1)='recap S1'!P$2))&gt;0,SUMPRODUCT((ListeB='recap S1'!$B74)*(OFFSET(ListeB,,4)='recap S1'!P$3)*(OFFSET(ListeB,,1)='recap S1'!P$2)),"")</f>
        <v/>
      </c>
      <c r="Q74" s="32" t="str">
        <f ca="1">IF(SUMPRODUCT((ListeB='recap S1'!$B74)*(OFFSET(ListeB,,4)='recap S1'!Q$3)*(OFFSET(ListeB,,1)='recap S1'!Q$2))&gt;0,SUMPRODUCT((ListeB='recap S1'!$B74)*(OFFSET(ListeB,,4)='recap S1'!Q$3)*(OFFSET(ListeB,,1)='recap S1'!Q$2)),"")</f>
        <v/>
      </c>
      <c r="R74" s="32"/>
      <c r="S74" s="32" t="str">
        <f ca="1">IF(SUMPRODUCT((ListeB='recap S1'!$B74)*(OFFSET(ListeB,,4)='recap S1'!S$3)*(OFFSET(ListeB,,1)='recap S1'!S$2))&gt;0,SUMPRODUCT((ListeB='recap S1'!$B74)*(OFFSET(ListeB,,4)='recap S1'!S$3)*(OFFSET(ListeB,,1)='recap S1'!S$2)),"")</f>
        <v/>
      </c>
      <c r="T74" s="32" t="str">
        <f ca="1">IF(SUMPRODUCT((ListeB='recap S1'!$B74)*(OFFSET(ListeB,,4)='recap S1'!T$3)*(OFFSET(ListeB,,1)='recap S1'!T$2))&gt;0,SUMPRODUCT((ListeB='recap S1'!$B74)*(OFFSET(ListeB,,4)='recap S1'!T$3)*(OFFSET(ListeB,,1)='recap S1'!T$2)),"")</f>
        <v/>
      </c>
      <c r="U74" s="32" t="str">
        <f ca="1">IF(SUMPRODUCT((ListeB='recap S1'!$B74)*(OFFSET(ListeB,,4)='recap S1'!U$3)*(OFFSET(ListeB,,1)='recap S1'!U$2))&gt;0,SUMPRODUCT((ListeB='recap S1'!$B74)*(OFFSET(ListeB,,4)='recap S1'!U$3)*(OFFSET(ListeB,,1)='recap S1'!U$2)),"")</f>
        <v/>
      </c>
      <c r="V74" s="32"/>
      <c r="W74" s="32" t="str">
        <f ca="1">IF(SUMPRODUCT((ListeB='recap S1'!$B74)*(OFFSET(ListeB,,4)='recap S1'!W$3)*(OFFSET(ListeB,,1)='recap S1'!W$2))&gt;0,SUMPRODUCT((ListeB='recap S1'!$B74)*(OFFSET(ListeB,,4)='recap S1'!W$3)*(OFFSET(ListeB,,1)='recap S1'!W$2)),"")</f>
        <v/>
      </c>
      <c r="X74" s="32"/>
      <c r="Y74" s="32" t="str">
        <f ca="1">IF(SUMPRODUCT((ListeB='recap S1'!$B74)*(OFFSET(ListeB,,4)='recap S1'!Y$3)*(OFFSET(ListeB,,1)='recap S1'!Y$2))&gt;0,SUMPRODUCT((ListeB='recap S1'!$B74)*(OFFSET(ListeB,,4)='recap S1'!Y$3)*(OFFSET(ListeB,,1)='recap S1'!Y$2)),"")</f>
        <v/>
      </c>
      <c r="Z74" s="32" t="str">
        <f ca="1">IF(SUMPRODUCT((ListeB='recap S1'!$B74)*(OFFSET(ListeB,,4)='recap S1'!Z$3)*(OFFSET(ListeB,,1)='recap S1'!Z$2))&gt;0,SUMPRODUCT((ListeB='recap S1'!$B74)*(OFFSET(ListeB,,4)='recap S1'!Z$3)*(OFFSET(ListeB,,1)='recap S1'!Z$2)),"")</f>
        <v/>
      </c>
      <c r="AA74" s="32" t="str">
        <f ca="1">IF(SUMPRODUCT((ListeB='recap S1'!$B74)*(OFFSET(ListeB,,4)='recap S1'!AA$3)*(OFFSET(ListeB,,1)='recap S1'!AA$2))&gt;0,SUMPRODUCT((ListeB='recap S1'!$B74)*(OFFSET(ListeB,,4)='recap S1'!AA$3)*(OFFSET(ListeB,,1)='recap S1'!AA$2)),"")</f>
        <v/>
      </c>
      <c r="AB74" s="32"/>
      <c r="AC74" s="32" t="str">
        <f ca="1">IF(SUMPRODUCT((ListeB='recap S1'!$B74)*(OFFSET(ListeB,,4)='recap S1'!AC$3)*(OFFSET(ListeB,,1)='recap S1'!AC$2))&gt;0,SUMPRODUCT((ListeB='recap S1'!$B74)*(OFFSET(ListeB,,4)='recap S1'!AC$3)*(OFFSET(ListeB,,1)='recap S1'!AC$2)),"")</f>
        <v/>
      </c>
      <c r="AD74" s="32"/>
      <c r="AE74" s="32" t="str">
        <f ca="1">IF(SUMPRODUCT((ListeB='recap S1'!$B74)*(OFFSET(ListeB,,4)='recap S1'!AE$3)*(OFFSET(ListeB,,1)='recap S1'!AE$2))&gt;0,SUMPRODUCT((ListeB='recap S1'!$B74)*(OFFSET(ListeB,,4)='recap S1'!AE$3)*(OFFSET(ListeB,,1)='recap S1'!AE$2)),"")</f>
        <v/>
      </c>
      <c r="AF74" s="32" t="str">
        <f ca="1">IF(SUMPRODUCT((ListeB='recap S1'!$B74)*(OFFSET(ListeB,,4)='recap S1'!AF$3)*(OFFSET(ListeB,,1)='recap S1'!AF$2))&gt;0,SUMPRODUCT((ListeB='recap S1'!$B74)*(OFFSET(ListeB,,4)='recap S1'!AF$3)*(OFFSET(ListeB,,1)='recap S1'!AF$2)),"")</f>
        <v/>
      </c>
      <c r="AG74" s="32"/>
      <c r="AH74" s="32" t="str">
        <f ca="1">IF(SUMPRODUCT((ListeB='recap S1'!$B74)*(OFFSET(ListeB,,4)='recap S1'!AH$3)*(OFFSET(ListeB,,1)='recap S1'!AH$2))&gt;0,SUMPRODUCT((ListeB='recap S1'!$B74)*(OFFSET(ListeB,,4)='recap S1'!AH$3)*(OFFSET(ListeB,,1)='recap S1'!AH$2)),"")</f>
        <v/>
      </c>
      <c r="AI74" s="32" t="str">
        <f ca="1">IF(SUMPRODUCT((ListeB='recap S1'!$B74)*(OFFSET(ListeB,,4)='recap S1'!AI$3)*(OFFSET(ListeB,,1)='recap S1'!AI$2))&gt;0,SUMPRODUCT((ListeB='recap S1'!$B74)*(OFFSET(ListeB,,4)='recap S1'!AI$3)*(OFFSET(ListeB,,1)='recap S1'!AI$2)),"")</f>
        <v/>
      </c>
      <c r="AJ74" s="32" t="str">
        <f ca="1">IF(SUMPRODUCT((ListeB='recap S1'!$B74)*(OFFSET(ListeB,,4)='recap S1'!AJ$3)*(OFFSET(ListeB,,1)='recap S1'!AJ$2))&gt;0,SUMPRODUCT((ListeB='recap S1'!$B74)*(OFFSET(ListeB,,4)='recap S1'!AJ$3)*(OFFSET(ListeB,,1)='recap S1'!AJ$2)),"")</f>
        <v/>
      </c>
      <c r="AK74" s="32"/>
      <c r="AL74" s="32" t="str">
        <f ca="1">IF(SUMPRODUCT((ListeB='recap S1'!$B74)*(OFFSET(ListeB,,4)='recap S1'!AL$3)*(OFFSET(ListeB,,1)='recap S1'!AL$2))&gt;0,SUMPRODUCT((ListeB='recap S1'!$B74)*(OFFSET(ListeB,,4)='recap S1'!AL$3)*(OFFSET(ListeB,,1)='recap S1'!AL$2)),"")</f>
        <v/>
      </c>
      <c r="AM74" s="32"/>
      <c r="AN74" s="32" t="str">
        <f ca="1">IF(SUMPRODUCT((ListeB='recap S1'!$B74)*(OFFSET(ListeB,,4)='recap S1'!AN$3)*(OFFSET(ListeB,,1)='recap S1'!AN$2))&gt;0,SUMPRODUCT((ListeB='recap S1'!$B74)*(OFFSET(ListeB,,4)='recap S1'!AN$3)*(OFFSET(ListeB,,1)='recap S1'!AN$2)),"")</f>
        <v/>
      </c>
      <c r="AO74" s="32" t="str">
        <f ca="1">IF(SUMPRODUCT((ListeB='recap S1'!$B74)*(OFFSET(ListeB,,4)='recap S1'!AO$3)*(OFFSET(ListeB,,1)='recap S1'!AO$2))&gt;0,SUMPRODUCT((ListeB='recap S1'!$B74)*(OFFSET(ListeB,,4)='recap S1'!AO$3)*(OFFSET(ListeB,,1)='recap S1'!AO$2)),"")</f>
        <v/>
      </c>
      <c r="AP74" s="32"/>
      <c r="AQ74" s="32"/>
      <c r="AR74" s="32"/>
      <c r="AS74" s="32" t="str">
        <f ca="1">IF(SUMPRODUCT((ListeB='recap S1'!$B74)*(OFFSET(ListeB,,4)='recap S1'!AS$3)*(OFFSET(ListeB,,1)='recap S1'!AS$2))&gt;0,SUMPRODUCT((ListeB='recap S1'!$B74)*(OFFSET(ListeB,,4)='recap S1'!AS$3)*(OFFSET(ListeB,,1)='recap S1'!AS$2)),"")</f>
        <v/>
      </c>
      <c r="AT74" s="32" t="str">
        <f ca="1">IF(SUMPRODUCT((ListeB='recap S1'!$B74)*(OFFSET(ListeB,,4)='recap S1'!AT$3)*(OFFSET(ListeB,,1)='recap S1'!AT$2))&gt;0,SUMPRODUCT((ListeB='recap S1'!$B74)*(OFFSET(ListeB,,4)='recap S1'!AT$3)*(OFFSET(ListeB,,1)='recap S1'!AT$2)),"")</f>
        <v/>
      </c>
      <c r="AU74" s="32"/>
      <c r="AV74" s="32" t="str">
        <f ca="1">IF(SUMPRODUCT((ListeB='recap S1'!$B74)*(OFFSET(ListeB,,4)='recap S1'!AV$3)*(OFFSET(ListeB,,1)='recap S1'!AV$2))&gt;0,SUMPRODUCT((ListeB='recap S1'!$B74)*(OFFSET(ListeB,,4)='recap S1'!AV$3)*(OFFSET(ListeB,,1)='recap S1'!AV$2)),"")</f>
        <v/>
      </c>
      <c r="AW74" s="32" t="str">
        <f ca="1">IF(SUMPRODUCT((ListeB='recap S1'!$B74)*(OFFSET(ListeB,,4)='recap S1'!AW$3)*(OFFSET(ListeB,,1)='recap S1'!AW$2))&gt;0,SUMPRODUCT((ListeB='recap S1'!$B74)*(OFFSET(ListeB,,4)='recap S1'!AW$3)*(OFFSET(ListeB,,1)='recap S1'!AW$2)),"")</f>
        <v/>
      </c>
      <c r="AX74" s="32" t="str">
        <f ca="1">IF(SUMPRODUCT((ListeB='recap S1'!$B74)*(OFFSET(ListeB,,4)='recap S1'!AX$3)*(OFFSET(ListeB,,1)='recap S1'!AX$2))&gt;0,SUMPRODUCT((ListeB='recap S1'!$B74)*(OFFSET(ListeB,,4)='recap S1'!AX$3)*(OFFSET(ListeB,,1)='recap S1'!AX$2)),"")</f>
        <v/>
      </c>
      <c r="AY74" s="34"/>
      <c r="AZ74" s="32">
        <f t="shared" ca="1" si="2"/>
        <v>0</v>
      </c>
    </row>
    <row r="75" spans="1:52">
      <c r="A75" s="41" t="str">
        <f>IF('SEANCE 1'!$B73&lt;&gt;"",'SEANCE 1'!$A73,"")</f>
        <v/>
      </c>
      <c r="B75" s="41" t="str">
        <f t="array" aca="1" ref="B75" ca="1">IF(ISNA(INDEX(ListeB,MATCH(0,COUNTIF($B$3:B74,ListeB),0))),"",INDEX(ListeB,MATCH(0,COUNTIF($B$3:B74,ListeB),0)))</f>
        <v/>
      </c>
      <c r="C75" s="32" t="str">
        <f ca="1">IF(SUMPRODUCT((ListeB='recap S1'!$B75)*(OFFSET(ListeB,,4)='recap S1'!C$3)*(OFFSET(ListeB,,1)='recap S1'!C$2))&gt;0,SUMPRODUCT((ListeB='recap S1'!$B75)*(OFFSET(ListeB,,4)='recap S1'!C$3)*(OFFSET(ListeB,,1)='recap S1'!C$2)),"")</f>
        <v/>
      </c>
      <c r="D75" s="32" t="str">
        <f ca="1">IF(SUMPRODUCT((ListeB='recap S1'!$B75)*(OFFSET(ListeB,,4)='recap S1'!D$3)*(OFFSET(ListeB,,1)='recap S1'!D$2))&gt;0,SUMPRODUCT((ListeB='recap S1'!$B75)*(OFFSET(ListeB,,4)='recap S1'!D$3)*(OFFSET(ListeB,,1)='recap S1'!D$2)),"")</f>
        <v/>
      </c>
      <c r="E75" s="32"/>
      <c r="F75" s="32" t="str">
        <f ca="1">IF(SUMPRODUCT((ListeB='recap S1'!$B75)*(OFFSET(ListeB,,4)='recap S1'!F$3)*(OFFSET(ListeB,,1)='recap S1'!F$2))&gt;0,SUMPRODUCT((ListeB='recap S1'!$B75)*(OFFSET(ListeB,,4)='recap S1'!F$3)*(OFFSET(ListeB,,1)='recap S1'!F$2)),"")</f>
        <v/>
      </c>
      <c r="G75" s="32" t="str">
        <f ca="1">IF(SUMPRODUCT((ListeB='recap S1'!$B75)*(OFFSET(ListeB,,4)='recap S1'!G$3)*(OFFSET(ListeB,,1)='recap S1'!G$2))&gt;0,SUMPRODUCT((ListeB='recap S1'!$B75)*(OFFSET(ListeB,,4)='recap S1'!G$3)*(OFFSET(ListeB,,1)='recap S1'!G$2)),"")</f>
        <v/>
      </c>
      <c r="H75" s="32"/>
      <c r="I75" s="32" t="str">
        <f ca="1">IF(SUMPRODUCT((ListeB='recap S1'!$B75)*(OFFSET(ListeB,,4)='recap S1'!I$3)*(OFFSET(ListeB,,1)='recap S1'!I$2))&gt;0,SUMPRODUCT((ListeB='recap S1'!$B75)*(OFFSET(ListeB,,4)='recap S1'!I$3)*(OFFSET(ListeB,,1)='recap S1'!I$2)),"")</f>
        <v/>
      </c>
      <c r="J75" s="32" t="str">
        <f ca="1">IF(SUMPRODUCT((ListeB='recap S1'!$B75)*(OFFSET(ListeB,,4)='recap S1'!J$3)*(OFFSET(ListeB,,1)='recap S1'!J$2))&gt;0,SUMPRODUCT((ListeB='recap S1'!$B75)*(OFFSET(ListeB,,4)='recap S1'!J$3)*(OFFSET(ListeB,,1)='recap S1'!J$2)),"")</f>
        <v/>
      </c>
      <c r="K75" s="32" t="str">
        <f ca="1">IF(SUMPRODUCT((ListeB='recap S1'!$B75)*(OFFSET(ListeB,,4)='recap S1'!K$3)*(OFFSET(ListeB,,1)='recap S1'!K$2))&gt;0,SUMPRODUCT((ListeB='recap S1'!$B75)*(OFFSET(ListeB,,4)='recap S1'!K$3)*(OFFSET(ListeB,,1)='recap S1'!K$2)),"")</f>
        <v/>
      </c>
      <c r="L75" s="32"/>
      <c r="M75" s="32" t="str">
        <f ca="1">IF(SUMPRODUCT((ListeB='recap S1'!$B75)*(OFFSET(ListeB,,4)='recap S1'!M$3)*(OFFSET(ListeB,,1)='recap S1'!M$2))&gt;0,SUMPRODUCT((ListeB='recap S1'!$B75)*(OFFSET(ListeB,,4)='recap S1'!M$3)*(OFFSET(ListeB,,1)='recap S1'!M$2)),"")</f>
        <v/>
      </c>
      <c r="N75" s="32" t="str">
        <f ca="1">IF(SUMPRODUCT((ListeB='recap S1'!$B75)*(OFFSET(ListeB,,4)='recap S1'!N$3)*(OFFSET(ListeB,,1)='recap S1'!N$2))&gt;0,SUMPRODUCT((ListeB='recap S1'!$B75)*(OFFSET(ListeB,,4)='recap S1'!N$3)*(OFFSET(ListeB,,1)='recap S1'!N$2)),"")</f>
        <v/>
      </c>
      <c r="O75" s="32"/>
      <c r="P75" s="32" t="str">
        <f ca="1">IF(SUMPRODUCT((ListeB='recap S1'!$B75)*(OFFSET(ListeB,,4)='recap S1'!P$3)*(OFFSET(ListeB,,1)='recap S1'!P$2))&gt;0,SUMPRODUCT((ListeB='recap S1'!$B75)*(OFFSET(ListeB,,4)='recap S1'!P$3)*(OFFSET(ListeB,,1)='recap S1'!P$2)),"")</f>
        <v/>
      </c>
      <c r="Q75" s="32" t="str">
        <f ca="1">IF(SUMPRODUCT((ListeB='recap S1'!$B75)*(OFFSET(ListeB,,4)='recap S1'!Q$3)*(OFFSET(ListeB,,1)='recap S1'!Q$2))&gt;0,SUMPRODUCT((ListeB='recap S1'!$B75)*(OFFSET(ListeB,,4)='recap S1'!Q$3)*(OFFSET(ListeB,,1)='recap S1'!Q$2)),"")</f>
        <v/>
      </c>
      <c r="R75" s="32"/>
      <c r="S75" s="32" t="str">
        <f ca="1">IF(SUMPRODUCT((ListeB='recap S1'!$B75)*(OFFSET(ListeB,,4)='recap S1'!S$3)*(OFFSET(ListeB,,1)='recap S1'!S$2))&gt;0,SUMPRODUCT((ListeB='recap S1'!$B75)*(OFFSET(ListeB,,4)='recap S1'!S$3)*(OFFSET(ListeB,,1)='recap S1'!S$2)),"")</f>
        <v/>
      </c>
      <c r="T75" s="32" t="str">
        <f ca="1">IF(SUMPRODUCT((ListeB='recap S1'!$B75)*(OFFSET(ListeB,,4)='recap S1'!T$3)*(OFFSET(ListeB,,1)='recap S1'!T$2))&gt;0,SUMPRODUCT((ListeB='recap S1'!$B75)*(OFFSET(ListeB,,4)='recap S1'!T$3)*(OFFSET(ListeB,,1)='recap S1'!T$2)),"")</f>
        <v/>
      </c>
      <c r="U75" s="32" t="str">
        <f ca="1">IF(SUMPRODUCT((ListeB='recap S1'!$B75)*(OFFSET(ListeB,,4)='recap S1'!U$3)*(OFFSET(ListeB,,1)='recap S1'!U$2))&gt;0,SUMPRODUCT((ListeB='recap S1'!$B75)*(OFFSET(ListeB,,4)='recap S1'!U$3)*(OFFSET(ListeB,,1)='recap S1'!U$2)),"")</f>
        <v/>
      </c>
      <c r="V75" s="32"/>
      <c r="W75" s="32" t="str">
        <f ca="1">IF(SUMPRODUCT((ListeB='recap S1'!$B75)*(OFFSET(ListeB,,4)='recap S1'!W$3)*(OFFSET(ListeB,,1)='recap S1'!W$2))&gt;0,SUMPRODUCT((ListeB='recap S1'!$B75)*(OFFSET(ListeB,,4)='recap S1'!W$3)*(OFFSET(ListeB,,1)='recap S1'!W$2)),"")</f>
        <v/>
      </c>
      <c r="X75" s="32"/>
      <c r="Y75" s="32" t="str">
        <f ca="1">IF(SUMPRODUCT((ListeB='recap S1'!$B75)*(OFFSET(ListeB,,4)='recap S1'!Y$3)*(OFFSET(ListeB,,1)='recap S1'!Y$2))&gt;0,SUMPRODUCT((ListeB='recap S1'!$B75)*(OFFSET(ListeB,,4)='recap S1'!Y$3)*(OFFSET(ListeB,,1)='recap S1'!Y$2)),"")</f>
        <v/>
      </c>
      <c r="Z75" s="32" t="str">
        <f ca="1">IF(SUMPRODUCT((ListeB='recap S1'!$B75)*(OFFSET(ListeB,,4)='recap S1'!Z$3)*(OFFSET(ListeB,,1)='recap S1'!Z$2))&gt;0,SUMPRODUCT((ListeB='recap S1'!$B75)*(OFFSET(ListeB,,4)='recap S1'!Z$3)*(OFFSET(ListeB,,1)='recap S1'!Z$2)),"")</f>
        <v/>
      </c>
      <c r="AA75" s="32" t="str">
        <f ca="1">IF(SUMPRODUCT((ListeB='recap S1'!$B75)*(OFFSET(ListeB,,4)='recap S1'!AA$3)*(OFFSET(ListeB,,1)='recap S1'!AA$2))&gt;0,SUMPRODUCT((ListeB='recap S1'!$B75)*(OFFSET(ListeB,,4)='recap S1'!AA$3)*(OFFSET(ListeB,,1)='recap S1'!AA$2)),"")</f>
        <v/>
      </c>
      <c r="AB75" s="32"/>
      <c r="AC75" s="32" t="str">
        <f ca="1">IF(SUMPRODUCT((ListeB='recap S1'!$B75)*(OFFSET(ListeB,,4)='recap S1'!AC$3)*(OFFSET(ListeB,,1)='recap S1'!AC$2))&gt;0,SUMPRODUCT((ListeB='recap S1'!$B75)*(OFFSET(ListeB,,4)='recap S1'!AC$3)*(OFFSET(ListeB,,1)='recap S1'!AC$2)),"")</f>
        <v/>
      </c>
      <c r="AD75" s="32"/>
      <c r="AE75" s="32" t="str">
        <f ca="1">IF(SUMPRODUCT((ListeB='recap S1'!$B75)*(OFFSET(ListeB,,4)='recap S1'!AE$3)*(OFFSET(ListeB,,1)='recap S1'!AE$2))&gt;0,SUMPRODUCT((ListeB='recap S1'!$B75)*(OFFSET(ListeB,,4)='recap S1'!AE$3)*(OFFSET(ListeB,,1)='recap S1'!AE$2)),"")</f>
        <v/>
      </c>
      <c r="AF75" s="32" t="str">
        <f ca="1">IF(SUMPRODUCT((ListeB='recap S1'!$B75)*(OFFSET(ListeB,,4)='recap S1'!AF$3)*(OFFSET(ListeB,,1)='recap S1'!AF$2))&gt;0,SUMPRODUCT((ListeB='recap S1'!$B75)*(OFFSET(ListeB,,4)='recap S1'!AF$3)*(OFFSET(ListeB,,1)='recap S1'!AF$2)),"")</f>
        <v/>
      </c>
      <c r="AG75" s="32"/>
      <c r="AH75" s="32" t="str">
        <f ca="1">IF(SUMPRODUCT((ListeB='recap S1'!$B75)*(OFFSET(ListeB,,4)='recap S1'!AH$3)*(OFFSET(ListeB,,1)='recap S1'!AH$2))&gt;0,SUMPRODUCT((ListeB='recap S1'!$B75)*(OFFSET(ListeB,,4)='recap S1'!AH$3)*(OFFSET(ListeB,,1)='recap S1'!AH$2)),"")</f>
        <v/>
      </c>
      <c r="AI75" s="32" t="str">
        <f ca="1">IF(SUMPRODUCT((ListeB='recap S1'!$B75)*(OFFSET(ListeB,,4)='recap S1'!AI$3)*(OFFSET(ListeB,,1)='recap S1'!AI$2))&gt;0,SUMPRODUCT((ListeB='recap S1'!$B75)*(OFFSET(ListeB,,4)='recap S1'!AI$3)*(OFFSET(ListeB,,1)='recap S1'!AI$2)),"")</f>
        <v/>
      </c>
      <c r="AJ75" s="32" t="str">
        <f ca="1">IF(SUMPRODUCT((ListeB='recap S1'!$B75)*(OFFSET(ListeB,,4)='recap S1'!AJ$3)*(OFFSET(ListeB,,1)='recap S1'!AJ$2))&gt;0,SUMPRODUCT((ListeB='recap S1'!$B75)*(OFFSET(ListeB,,4)='recap S1'!AJ$3)*(OFFSET(ListeB,,1)='recap S1'!AJ$2)),"")</f>
        <v/>
      </c>
      <c r="AK75" s="32"/>
      <c r="AL75" s="32" t="str">
        <f ca="1">IF(SUMPRODUCT((ListeB='recap S1'!$B75)*(OFFSET(ListeB,,4)='recap S1'!AL$3)*(OFFSET(ListeB,,1)='recap S1'!AL$2))&gt;0,SUMPRODUCT((ListeB='recap S1'!$B75)*(OFFSET(ListeB,,4)='recap S1'!AL$3)*(OFFSET(ListeB,,1)='recap S1'!AL$2)),"")</f>
        <v/>
      </c>
      <c r="AM75" s="32"/>
      <c r="AN75" s="32" t="str">
        <f ca="1">IF(SUMPRODUCT((ListeB='recap S1'!$B75)*(OFFSET(ListeB,,4)='recap S1'!AN$3)*(OFFSET(ListeB,,1)='recap S1'!AN$2))&gt;0,SUMPRODUCT((ListeB='recap S1'!$B75)*(OFFSET(ListeB,,4)='recap S1'!AN$3)*(OFFSET(ListeB,,1)='recap S1'!AN$2)),"")</f>
        <v/>
      </c>
      <c r="AO75" s="32" t="str">
        <f ca="1">IF(SUMPRODUCT((ListeB='recap S1'!$B75)*(OFFSET(ListeB,,4)='recap S1'!AO$3)*(OFFSET(ListeB,,1)='recap S1'!AO$2))&gt;0,SUMPRODUCT((ListeB='recap S1'!$B75)*(OFFSET(ListeB,,4)='recap S1'!AO$3)*(OFFSET(ListeB,,1)='recap S1'!AO$2)),"")</f>
        <v/>
      </c>
      <c r="AP75" s="32"/>
      <c r="AQ75" s="32"/>
      <c r="AR75" s="32"/>
      <c r="AS75" s="32" t="str">
        <f ca="1">IF(SUMPRODUCT((ListeB='recap S1'!$B75)*(OFFSET(ListeB,,4)='recap S1'!AS$3)*(OFFSET(ListeB,,1)='recap S1'!AS$2))&gt;0,SUMPRODUCT((ListeB='recap S1'!$B75)*(OFFSET(ListeB,,4)='recap S1'!AS$3)*(OFFSET(ListeB,,1)='recap S1'!AS$2)),"")</f>
        <v/>
      </c>
      <c r="AT75" s="32" t="str">
        <f ca="1">IF(SUMPRODUCT((ListeB='recap S1'!$B75)*(OFFSET(ListeB,,4)='recap S1'!AT$3)*(OFFSET(ListeB,,1)='recap S1'!AT$2))&gt;0,SUMPRODUCT((ListeB='recap S1'!$B75)*(OFFSET(ListeB,,4)='recap S1'!AT$3)*(OFFSET(ListeB,,1)='recap S1'!AT$2)),"")</f>
        <v/>
      </c>
      <c r="AU75" s="32"/>
      <c r="AV75" s="32" t="str">
        <f ca="1">IF(SUMPRODUCT((ListeB='recap S1'!$B75)*(OFFSET(ListeB,,4)='recap S1'!AV$3)*(OFFSET(ListeB,,1)='recap S1'!AV$2))&gt;0,SUMPRODUCT((ListeB='recap S1'!$B75)*(OFFSET(ListeB,,4)='recap S1'!AV$3)*(OFFSET(ListeB,,1)='recap S1'!AV$2)),"")</f>
        <v/>
      </c>
      <c r="AW75" s="32" t="str">
        <f ca="1">IF(SUMPRODUCT((ListeB='recap S1'!$B75)*(OFFSET(ListeB,,4)='recap S1'!AW$3)*(OFFSET(ListeB,,1)='recap S1'!AW$2))&gt;0,SUMPRODUCT((ListeB='recap S1'!$B75)*(OFFSET(ListeB,,4)='recap S1'!AW$3)*(OFFSET(ListeB,,1)='recap S1'!AW$2)),"")</f>
        <v/>
      </c>
      <c r="AX75" s="32" t="str">
        <f ca="1">IF(SUMPRODUCT((ListeB='recap S1'!$B75)*(OFFSET(ListeB,,4)='recap S1'!AX$3)*(OFFSET(ListeB,,1)='recap S1'!AX$2))&gt;0,SUMPRODUCT((ListeB='recap S1'!$B75)*(OFFSET(ListeB,,4)='recap S1'!AX$3)*(OFFSET(ListeB,,1)='recap S1'!AX$2)),"")</f>
        <v/>
      </c>
      <c r="AY75" s="34"/>
      <c r="AZ75" s="32">
        <f t="shared" ca="1" si="2"/>
        <v>0</v>
      </c>
    </row>
    <row r="76" spans="1:52">
      <c r="A76" s="41" t="str">
        <f>IF('SEANCE 1'!$B74&lt;&gt;"",'SEANCE 1'!$A74,"")</f>
        <v/>
      </c>
      <c r="B76" s="41" t="str">
        <f t="array" aca="1" ref="B76" ca="1">IF(ISNA(INDEX(ListeB,MATCH(0,COUNTIF($B$3:B75,ListeB),0))),"",INDEX(ListeB,MATCH(0,COUNTIF($B$3:B75,ListeB),0)))</f>
        <v/>
      </c>
      <c r="C76" s="32" t="str">
        <f ca="1">IF(SUMPRODUCT((ListeB='recap S1'!$B76)*(OFFSET(ListeB,,4)='recap S1'!C$3)*(OFFSET(ListeB,,1)='recap S1'!C$2))&gt;0,SUMPRODUCT((ListeB='recap S1'!$B76)*(OFFSET(ListeB,,4)='recap S1'!C$3)*(OFFSET(ListeB,,1)='recap S1'!C$2)),"")</f>
        <v/>
      </c>
      <c r="D76" s="32" t="str">
        <f ca="1">IF(SUMPRODUCT((ListeB='recap S1'!$B76)*(OFFSET(ListeB,,4)='recap S1'!D$3)*(OFFSET(ListeB,,1)='recap S1'!D$2))&gt;0,SUMPRODUCT((ListeB='recap S1'!$B76)*(OFFSET(ListeB,,4)='recap S1'!D$3)*(OFFSET(ListeB,,1)='recap S1'!D$2)),"")</f>
        <v/>
      </c>
      <c r="E76" s="32"/>
      <c r="F76" s="32" t="str">
        <f ca="1">IF(SUMPRODUCT((ListeB='recap S1'!$B76)*(OFFSET(ListeB,,4)='recap S1'!F$3)*(OFFSET(ListeB,,1)='recap S1'!F$2))&gt;0,SUMPRODUCT((ListeB='recap S1'!$B76)*(OFFSET(ListeB,,4)='recap S1'!F$3)*(OFFSET(ListeB,,1)='recap S1'!F$2)),"")</f>
        <v/>
      </c>
      <c r="G76" s="32" t="str">
        <f ca="1">IF(SUMPRODUCT((ListeB='recap S1'!$B76)*(OFFSET(ListeB,,4)='recap S1'!G$3)*(OFFSET(ListeB,,1)='recap S1'!G$2))&gt;0,SUMPRODUCT((ListeB='recap S1'!$B76)*(OFFSET(ListeB,,4)='recap S1'!G$3)*(OFFSET(ListeB,,1)='recap S1'!G$2)),"")</f>
        <v/>
      </c>
      <c r="H76" s="32"/>
      <c r="I76" s="32" t="str">
        <f ca="1">IF(SUMPRODUCT((ListeB='recap S1'!$B76)*(OFFSET(ListeB,,4)='recap S1'!I$3)*(OFFSET(ListeB,,1)='recap S1'!I$2))&gt;0,SUMPRODUCT((ListeB='recap S1'!$B76)*(OFFSET(ListeB,,4)='recap S1'!I$3)*(OFFSET(ListeB,,1)='recap S1'!I$2)),"")</f>
        <v/>
      </c>
      <c r="J76" s="32" t="str">
        <f ca="1">IF(SUMPRODUCT((ListeB='recap S1'!$B76)*(OFFSET(ListeB,,4)='recap S1'!J$3)*(OFFSET(ListeB,,1)='recap S1'!J$2))&gt;0,SUMPRODUCT((ListeB='recap S1'!$B76)*(OFFSET(ListeB,,4)='recap S1'!J$3)*(OFFSET(ListeB,,1)='recap S1'!J$2)),"")</f>
        <v/>
      </c>
      <c r="K76" s="32" t="str">
        <f ca="1">IF(SUMPRODUCT((ListeB='recap S1'!$B76)*(OFFSET(ListeB,,4)='recap S1'!K$3)*(OFFSET(ListeB,,1)='recap S1'!K$2))&gt;0,SUMPRODUCT((ListeB='recap S1'!$B76)*(OFFSET(ListeB,,4)='recap S1'!K$3)*(OFFSET(ListeB,,1)='recap S1'!K$2)),"")</f>
        <v/>
      </c>
      <c r="L76" s="32"/>
      <c r="M76" s="32" t="str">
        <f ca="1">IF(SUMPRODUCT((ListeB='recap S1'!$B76)*(OFFSET(ListeB,,4)='recap S1'!M$3)*(OFFSET(ListeB,,1)='recap S1'!M$2))&gt;0,SUMPRODUCT((ListeB='recap S1'!$B76)*(OFFSET(ListeB,,4)='recap S1'!M$3)*(OFFSET(ListeB,,1)='recap S1'!M$2)),"")</f>
        <v/>
      </c>
      <c r="N76" s="32" t="str">
        <f ca="1">IF(SUMPRODUCT((ListeB='recap S1'!$B76)*(OFFSET(ListeB,,4)='recap S1'!N$3)*(OFFSET(ListeB,,1)='recap S1'!N$2))&gt;0,SUMPRODUCT((ListeB='recap S1'!$B76)*(OFFSET(ListeB,,4)='recap S1'!N$3)*(OFFSET(ListeB,,1)='recap S1'!N$2)),"")</f>
        <v/>
      </c>
      <c r="O76" s="32"/>
      <c r="P76" s="32" t="str">
        <f ca="1">IF(SUMPRODUCT((ListeB='recap S1'!$B76)*(OFFSET(ListeB,,4)='recap S1'!P$3)*(OFFSET(ListeB,,1)='recap S1'!P$2))&gt;0,SUMPRODUCT((ListeB='recap S1'!$B76)*(OFFSET(ListeB,,4)='recap S1'!P$3)*(OFFSET(ListeB,,1)='recap S1'!P$2)),"")</f>
        <v/>
      </c>
      <c r="Q76" s="32" t="str">
        <f ca="1">IF(SUMPRODUCT((ListeB='recap S1'!$B76)*(OFFSET(ListeB,,4)='recap S1'!Q$3)*(OFFSET(ListeB,,1)='recap S1'!Q$2))&gt;0,SUMPRODUCT((ListeB='recap S1'!$B76)*(OFFSET(ListeB,,4)='recap S1'!Q$3)*(OFFSET(ListeB,,1)='recap S1'!Q$2)),"")</f>
        <v/>
      </c>
      <c r="R76" s="32"/>
      <c r="S76" s="32" t="str">
        <f ca="1">IF(SUMPRODUCT((ListeB='recap S1'!$B76)*(OFFSET(ListeB,,4)='recap S1'!S$3)*(OFFSET(ListeB,,1)='recap S1'!S$2))&gt;0,SUMPRODUCT((ListeB='recap S1'!$B76)*(OFFSET(ListeB,,4)='recap S1'!S$3)*(OFFSET(ListeB,,1)='recap S1'!S$2)),"")</f>
        <v/>
      </c>
      <c r="T76" s="32" t="str">
        <f ca="1">IF(SUMPRODUCT((ListeB='recap S1'!$B76)*(OFFSET(ListeB,,4)='recap S1'!T$3)*(OFFSET(ListeB,,1)='recap S1'!T$2))&gt;0,SUMPRODUCT((ListeB='recap S1'!$B76)*(OFFSET(ListeB,,4)='recap S1'!T$3)*(OFFSET(ListeB,,1)='recap S1'!T$2)),"")</f>
        <v/>
      </c>
      <c r="U76" s="32" t="str">
        <f ca="1">IF(SUMPRODUCT((ListeB='recap S1'!$B76)*(OFFSET(ListeB,,4)='recap S1'!U$3)*(OFFSET(ListeB,,1)='recap S1'!U$2))&gt;0,SUMPRODUCT((ListeB='recap S1'!$B76)*(OFFSET(ListeB,,4)='recap S1'!U$3)*(OFFSET(ListeB,,1)='recap S1'!U$2)),"")</f>
        <v/>
      </c>
      <c r="V76" s="32"/>
      <c r="W76" s="32" t="str">
        <f ca="1">IF(SUMPRODUCT((ListeB='recap S1'!$B76)*(OFFSET(ListeB,,4)='recap S1'!W$3)*(OFFSET(ListeB,,1)='recap S1'!W$2))&gt;0,SUMPRODUCT((ListeB='recap S1'!$B76)*(OFFSET(ListeB,,4)='recap S1'!W$3)*(OFFSET(ListeB,,1)='recap S1'!W$2)),"")</f>
        <v/>
      </c>
      <c r="X76" s="32"/>
      <c r="Y76" s="32" t="str">
        <f ca="1">IF(SUMPRODUCT((ListeB='recap S1'!$B76)*(OFFSET(ListeB,,4)='recap S1'!Y$3)*(OFFSET(ListeB,,1)='recap S1'!Y$2))&gt;0,SUMPRODUCT((ListeB='recap S1'!$B76)*(OFFSET(ListeB,,4)='recap S1'!Y$3)*(OFFSET(ListeB,,1)='recap S1'!Y$2)),"")</f>
        <v/>
      </c>
      <c r="Z76" s="32" t="str">
        <f ca="1">IF(SUMPRODUCT((ListeB='recap S1'!$B76)*(OFFSET(ListeB,,4)='recap S1'!Z$3)*(OFFSET(ListeB,,1)='recap S1'!Z$2))&gt;0,SUMPRODUCT((ListeB='recap S1'!$B76)*(OFFSET(ListeB,,4)='recap S1'!Z$3)*(OFFSET(ListeB,,1)='recap S1'!Z$2)),"")</f>
        <v/>
      </c>
      <c r="AA76" s="32" t="str">
        <f ca="1">IF(SUMPRODUCT((ListeB='recap S1'!$B76)*(OFFSET(ListeB,,4)='recap S1'!AA$3)*(OFFSET(ListeB,,1)='recap S1'!AA$2))&gt;0,SUMPRODUCT((ListeB='recap S1'!$B76)*(OFFSET(ListeB,,4)='recap S1'!AA$3)*(OFFSET(ListeB,,1)='recap S1'!AA$2)),"")</f>
        <v/>
      </c>
      <c r="AB76" s="32"/>
      <c r="AC76" s="32" t="str">
        <f ca="1">IF(SUMPRODUCT((ListeB='recap S1'!$B76)*(OFFSET(ListeB,,4)='recap S1'!AC$3)*(OFFSET(ListeB,,1)='recap S1'!AC$2))&gt;0,SUMPRODUCT((ListeB='recap S1'!$B76)*(OFFSET(ListeB,,4)='recap S1'!AC$3)*(OFFSET(ListeB,,1)='recap S1'!AC$2)),"")</f>
        <v/>
      </c>
      <c r="AD76" s="32"/>
      <c r="AE76" s="32" t="str">
        <f ca="1">IF(SUMPRODUCT((ListeB='recap S1'!$B76)*(OFFSET(ListeB,,4)='recap S1'!AE$3)*(OFFSET(ListeB,,1)='recap S1'!AE$2))&gt;0,SUMPRODUCT((ListeB='recap S1'!$B76)*(OFFSET(ListeB,,4)='recap S1'!AE$3)*(OFFSET(ListeB,,1)='recap S1'!AE$2)),"")</f>
        <v/>
      </c>
      <c r="AF76" s="32" t="str">
        <f ca="1">IF(SUMPRODUCT((ListeB='recap S1'!$B76)*(OFFSET(ListeB,,4)='recap S1'!AF$3)*(OFFSET(ListeB,,1)='recap S1'!AF$2))&gt;0,SUMPRODUCT((ListeB='recap S1'!$B76)*(OFFSET(ListeB,,4)='recap S1'!AF$3)*(OFFSET(ListeB,,1)='recap S1'!AF$2)),"")</f>
        <v/>
      </c>
      <c r="AG76" s="32"/>
      <c r="AH76" s="32" t="str">
        <f ca="1">IF(SUMPRODUCT((ListeB='recap S1'!$B76)*(OFFSET(ListeB,,4)='recap S1'!AH$3)*(OFFSET(ListeB,,1)='recap S1'!AH$2))&gt;0,SUMPRODUCT((ListeB='recap S1'!$B76)*(OFFSET(ListeB,,4)='recap S1'!AH$3)*(OFFSET(ListeB,,1)='recap S1'!AH$2)),"")</f>
        <v/>
      </c>
      <c r="AI76" s="32" t="str">
        <f ca="1">IF(SUMPRODUCT((ListeB='recap S1'!$B76)*(OFFSET(ListeB,,4)='recap S1'!AI$3)*(OFFSET(ListeB,,1)='recap S1'!AI$2))&gt;0,SUMPRODUCT((ListeB='recap S1'!$B76)*(OFFSET(ListeB,,4)='recap S1'!AI$3)*(OFFSET(ListeB,,1)='recap S1'!AI$2)),"")</f>
        <v/>
      </c>
      <c r="AJ76" s="32" t="str">
        <f ca="1">IF(SUMPRODUCT((ListeB='recap S1'!$B76)*(OFFSET(ListeB,,4)='recap S1'!AJ$3)*(OFFSET(ListeB,,1)='recap S1'!AJ$2))&gt;0,SUMPRODUCT((ListeB='recap S1'!$B76)*(OFFSET(ListeB,,4)='recap S1'!AJ$3)*(OFFSET(ListeB,,1)='recap S1'!AJ$2)),"")</f>
        <v/>
      </c>
      <c r="AK76" s="32"/>
      <c r="AL76" s="32" t="str">
        <f ca="1">IF(SUMPRODUCT((ListeB='recap S1'!$B76)*(OFFSET(ListeB,,4)='recap S1'!AL$3)*(OFFSET(ListeB,,1)='recap S1'!AL$2))&gt;0,SUMPRODUCT((ListeB='recap S1'!$B76)*(OFFSET(ListeB,,4)='recap S1'!AL$3)*(OFFSET(ListeB,,1)='recap S1'!AL$2)),"")</f>
        <v/>
      </c>
      <c r="AM76" s="32"/>
      <c r="AN76" s="32" t="str">
        <f ca="1">IF(SUMPRODUCT((ListeB='recap S1'!$B76)*(OFFSET(ListeB,,4)='recap S1'!AN$3)*(OFFSET(ListeB,,1)='recap S1'!AN$2))&gt;0,SUMPRODUCT((ListeB='recap S1'!$B76)*(OFFSET(ListeB,,4)='recap S1'!AN$3)*(OFFSET(ListeB,,1)='recap S1'!AN$2)),"")</f>
        <v/>
      </c>
      <c r="AO76" s="32" t="str">
        <f ca="1">IF(SUMPRODUCT((ListeB='recap S1'!$B76)*(OFFSET(ListeB,,4)='recap S1'!AO$3)*(OFFSET(ListeB,,1)='recap S1'!AO$2))&gt;0,SUMPRODUCT((ListeB='recap S1'!$B76)*(OFFSET(ListeB,,4)='recap S1'!AO$3)*(OFFSET(ListeB,,1)='recap S1'!AO$2)),"")</f>
        <v/>
      </c>
      <c r="AP76" s="32"/>
      <c r="AQ76" s="32"/>
      <c r="AR76" s="32"/>
      <c r="AS76" s="32" t="str">
        <f ca="1">IF(SUMPRODUCT((ListeB='recap S1'!$B76)*(OFFSET(ListeB,,4)='recap S1'!AS$3)*(OFFSET(ListeB,,1)='recap S1'!AS$2))&gt;0,SUMPRODUCT((ListeB='recap S1'!$B76)*(OFFSET(ListeB,,4)='recap S1'!AS$3)*(OFFSET(ListeB,,1)='recap S1'!AS$2)),"")</f>
        <v/>
      </c>
      <c r="AT76" s="32" t="str">
        <f ca="1">IF(SUMPRODUCT((ListeB='recap S1'!$B76)*(OFFSET(ListeB,,4)='recap S1'!AT$3)*(OFFSET(ListeB,,1)='recap S1'!AT$2))&gt;0,SUMPRODUCT((ListeB='recap S1'!$B76)*(OFFSET(ListeB,,4)='recap S1'!AT$3)*(OFFSET(ListeB,,1)='recap S1'!AT$2)),"")</f>
        <v/>
      </c>
      <c r="AU76" s="32"/>
      <c r="AV76" s="32" t="str">
        <f ca="1">IF(SUMPRODUCT((ListeB='recap S1'!$B76)*(OFFSET(ListeB,,4)='recap S1'!AV$3)*(OFFSET(ListeB,,1)='recap S1'!AV$2))&gt;0,SUMPRODUCT((ListeB='recap S1'!$B76)*(OFFSET(ListeB,,4)='recap S1'!AV$3)*(OFFSET(ListeB,,1)='recap S1'!AV$2)),"")</f>
        <v/>
      </c>
      <c r="AW76" s="32" t="str">
        <f ca="1">IF(SUMPRODUCT((ListeB='recap S1'!$B76)*(OFFSET(ListeB,,4)='recap S1'!AW$3)*(OFFSET(ListeB,,1)='recap S1'!AW$2))&gt;0,SUMPRODUCT((ListeB='recap S1'!$B76)*(OFFSET(ListeB,,4)='recap S1'!AW$3)*(OFFSET(ListeB,,1)='recap S1'!AW$2)),"")</f>
        <v/>
      </c>
      <c r="AX76" s="32" t="str">
        <f ca="1">IF(SUMPRODUCT((ListeB='recap S1'!$B76)*(OFFSET(ListeB,,4)='recap S1'!AX$3)*(OFFSET(ListeB,,1)='recap S1'!AX$2))&gt;0,SUMPRODUCT((ListeB='recap S1'!$B76)*(OFFSET(ListeB,,4)='recap S1'!AX$3)*(OFFSET(ListeB,,1)='recap S1'!AX$2)),"")</f>
        <v/>
      </c>
      <c r="AY76" s="34"/>
      <c r="AZ76" s="32">
        <f t="shared" ca="1" si="2"/>
        <v>0</v>
      </c>
    </row>
    <row r="77" spans="1:52">
      <c r="A77" s="41" t="str">
        <f>IF('SEANCE 1'!$B75&lt;&gt;"",'SEANCE 1'!$A75,"")</f>
        <v/>
      </c>
      <c r="B77" s="41" t="str">
        <f t="array" aca="1" ref="B77" ca="1">IF(ISNA(INDEX(ListeB,MATCH(0,COUNTIF($B$3:B76,ListeB),0))),"",INDEX(ListeB,MATCH(0,COUNTIF($B$3:B76,ListeB),0)))</f>
        <v/>
      </c>
      <c r="C77" s="32" t="str">
        <f ca="1">IF(SUMPRODUCT((ListeB='recap S1'!$B77)*(OFFSET(ListeB,,4)='recap S1'!C$3)*(OFFSET(ListeB,,1)='recap S1'!C$2))&gt;0,SUMPRODUCT((ListeB='recap S1'!$B77)*(OFFSET(ListeB,,4)='recap S1'!C$3)*(OFFSET(ListeB,,1)='recap S1'!C$2)),"")</f>
        <v/>
      </c>
      <c r="D77" s="32" t="str">
        <f ca="1">IF(SUMPRODUCT((ListeB='recap S1'!$B77)*(OFFSET(ListeB,,4)='recap S1'!D$3)*(OFFSET(ListeB,,1)='recap S1'!D$2))&gt;0,SUMPRODUCT((ListeB='recap S1'!$B77)*(OFFSET(ListeB,,4)='recap S1'!D$3)*(OFFSET(ListeB,,1)='recap S1'!D$2)),"")</f>
        <v/>
      </c>
      <c r="E77" s="32"/>
      <c r="F77" s="32" t="str">
        <f ca="1">IF(SUMPRODUCT((ListeB='recap S1'!$B77)*(OFFSET(ListeB,,4)='recap S1'!F$3)*(OFFSET(ListeB,,1)='recap S1'!F$2))&gt;0,SUMPRODUCT((ListeB='recap S1'!$B77)*(OFFSET(ListeB,,4)='recap S1'!F$3)*(OFFSET(ListeB,,1)='recap S1'!F$2)),"")</f>
        <v/>
      </c>
      <c r="G77" s="32" t="str">
        <f ca="1">IF(SUMPRODUCT((ListeB='recap S1'!$B77)*(OFFSET(ListeB,,4)='recap S1'!G$3)*(OFFSET(ListeB,,1)='recap S1'!G$2))&gt;0,SUMPRODUCT((ListeB='recap S1'!$B77)*(OFFSET(ListeB,,4)='recap S1'!G$3)*(OFFSET(ListeB,,1)='recap S1'!G$2)),"")</f>
        <v/>
      </c>
      <c r="H77" s="32"/>
      <c r="I77" s="32" t="str">
        <f ca="1">IF(SUMPRODUCT((ListeB='recap S1'!$B77)*(OFFSET(ListeB,,4)='recap S1'!I$3)*(OFFSET(ListeB,,1)='recap S1'!I$2))&gt;0,SUMPRODUCT((ListeB='recap S1'!$B77)*(OFFSET(ListeB,,4)='recap S1'!I$3)*(OFFSET(ListeB,,1)='recap S1'!I$2)),"")</f>
        <v/>
      </c>
      <c r="J77" s="32" t="str">
        <f ca="1">IF(SUMPRODUCT((ListeB='recap S1'!$B77)*(OFFSET(ListeB,,4)='recap S1'!J$3)*(OFFSET(ListeB,,1)='recap S1'!J$2))&gt;0,SUMPRODUCT((ListeB='recap S1'!$B77)*(OFFSET(ListeB,,4)='recap S1'!J$3)*(OFFSET(ListeB,,1)='recap S1'!J$2)),"")</f>
        <v/>
      </c>
      <c r="K77" s="32" t="str">
        <f ca="1">IF(SUMPRODUCT((ListeB='recap S1'!$B77)*(OFFSET(ListeB,,4)='recap S1'!K$3)*(OFFSET(ListeB,,1)='recap S1'!K$2))&gt;0,SUMPRODUCT((ListeB='recap S1'!$B77)*(OFFSET(ListeB,,4)='recap S1'!K$3)*(OFFSET(ListeB,,1)='recap S1'!K$2)),"")</f>
        <v/>
      </c>
      <c r="L77" s="32"/>
      <c r="M77" s="32" t="str">
        <f ca="1">IF(SUMPRODUCT((ListeB='recap S1'!$B77)*(OFFSET(ListeB,,4)='recap S1'!M$3)*(OFFSET(ListeB,,1)='recap S1'!M$2))&gt;0,SUMPRODUCT((ListeB='recap S1'!$B77)*(OFFSET(ListeB,,4)='recap S1'!M$3)*(OFFSET(ListeB,,1)='recap S1'!M$2)),"")</f>
        <v/>
      </c>
      <c r="N77" s="32" t="str">
        <f ca="1">IF(SUMPRODUCT((ListeB='recap S1'!$B77)*(OFFSET(ListeB,,4)='recap S1'!N$3)*(OFFSET(ListeB,,1)='recap S1'!N$2))&gt;0,SUMPRODUCT((ListeB='recap S1'!$B77)*(OFFSET(ListeB,,4)='recap S1'!N$3)*(OFFSET(ListeB,,1)='recap S1'!N$2)),"")</f>
        <v/>
      </c>
      <c r="O77" s="32"/>
      <c r="P77" s="32" t="str">
        <f ca="1">IF(SUMPRODUCT((ListeB='recap S1'!$B77)*(OFFSET(ListeB,,4)='recap S1'!P$3)*(OFFSET(ListeB,,1)='recap S1'!P$2))&gt;0,SUMPRODUCT((ListeB='recap S1'!$B77)*(OFFSET(ListeB,,4)='recap S1'!P$3)*(OFFSET(ListeB,,1)='recap S1'!P$2)),"")</f>
        <v/>
      </c>
      <c r="Q77" s="32" t="str">
        <f ca="1">IF(SUMPRODUCT((ListeB='recap S1'!$B77)*(OFFSET(ListeB,,4)='recap S1'!Q$3)*(OFFSET(ListeB,,1)='recap S1'!Q$2))&gt;0,SUMPRODUCT((ListeB='recap S1'!$B77)*(OFFSET(ListeB,,4)='recap S1'!Q$3)*(OFFSET(ListeB,,1)='recap S1'!Q$2)),"")</f>
        <v/>
      </c>
      <c r="R77" s="32"/>
      <c r="S77" s="32" t="str">
        <f ca="1">IF(SUMPRODUCT((ListeB='recap S1'!$B77)*(OFFSET(ListeB,,4)='recap S1'!S$3)*(OFFSET(ListeB,,1)='recap S1'!S$2))&gt;0,SUMPRODUCT((ListeB='recap S1'!$B77)*(OFFSET(ListeB,,4)='recap S1'!S$3)*(OFFSET(ListeB,,1)='recap S1'!S$2)),"")</f>
        <v/>
      </c>
      <c r="T77" s="32" t="str">
        <f ca="1">IF(SUMPRODUCT((ListeB='recap S1'!$B77)*(OFFSET(ListeB,,4)='recap S1'!T$3)*(OFFSET(ListeB,,1)='recap S1'!T$2))&gt;0,SUMPRODUCT((ListeB='recap S1'!$B77)*(OFFSET(ListeB,,4)='recap S1'!T$3)*(OFFSET(ListeB,,1)='recap S1'!T$2)),"")</f>
        <v/>
      </c>
      <c r="U77" s="32" t="str">
        <f ca="1">IF(SUMPRODUCT((ListeB='recap S1'!$B77)*(OFFSET(ListeB,,4)='recap S1'!U$3)*(OFFSET(ListeB,,1)='recap S1'!U$2))&gt;0,SUMPRODUCT((ListeB='recap S1'!$B77)*(OFFSET(ListeB,,4)='recap S1'!U$3)*(OFFSET(ListeB,,1)='recap S1'!U$2)),"")</f>
        <v/>
      </c>
      <c r="V77" s="32"/>
      <c r="W77" s="32" t="str">
        <f ca="1">IF(SUMPRODUCT((ListeB='recap S1'!$B77)*(OFFSET(ListeB,,4)='recap S1'!W$3)*(OFFSET(ListeB,,1)='recap S1'!W$2))&gt;0,SUMPRODUCT((ListeB='recap S1'!$B77)*(OFFSET(ListeB,,4)='recap S1'!W$3)*(OFFSET(ListeB,,1)='recap S1'!W$2)),"")</f>
        <v/>
      </c>
      <c r="X77" s="32"/>
      <c r="Y77" s="32" t="str">
        <f ca="1">IF(SUMPRODUCT((ListeB='recap S1'!$B77)*(OFFSET(ListeB,,4)='recap S1'!Y$3)*(OFFSET(ListeB,,1)='recap S1'!Y$2))&gt;0,SUMPRODUCT((ListeB='recap S1'!$B77)*(OFFSET(ListeB,,4)='recap S1'!Y$3)*(OFFSET(ListeB,,1)='recap S1'!Y$2)),"")</f>
        <v/>
      </c>
      <c r="Z77" s="32" t="str">
        <f ca="1">IF(SUMPRODUCT((ListeB='recap S1'!$B77)*(OFFSET(ListeB,,4)='recap S1'!Z$3)*(OFFSET(ListeB,,1)='recap S1'!Z$2))&gt;0,SUMPRODUCT((ListeB='recap S1'!$B77)*(OFFSET(ListeB,,4)='recap S1'!Z$3)*(OFFSET(ListeB,,1)='recap S1'!Z$2)),"")</f>
        <v/>
      </c>
      <c r="AA77" s="32" t="str">
        <f ca="1">IF(SUMPRODUCT((ListeB='recap S1'!$B77)*(OFFSET(ListeB,,4)='recap S1'!AA$3)*(OFFSET(ListeB,,1)='recap S1'!AA$2))&gt;0,SUMPRODUCT((ListeB='recap S1'!$B77)*(OFFSET(ListeB,,4)='recap S1'!AA$3)*(OFFSET(ListeB,,1)='recap S1'!AA$2)),"")</f>
        <v/>
      </c>
      <c r="AB77" s="32"/>
      <c r="AC77" s="32" t="str">
        <f ca="1">IF(SUMPRODUCT((ListeB='recap S1'!$B77)*(OFFSET(ListeB,,4)='recap S1'!AC$3)*(OFFSET(ListeB,,1)='recap S1'!AC$2))&gt;0,SUMPRODUCT((ListeB='recap S1'!$B77)*(OFFSET(ListeB,,4)='recap S1'!AC$3)*(OFFSET(ListeB,,1)='recap S1'!AC$2)),"")</f>
        <v/>
      </c>
      <c r="AD77" s="32"/>
      <c r="AE77" s="32" t="str">
        <f ca="1">IF(SUMPRODUCT((ListeB='recap S1'!$B77)*(OFFSET(ListeB,,4)='recap S1'!AE$3)*(OFFSET(ListeB,,1)='recap S1'!AE$2))&gt;0,SUMPRODUCT((ListeB='recap S1'!$B77)*(OFFSET(ListeB,,4)='recap S1'!AE$3)*(OFFSET(ListeB,,1)='recap S1'!AE$2)),"")</f>
        <v/>
      </c>
      <c r="AF77" s="32" t="str">
        <f ca="1">IF(SUMPRODUCT((ListeB='recap S1'!$B77)*(OFFSET(ListeB,,4)='recap S1'!AF$3)*(OFFSET(ListeB,,1)='recap S1'!AF$2))&gt;0,SUMPRODUCT((ListeB='recap S1'!$B77)*(OFFSET(ListeB,,4)='recap S1'!AF$3)*(OFFSET(ListeB,,1)='recap S1'!AF$2)),"")</f>
        <v/>
      </c>
      <c r="AG77" s="32"/>
      <c r="AH77" s="32" t="str">
        <f ca="1">IF(SUMPRODUCT((ListeB='recap S1'!$B77)*(OFFSET(ListeB,,4)='recap S1'!AH$3)*(OFFSET(ListeB,,1)='recap S1'!AH$2))&gt;0,SUMPRODUCT((ListeB='recap S1'!$B77)*(OFFSET(ListeB,,4)='recap S1'!AH$3)*(OFFSET(ListeB,,1)='recap S1'!AH$2)),"")</f>
        <v/>
      </c>
      <c r="AI77" s="32" t="str">
        <f ca="1">IF(SUMPRODUCT((ListeB='recap S1'!$B77)*(OFFSET(ListeB,,4)='recap S1'!AI$3)*(OFFSET(ListeB,,1)='recap S1'!AI$2))&gt;0,SUMPRODUCT((ListeB='recap S1'!$B77)*(OFFSET(ListeB,,4)='recap S1'!AI$3)*(OFFSET(ListeB,,1)='recap S1'!AI$2)),"")</f>
        <v/>
      </c>
      <c r="AJ77" s="32" t="str">
        <f ca="1">IF(SUMPRODUCT((ListeB='recap S1'!$B77)*(OFFSET(ListeB,,4)='recap S1'!AJ$3)*(OFFSET(ListeB,,1)='recap S1'!AJ$2))&gt;0,SUMPRODUCT((ListeB='recap S1'!$B77)*(OFFSET(ListeB,,4)='recap S1'!AJ$3)*(OFFSET(ListeB,,1)='recap S1'!AJ$2)),"")</f>
        <v/>
      </c>
      <c r="AK77" s="32"/>
      <c r="AL77" s="32" t="str">
        <f ca="1">IF(SUMPRODUCT((ListeB='recap S1'!$B77)*(OFFSET(ListeB,,4)='recap S1'!AL$3)*(OFFSET(ListeB,,1)='recap S1'!AL$2))&gt;0,SUMPRODUCT((ListeB='recap S1'!$B77)*(OFFSET(ListeB,,4)='recap S1'!AL$3)*(OFFSET(ListeB,,1)='recap S1'!AL$2)),"")</f>
        <v/>
      </c>
      <c r="AM77" s="32"/>
      <c r="AN77" s="32" t="str">
        <f ca="1">IF(SUMPRODUCT((ListeB='recap S1'!$B77)*(OFFSET(ListeB,,4)='recap S1'!AN$3)*(OFFSET(ListeB,,1)='recap S1'!AN$2))&gt;0,SUMPRODUCT((ListeB='recap S1'!$B77)*(OFFSET(ListeB,,4)='recap S1'!AN$3)*(OFFSET(ListeB,,1)='recap S1'!AN$2)),"")</f>
        <v/>
      </c>
      <c r="AO77" s="32" t="str">
        <f ca="1">IF(SUMPRODUCT((ListeB='recap S1'!$B77)*(OFFSET(ListeB,,4)='recap S1'!AO$3)*(OFFSET(ListeB,,1)='recap S1'!AO$2))&gt;0,SUMPRODUCT((ListeB='recap S1'!$B77)*(OFFSET(ListeB,,4)='recap S1'!AO$3)*(OFFSET(ListeB,,1)='recap S1'!AO$2)),"")</f>
        <v/>
      </c>
      <c r="AP77" s="32"/>
      <c r="AQ77" s="32"/>
      <c r="AR77" s="32"/>
      <c r="AS77" s="32" t="str">
        <f ca="1">IF(SUMPRODUCT((ListeB='recap S1'!$B77)*(OFFSET(ListeB,,4)='recap S1'!AS$3)*(OFFSET(ListeB,,1)='recap S1'!AS$2))&gt;0,SUMPRODUCT((ListeB='recap S1'!$B77)*(OFFSET(ListeB,,4)='recap S1'!AS$3)*(OFFSET(ListeB,,1)='recap S1'!AS$2)),"")</f>
        <v/>
      </c>
      <c r="AT77" s="32" t="str">
        <f ca="1">IF(SUMPRODUCT((ListeB='recap S1'!$B77)*(OFFSET(ListeB,,4)='recap S1'!AT$3)*(OFFSET(ListeB,,1)='recap S1'!AT$2))&gt;0,SUMPRODUCT((ListeB='recap S1'!$B77)*(OFFSET(ListeB,,4)='recap S1'!AT$3)*(OFFSET(ListeB,,1)='recap S1'!AT$2)),"")</f>
        <v/>
      </c>
      <c r="AU77" s="32"/>
      <c r="AV77" s="32" t="str">
        <f ca="1">IF(SUMPRODUCT((ListeB='recap S1'!$B77)*(OFFSET(ListeB,,4)='recap S1'!AV$3)*(OFFSET(ListeB,,1)='recap S1'!AV$2))&gt;0,SUMPRODUCT((ListeB='recap S1'!$B77)*(OFFSET(ListeB,,4)='recap S1'!AV$3)*(OFFSET(ListeB,,1)='recap S1'!AV$2)),"")</f>
        <v/>
      </c>
      <c r="AW77" s="32" t="str">
        <f ca="1">IF(SUMPRODUCT((ListeB='recap S1'!$B77)*(OFFSET(ListeB,,4)='recap S1'!AW$3)*(OFFSET(ListeB,,1)='recap S1'!AW$2))&gt;0,SUMPRODUCT((ListeB='recap S1'!$B77)*(OFFSET(ListeB,,4)='recap S1'!AW$3)*(OFFSET(ListeB,,1)='recap S1'!AW$2)),"")</f>
        <v/>
      </c>
      <c r="AX77" s="32" t="str">
        <f ca="1">IF(SUMPRODUCT((ListeB='recap S1'!$B77)*(OFFSET(ListeB,,4)='recap S1'!AX$3)*(OFFSET(ListeB,,1)='recap S1'!AX$2))&gt;0,SUMPRODUCT((ListeB='recap S1'!$B77)*(OFFSET(ListeB,,4)='recap S1'!AX$3)*(OFFSET(ListeB,,1)='recap S1'!AX$2)),"")</f>
        <v/>
      </c>
      <c r="AY77" s="34"/>
      <c r="AZ77" s="32">
        <f t="shared" ca="1" si="2"/>
        <v>0</v>
      </c>
    </row>
    <row r="78" spans="1:52">
      <c r="A78" s="41" t="str">
        <f>IF('SEANCE 1'!$B76&lt;&gt;"",'SEANCE 1'!$A76,"")</f>
        <v/>
      </c>
      <c r="B78" s="41" t="str">
        <f t="array" aca="1" ref="B78" ca="1">IF(ISNA(INDEX(ListeB,MATCH(0,COUNTIF($B$3:B77,ListeB),0))),"",INDEX(ListeB,MATCH(0,COUNTIF($B$3:B77,ListeB),0)))</f>
        <v/>
      </c>
      <c r="C78" s="32" t="str">
        <f ca="1">IF(SUMPRODUCT((ListeB='recap S1'!$B78)*(OFFSET(ListeB,,4)='recap S1'!C$3)*(OFFSET(ListeB,,1)='recap S1'!C$2))&gt;0,SUMPRODUCT((ListeB='recap S1'!$B78)*(OFFSET(ListeB,,4)='recap S1'!C$3)*(OFFSET(ListeB,,1)='recap S1'!C$2)),"")</f>
        <v/>
      </c>
      <c r="D78" s="32" t="str">
        <f ca="1">IF(SUMPRODUCT((ListeB='recap S1'!$B78)*(OFFSET(ListeB,,4)='recap S1'!D$3)*(OFFSET(ListeB,,1)='recap S1'!D$2))&gt;0,SUMPRODUCT((ListeB='recap S1'!$B78)*(OFFSET(ListeB,,4)='recap S1'!D$3)*(OFFSET(ListeB,,1)='recap S1'!D$2)),"")</f>
        <v/>
      </c>
      <c r="E78" s="32"/>
      <c r="F78" s="32" t="str">
        <f ca="1">IF(SUMPRODUCT((ListeB='recap S1'!$B78)*(OFFSET(ListeB,,4)='recap S1'!F$3)*(OFFSET(ListeB,,1)='recap S1'!F$2))&gt;0,SUMPRODUCT((ListeB='recap S1'!$B78)*(OFFSET(ListeB,,4)='recap S1'!F$3)*(OFFSET(ListeB,,1)='recap S1'!F$2)),"")</f>
        <v/>
      </c>
      <c r="G78" s="32" t="str">
        <f ca="1">IF(SUMPRODUCT((ListeB='recap S1'!$B78)*(OFFSET(ListeB,,4)='recap S1'!G$3)*(OFFSET(ListeB,,1)='recap S1'!G$2))&gt;0,SUMPRODUCT((ListeB='recap S1'!$B78)*(OFFSET(ListeB,,4)='recap S1'!G$3)*(OFFSET(ListeB,,1)='recap S1'!G$2)),"")</f>
        <v/>
      </c>
      <c r="H78" s="32"/>
      <c r="I78" s="32" t="str">
        <f ca="1">IF(SUMPRODUCT((ListeB='recap S1'!$B78)*(OFFSET(ListeB,,4)='recap S1'!I$3)*(OFFSET(ListeB,,1)='recap S1'!I$2))&gt;0,SUMPRODUCT((ListeB='recap S1'!$B78)*(OFFSET(ListeB,,4)='recap S1'!I$3)*(OFFSET(ListeB,,1)='recap S1'!I$2)),"")</f>
        <v/>
      </c>
      <c r="J78" s="32" t="str">
        <f ca="1">IF(SUMPRODUCT((ListeB='recap S1'!$B78)*(OFFSET(ListeB,,4)='recap S1'!J$3)*(OFFSET(ListeB,,1)='recap S1'!J$2))&gt;0,SUMPRODUCT((ListeB='recap S1'!$B78)*(OFFSET(ListeB,,4)='recap S1'!J$3)*(OFFSET(ListeB,,1)='recap S1'!J$2)),"")</f>
        <v/>
      </c>
      <c r="K78" s="32" t="str">
        <f ca="1">IF(SUMPRODUCT((ListeB='recap S1'!$B78)*(OFFSET(ListeB,,4)='recap S1'!K$3)*(OFFSET(ListeB,,1)='recap S1'!K$2))&gt;0,SUMPRODUCT((ListeB='recap S1'!$B78)*(OFFSET(ListeB,,4)='recap S1'!K$3)*(OFFSET(ListeB,,1)='recap S1'!K$2)),"")</f>
        <v/>
      </c>
      <c r="L78" s="32"/>
      <c r="M78" s="32" t="str">
        <f ca="1">IF(SUMPRODUCT((ListeB='recap S1'!$B78)*(OFFSET(ListeB,,4)='recap S1'!M$3)*(OFFSET(ListeB,,1)='recap S1'!M$2))&gt;0,SUMPRODUCT((ListeB='recap S1'!$B78)*(OFFSET(ListeB,,4)='recap S1'!M$3)*(OFFSET(ListeB,,1)='recap S1'!M$2)),"")</f>
        <v/>
      </c>
      <c r="N78" s="32" t="str">
        <f ca="1">IF(SUMPRODUCT((ListeB='recap S1'!$B78)*(OFFSET(ListeB,,4)='recap S1'!N$3)*(OFFSET(ListeB,,1)='recap S1'!N$2))&gt;0,SUMPRODUCT((ListeB='recap S1'!$B78)*(OFFSET(ListeB,,4)='recap S1'!N$3)*(OFFSET(ListeB,,1)='recap S1'!N$2)),"")</f>
        <v/>
      </c>
      <c r="O78" s="32"/>
      <c r="P78" s="32" t="str">
        <f ca="1">IF(SUMPRODUCT((ListeB='recap S1'!$B78)*(OFFSET(ListeB,,4)='recap S1'!P$3)*(OFFSET(ListeB,,1)='recap S1'!P$2))&gt;0,SUMPRODUCT((ListeB='recap S1'!$B78)*(OFFSET(ListeB,,4)='recap S1'!P$3)*(OFFSET(ListeB,,1)='recap S1'!P$2)),"")</f>
        <v/>
      </c>
      <c r="Q78" s="32" t="str">
        <f ca="1">IF(SUMPRODUCT((ListeB='recap S1'!$B78)*(OFFSET(ListeB,,4)='recap S1'!Q$3)*(OFFSET(ListeB,,1)='recap S1'!Q$2))&gt;0,SUMPRODUCT((ListeB='recap S1'!$B78)*(OFFSET(ListeB,,4)='recap S1'!Q$3)*(OFFSET(ListeB,,1)='recap S1'!Q$2)),"")</f>
        <v/>
      </c>
      <c r="R78" s="32"/>
      <c r="S78" s="32" t="str">
        <f ca="1">IF(SUMPRODUCT((ListeB='recap S1'!$B78)*(OFFSET(ListeB,,4)='recap S1'!S$3)*(OFFSET(ListeB,,1)='recap S1'!S$2))&gt;0,SUMPRODUCT((ListeB='recap S1'!$B78)*(OFFSET(ListeB,,4)='recap S1'!S$3)*(OFFSET(ListeB,,1)='recap S1'!S$2)),"")</f>
        <v/>
      </c>
      <c r="T78" s="32" t="str">
        <f ca="1">IF(SUMPRODUCT((ListeB='recap S1'!$B78)*(OFFSET(ListeB,,4)='recap S1'!T$3)*(OFFSET(ListeB,,1)='recap S1'!T$2))&gt;0,SUMPRODUCT((ListeB='recap S1'!$B78)*(OFFSET(ListeB,,4)='recap S1'!T$3)*(OFFSET(ListeB,,1)='recap S1'!T$2)),"")</f>
        <v/>
      </c>
      <c r="U78" s="32" t="str">
        <f ca="1">IF(SUMPRODUCT((ListeB='recap S1'!$B78)*(OFFSET(ListeB,,4)='recap S1'!U$3)*(OFFSET(ListeB,,1)='recap S1'!U$2))&gt;0,SUMPRODUCT((ListeB='recap S1'!$B78)*(OFFSET(ListeB,,4)='recap S1'!U$3)*(OFFSET(ListeB,,1)='recap S1'!U$2)),"")</f>
        <v/>
      </c>
      <c r="V78" s="32"/>
      <c r="W78" s="32" t="str">
        <f ca="1">IF(SUMPRODUCT((ListeB='recap S1'!$B78)*(OFFSET(ListeB,,4)='recap S1'!W$3)*(OFFSET(ListeB,,1)='recap S1'!W$2))&gt;0,SUMPRODUCT((ListeB='recap S1'!$B78)*(OFFSET(ListeB,,4)='recap S1'!W$3)*(OFFSET(ListeB,,1)='recap S1'!W$2)),"")</f>
        <v/>
      </c>
      <c r="X78" s="32"/>
      <c r="Y78" s="32" t="str">
        <f ca="1">IF(SUMPRODUCT((ListeB='recap S1'!$B78)*(OFFSET(ListeB,,4)='recap S1'!Y$3)*(OFFSET(ListeB,,1)='recap S1'!Y$2))&gt;0,SUMPRODUCT((ListeB='recap S1'!$B78)*(OFFSET(ListeB,,4)='recap S1'!Y$3)*(OFFSET(ListeB,,1)='recap S1'!Y$2)),"")</f>
        <v/>
      </c>
      <c r="Z78" s="32" t="str">
        <f ca="1">IF(SUMPRODUCT((ListeB='recap S1'!$B78)*(OFFSET(ListeB,,4)='recap S1'!Z$3)*(OFFSET(ListeB,,1)='recap S1'!Z$2))&gt;0,SUMPRODUCT((ListeB='recap S1'!$B78)*(OFFSET(ListeB,,4)='recap S1'!Z$3)*(OFFSET(ListeB,,1)='recap S1'!Z$2)),"")</f>
        <v/>
      </c>
      <c r="AA78" s="32" t="str">
        <f ca="1">IF(SUMPRODUCT((ListeB='recap S1'!$B78)*(OFFSET(ListeB,,4)='recap S1'!AA$3)*(OFFSET(ListeB,,1)='recap S1'!AA$2))&gt;0,SUMPRODUCT((ListeB='recap S1'!$B78)*(OFFSET(ListeB,,4)='recap S1'!AA$3)*(OFFSET(ListeB,,1)='recap S1'!AA$2)),"")</f>
        <v/>
      </c>
      <c r="AB78" s="32"/>
      <c r="AC78" s="32" t="str">
        <f ca="1">IF(SUMPRODUCT((ListeB='recap S1'!$B78)*(OFFSET(ListeB,,4)='recap S1'!AC$3)*(OFFSET(ListeB,,1)='recap S1'!AC$2))&gt;0,SUMPRODUCT((ListeB='recap S1'!$B78)*(OFFSET(ListeB,,4)='recap S1'!AC$3)*(OFFSET(ListeB,,1)='recap S1'!AC$2)),"")</f>
        <v/>
      </c>
      <c r="AD78" s="32"/>
      <c r="AE78" s="32" t="str">
        <f ca="1">IF(SUMPRODUCT((ListeB='recap S1'!$B78)*(OFFSET(ListeB,,4)='recap S1'!AE$3)*(OFFSET(ListeB,,1)='recap S1'!AE$2))&gt;0,SUMPRODUCT((ListeB='recap S1'!$B78)*(OFFSET(ListeB,,4)='recap S1'!AE$3)*(OFFSET(ListeB,,1)='recap S1'!AE$2)),"")</f>
        <v/>
      </c>
      <c r="AF78" s="32" t="str">
        <f ca="1">IF(SUMPRODUCT((ListeB='recap S1'!$B78)*(OFFSET(ListeB,,4)='recap S1'!AF$3)*(OFFSET(ListeB,,1)='recap S1'!AF$2))&gt;0,SUMPRODUCT((ListeB='recap S1'!$B78)*(OFFSET(ListeB,,4)='recap S1'!AF$3)*(OFFSET(ListeB,,1)='recap S1'!AF$2)),"")</f>
        <v/>
      </c>
      <c r="AG78" s="32"/>
      <c r="AH78" s="32" t="str">
        <f ca="1">IF(SUMPRODUCT((ListeB='recap S1'!$B78)*(OFFSET(ListeB,,4)='recap S1'!AH$3)*(OFFSET(ListeB,,1)='recap S1'!AH$2))&gt;0,SUMPRODUCT((ListeB='recap S1'!$B78)*(OFFSET(ListeB,,4)='recap S1'!AH$3)*(OFFSET(ListeB,,1)='recap S1'!AH$2)),"")</f>
        <v/>
      </c>
      <c r="AI78" s="32" t="str">
        <f ca="1">IF(SUMPRODUCT((ListeB='recap S1'!$B78)*(OFFSET(ListeB,,4)='recap S1'!AI$3)*(OFFSET(ListeB,,1)='recap S1'!AI$2))&gt;0,SUMPRODUCT((ListeB='recap S1'!$B78)*(OFFSET(ListeB,,4)='recap S1'!AI$3)*(OFFSET(ListeB,,1)='recap S1'!AI$2)),"")</f>
        <v/>
      </c>
      <c r="AJ78" s="32" t="str">
        <f ca="1">IF(SUMPRODUCT((ListeB='recap S1'!$B78)*(OFFSET(ListeB,,4)='recap S1'!AJ$3)*(OFFSET(ListeB,,1)='recap S1'!AJ$2))&gt;0,SUMPRODUCT((ListeB='recap S1'!$B78)*(OFFSET(ListeB,,4)='recap S1'!AJ$3)*(OFFSET(ListeB,,1)='recap S1'!AJ$2)),"")</f>
        <v/>
      </c>
      <c r="AK78" s="32"/>
      <c r="AL78" s="32" t="str">
        <f ca="1">IF(SUMPRODUCT((ListeB='recap S1'!$B78)*(OFFSET(ListeB,,4)='recap S1'!AL$3)*(OFFSET(ListeB,,1)='recap S1'!AL$2))&gt;0,SUMPRODUCT((ListeB='recap S1'!$B78)*(OFFSET(ListeB,,4)='recap S1'!AL$3)*(OFFSET(ListeB,,1)='recap S1'!AL$2)),"")</f>
        <v/>
      </c>
      <c r="AM78" s="32"/>
      <c r="AN78" s="32" t="str">
        <f ca="1">IF(SUMPRODUCT((ListeB='recap S1'!$B78)*(OFFSET(ListeB,,4)='recap S1'!AN$3)*(OFFSET(ListeB,,1)='recap S1'!AN$2))&gt;0,SUMPRODUCT((ListeB='recap S1'!$B78)*(OFFSET(ListeB,,4)='recap S1'!AN$3)*(OFFSET(ListeB,,1)='recap S1'!AN$2)),"")</f>
        <v/>
      </c>
      <c r="AO78" s="32" t="str">
        <f ca="1">IF(SUMPRODUCT((ListeB='recap S1'!$B78)*(OFFSET(ListeB,,4)='recap S1'!AO$3)*(OFFSET(ListeB,,1)='recap S1'!AO$2))&gt;0,SUMPRODUCT((ListeB='recap S1'!$B78)*(OFFSET(ListeB,,4)='recap S1'!AO$3)*(OFFSET(ListeB,,1)='recap S1'!AO$2)),"")</f>
        <v/>
      </c>
      <c r="AP78" s="32"/>
      <c r="AQ78" s="32"/>
      <c r="AR78" s="32"/>
      <c r="AS78" s="32" t="str">
        <f ca="1">IF(SUMPRODUCT((ListeB='recap S1'!$B78)*(OFFSET(ListeB,,4)='recap S1'!AS$3)*(OFFSET(ListeB,,1)='recap S1'!AS$2))&gt;0,SUMPRODUCT((ListeB='recap S1'!$B78)*(OFFSET(ListeB,,4)='recap S1'!AS$3)*(OFFSET(ListeB,,1)='recap S1'!AS$2)),"")</f>
        <v/>
      </c>
      <c r="AT78" s="32" t="str">
        <f ca="1">IF(SUMPRODUCT((ListeB='recap S1'!$B78)*(OFFSET(ListeB,,4)='recap S1'!AT$3)*(OFFSET(ListeB,,1)='recap S1'!AT$2))&gt;0,SUMPRODUCT((ListeB='recap S1'!$B78)*(OFFSET(ListeB,,4)='recap S1'!AT$3)*(OFFSET(ListeB,,1)='recap S1'!AT$2)),"")</f>
        <v/>
      </c>
      <c r="AU78" s="32"/>
      <c r="AV78" s="32" t="str">
        <f ca="1">IF(SUMPRODUCT((ListeB='recap S1'!$B78)*(OFFSET(ListeB,,4)='recap S1'!AV$3)*(OFFSET(ListeB,,1)='recap S1'!AV$2))&gt;0,SUMPRODUCT((ListeB='recap S1'!$B78)*(OFFSET(ListeB,,4)='recap S1'!AV$3)*(OFFSET(ListeB,,1)='recap S1'!AV$2)),"")</f>
        <v/>
      </c>
      <c r="AW78" s="32" t="str">
        <f ca="1">IF(SUMPRODUCT((ListeB='recap S1'!$B78)*(OFFSET(ListeB,,4)='recap S1'!AW$3)*(OFFSET(ListeB,,1)='recap S1'!AW$2))&gt;0,SUMPRODUCT((ListeB='recap S1'!$B78)*(OFFSET(ListeB,,4)='recap S1'!AW$3)*(OFFSET(ListeB,,1)='recap S1'!AW$2)),"")</f>
        <v/>
      </c>
      <c r="AX78" s="32" t="str">
        <f ca="1">IF(SUMPRODUCT((ListeB='recap S1'!$B78)*(OFFSET(ListeB,,4)='recap S1'!AX$3)*(OFFSET(ListeB,,1)='recap S1'!AX$2))&gt;0,SUMPRODUCT((ListeB='recap S1'!$B78)*(OFFSET(ListeB,,4)='recap S1'!AX$3)*(OFFSET(ListeB,,1)='recap S1'!AX$2)),"")</f>
        <v/>
      </c>
      <c r="AY78" s="34"/>
      <c r="AZ78" s="32">
        <f t="shared" ca="1" si="2"/>
        <v>0</v>
      </c>
    </row>
    <row r="79" spans="1:52">
      <c r="A79" s="41" t="str">
        <f>IF('SEANCE 1'!$B77&lt;&gt;"",'SEANCE 1'!$A77,"")</f>
        <v/>
      </c>
      <c r="B79" s="41" t="str">
        <f t="array" aca="1" ref="B79" ca="1">IF(ISNA(INDEX(ListeB,MATCH(0,COUNTIF($B$3:B78,ListeB),0))),"",INDEX(ListeB,MATCH(0,COUNTIF($B$3:B78,ListeB),0)))</f>
        <v/>
      </c>
      <c r="C79" s="32" t="str">
        <f ca="1">IF(SUMPRODUCT((ListeB='recap S1'!$B79)*(OFFSET(ListeB,,4)='recap S1'!C$3)*(OFFSET(ListeB,,1)='recap S1'!C$2))&gt;0,SUMPRODUCT((ListeB='recap S1'!$B79)*(OFFSET(ListeB,,4)='recap S1'!C$3)*(OFFSET(ListeB,,1)='recap S1'!C$2)),"")</f>
        <v/>
      </c>
      <c r="D79" s="32" t="str">
        <f ca="1">IF(SUMPRODUCT((ListeB='recap S1'!$B79)*(OFFSET(ListeB,,4)='recap S1'!D$3)*(OFFSET(ListeB,,1)='recap S1'!D$2))&gt;0,SUMPRODUCT((ListeB='recap S1'!$B79)*(OFFSET(ListeB,,4)='recap S1'!D$3)*(OFFSET(ListeB,,1)='recap S1'!D$2)),"")</f>
        <v/>
      </c>
      <c r="E79" s="32"/>
      <c r="F79" s="32" t="str">
        <f ca="1">IF(SUMPRODUCT((ListeB='recap S1'!$B79)*(OFFSET(ListeB,,4)='recap S1'!F$3)*(OFFSET(ListeB,,1)='recap S1'!F$2))&gt;0,SUMPRODUCT((ListeB='recap S1'!$B79)*(OFFSET(ListeB,,4)='recap S1'!F$3)*(OFFSET(ListeB,,1)='recap S1'!F$2)),"")</f>
        <v/>
      </c>
      <c r="G79" s="32" t="str">
        <f ca="1">IF(SUMPRODUCT((ListeB='recap S1'!$B79)*(OFFSET(ListeB,,4)='recap S1'!G$3)*(OFFSET(ListeB,,1)='recap S1'!G$2))&gt;0,SUMPRODUCT((ListeB='recap S1'!$B79)*(OFFSET(ListeB,,4)='recap S1'!G$3)*(OFFSET(ListeB,,1)='recap S1'!G$2)),"")</f>
        <v/>
      </c>
      <c r="H79" s="32"/>
      <c r="I79" s="32" t="str">
        <f ca="1">IF(SUMPRODUCT((ListeB='recap S1'!$B79)*(OFFSET(ListeB,,4)='recap S1'!I$3)*(OFFSET(ListeB,,1)='recap S1'!I$2))&gt;0,SUMPRODUCT((ListeB='recap S1'!$B79)*(OFFSET(ListeB,,4)='recap S1'!I$3)*(OFFSET(ListeB,,1)='recap S1'!I$2)),"")</f>
        <v/>
      </c>
      <c r="J79" s="32" t="str">
        <f ca="1">IF(SUMPRODUCT((ListeB='recap S1'!$B79)*(OFFSET(ListeB,,4)='recap S1'!J$3)*(OFFSET(ListeB,,1)='recap S1'!J$2))&gt;0,SUMPRODUCT((ListeB='recap S1'!$B79)*(OFFSET(ListeB,,4)='recap S1'!J$3)*(OFFSET(ListeB,,1)='recap S1'!J$2)),"")</f>
        <v/>
      </c>
      <c r="K79" s="32" t="str">
        <f ca="1">IF(SUMPRODUCT((ListeB='recap S1'!$B79)*(OFFSET(ListeB,,4)='recap S1'!K$3)*(OFFSET(ListeB,,1)='recap S1'!K$2))&gt;0,SUMPRODUCT((ListeB='recap S1'!$B79)*(OFFSET(ListeB,,4)='recap S1'!K$3)*(OFFSET(ListeB,,1)='recap S1'!K$2)),"")</f>
        <v/>
      </c>
      <c r="L79" s="32"/>
      <c r="M79" s="32" t="str">
        <f ca="1">IF(SUMPRODUCT((ListeB='recap S1'!$B79)*(OFFSET(ListeB,,4)='recap S1'!M$3)*(OFFSET(ListeB,,1)='recap S1'!M$2))&gt;0,SUMPRODUCT((ListeB='recap S1'!$B79)*(OFFSET(ListeB,,4)='recap S1'!M$3)*(OFFSET(ListeB,,1)='recap S1'!M$2)),"")</f>
        <v/>
      </c>
      <c r="N79" s="32" t="str">
        <f ca="1">IF(SUMPRODUCT((ListeB='recap S1'!$B79)*(OFFSET(ListeB,,4)='recap S1'!N$3)*(OFFSET(ListeB,,1)='recap S1'!N$2))&gt;0,SUMPRODUCT((ListeB='recap S1'!$B79)*(OFFSET(ListeB,,4)='recap S1'!N$3)*(OFFSET(ListeB,,1)='recap S1'!N$2)),"")</f>
        <v/>
      </c>
      <c r="O79" s="32"/>
      <c r="P79" s="32" t="str">
        <f ca="1">IF(SUMPRODUCT((ListeB='recap S1'!$B79)*(OFFSET(ListeB,,4)='recap S1'!P$3)*(OFFSET(ListeB,,1)='recap S1'!P$2))&gt;0,SUMPRODUCT((ListeB='recap S1'!$B79)*(OFFSET(ListeB,,4)='recap S1'!P$3)*(OFFSET(ListeB,,1)='recap S1'!P$2)),"")</f>
        <v/>
      </c>
      <c r="Q79" s="32" t="str">
        <f ca="1">IF(SUMPRODUCT((ListeB='recap S1'!$B79)*(OFFSET(ListeB,,4)='recap S1'!Q$3)*(OFFSET(ListeB,,1)='recap S1'!Q$2))&gt;0,SUMPRODUCT((ListeB='recap S1'!$B79)*(OFFSET(ListeB,,4)='recap S1'!Q$3)*(OFFSET(ListeB,,1)='recap S1'!Q$2)),"")</f>
        <v/>
      </c>
      <c r="R79" s="32"/>
      <c r="S79" s="32" t="str">
        <f ca="1">IF(SUMPRODUCT((ListeB='recap S1'!$B79)*(OFFSET(ListeB,,4)='recap S1'!S$3)*(OFFSET(ListeB,,1)='recap S1'!S$2))&gt;0,SUMPRODUCT((ListeB='recap S1'!$B79)*(OFFSET(ListeB,,4)='recap S1'!S$3)*(OFFSET(ListeB,,1)='recap S1'!S$2)),"")</f>
        <v/>
      </c>
      <c r="T79" s="32" t="str">
        <f ca="1">IF(SUMPRODUCT((ListeB='recap S1'!$B79)*(OFFSET(ListeB,,4)='recap S1'!T$3)*(OFFSET(ListeB,,1)='recap S1'!T$2))&gt;0,SUMPRODUCT((ListeB='recap S1'!$B79)*(OFFSET(ListeB,,4)='recap S1'!T$3)*(OFFSET(ListeB,,1)='recap S1'!T$2)),"")</f>
        <v/>
      </c>
      <c r="U79" s="32" t="str">
        <f ca="1">IF(SUMPRODUCT((ListeB='recap S1'!$B79)*(OFFSET(ListeB,,4)='recap S1'!U$3)*(OFFSET(ListeB,,1)='recap S1'!U$2))&gt;0,SUMPRODUCT((ListeB='recap S1'!$B79)*(OFFSET(ListeB,,4)='recap S1'!U$3)*(OFFSET(ListeB,,1)='recap S1'!U$2)),"")</f>
        <v/>
      </c>
      <c r="V79" s="32"/>
      <c r="W79" s="32" t="str">
        <f ca="1">IF(SUMPRODUCT((ListeB='recap S1'!$B79)*(OFFSET(ListeB,,4)='recap S1'!W$3)*(OFFSET(ListeB,,1)='recap S1'!W$2))&gt;0,SUMPRODUCT((ListeB='recap S1'!$B79)*(OFFSET(ListeB,,4)='recap S1'!W$3)*(OFFSET(ListeB,,1)='recap S1'!W$2)),"")</f>
        <v/>
      </c>
      <c r="X79" s="32"/>
      <c r="Y79" s="32" t="str">
        <f ca="1">IF(SUMPRODUCT((ListeB='recap S1'!$B79)*(OFFSET(ListeB,,4)='recap S1'!Y$3)*(OFFSET(ListeB,,1)='recap S1'!Y$2))&gt;0,SUMPRODUCT((ListeB='recap S1'!$B79)*(OFFSET(ListeB,,4)='recap S1'!Y$3)*(OFFSET(ListeB,,1)='recap S1'!Y$2)),"")</f>
        <v/>
      </c>
      <c r="Z79" s="32" t="str">
        <f ca="1">IF(SUMPRODUCT((ListeB='recap S1'!$B79)*(OFFSET(ListeB,,4)='recap S1'!Z$3)*(OFFSET(ListeB,,1)='recap S1'!Z$2))&gt;0,SUMPRODUCT((ListeB='recap S1'!$B79)*(OFFSET(ListeB,,4)='recap S1'!Z$3)*(OFFSET(ListeB,,1)='recap S1'!Z$2)),"")</f>
        <v/>
      </c>
      <c r="AA79" s="32" t="str">
        <f ca="1">IF(SUMPRODUCT((ListeB='recap S1'!$B79)*(OFFSET(ListeB,,4)='recap S1'!AA$3)*(OFFSET(ListeB,,1)='recap S1'!AA$2))&gt;0,SUMPRODUCT((ListeB='recap S1'!$B79)*(OFFSET(ListeB,,4)='recap S1'!AA$3)*(OFFSET(ListeB,,1)='recap S1'!AA$2)),"")</f>
        <v/>
      </c>
      <c r="AB79" s="32"/>
      <c r="AC79" s="32" t="str">
        <f ca="1">IF(SUMPRODUCT((ListeB='recap S1'!$B79)*(OFFSET(ListeB,,4)='recap S1'!AC$3)*(OFFSET(ListeB,,1)='recap S1'!AC$2))&gt;0,SUMPRODUCT((ListeB='recap S1'!$B79)*(OFFSET(ListeB,,4)='recap S1'!AC$3)*(OFFSET(ListeB,,1)='recap S1'!AC$2)),"")</f>
        <v/>
      </c>
      <c r="AD79" s="32"/>
      <c r="AE79" s="32" t="str">
        <f ca="1">IF(SUMPRODUCT((ListeB='recap S1'!$B79)*(OFFSET(ListeB,,4)='recap S1'!AE$3)*(OFFSET(ListeB,,1)='recap S1'!AE$2))&gt;0,SUMPRODUCT((ListeB='recap S1'!$B79)*(OFFSET(ListeB,,4)='recap S1'!AE$3)*(OFFSET(ListeB,,1)='recap S1'!AE$2)),"")</f>
        <v/>
      </c>
      <c r="AF79" s="32" t="str">
        <f ca="1">IF(SUMPRODUCT((ListeB='recap S1'!$B79)*(OFFSET(ListeB,,4)='recap S1'!AF$3)*(OFFSET(ListeB,,1)='recap S1'!AF$2))&gt;0,SUMPRODUCT((ListeB='recap S1'!$B79)*(OFFSET(ListeB,,4)='recap S1'!AF$3)*(OFFSET(ListeB,,1)='recap S1'!AF$2)),"")</f>
        <v/>
      </c>
      <c r="AG79" s="32"/>
      <c r="AH79" s="32" t="str">
        <f ca="1">IF(SUMPRODUCT((ListeB='recap S1'!$B79)*(OFFSET(ListeB,,4)='recap S1'!AH$3)*(OFFSET(ListeB,,1)='recap S1'!AH$2))&gt;0,SUMPRODUCT((ListeB='recap S1'!$B79)*(OFFSET(ListeB,,4)='recap S1'!AH$3)*(OFFSET(ListeB,,1)='recap S1'!AH$2)),"")</f>
        <v/>
      </c>
      <c r="AI79" s="32" t="str">
        <f ca="1">IF(SUMPRODUCT((ListeB='recap S1'!$B79)*(OFFSET(ListeB,,4)='recap S1'!AI$3)*(OFFSET(ListeB,,1)='recap S1'!AI$2))&gt;0,SUMPRODUCT((ListeB='recap S1'!$B79)*(OFFSET(ListeB,,4)='recap S1'!AI$3)*(OFFSET(ListeB,,1)='recap S1'!AI$2)),"")</f>
        <v/>
      </c>
      <c r="AJ79" s="32" t="str">
        <f ca="1">IF(SUMPRODUCT((ListeB='recap S1'!$B79)*(OFFSET(ListeB,,4)='recap S1'!AJ$3)*(OFFSET(ListeB,,1)='recap S1'!AJ$2))&gt;0,SUMPRODUCT((ListeB='recap S1'!$B79)*(OFFSET(ListeB,,4)='recap S1'!AJ$3)*(OFFSET(ListeB,,1)='recap S1'!AJ$2)),"")</f>
        <v/>
      </c>
      <c r="AK79" s="32"/>
      <c r="AL79" s="32" t="str">
        <f ca="1">IF(SUMPRODUCT((ListeB='recap S1'!$B79)*(OFFSET(ListeB,,4)='recap S1'!AL$3)*(OFFSET(ListeB,,1)='recap S1'!AL$2))&gt;0,SUMPRODUCT((ListeB='recap S1'!$B79)*(OFFSET(ListeB,,4)='recap S1'!AL$3)*(OFFSET(ListeB,,1)='recap S1'!AL$2)),"")</f>
        <v/>
      </c>
      <c r="AM79" s="32"/>
      <c r="AN79" s="32" t="str">
        <f ca="1">IF(SUMPRODUCT((ListeB='recap S1'!$B79)*(OFFSET(ListeB,,4)='recap S1'!AN$3)*(OFFSET(ListeB,,1)='recap S1'!AN$2))&gt;0,SUMPRODUCT((ListeB='recap S1'!$B79)*(OFFSET(ListeB,,4)='recap S1'!AN$3)*(OFFSET(ListeB,,1)='recap S1'!AN$2)),"")</f>
        <v/>
      </c>
      <c r="AO79" s="32" t="str">
        <f ca="1">IF(SUMPRODUCT((ListeB='recap S1'!$B79)*(OFFSET(ListeB,,4)='recap S1'!AO$3)*(OFFSET(ListeB,,1)='recap S1'!AO$2))&gt;0,SUMPRODUCT((ListeB='recap S1'!$B79)*(OFFSET(ListeB,,4)='recap S1'!AO$3)*(OFFSET(ListeB,,1)='recap S1'!AO$2)),"")</f>
        <v/>
      </c>
      <c r="AP79" s="32"/>
      <c r="AQ79" s="32"/>
      <c r="AR79" s="32"/>
      <c r="AS79" s="32" t="str">
        <f ca="1">IF(SUMPRODUCT((ListeB='recap S1'!$B79)*(OFFSET(ListeB,,4)='recap S1'!AS$3)*(OFFSET(ListeB,,1)='recap S1'!AS$2))&gt;0,SUMPRODUCT((ListeB='recap S1'!$B79)*(OFFSET(ListeB,,4)='recap S1'!AS$3)*(OFFSET(ListeB,,1)='recap S1'!AS$2)),"")</f>
        <v/>
      </c>
      <c r="AT79" s="32" t="str">
        <f ca="1">IF(SUMPRODUCT((ListeB='recap S1'!$B79)*(OFFSET(ListeB,,4)='recap S1'!AT$3)*(OFFSET(ListeB,,1)='recap S1'!AT$2))&gt;0,SUMPRODUCT((ListeB='recap S1'!$B79)*(OFFSET(ListeB,,4)='recap S1'!AT$3)*(OFFSET(ListeB,,1)='recap S1'!AT$2)),"")</f>
        <v/>
      </c>
      <c r="AU79" s="32"/>
      <c r="AV79" s="32" t="str">
        <f ca="1">IF(SUMPRODUCT((ListeB='recap S1'!$B79)*(OFFSET(ListeB,,4)='recap S1'!AV$3)*(OFFSET(ListeB,,1)='recap S1'!AV$2))&gt;0,SUMPRODUCT((ListeB='recap S1'!$B79)*(OFFSET(ListeB,,4)='recap S1'!AV$3)*(OFFSET(ListeB,,1)='recap S1'!AV$2)),"")</f>
        <v/>
      </c>
      <c r="AW79" s="32" t="str">
        <f ca="1">IF(SUMPRODUCT((ListeB='recap S1'!$B79)*(OFFSET(ListeB,,4)='recap S1'!AW$3)*(OFFSET(ListeB,,1)='recap S1'!AW$2))&gt;0,SUMPRODUCT((ListeB='recap S1'!$B79)*(OFFSET(ListeB,,4)='recap S1'!AW$3)*(OFFSET(ListeB,,1)='recap S1'!AW$2)),"")</f>
        <v/>
      </c>
      <c r="AX79" s="32" t="str">
        <f ca="1">IF(SUMPRODUCT((ListeB='recap S1'!$B79)*(OFFSET(ListeB,,4)='recap S1'!AX$3)*(OFFSET(ListeB,,1)='recap S1'!AX$2))&gt;0,SUMPRODUCT((ListeB='recap S1'!$B79)*(OFFSET(ListeB,,4)='recap S1'!AX$3)*(OFFSET(ListeB,,1)='recap S1'!AX$2)),"")</f>
        <v/>
      </c>
      <c r="AY79" s="34"/>
      <c r="AZ79" s="32">
        <f t="shared" ca="1" si="2"/>
        <v>0</v>
      </c>
    </row>
    <row r="80" spans="1:52">
      <c r="A80" s="41" t="str">
        <f>IF('SEANCE 1'!$B78&lt;&gt;"",'SEANCE 1'!$A78,"")</f>
        <v/>
      </c>
      <c r="B80" s="41" t="str">
        <f t="array" aca="1" ref="B80" ca="1">IF(ISNA(INDEX(ListeB,MATCH(0,COUNTIF($B$3:B79,ListeB),0))),"",INDEX(ListeB,MATCH(0,COUNTIF($B$3:B79,ListeB),0)))</f>
        <v/>
      </c>
      <c r="C80" s="32" t="str">
        <f ca="1">IF(SUMPRODUCT((ListeB='recap S1'!$B80)*(OFFSET(ListeB,,4)='recap S1'!C$3)*(OFFSET(ListeB,,1)='recap S1'!C$2))&gt;0,SUMPRODUCT((ListeB='recap S1'!$B80)*(OFFSET(ListeB,,4)='recap S1'!C$3)*(OFFSET(ListeB,,1)='recap S1'!C$2)),"")</f>
        <v/>
      </c>
      <c r="D80" s="32" t="str">
        <f ca="1">IF(SUMPRODUCT((ListeB='recap S1'!$B80)*(OFFSET(ListeB,,4)='recap S1'!D$3)*(OFFSET(ListeB,,1)='recap S1'!D$2))&gt;0,SUMPRODUCT((ListeB='recap S1'!$B80)*(OFFSET(ListeB,,4)='recap S1'!D$3)*(OFFSET(ListeB,,1)='recap S1'!D$2)),"")</f>
        <v/>
      </c>
      <c r="E80" s="32"/>
      <c r="F80" s="32" t="str">
        <f ca="1">IF(SUMPRODUCT((ListeB='recap S1'!$B80)*(OFFSET(ListeB,,4)='recap S1'!F$3)*(OFFSET(ListeB,,1)='recap S1'!F$2))&gt;0,SUMPRODUCT((ListeB='recap S1'!$B80)*(OFFSET(ListeB,,4)='recap S1'!F$3)*(OFFSET(ListeB,,1)='recap S1'!F$2)),"")</f>
        <v/>
      </c>
      <c r="G80" s="32" t="str">
        <f ca="1">IF(SUMPRODUCT((ListeB='recap S1'!$B80)*(OFFSET(ListeB,,4)='recap S1'!G$3)*(OFFSET(ListeB,,1)='recap S1'!G$2))&gt;0,SUMPRODUCT((ListeB='recap S1'!$B80)*(OFFSET(ListeB,,4)='recap S1'!G$3)*(OFFSET(ListeB,,1)='recap S1'!G$2)),"")</f>
        <v/>
      </c>
      <c r="H80" s="32"/>
      <c r="I80" s="32" t="str">
        <f ca="1">IF(SUMPRODUCT((ListeB='recap S1'!$B80)*(OFFSET(ListeB,,4)='recap S1'!I$3)*(OFFSET(ListeB,,1)='recap S1'!I$2))&gt;0,SUMPRODUCT((ListeB='recap S1'!$B80)*(OFFSET(ListeB,,4)='recap S1'!I$3)*(OFFSET(ListeB,,1)='recap S1'!I$2)),"")</f>
        <v/>
      </c>
      <c r="J80" s="32" t="str">
        <f ca="1">IF(SUMPRODUCT((ListeB='recap S1'!$B80)*(OFFSET(ListeB,,4)='recap S1'!J$3)*(OFFSET(ListeB,,1)='recap S1'!J$2))&gt;0,SUMPRODUCT((ListeB='recap S1'!$B80)*(OFFSET(ListeB,,4)='recap S1'!J$3)*(OFFSET(ListeB,,1)='recap S1'!J$2)),"")</f>
        <v/>
      </c>
      <c r="K80" s="32" t="str">
        <f ca="1">IF(SUMPRODUCT((ListeB='recap S1'!$B80)*(OFFSET(ListeB,,4)='recap S1'!K$3)*(OFFSET(ListeB,,1)='recap S1'!K$2))&gt;0,SUMPRODUCT((ListeB='recap S1'!$B80)*(OFFSET(ListeB,,4)='recap S1'!K$3)*(OFFSET(ListeB,,1)='recap S1'!K$2)),"")</f>
        <v/>
      </c>
      <c r="L80" s="32"/>
      <c r="M80" s="32" t="str">
        <f ca="1">IF(SUMPRODUCT((ListeB='recap S1'!$B80)*(OFFSET(ListeB,,4)='recap S1'!M$3)*(OFFSET(ListeB,,1)='recap S1'!M$2))&gt;0,SUMPRODUCT((ListeB='recap S1'!$B80)*(OFFSET(ListeB,,4)='recap S1'!M$3)*(OFFSET(ListeB,,1)='recap S1'!M$2)),"")</f>
        <v/>
      </c>
      <c r="N80" s="32" t="str">
        <f ca="1">IF(SUMPRODUCT((ListeB='recap S1'!$B80)*(OFFSET(ListeB,,4)='recap S1'!N$3)*(OFFSET(ListeB,,1)='recap S1'!N$2))&gt;0,SUMPRODUCT((ListeB='recap S1'!$B80)*(OFFSET(ListeB,,4)='recap S1'!N$3)*(OFFSET(ListeB,,1)='recap S1'!N$2)),"")</f>
        <v/>
      </c>
      <c r="O80" s="32"/>
      <c r="P80" s="32" t="str">
        <f ca="1">IF(SUMPRODUCT((ListeB='recap S1'!$B80)*(OFFSET(ListeB,,4)='recap S1'!P$3)*(OFFSET(ListeB,,1)='recap S1'!P$2))&gt;0,SUMPRODUCT((ListeB='recap S1'!$B80)*(OFFSET(ListeB,,4)='recap S1'!P$3)*(OFFSET(ListeB,,1)='recap S1'!P$2)),"")</f>
        <v/>
      </c>
      <c r="Q80" s="32" t="str">
        <f ca="1">IF(SUMPRODUCT((ListeB='recap S1'!$B80)*(OFFSET(ListeB,,4)='recap S1'!Q$3)*(OFFSET(ListeB,,1)='recap S1'!Q$2))&gt;0,SUMPRODUCT((ListeB='recap S1'!$B80)*(OFFSET(ListeB,,4)='recap S1'!Q$3)*(OFFSET(ListeB,,1)='recap S1'!Q$2)),"")</f>
        <v/>
      </c>
      <c r="R80" s="32"/>
      <c r="S80" s="32" t="str">
        <f ca="1">IF(SUMPRODUCT((ListeB='recap S1'!$B80)*(OFFSET(ListeB,,4)='recap S1'!S$3)*(OFFSET(ListeB,,1)='recap S1'!S$2))&gt;0,SUMPRODUCT((ListeB='recap S1'!$B80)*(OFFSET(ListeB,,4)='recap S1'!S$3)*(OFFSET(ListeB,,1)='recap S1'!S$2)),"")</f>
        <v/>
      </c>
      <c r="T80" s="32" t="str">
        <f ca="1">IF(SUMPRODUCT((ListeB='recap S1'!$B80)*(OFFSET(ListeB,,4)='recap S1'!T$3)*(OFFSET(ListeB,,1)='recap S1'!T$2))&gt;0,SUMPRODUCT((ListeB='recap S1'!$B80)*(OFFSET(ListeB,,4)='recap S1'!T$3)*(OFFSET(ListeB,,1)='recap S1'!T$2)),"")</f>
        <v/>
      </c>
      <c r="U80" s="32" t="str">
        <f ca="1">IF(SUMPRODUCT((ListeB='recap S1'!$B80)*(OFFSET(ListeB,,4)='recap S1'!U$3)*(OFFSET(ListeB,,1)='recap S1'!U$2))&gt;0,SUMPRODUCT((ListeB='recap S1'!$B80)*(OFFSET(ListeB,,4)='recap S1'!U$3)*(OFFSET(ListeB,,1)='recap S1'!U$2)),"")</f>
        <v/>
      </c>
      <c r="V80" s="32"/>
      <c r="W80" s="32" t="str">
        <f ca="1">IF(SUMPRODUCT((ListeB='recap S1'!$B80)*(OFFSET(ListeB,,4)='recap S1'!W$3)*(OFFSET(ListeB,,1)='recap S1'!W$2))&gt;0,SUMPRODUCT((ListeB='recap S1'!$B80)*(OFFSET(ListeB,,4)='recap S1'!W$3)*(OFFSET(ListeB,,1)='recap S1'!W$2)),"")</f>
        <v/>
      </c>
      <c r="X80" s="32"/>
      <c r="Y80" s="32" t="str">
        <f ca="1">IF(SUMPRODUCT((ListeB='recap S1'!$B80)*(OFFSET(ListeB,,4)='recap S1'!Y$3)*(OFFSET(ListeB,,1)='recap S1'!Y$2))&gt;0,SUMPRODUCT((ListeB='recap S1'!$B80)*(OFFSET(ListeB,,4)='recap S1'!Y$3)*(OFFSET(ListeB,,1)='recap S1'!Y$2)),"")</f>
        <v/>
      </c>
      <c r="Z80" s="32" t="str">
        <f ca="1">IF(SUMPRODUCT((ListeB='recap S1'!$B80)*(OFFSET(ListeB,,4)='recap S1'!Z$3)*(OFFSET(ListeB,,1)='recap S1'!Z$2))&gt;0,SUMPRODUCT((ListeB='recap S1'!$B80)*(OFFSET(ListeB,,4)='recap S1'!Z$3)*(OFFSET(ListeB,,1)='recap S1'!Z$2)),"")</f>
        <v/>
      </c>
      <c r="AA80" s="32" t="str">
        <f ca="1">IF(SUMPRODUCT((ListeB='recap S1'!$B80)*(OFFSET(ListeB,,4)='recap S1'!AA$3)*(OFFSET(ListeB,,1)='recap S1'!AA$2))&gt;0,SUMPRODUCT((ListeB='recap S1'!$B80)*(OFFSET(ListeB,,4)='recap S1'!AA$3)*(OFFSET(ListeB,,1)='recap S1'!AA$2)),"")</f>
        <v/>
      </c>
      <c r="AB80" s="32"/>
      <c r="AC80" s="32" t="str">
        <f ca="1">IF(SUMPRODUCT((ListeB='recap S1'!$B80)*(OFFSET(ListeB,,4)='recap S1'!AC$3)*(OFFSET(ListeB,,1)='recap S1'!AC$2))&gt;0,SUMPRODUCT((ListeB='recap S1'!$B80)*(OFFSET(ListeB,,4)='recap S1'!AC$3)*(OFFSET(ListeB,,1)='recap S1'!AC$2)),"")</f>
        <v/>
      </c>
      <c r="AD80" s="32"/>
      <c r="AE80" s="32" t="str">
        <f ca="1">IF(SUMPRODUCT((ListeB='recap S1'!$B80)*(OFFSET(ListeB,,4)='recap S1'!AE$3)*(OFFSET(ListeB,,1)='recap S1'!AE$2))&gt;0,SUMPRODUCT((ListeB='recap S1'!$B80)*(OFFSET(ListeB,,4)='recap S1'!AE$3)*(OFFSET(ListeB,,1)='recap S1'!AE$2)),"")</f>
        <v/>
      </c>
      <c r="AF80" s="32" t="str">
        <f ca="1">IF(SUMPRODUCT((ListeB='recap S1'!$B80)*(OFFSET(ListeB,,4)='recap S1'!AF$3)*(OFFSET(ListeB,,1)='recap S1'!AF$2))&gt;0,SUMPRODUCT((ListeB='recap S1'!$B80)*(OFFSET(ListeB,,4)='recap S1'!AF$3)*(OFFSET(ListeB,,1)='recap S1'!AF$2)),"")</f>
        <v/>
      </c>
      <c r="AG80" s="32"/>
      <c r="AH80" s="32" t="str">
        <f ca="1">IF(SUMPRODUCT((ListeB='recap S1'!$B80)*(OFFSET(ListeB,,4)='recap S1'!AH$3)*(OFFSET(ListeB,,1)='recap S1'!AH$2))&gt;0,SUMPRODUCT((ListeB='recap S1'!$B80)*(OFFSET(ListeB,,4)='recap S1'!AH$3)*(OFFSET(ListeB,,1)='recap S1'!AH$2)),"")</f>
        <v/>
      </c>
      <c r="AI80" s="32" t="str">
        <f ca="1">IF(SUMPRODUCT((ListeB='recap S1'!$B80)*(OFFSET(ListeB,,4)='recap S1'!AI$3)*(OFFSET(ListeB,,1)='recap S1'!AI$2))&gt;0,SUMPRODUCT((ListeB='recap S1'!$B80)*(OFFSET(ListeB,,4)='recap S1'!AI$3)*(OFFSET(ListeB,,1)='recap S1'!AI$2)),"")</f>
        <v/>
      </c>
      <c r="AJ80" s="32" t="str">
        <f ca="1">IF(SUMPRODUCT((ListeB='recap S1'!$B80)*(OFFSET(ListeB,,4)='recap S1'!AJ$3)*(OFFSET(ListeB,,1)='recap S1'!AJ$2))&gt;0,SUMPRODUCT((ListeB='recap S1'!$B80)*(OFFSET(ListeB,,4)='recap S1'!AJ$3)*(OFFSET(ListeB,,1)='recap S1'!AJ$2)),"")</f>
        <v/>
      </c>
      <c r="AK80" s="32"/>
      <c r="AL80" s="32" t="str">
        <f ca="1">IF(SUMPRODUCT((ListeB='recap S1'!$B80)*(OFFSET(ListeB,,4)='recap S1'!AL$3)*(OFFSET(ListeB,,1)='recap S1'!AL$2))&gt;0,SUMPRODUCT((ListeB='recap S1'!$B80)*(OFFSET(ListeB,,4)='recap S1'!AL$3)*(OFFSET(ListeB,,1)='recap S1'!AL$2)),"")</f>
        <v/>
      </c>
      <c r="AM80" s="32"/>
      <c r="AN80" s="32" t="str">
        <f ca="1">IF(SUMPRODUCT((ListeB='recap S1'!$B80)*(OFFSET(ListeB,,4)='recap S1'!AN$3)*(OFFSET(ListeB,,1)='recap S1'!AN$2))&gt;0,SUMPRODUCT((ListeB='recap S1'!$B80)*(OFFSET(ListeB,,4)='recap S1'!AN$3)*(OFFSET(ListeB,,1)='recap S1'!AN$2)),"")</f>
        <v/>
      </c>
      <c r="AO80" s="32" t="str">
        <f ca="1">IF(SUMPRODUCT((ListeB='recap S1'!$B80)*(OFFSET(ListeB,,4)='recap S1'!AO$3)*(OFFSET(ListeB,,1)='recap S1'!AO$2))&gt;0,SUMPRODUCT((ListeB='recap S1'!$B80)*(OFFSET(ListeB,,4)='recap S1'!AO$3)*(OFFSET(ListeB,,1)='recap S1'!AO$2)),"")</f>
        <v/>
      </c>
      <c r="AP80" s="32"/>
      <c r="AQ80" s="32"/>
      <c r="AR80" s="32"/>
      <c r="AS80" s="32" t="str">
        <f ca="1">IF(SUMPRODUCT((ListeB='recap S1'!$B80)*(OFFSET(ListeB,,4)='recap S1'!AS$3)*(OFFSET(ListeB,,1)='recap S1'!AS$2))&gt;0,SUMPRODUCT((ListeB='recap S1'!$B80)*(OFFSET(ListeB,,4)='recap S1'!AS$3)*(OFFSET(ListeB,,1)='recap S1'!AS$2)),"")</f>
        <v/>
      </c>
      <c r="AT80" s="32" t="str">
        <f ca="1">IF(SUMPRODUCT((ListeB='recap S1'!$B80)*(OFFSET(ListeB,,4)='recap S1'!AT$3)*(OFFSET(ListeB,,1)='recap S1'!AT$2))&gt;0,SUMPRODUCT((ListeB='recap S1'!$B80)*(OFFSET(ListeB,,4)='recap S1'!AT$3)*(OFFSET(ListeB,,1)='recap S1'!AT$2)),"")</f>
        <v/>
      </c>
      <c r="AU80" s="32"/>
      <c r="AV80" s="32" t="str">
        <f ca="1">IF(SUMPRODUCT((ListeB='recap S1'!$B80)*(OFFSET(ListeB,,4)='recap S1'!AV$3)*(OFFSET(ListeB,,1)='recap S1'!AV$2))&gt;0,SUMPRODUCT((ListeB='recap S1'!$B80)*(OFFSET(ListeB,,4)='recap S1'!AV$3)*(OFFSET(ListeB,,1)='recap S1'!AV$2)),"")</f>
        <v/>
      </c>
      <c r="AW80" s="32" t="str">
        <f ca="1">IF(SUMPRODUCT((ListeB='recap S1'!$B80)*(OFFSET(ListeB,,4)='recap S1'!AW$3)*(OFFSET(ListeB,,1)='recap S1'!AW$2))&gt;0,SUMPRODUCT((ListeB='recap S1'!$B80)*(OFFSET(ListeB,,4)='recap S1'!AW$3)*(OFFSET(ListeB,,1)='recap S1'!AW$2)),"")</f>
        <v/>
      </c>
      <c r="AX80" s="32" t="str">
        <f ca="1">IF(SUMPRODUCT((ListeB='recap S1'!$B80)*(OFFSET(ListeB,,4)='recap S1'!AX$3)*(OFFSET(ListeB,,1)='recap S1'!AX$2))&gt;0,SUMPRODUCT((ListeB='recap S1'!$B80)*(OFFSET(ListeB,,4)='recap S1'!AX$3)*(OFFSET(ListeB,,1)='recap S1'!AX$2)),"")</f>
        <v/>
      </c>
      <c r="AY80" s="34"/>
      <c r="AZ80" s="32">
        <f t="shared" ca="1" si="2"/>
        <v>0</v>
      </c>
    </row>
    <row r="81" spans="1:52">
      <c r="A81" s="41" t="str">
        <f>IF('SEANCE 1'!$B79&lt;&gt;"",'SEANCE 1'!$A79,"")</f>
        <v/>
      </c>
      <c r="B81" s="41" t="str">
        <f t="array" aca="1" ref="B81" ca="1">IF(ISNA(INDEX(ListeB,MATCH(0,COUNTIF($B$3:B80,ListeB),0))),"",INDEX(ListeB,MATCH(0,COUNTIF($B$3:B80,ListeB),0)))</f>
        <v/>
      </c>
      <c r="C81" s="32" t="str">
        <f ca="1">IF(SUMPRODUCT((ListeB='recap S1'!$B81)*(OFFSET(ListeB,,4)='recap S1'!C$3)*(OFFSET(ListeB,,1)='recap S1'!C$2))&gt;0,SUMPRODUCT((ListeB='recap S1'!$B81)*(OFFSET(ListeB,,4)='recap S1'!C$3)*(OFFSET(ListeB,,1)='recap S1'!C$2)),"")</f>
        <v/>
      </c>
      <c r="D81" s="32" t="str">
        <f ca="1">IF(SUMPRODUCT((ListeB='recap S1'!$B81)*(OFFSET(ListeB,,4)='recap S1'!D$3)*(OFFSET(ListeB,,1)='recap S1'!D$2))&gt;0,SUMPRODUCT((ListeB='recap S1'!$B81)*(OFFSET(ListeB,,4)='recap S1'!D$3)*(OFFSET(ListeB,,1)='recap S1'!D$2)),"")</f>
        <v/>
      </c>
      <c r="E81" s="32"/>
      <c r="F81" s="32" t="str">
        <f ca="1">IF(SUMPRODUCT((ListeB='recap S1'!$B81)*(OFFSET(ListeB,,4)='recap S1'!F$3)*(OFFSET(ListeB,,1)='recap S1'!F$2))&gt;0,SUMPRODUCT((ListeB='recap S1'!$B81)*(OFFSET(ListeB,,4)='recap S1'!F$3)*(OFFSET(ListeB,,1)='recap S1'!F$2)),"")</f>
        <v/>
      </c>
      <c r="G81" s="32" t="str">
        <f ca="1">IF(SUMPRODUCT((ListeB='recap S1'!$B81)*(OFFSET(ListeB,,4)='recap S1'!G$3)*(OFFSET(ListeB,,1)='recap S1'!G$2))&gt;0,SUMPRODUCT((ListeB='recap S1'!$B81)*(OFFSET(ListeB,,4)='recap S1'!G$3)*(OFFSET(ListeB,,1)='recap S1'!G$2)),"")</f>
        <v/>
      </c>
      <c r="H81" s="32"/>
      <c r="I81" s="32" t="str">
        <f ca="1">IF(SUMPRODUCT((ListeB='recap S1'!$B81)*(OFFSET(ListeB,,4)='recap S1'!I$3)*(OFFSET(ListeB,,1)='recap S1'!I$2))&gt;0,SUMPRODUCT((ListeB='recap S1'!$B81)*(OFFSET(ListeB,,4)='recap S1'!I$3)*(OFFSET(ListeB,,1)='recap S1'!I$2)),"")</f>
        <v/>
      </c>
      <c r="J81" s="32" t="str">
        <f ca="1">IF(SUMPRODUCT((ListeB='recap S1'!$B81)*(OFFSET(ListeB,,4)='recap S1'!J$3)*(OFFSET(ListeB,,1)='recap S1'!J$2))&gt;0,SUMPRODUCT((ListeB='recap S1'!$B81)*(OFFSET(ListeB,,4)='recap S1'!J$3)*(OFFSET(ListeB,,1)='recap S1'!J$2)),"")</f>
        <v/>
      </c>
      <c r="K81" s="32" t="str">
        <f ca="1">IF(SUMPRODUCT((ListeB='recap S1'!$B81)*(OFFSET(ListeB,,4)='recap S1'!K$3)*(OFFSET(ListeB,,1)='recap S1'!K$2))&gt;0,SUMPRODUCT((ListeB='recap S1'!$B81)*(OFFSET(ListeB,,4)='recap S1'!K$3)*(OFFSET(ListeB,,1)='recap S1'!K$2)),"")</f>
        <v/>
      </c>
      <c r="L81" s="32"/>
      <c r="M81" s="32" t="str">
        <f ca="1">IF(SUMPRODUCT((ListeB='recap S1'!$B81)*(OFFSET(ListeB,,4)='recap S1'!M$3)*(OFFSET(ListeB,,1)='recap S1'!M$2))&gt;0,SUMPRODUCT((ListeB='recap S1'!$B81)*(OFFSET(ListeB,,4)='recap S1'!M$3)*(OFFSET(ListeB,,1)='recap S1'!M$2)),"")</f>
        <v/>
      </c>
      <c r="N81" s="32" t="str">
        <f ca="1">IF(SUMPRODUCT((ListeB='recap S1'!$B81)*(OFFSET(ListeB,,4)='recap S1'!N$3)*(OFFSET(ListeB,,1)='recap S1'!N$2))&gt;0,SUMPRODUCT((ListeB='recap S1'!$B81)*(OFFSET(ListeB,,4)='recap S1'!N$3)*(OFFSET(ListeB,,1)='recap S1'!N$2)),"")</f>
        <v/>
      </c>
      <c r="O81" s="32"/>
      <c r="P81" s="32" t="str">
        <f ca="1">IF(SUMPRODUCT((ListeB='recap S1'!$B81)*(OFFSET(ListeB,,4)='recap S1'!P$3)*(OFFSET(ListeB,,1)='recap S1'!P$2))&gt;0,SUMPRODUCT((ListeB='recap S1'!$B81)*(OFFSET(ListeB,,4)='recap S1'!P$3)*(OFFSET(ListeB,,1)='recap S1'!P$2)),"")</f>
        <v/>
      </c>
      <c r="Q81" s="32" t="str">
        <f ca="1">IF(SUMPRODUCT((ListeB='recap S1'!$B81)*(OFFSET(ListeB,,4)='recap S1'!Q$3)*(OFFSET(ListeB,,1)='recap S1'!Q$2))&gt;0,SUMPRODUCT((ListeB='recap S1'!$B81)*(OFFSET(ListeB,,4)='recap S1'!Q$3)*(OFFSET(ListeB,,1)='recap S1'!Q$2)),"")</f>
        <v/>
      </c>
      <c r="R81" s="32"/>
      <c r="S81" s="32" t="str">
        <f ca="1">IF(SUMPRODUCT((ListeB='recap S1'!$B81)*(OFFSET(ListeB,,4)='recap S1'!S$3)*(OFFSET(ListeB,,1)='recap S1'!S$2))&gt;0,SUMPRODUCT((ListeB='recap S1'!$B81)*(OFFSET(ListeB,,4)='recap S1'!S$3)*(OFFSET(ListeB,,1)='recap S1'!S$2)),"")</f>
        <v/>
      </c>
      <c r="T81" s="32" t="str">
        <f ca="1">IF(SUMPRODUCT((ListeB='recap S1'!$B81)*(OFFSET(ListeB,,4)='recap S1'!T$3)*(OFFSET(ListeB,,1)='recap S1'!T$2))&gt;0,SUMPRODUCT((ListeB='recap S1'!$B81)*(OFFSET(ListeB,,4)='recap S1'!T$3)*(OFFSET(ListeB,,1)='recap S1'!T$2)),"")</f>
        <v/>
      </c>
      <c r="U81" s="32" t="str">
        <f ca="1">IF(SUMPRODUCT((ListeB='recap S1'!$B81)*(OFFSET(ListeB,,4)='recap S1'!U$3)*(OFFSET(ListeB,,1)='recap S1'!U$2))&gt;0,SUMPRODUCT((ListeB='recap S1'!$B81)*(OFFSET(ListeB,,4)='recap S1'!U$3)*(OFFSET(ListeB,,1)='recap S1'!U$2)),"")</f>
        <v/>
      </c>
      <c r="V81" s="32"/>
      <c r="W81" s="32" t="str">
        <f ca="1">IF(SUMPRODUCT((ListeB='recap S1'!$B81)*(OFFSET(ListeB,,4)='recap S1'!W$3)*(OFFSET(ListeB,,1)='recap S1'!W$2))&gt;0,SUMPRODUCT((ListeB='recap S1'!$B81)*(OFFSET(ListeB,,4)='recap S1'!W$3)*(OFFSET(ListeB,,1)='recap S1'!W$2)),"")</f>
        <v/>
      </c>
      <c r="X81" s="32"/>
      <c r="Y81" s="32" t="str">
        <f ca="1">IF(SUMPRODUCT((ListeB='recap S1'!$B81)*(OFFSET(ListeB,,4)='recap S1'!Y$3)*(OFFSET(ListeB,,1)='recap S1'!Y$2))&gt;0,SUMPRODUCT((ListeB='recap S1'!$B81)*(OFFSET(ListeB,,4)='recap S1'!Y$3)*(OFFSET(ListeB,,1)='recap S1'!Y$2)),"")</f>
        <v/>
      </c>
      <c r="Z81" s="32" t="str">
        <f ca="1">IF(SUMPRODUCT((ListeB='recap S1'!$B81)*(OFFSET(ListeB,,4)='recap S1'!Z$3)*(OFFSET(ListeB,,1)='recap S1'!Z$2))&gt;0,SUMPRODUCT((ListeB='recap S1'!$B81)*(OFFSET(ListeB,,4)='recap S1'!Z$3)*(OFFSET(ListeB,,1)='recap S1'!Z$2)),"")</f>
        <v/>
      </c>
      <c r="AA81" s="32" t="str">
        <f ca="1">IF(SUMPRODUCT((ListeB='recap S1'!$B81)*(OFFSET(ListeB,,4)='recap S1'!AA$3)*(OFFSET(ListeB,,1)='recap S1'!AA$2))&gt;0,SUMPRODUCT((ListeB='recap S1'!$B81)*(OFFSET(ListeB,,4)='recap S1'!AA$3)*(OFFSET(ListeB,,1)='recap S1'!AA$2)),"")</f>
        <v/>
      </c>
      <c r="AB81" s="32"/>
      <c r="AC81" s="32" t="str">
        <f ca="1">IF(SUMPRODUCT((ListeB='recap S1'!$B81)*(OFFSET(ListeB,,4)='recap S1'!AC$3)*(OFFSET(ListeB,,1)='recap S1'!AC$2))&gt;0,SUMPRODUCT((ListeB='recap S1'!$B81)*(OFFSET(ListeB,,4)='recap S1'!AC$3)*(OFFSET(ListeB,,1)='recap S1'!AC$2)),"")</f>
        <v/>
      </c>
      <c r="AD81" s="32"/>
      <c r="AE81" s="32" t="str">
        <f ca="1">IF(SUMPRODUCT((ListeB='recap S1'!$B81)*(OFFSET(ListeB,,4)='recap S1'!AE$3)*(OFFSET(ListeB,,1)='recap S1'!AE$2))&gt;0,SUMPRODUCT((ListeB='recap S1'!$B81)*(OFFSET(ListeB,,4)='recap S1'!AE$3)*(OFFSET(ListeB,,1)='recap S1'!AE$2)),"")</f>
        <v/>
      </c>
      <c r="AF81" s="32" t="str">
        <f ca="1">IF(SUMPRODUCT((ListeB='recap S1'!$B81)*(OFFSET(ListeB,,4)='recap S1'!AF$3)*(OFFSET(ListeB,,1)='recap S1'!AF$2))&gt;0,SUMPRODUCT((ListeB='recap S1'!$B81)*(OFFSET(ListeB,,4)='recap S1'!AF$3)*(OFFSET(ListeB,,1)='recap S1'!AF$2)),"")</f>
        <v/>
      </c>
      <c r="AG81" s="32"/>
      <c r="AH81" s="32" t="str">
        <f ca="1">IF(SUMPRODUCT((ListeB='recap S1'!$B81)*(OFFSET(ListeB,,4)='recap S1'!AH$3)*(OFFSET(ListeB,,1)='recap S1'!AH$2))&gt;0,SUMPRODUCT((ListeB='recap S1'!$B81)*(OFFSET(ListeB,,4)='recap S1'!AH$3)*(OFFSET(ListeB,,1)='recap S1'!AH$2)),"")</f>
        <v/>
      </c>
      <c r="AI81" s="32" t="str">
        <f ca="1">IF(SUMPRODUCT((ListeB='recap S1'!$B81)*(OFFSET(ListeB,,4)='recap S1'!AI$3)*(OFFSET(ListeB,,1)='recap S1'!AI$2))&gt;0,SUMPRODUCT((ListeB='recap S1'!$B81)*(OFFSET(ListeB,,4)='recap S1'!AI$3)*(OFFSET(ListeB,,1)='recap S1'!AI$2)),"")</f>
        <v/>
      </c>
      <c r="AJ81" s="32" t="str">
        <f ca="1">IF(SUMPRODUCT((ListeB='recap S1'!$B81)*(OFFSET(ListeB,,4)='recap S1'!AJ$3)*(OFFSET(ListeB,,1)='recap S1'!AJ$2))&gt;0,SUMPRODUCT((ListeB='recap S1'!$B81)*(OFFSET(ListeB,,4)='recap S1'!AJ$3)*(OFFSET(ListeB,,1)='recap S1'!AJ$2)),"")</f>
        <v/>
      </c>
      <c r="AK81" s="32"/>
      <c r="AL81" s="32" t="str">
        <f ca="1">IF(SUMPRODUCT((ListeB='recap S1'!$B81)*(OFFSET(ListeB,,4)='recap S1'!AL$3)*(OFFSET(ListeB,,1)='recap S1'!AL$2))&gt;0,SUMPRODUCT((ListeB='recap S1'!$B81)*(OFFSET(ListeB,,4)='recap S1'!AL$3)*(OFFSET(ListeB,,1)='recap S1'!AL$2)),"")</f>
        <v/>
      </c>
      <c r="AM81" s="32"/>
      <c r="AN81" s="32" t="str">
        <f ca="1">IF(SUMPRODUCT((ListeB='recap S1'!$B81)*(OFFSET(ListeB,,4)='recap S1'!AN$3)*(OFFSET(ListeB,,1)='recap S1'!AN$2))&gt;0,SUMPRODUCT((ListeB='recap S1'!$B81)*(OFFSET(ListeB,,4)='recap S1'!AN$3)*(OFFSET(ListeB,,1)='recap S1'!AN$2)),"")</f>
        <v/>
      </c>
      <c r="AO81" s="32" t="str">
        <f ca="1">IF(SUMPRODUCT((ListeB='recap S1'!$B81)*(OFFSET(ListeB,,4)='recap S1'!AO$3)*(OFFSET(ListeB,,1)='recap S1'!AO$2))&gt;0,SUMPRODUCT((ListeB='recap S1'!$B81)*(OFFSET(ListeB,,4)='recap S1'!AO$3)*(OFFSET(ListeB,,1)='recap S1'!AO$2)),"")</f>
        <v/>
      </c>
      <c r="AP81" s="32"/>
      <c r="AQ81" s="32"/>
      <c r="AR81" s="32"/>
      <c r="AS81" s="32" t="str">
        <f ca="1">IF(SUMPRODUCT((ListeB='recap S1'!$B81)*(OFFSET(ListeB,,4)='recap S1'!AS$3)*(OFFSET(ListeB,,1)='recap S1'!AS$2))&gt;0,SUMPRODUCT((ListeB='recap S1'!$B81)*(OFFSET(ListeB,,4)='recap S1'!AS$3)*(OFFSET(ListeB,,1)='recap S1'!AS$2)),"")</f>
        <v/>
      </c>
      <c r="AT81" s="32" t="str">
        <f ca="1">IF(SUMPRODUCT((ListeB='recap S1'!$B81)*(OFFSET(ListeB,,4)='recap S1'!AT$3)*(OFFSET(ListeB,,1)='recap S1'!AT$2))&gt;0,SUMPRODUCT((ListeB='recap S1'!$B81)*(OFFSET(ListeB,,4)='recap S1'!AT$3)*(OFFSET(ListeB,,1)='recap S1'!AT$2)),"")</f>
        <v/>
      </c>
      <c r="AU81" s="32"/>
      <c r="AV81" s="32" t="str">
        <f ca="1">IF(SUMPRODUCT((ListeB='recap S1'!$B81)*(OFFSET(ListeB,,4)='recap S1'!AV$3)*(OFFSET(ListeB,,1)='recap S1'!AV$2))&gt;0,SUMPRODUCT((ListeB='recap S1'!$B81)*(OFFSET(ListeB,,4)='recap S1'!AV$3)*(OFFSET(ListeB,,1)='recap S1'!AV$2)),"")</f>
        <v/>
      </c>
      <c r="AW81" s="32" t="str">
        <f ca="1">IF(SUMPRODUCT((ListeB='recap S1'!$B81)*(OFFSET(ListeB,,4)='recap S1'!AW$3)*(OFFSET(ListeB,,1)='recap S1'!AW$2))&gt;0,SUMPRODUCT((ListeB='recap S1'!$B81)*(OFFSET(ListeB,,4)='recap S1'!AW$3)*(OFFSET(ListeB,,1)='recap S1'!AW$2)),"")</f>
        <v/>
      </c>
      <c r="AX81" s="32" t="str">
        <f ca="1">IF(SUMPRODUCT((ListeB='recap S1'!$B81)*(OFFSET(ListeB,,4)='recap S1'!AX$3)*(OFFSET(ListeB,,1)='recap S1'!AX$2))&gt;0,SUMPRODUCT((ListeB='recap S1'!$B81)*(OFFSET(ListeB,,4)='recap S1'!AX$3)*(OFFSET(ListeB,,1)='recap S1'!AX$2)),"")</f>
        <v/>
      </c>
      <c r="AY81" s="34"/>
      <c r="AZ81" s="32">
        <f t="shared" ca="1" si="2"/>
        <v>0</v>
      </c>
    </row>
    <row r="82" spans="1:52">
      <c r="A82" s="41" t="str">
        <f>IF('SEANCE 1'!$B80&lt;&gt;"",'SEANCE 1'!$A80,"")</f>
        <v/>
      </c>
      <c r="B82" s="41" t="str">
        <f t="array" aca="1" ref="B82" ca="1">IF(ISNA(INDEX(ListeB,MATCH(0,COUNTIF($B$3:B81,ListeB),0))),"",INDEX(ListeB,MATCH(0,COUNTIF($B$3:B81,ListeB),0)))</f>
        <v/>
      </c>
      <c r="C82" s="32" t="str">
        <f ca="1">IF(SUMPRODUCT((ListeB='recap S1'!$B82)*(OFFSET(ListeB,,4)='recap S1'!C$3)*(OFFSET(ListeB,,1)='recap S1'!C$2))&gt;0,SUMPRODUCT((ListeB='recap S1'!$B82)*(OFFSET(ListeB,,4)='recap S1'!C$3)*(OFFSET(ListeB,,1)='recap S1'!C$2)),"")</f>
        <v/>
      </c>
      <c r="D82" s="32" t="str">
        <f ca="1">IF(SUMPRODUCT((ListeB='recap S1'!$B82)*(OFFSET(ListeB,,4)='recap S1'!D$3)*(OFFSET(ListeB,,1)='recap S1'!D$2))&gt;0,SUMPRODUCT((ListeB='recap S1'!$B82)*(OFFSET(ListeB,,4)='recap S1'!D$3)*(OFFSET(ListeB,,1)='recap S1'!D$2)),"")</f>
        <v/>
      </c>
      <c r="E82" s="32"/>
      <c r="F82" s="32" t="str">
        <f ca="1">IF(SUMPRODUCT((ListeB='recap S1'!$B82)*(OFFSET(ListeB,,4)='recap S1'!F$3)*(OFFSET(ListeB,,1)='recap S1'!F$2))&gt;0,SUMPRODUCT((ListeB='recap S1'!$B82)*(OFFSET(ListeB,,4)='recap S1'!F$3)*(OFFSET(ListeB,,1)='recap S1'!F$2)),"")</f>
        <v/>
      </c>
      <c r="G82" s="32" t="str">
        <f ca="1">IF(SUMPRODUCT((ListeB='recap S1'!$B82)*(OFFSET(ListeB,,4)='recap S1'!G$3)*(OFFSET(ListeB,,1)='recap S1'!G$2))&gt;0,SUMPRODUCT((ListeB='recap S1'!$B82)*(OFFSET(ListeB,,4)='recap S1'!G$3)*(OFFSET(ListeB,,1)='recap S1'!G$2)),"")</f>
        <v/>
      </c>
      <c r="H82" s="32"/>
      <c r="I82" s="32" t="str">
        <f ca="1">IF(SUMPRODUCT((ListeB='recap S1'!$B82)*(OFFSET(ListeB,,4)='recap S1'!I$3)*(OFFSET(ListeB,,1)='recap S1'!I$2))&gt;0,SUMPRODUCT((ListeB='recap S1'!$B82)*(OFFSET(ListeB,,4)='recap S1'!I$3)*(OFFSET(ListeB,,1)='recap S1'!I$2)),"")</f>
        <v/>
      </c>
      <c r="J82" s="32" t="str">
        <f ca="1">IF(SUMPRODUCT((ListeB='recap S1'!$B82)*(OFFSET(ListeB,,4)='recap S1'!J$3)*(OFFSET(ListeB,,1)='recap S1'!J$2))&gt;0,SUMPRODUCT((ListeB='recap S1'!$B82)*(OFFSET(ListeB,,4)='recap S1'!J$3)*(OFFSET(ListeB,,1)='recap S1'!J$2)),"")</f>
        <v/>
      </c>
      <c r="K82" s="32" t="str">
        <f ca="1">IF(SUMPRODUCT((ListeB='recap S1'!$B82)*(OFFSET(ListeB,,4)='recap S1'!K$3)*(OFFSET(ListeB,,1)='recap S1'!K$2))&gt;0,SUMPRODUCT((ListeB='recap S1'!$B82)*(OFFSET(ListeB,,4)='recap S1'!K$3)*(OFFSET(ListeB,,1)='recap S1'!K$2)),"")</f>
        <v/>
      </c>
      <c r="L82" s="32"/>
      <c r="M82" s="32" t="str">
        <f ca="1">IF(SUMPRODUCT((ListeB='recap S1'!$B82)*(OFFSET(ListeB,,4)='recap S1'!M$3)*(OFFSET(ListeB,,1)='recap S1'!M$2))&gt;0,SUMPRODUCT((ListeB='recap S1'!$B82)*(OFFSET(ListeB,,4)='recap S1'!M$3)*(OFFSET(ListeB,,1)='recap S1'!M$2)),"")</f>
        <v/>
      </c>
      <c r="N82" s="32" t="str">
        <f ca="1">IF(SUMPRODUCT((ListeB='recap S1'!$B82)*(OFFSET(ListeB,,4)='recap S1'!N$3)*(OFFSET(ListeB,,1)='recap S1'!N$2))&gt;0,SUMPRODUCT((ListeB='recap S1'!$B82)*(OFFSET(ListeB,,4)='recap S1'!N$3)*(OFFSET(ListeB,,1)='recap S1'!N$2)),"")</f>
        <v/>
      </c>
      <c r="O82" s="32"/>
      <c r="P82" s="32" t="str">
        <f ca="1">IF(SUMPRODUCT((ListeB='recap S1'!$B82)*(OFFSET(ListeB,,4)='recap S1'!P$3)*(OFFSET(ListeB,,1)='recap S1'!P$2))&gt;0,SUMPRODUCT((ListeB='recap S1'!$B82)*(OFFSET(ListeB,,4)='recap S1'!P$3)*(OFFSET(ListeB,,1)='recap S1'!P$2)),"")</f>
        <v/>
      </c>
      <c r="Q82" s="32" t="str">
        <f ca="1">IF(SUMPRODUCT((ListeB='recap S1'!$B82)*(OFFSET(ListeB,,4)='recap S1'!Q$3)*(OFFSET(ListeB,,1)='recap S1'!Q$2))&gt;0,SUMPRODUCT((ListeB='recap S1'!$B82)*(OFFSET(ListeB,,4)='recap S1'!Q$3)*(OFFSET(ListeB,,1)='recap S1'!Q$2)),"")</f>
        <v/>
      </c>
      <c r="R82" s="32"/>
      <c r="S82" s="32" t="str">
        <f ca="1">IF(SUMPRODUCT((ListeB='recap S1'!$B82)*(OFFSET(ListeB,,4)='recap S1'!S$3)*(OFFSET(ListeB,,1)='recap S1'!S$2))&gt;0,SUMPRODUCT((ListeB='recap S1'!$B82)*(OFFSET(ListeB,,4)='recap S1'!S$3)*(OFFSET(ListeB,,1)='recap S1'!S$2)),"")</f>
        <v/>
      </c>
      <c r="T82" s="32" t="str">
        <f ca="1">IF(SUMPRODUCT((ListeB='recap S1'!$B82)*(OFFSET(ListeB,,4)='recap S1'!T$3)*(OFFSET(ListeB,,1)='recap S1'!T$2))&gt;0,SUMPRODUCT((ListeB='recap S1'!$B82)*(OFFSET(ListeB,,4)='recap S1'!T$3)*(OFFSET(ListeB,,1)='recap S1'!T$2)),"")</f>
        <v/>
      </c>
      <c r="U82" s="32" t="str">
        <f ca="1">IF(SUMPRODUCT((ListeB='recap S1'!$B82)*(OFFSET(ListeB,,4)='recap S1'!U$3)*(OFFSET(ListeB,,1)='recap S1'!U$2))&gt;0,SUMPRODUCT((ListeB='recap S1'!$B82)*(OFFSET(ListeB,,4)='recap S1'!U$3)*(OFFSET(ListeB,,1)='recap S1'!U$2)),"")</f>
        <v/>
      </c>
      <c r="V82" s="32"/>
      <c r="W82" s="32" t="str">
        <f ca="1">IF(SUMPRODUCT((ListeB='recap S1'!$B82)*(OFFSET(ListeB,,4)='recap S1'!W$3)*(OFFSET(ListeB,,1)='recap S1'!W$2))&gt;0,SUMPRODUCT((ListeB='recap S1'!$B82)*(OFFSET(ListeB,,4)='recap S1'!W$3)*(OFFSET(ListeB,,1)='recap S1'!W$2)),"")</f>
        <v/>
      </c>
      <c r="X82" s="32"/>
      <c r="Y82" s="32" t="str">
        <f ca="1">IF(SUMPRODUCT((ListeB='recap S1'!$B82)*(OFFSET(ListeB,,4)='recap S1'!Y$3)*(OFFSET(ListeB,,1)='recap S1'!Y$2))&gt;0,SUMPRODUCT((ListeB='recap S1'!$B82)*(OFFSET(ListeB,,4)='recap S1'!Y$3)*(OFFSET(ListeB,,1)='recap S1'!Y$2)),"")</f>
        <v/>
      </c>
      <c r="Z82" s="32" t="str">
        <f ca="1">IF(SUMPRODUCT((ListeB='recap S1'!$B82)*(OFFSET(ListeB,,4)='recap S1'!Z$3)*(OFFSET(ListeB,,1)='recap S1'!Z$2))&gt;0,SUMPRODUCT((ListeB='recap S1'!$B82)*(OFFSET(ListeB,,4)='recap S1'!Z$3)*(OFFSET(ListeB,,1)='recap S1'!Z$2)),"")</f>
        <v/>
      </c>
      <c r="AA82" s="32" t="str">
        <f ca="1">IF(SUMPRODUCT((ListeB='recap S1'!$B82)*(OFFSET(ListeB,,4)='recap S1'!AA$3)*(OFFSET(ListeB,,1)='recap S1'!AA$2))&gt;0,SUMPRODUCT((ListeB='recap S1'!$B82)*(OFFSET(ListeB,,4)='recap S1'!AA$3)*(OFFSET(ListeB,,1)='recap S1'!AA$2)),"")</f>
        <v/>
      </c>
      <c r="AB82" s="32"/>
      <c r="AC82" s="32" t="str">
        <f ca="1">IF(SUMPRODUCT((ListeB='recap S1'!$B82)*(OFFSET(ListeB,,4)='recap S1'!AC$3)*(OFFSET(ListeB,,1)='recap S1'!AC$2))&gt;0,SUMPRODUCT((ListeB='recap S1'!$B82)*(OFFSET(ListeB,,4)='recap S1'!AC$3)*(OFFSET(ListeB,,1)='recap S1'!AC$2)),"")</f>
        <v/>
      </c>
      <c r="AD82" s="32"/>
      <c r="AE82" s="32" t="str">
        <f ca="1">IF(SUMPRODUCT((ListeB='recap S1'!$B82)*(OFFSET(ListeB,,4)='recap S1'!AE$3)*(OFFSET(ListeB,,1)='recap S1'!AE$2))&gt;0,SUMPRODUCT((ListeB='recap S1'!$B82)*(OFFSET(ListeB,,4)='recap S1'!AE$3)*(OFFSET(ListeB,,1)='recap S1'!AE$2)),"")</f>
        <v/>
      </c>
      <c r="AF82" s="32" t="str">
        <f ca="1">IF(SUMPRODUCT((ListeB='recap S1'!$B82)*(OFFSET(ListeB,,4)='recap S1'!AF$3)*(OFFSET(ListeB,,1)='recap S1'!AF$2))&gt;0,SUMPRODUCT((ListeB='recap S1'!$B82)*(OFFSET(ListeB,,4)='recap S1'!AF$3)*(OFFSET(ListeB,,1)='recap S1'!AF$2)),"")</f>
        <v/>
      </c>
      <c r="AG82" s="32"/>
      <c r="AH82" s="32" t="str">
        <f ca="1">IF(SUMPRODUCT((ListeB='recap S1'!$B82)*(OFFSET(ListeB,,4)='recap S1'!AH$3)*(OFFSET(ListeB,,1)='recap S1'!AH$2))&gt;0,SUMPRODUCT((ListeB='recap S1'!$B82)*(OFFSET(ListeB,,4)='recap S1'!AH$3)*(OFFSET(ListeB,,1)='recap S1'!AH$2)),"")</f>
        <v/>
      </c>
      <c r="AI82" s="32" t="str">
        <f ca="1">IF(SUMPRODUCT((ListeB='recap S1'!$B82)*(OFFSET(ListeB,,4)='recap S1'!AI$3)*(OFFSET(ListeB,,1)='recap S1'!AI$2))&gt;0,SUMPRODUCT((ListeB='recap S1'!$B82)*(OFFSET(ListeB,,4)='recap S1'!AI$3)*(OFFSET(ListeB,,1)='recap S1'!AI$2)),"")</f>
        <v/>
      </c>
      <c r="AJ82" s="32" t="str">
        <f ca="1">IF(SUMPRODUCT((ListeB='recap S1'!$B82)*(OFFSET(ListeB,,4)='recap S1'!AJ$3)*(OFFSET(ListeB,,1)='recap S1'!AJ$2))&gt;0,SUMPRODUCT((ListeB='recap S1'!$B82)*(OFFSET(ListeB,,4)='recap S1'!AJ$3)*(OFFSET(ListeB,,1)='recap S1'!AJ$2)),"")</f>
        <v/>
      </c>
      <c r="AK82" s="32"/>
      <c r="AL82" s="32" t="str">
        <f ca="1">IF(SUMPRODUCT((ListeB='recap S1'!$B82)*(OFFSET(ListeB,,4)='recap S1'!AL$3)*(OFFSET(ListeB,,1)='recap S1'!AL$2))&gt;0,SUMPRODUCT((ListeB='recap S1'!$B82)*(OFFSET(ListeB,,4)='recap S1'!AL$3)*(OFFSET(ListeB,,1)='recap S1'!AL$2)),"")</f>
        <v/>
      </c>
      <c r="AM82" s="32"/>
      <c r="AN82" s="32" t="str">
        <f ca="1">IF(SUMPRODUCT((ListeB='recap S1'!$B82)*(OFFSET(ListeB,,4)='recap S1'!AN$3)*(OFFSET(ListeB,,1)='recap S1'!AN$2))&gt;0,SUMPRODUCT((ListeB='recap S1'!$B82)*(OFFSET(ListeB,,4)='recap S1'!AN$3)*(OFFSET(ListeB,,1)='recap S1'!AN$2)),"")</f>
        <v/>
      </c>
      <c r="AO82" s="32" t="str">
        <f ca="1">IF(SUMPRODUCT((ListeB='recap S1'!$B82)*(OFFSET(ListeB,,4)='recap S1'!AO$3)*(OFFSET(ListeB,,1)='recap S1'!AO$2))&gt;0,SUMPRODUCT((ListeB='recap S1'!$B82)*(OFFSET(ListeB,,4)='recap S1'!AO$3)*(OFFSET(ListeB,,1)='recap S1'!AO$2)),"")</f>
        <v/>
      </c>
      <c r="AP82" s="32"/>
      <c r="AQ82" s="32"/>
      <c r="AR82" s="32"/>
      <c r="AS82" s="32" t="str">
        <f ca="1">IF(SUMPRODUCT((ListeB='recap S1'!$B82)*(OFFSET(ListeB,,4)='recap S1'!AS$3)*(OFFSET(ListeB,,1)='recap S1'!AS$2))&gt;0,SUMPRODUCT((ListeB='recap S1'!$B82)*(OFFSET(ListeB,,4)='recap S1'!AS$3)*(OFFSET(ListeB,,1)='recap S1'!AS$2)),"")</f>
        <v/>
      </c>
      <c r="AT82" s="32" t="str">
        <f ca="1">IF(SUMPRODUCT((ListeB='recap S1'!$B82)*(OFFSET(ListeB,,4)='recap S1'!AT$3)*(OFFSET(ListeB,,1)='recap S1'!AT$2))&gt;0,SUMPRODUCT((ListeB='recap S1'!$B82)*(OFFSET(ListeB,,4)='recap S1'!AT$3)*(OFFSET(ListeB,,1)='recap S1'!AT$2)),"")</f>
        <v/>
      </c>
      <c r="AU82" s="32"/>
      <c r="AV82" s="32" t="str">
        <f ca="1">IF(SUMPRODUCT((ListeB='recap S1'!$B82)*(OFFSET(ListeB,,4)='recap S1'!AV$3)*(OFFSET(ListeB,,1)='recap S1'!AV$2))&gt;0,SUMPRODUCT((ListeB='recap S1'!$B82)*(OFFSET(ListeB,,4)='recap S1'!AV$3)*(OFFSET(ListeB,,1)='recap S1'!AV$2)),"")</f>
        <v/>
      </c>
      <c r="AW82" s="32" t="str">
        <f ca="1">IF(SUMPRODUCT((ListeB='recap S1'!$B82)*(OFFSET(ListeB,,4)='recap S1'!AW$3)*(OFFSET(ListeB,,1)='recap S1'!AW$2))&gt;0,SUMPRODUCT((ListeB='recap S1'!$B82)*(OFFSET(ListeB,,4)='recap S1'!AW$3)*(OFFSET(ListeB,,1)='recap S1'!AW$2)),"")</f>
        <v/>
      </c>
      <c r="AX82" s="32" t="str">
        <f ca="1">IF(SUMPRODUCT((ListeB='recap S1'!$B82)*(OFFSET(ListeB,,4)='recap S1'!AX$3)*(OFFSET(ListeB,,1)='recap S1'!AX$2))&gt;0,SUMPRODUCT((ListeB='recap S1'!$B82)*(OFFSET(ListeB,,4)='recap S1'!AX$3)*(OFFSET(ListeB,,1)='recap S1'!AX$2)),"")</f>
        <v/>
      </c>
      <c r="AY82" s="34"/>
      <c r="AZ82" s="32">
        <f t="shared" ca="1" si="2"/>
        <v>0</v>
      </c>
    </row>
    <row r="83" spans="1:52">
      <c r="A83" s="41" t="str">
        <f>IF('SEANCE 1'!$B81&lt;&gt;"",'SEANCE 1'!$A81,"")</f>
        <v/>
      </c>
      <c r="B83" s="41" t="str">
        <f t="array" aca="1" ref="B83" ca="1">IF(ISNA(INDEX(ListeB,MATCH(0,COUNTIF($B$3:B82,ListeB),0))),"",INDEX(ListeB,MATCH(0,COUNTIF($B$3:B82,ListeB),0)))</f>
        <v/>
      </c>
      <c r="C83" s="32" t="str">
        <f ca="1">IF(SUMPRODUCT((ListeB='recap S1'!$B83)*(OFFSET(ListeB,,4)='recap S1'!C$3)*(OFFSET(ListeB,,1)='recap S1'!C$2))&gt;0,SUMPRODUCT((ListeB='recap S1'!$B83)*(OFFSET(ListeB,,4)='recap S1'!C$3)*(OFFSET(ListeB,,1)='recap S1'!C$2)),"")</f>
        <v/>
      </c>
      <c r="D83" s="32" t="str">
        <f ca="1">IF(SUMPRODUCT((ListeB='recap S1'!$B83)*(OFFSET(ListeB,,4)='recap S1'!D$3)*(OFFSET(ListeB,,1)='recap S1'!D$2))&gt;0,SUMPRODUCT((ListeB='recap S1'!$B83)*(OFFSET(ListeB,,4)='recap S1'!D$3)*(OFFSET(ListeB,,1)='recap S1'!D$2)),"")</f>
        <v/>
      </c>
      <c r="E83" s="32"/>
      <c r="F83" s="32" t="str">
        <f ca="1">IF(SUMPRODUCT((ListeB='recap S1'!$B83)*(OFFSET(ListeB,,4)='recap S1'!F$3)*(OFFSET(ListeB,,1)='recap S1'!F$2))&gt;0,SUMPRODUCT((ListeB='recap S1'!$B83)*(OFFSET(ListeB,,4)='recap S1'!F$3)*(OFFSET(ListeB,,1)='recap S1'!F$2)),"")</f>
        <v/>
      </c>
      <c r="G83" s="32" t="str">
        <f ca="1">IF(SUMPRODUCT((ListeB='recap S1'!$B83)*(OFFSET(ListeB,,4)='recap S1'!G$3)*(OFFSET(ListeB,,1)='recap S1'!G$2))&gt;0,SUMPRODUCT((ListeB='recap S1'!$B83)*(OFFSET(ListeB,,4)='recap S1'!G$3)*(OFFSET(ListeB,,1)='recap S1'!G$2)),"")</f>
        <v/>
      </c>
      <c r="H83" s="32"/>
      <c r="I83" s="32" t="str">
        <f ca="1">IF(SUMPRODUCT((ListeB='recap S1'!$B83)*(OFFSET(ListeB,,4)='recap S1'!I$3)*(OFFSET(ListeB,,1)='recap S1'!I$2))&gt;0,SUMPRODUCT((ListeB='recap S1'!$B83)*(OFFSET(ListeB,,4)='recap S1'!I$3)*(OFFSET(ListeB,,1)='recap S1'!I$2)),"")</f>
        <v/>
      </c>
      <c r="J83" s="32" t="str">
        <f ca="1">IF(SUMPRODUCT((ListeB='recap S1'!$B83)*(OFFSET(ListeB,,4)='recap S1'!J$3)*(OFFSET(ListeB,,1)='recap S1'!J$2))&gt;0,SUMPRODUCT((ListeB='recap S1'!$B83)*(OFFSET(ListeB,,4)='recap S1'!J$3)*(OFFSET(ListeB,,1)='recap S1'!J$2)),"")</f>
        <v/>
      </c>
      <c r="K83" s="32" t="str">
        <f ca="1">IF(SUMPRODUCT((ListeB='recap S1'!$B83)*(OFFSET(ListeB,,4)='recap S1'!K$3)*(OFFSET(ListeB,,1)='recap S1'!K$2))&gt;0,SUMPRODUCT((ListeB='recap S1'!$B83)*(OFFSET(ListeB,,4)='recap S1'!K$3)*(OFFSET(ListeB,,1)='recap S1'!K$2)),"")</f>
        <v/>
      </c>
      <c r="L83" s="32"/>
      <c r="M83" s="32" t="str">
        <f ca="1">IF(SUMPRODUCT((ListeB='recap S1'!$B83)*(OFFSET(ListeB,,4)='recap S1'!M$3)*(OFFSET(ListeB,,1)='recap S1'!M$2))&gt;0,SUMPRODUCT((ListeB='recap S1'!$B83)*(OFFSET(ListeB,,4)='recap S1'!M$3)*(OFFSET(ListeB,,1)='recap S1'!M$2)),"")</f>
        <v/>
      </c>
      <c r="N83" s="32" t="str">
        <f ca="1">IF(SUMPRODUCT((ListeB='recap S1'!$B83)*(OFFSET(ListeB,,4)='recap S1'!N$3)*(OFFSET(ListeB,,1)='recap S1'!N$2))&gt;0,SUMPRODUCT((ListeB='recap S1'!$B83)*(OFFSET(ListeB,,4)='recap S1'!N$3)*(OFFSET(ListeB,,1)='recap S1'!N$2)),"")</f>
        <v/>
      </c>
      <c r="O83" s="32"/>
      <c r="P83" s="32" t="str">
        <f ca="1">IF(SUMPRODUCT((ListeB='recap S1'!$B83)*(OFFSET(ListeB,,4)='recap S1'!P$3)*(OFFSET(ListeB,,1)='recap S1'!P$2))&gt;0,SUMPRODUCT((ListeB='recap S1'!$B83)*(OFFSET(ListeB,,4)='recap S1'!P$3)*(OFFSET(ListeB,,1)='recap S1'!P$2)),"")</f>
        <v/>
      </c>
      <c r="Q83" s="32" t="str">
        <f ca="1">IF(SUMPRODUCT((ListeB='recap S1'!$B83)*(OFFSET(ListeB,,4)='recap S1'!Q$3)*(OFFSET(ListeB,,1)='recap S1'!Q$2))&gt;0,SUMPRODUCT((ListeB='recap S1'!$B83)*(OFFSET(ListeB,,4)='recap S1'!Q$3)*(OFFSET(ListeB,,1)='recap S1'!Q$2)),"")</f>
        <v/>
      </c>
      <c r="R83" s="32"/>
      <c r="S83" s="32" t="str">
        <f ca="1">IF(SUMPRODUCT((ListeB='recap S1'!$B83)*(OFFSET(ListeB,,4)='recap S1'!S$3)*(OFFSET(ListeB,,1)='recap S1'!S$2))&gt;0,SUMPRODUCT((ListeB='recap S1'!$B83)*(OFFSET(ListeB,,4)='recap S1'!S$3)*(OFFSET(ListeB,,1)='recap S1'!S$2)),"")</f>
        <v/>
      </c>
      <c r="T83" s="32" t="str">
        <f ca="1">IF(SUMPRODUCT((ListeB='recap S1'!$B83)*(OFFSET(ListeB,,4)='recap S1'!T$3)*(OFFSET(ListeB,,1)='recap S1'!T$2))&gt;0,SUMPRODUCT((ListeB='recap S1'!$B83)*(OFFSET(ListeB,,4)='recap S1'!T$3)*(OFFSET(ListeB,,1)='recap S1'!T$2)),"")</f>
        <v/>
      </c>
      <c r="U83" s="32" t="str">
        <f ca="1">IF(SUMPRODUCT((ListeB='recap S1'!$B83)*(OFFSET(ListeB,,4)='recap S1'!U$3)*(OFFSET(ListeB,,1)='recap S1'!U$2))&gt;0,SUMPRODUCT((ListeB='recap S1'!$B83)*(OFFSET(ListeB,,4)='recap S1'!U$3)*(OFFSET(ListeB,,1)='recap S1'!U$2)),"")</f>
        <v/>
      </c>
      <c r="V83" s="32"/>
      <c r="W83" s="32" t="str">
        <f ca="1">IF(SUMPRODUCT((ListeB='recap S1'!$B83)*(OFFSET(ListeB,,4)='recap S1'!W$3)*(OFFSET(ListeB,,1)='recap S1'!W$2))&gt;0,SUMPRODUCT((ListeB='recap S1'!$B83)*(OFFSET(ListeB,,4)='recap S1'!W$3)*(OFFSET(ListeB,,1)='recap S1'!W$2)),"")</f>
        <v/>
      </c>
      <c r="X83" s="32"/>
      <c r="Y83" s="32" t="str">
        <f ca="1">IF(SUMPRODUCT((ListeB='recap S1'!$B83)*(OFFSET(ListeB,,4)='recap S1'!Y$3)*(OFFSET(ListeB,,1)='recap S1'!Y$2))&gt;0,SUMPRODUCT((ListeB='recap S1'!$B83)*(OFFSET(ListeB,,4)='recap S1'!Y$3)*(OFFSET(ListeB,,1)='recap S1'!Y$2)),"")</f>
        <v/>
      </c>
      <c r="Z83" s="32" t="str">
        <f ca="1">IF(SUMPRODUCT((ListeB='recap S1'!$B83)*(OFFSET(ListeB,,4)='recap S1'!Z$3)*(OFFSET(ListeB,,1)='recap S1'!Z$2))&gt;0,SUMPRODUCT((ListeB='recap S1'!$B83)*(OFFSET(ListeB,,4)='recap S1'!Z$3)*(OFFSET(ListeB,,1)='recap S1'!Z$2)),"")</f>
        <v/>
      </c>
      <c r="AA83" s="32" t="str">
        <f ca="1">IF(SUMPRODUCT((ListeB='recap S1'!$B83)*(OFFSET(ListeB,,4)='recap S1'!AA$3)*(OFFSET(ListeB,,1)='recap S1'!AA$2))&gt;0,SUMPRODUCT((ListeB='recap S1'!$B83)*(OFFSET(ListeB,,4)='recap S1'!AA$3)*(OFFSET(ListeB,,1)='recap S1'!AA$2)),"")</f>
        <v/>
      </c>
      <c r="AB83" s="32"/>
      <c r="AC83" s="32" t="str">
        <f ca="1">IF(SUMPRODUCT((ListeB='recap S1'!$B83)*(OFFSET(ListeB,,4)='recap S1'!AC$3)*(OFFSET(ListeB,,1)='recap S1'!AC$2))&gt;0,SUMPRODUCT((ListeB='recap S1'!$B83)*(OFFSET(ListeB,,4)='recap S1'!AC$3)*(OFFSET(ListeB,,1)='recap S1'!AC$2)),"")</f>
        <v/>
      </c>
      <c r="AD83" s="32"/>
      <c r="AE83" s="32" t="str">
        <f ca="1">IF(SUMPRODUCT((ListeB='recap S1'!$B83)*(OFFSET(ListeB,,4)='recap S1'!AE$3)*(OFFSET(ListeB,,1)='recap S1'!AE$2))&gt;0,SUMPRODUCT((ListeB='recap S1'!$B83)*(OFFSET(ListeB,,4)='recap S1'!AE$3)*(OFFSET(ListeB,,1)='recap S1'!AE$2)),"")</f>
        <v/>
      </c>
      <c r="AF83" s="32" t="str">
        <f ca="1">IF(SUMPRODUCT((ListeB='recap S1'!$B83)*(OFFSET(ListeB,,4)='recap S1'!AF$3)*(OFFSET(ListeB,,1)='recap S1'!AF$2))&gt;0,SUMPRODUCT((ListeB='recap S1'!$B83)*(OFFSET(ListeB,,4)='recap S1'!AF$3)*(OFFSET(ListeB,,1)='recap S1'!AF$2)),"")</f>
        <v/>
      </c>
      <c r="AG83" s="32"/>
      <c r="AH83" s="32" t="str">
        <f ca="1">IF(SUMPRODUCT((ListeB='recap S1'!$B83)*(OFFSET(ListeB,,4)='recap S1'!AH$3)*(OFFSET(ListeB,,1)='recap S1'!AH$2))&gt;0,SUMPRODUCT((ListeB='recap S1'!$B83)*(OFFSET(ListeB,,4)='recap S1'!AH$3)*(OFFSET(ListeB,,1)='recap S1'!AH$2)),"")</f>
        <v/>
      </c>
      <c r="AI83" s="32" t="str">
        <f ca="1">IF(SUMPRODUCT((ListeB='recap S1'!$B83)*(OFFSET(ListeB,,4)='recap S1'!AI$3)*(OFFSET(ListeB,,1)='recap S1'!AI$2))&gt;0,SUMPRODUCT((ListeB='recap S1'!$B83)*(OFFSET(ListeB,,4)='recap S1'!AI$3)*(OFFSET(ListeB,,1)='recap S1'!AI$2)),"")</f>
        <v/>
      </c>
      <c r="AJ83" s="32" t="str">
        <f ca="1">IF(SUMPRODUCT((ListeB='recap S1'!$B83)*(OFFSET(ListeB,,4)='recap S1'!AJ$3)*(OFFSET(ListeB,,1)='recap S1'!AJ$2))&gt;0,SUMPRODUCT((ListeB='recap S1'!$B83)*(OFFSET(ListeB,,4)='recap S1'!AJ$3)*(OFFSET(ListeB,,1)='recap S1'!AJ$2)),"")</f>
        <v/>
      </c>
      <c r="AK83" s="32"/>
      <c r="AL83" s="32" t="str">
        <f ca="1">IF(SUMPRODUCT((ListeB='recap S1'!$B83)*(OFFSET(ListeB,,4)='recap S1'!AL$3)*(OFFSET(ListeB,,1)='recap S1'!AL$2))&gt;0,SUMPRODUCT((ListeB='recap S1'!$B83)*(OFFSET(ListeB,,4)='recap S1'!AL$3)*(OFFSET(ListeB,,1)='recap S1'!AL$2)),"")</f>
        <v/>
      </c>
      <c r="AM83" s="32"/>
      <c r="AN83" s="32" t="str">
        <f ca="1">IF(SUMPRODUCT((ListeB='recap S1'!$B83)*(OFFSET(ListeB,,4)='recap S1'!AN$3)*(OFFSET(ListeB,,1)='recap S1'!AN$2))&gt;0,SUMPRODUCT((ListeB='recap S1'!$B83)*(OFFSET(ListeB,,4)='recap S1'!AN$3)*(OFFSET(ListeB,,1)='recap S1'!AN$2)),"")</f>
        <v/>
      </c>
      <c r="AO83" s="32" t="str">
        <f ca="1">IF(SUMPRODUCT((ListeB='recap S1'!$B83)*(OFFSET(ListeB,,4)='recap S1'!AO$3)*(OFFSET(ListeB,,1)='recap S1'!AO$2))&gt;0,SUMPRODUCT((ListeB='recap S1'!$B83)*(OFFSET(ListeB,,4)='recap S1'!AO$3)*(OFFSET(ListeB,,1)='recap S1'!AO$2)),"")</f>
        <v/>
      </c>
      <c r="AP83" s="32"/>
      <c r="AQ83" s="32"/>
      <c r="AR83" s="32"/>
      <c r="AS83" s="32" t="str">
        <f ca="1">IF(SUMPRODUCT((ListeB='recap S1'!$B83)*(OFFSET(ListeB,,4)='recap S1'!AS$3)*(OFFSET(ListeB,,1)='recap S1'!AS$2))&gt;0,SUMPRODUCT((ListeB='recap S1'!$B83)*(OFFSET(ListeB,,4)='recap S1'!AS$3)*(OFFSET(ListeB,,1)='recap S1'!AS$2)),"")</f>
        <v/>
      </c>
      <c r="AT83" s="32" t="str">
        <f ca="1">IF(SUMPRODUCT((ListeB='recap S1'!$B83)*(OFFSET(ListeB,,4)='recap S1'!AT$3)*(OFFSET(ListeB,,1)='recap S1'!AT$2))&gt;0,SUMPRODUCT((ListeB='recap S1'!$B83)*(OFFSET(ListeB,,4)='recap S1'!AT$3)*(OFFSET(ListeB,,1)='recap S1'!AT$2)),"")</f>
        <v/>
      </c>
      <c r="AU83" s="32"/>
      <c r="AV83" s="32" t="str">
        <f ca="1">IF(SUMPRODUCT((ListeB='recap S1'!$B83)*(OFFSET(ListeB,,4)='recap S1'!AV$3)*(OFFSET(ListeB,,1)='recap S1'!AV$2))&gt;0,SUMPRODUCT((ListeB='recap S1'!$B83)*(OFFSET(ListeB,,4)='recap S1'!AV$3)*(OFFSET(ListeB,,1)='recap S1'!AV$2)),"")</f>
        <v/>
      </c>
      <c r="AW83" s="32" t="str">
        <f ca="1">IF(SUMPRODUCT((ListeB='recap S1'!$B83)*(OFFSET(ListeB,,4)='recap S1'!AW$3)*(OFFSET(ListeB,,1)='recap S1'!AW$2))&gt;0,SUMPRODUCT((ListeB='recap S1'!$B83)*(OFFSET(ListeB,,4)='recap S1'!AW$3)*(OFFSET(ListeB,,1)='recap S1'!AW$2)),"")</f>
        <v/>
      </c>
      <c r="AX83" s="32" t="str">
        <f ca="1">IF(SUMPRODUCT((ListeB='recap S1'!$B83)*(OFFSET(ListeB,,4)='recap S1'!AX$3)*(OFFSET(ListeB,,1)='recap S1'!AX$2))&gt;0,SUMPRODUCT((ListeB='recap S1'!$B83)*(OFFSET(ListeB,,4)='recap S1'!AX$3)*(OFFSET(ListeB,,1)='recap S1'!AX$2)),"")</f>
        <v/>
      </c>
      <c r="AY83" s="34"/>
      <c r="AZ83" s="32">
        <f t="shared" ca="1" si="2"/>
        <v>0</v>
      </c>
    </row>
    <row r="84" spans="1:52">
      <c r="A84" s="41" t="str">
        <f>IF('SEANCE 1'!$B82&lt;&gt;"",'SEANCE 1'!$A82,"")</f>
        <v/>
      </c>
      <c r="B84" s="41" t="str">
        <f t="array" aca="1" ref="B84" ca="1">IF(ISNA(INDEX(ListeB,MATCH(0,COUNTIF($B$3:B83,ListeB),0))),"",INDEX(ListeB,MATCH(0,COUNTIF($B$3:B83,ListeB),0)))</f>
        <v/>
      </c>
      <c r="C84" s="32" t="str">
        <f ca="1">IF(SUMPRODUCT((ListeB='recap S1'!$B84)*(OFFSET(ListeB,,4)='recap S1'!C$3)*(OFFSET(ListeB,,1)='recap S1'!C$2))&gt;0,SUMPRODUCT((ListeB='recap S1'!$B84)*(OFFSET(ListeB,,4)='recap S1'!C$3)*(OFFSET(ListeB,,1)='recap S1'!C$2)),"")</f>
        <v/>
      </c>
      <c r="D84" s="32" t="str">
        <f ca="1">IF(SUMPRODUCT((ListeB='recap S1'!$B84)*(OFFSET(ListeB,,4)='recap S1'!D$3)*(OFFSET(ListeB,,1)='recap S1'!D$2))&gt;0,SUMPRODUCT((ListeB='recap S1'!$B84)*(OFFSET(ListeB,,4)='recap S1'!D$3)*(OFFSET(ListeB,,1)='recap S1'!D$2)),"")</f>
        <v/>
      </c>
      <c r="E84" s="32"/>
      <c r="F84" s="32" t="str">
        <f ca="1">IF(SUMPRODUCT((ListeB='recap S1'!$B84)*(OFFSET(ListeB,,4)='recap S1'!F$3)*(OFFSET(ListeB,,1)='recap S1'!F$2))&gt;0,SUMPRODUCT((ListeB='recap S1'!$B84)*(OFFSET(ListeB,,4)='recap S1'!F$3)*(OFFSET(ListeB,,1)='recap S1'!F$2)),"")</f>
        <v/>
      </c>
      <c r="G84" s="32" t="str">
        <f ca="1">IF(SUMPRODUCT((ListeB='recap S1'!$B84)*(OFFSET(ListeB,,4)='recap S1'!G$3)*(OFFSET(ListeB,,1)='recap S1'!G$2))&gt;0,SUMPRODUCT((ListeB='recap S1'!$B84)*(OFFSET(ListeB,,4)='recap S1'!G$3)*(OFFSET(ListeB,,1)='recap S1'!G$2)),"")</f>
        <v/>
      </c>
      <c r="H84" s="32"/>
      <c r="I84" s="32" t="str">
        <f ca="1">IF(SUMPRODUCT((ListeB='recap S1'!$B84)*(OFFSET(ListeB,,4)='recap S1'!I$3)*(OFFSET(ListeB,,1)='recap S1'!I$2))&gt;0,SUMPRODUCT((ListeB='recap S1'!$B84)*(OFFSET(ListeB,,4)='recap S1'!I$3)*(OFFSET(ListeB,,1)='recap S1'!I$2)),"")</f>
        <v/>
      </c>
      <c r="J84" s="32" t="str">
        <f ca="1">IF(SUMPRODUCT((ListeB='recap S1'!$B84)*(OFFSET(ListeB,,4)='recap S1'!J$3)*(OFFSET(ListeB,,1)='recap S1'!J$2))&gt;0,SUMPRODUCT((ListeB='recap S1'!$B84)*(OFFSET(ListeB,,4)='recap S1'!J$3)*(OFFSET(ListeB,,1)='recap S1'!J$2)),"")</f>
        <v/>
      </c>
      <c r="K84" s="32" t="str">
        <f ca="1">IF(SUMPRODUCT((ListeB='recap S1'!$B84)*(OFFSET(ListeB,,4)='recap S1'!K$3)*(OFFSET(ListeB,,1)='recap S1'!K$2))&gt;0,SUMPRODUCT((ListeB='recap S1'!$B84)*(OFFSET(ListeB,,4)='recap S1'!K$3)*(OFFSET(ListeB,,1)='recap S1'!K$2)),"")</f>
        <v/>
      </c>
      <c r="L84" s="32"/>
      <c r="M84" s="32" t="str">
        <f ca="1">IF(SUMPRODUCT((ListeB='recap S1'!$B84)*(OFFSET(ListeB,,4)='recap S1'!M$3)*(OFFSET(ListeB,,1)='recap S1'!M$2))&gt;0,SUMPRODUCT((ListeB='recap S1'!$B84)*(OFFSET(ListeB,,4)='recap S1'!M$3)*(OFFSET(ListeB,,1)='recap S1'!M$2)),"")</f>
        <v/>
      </c>
      <c r="N84" s="32" t="str">
        <f ca="1">IF(SUMPRODUCT((ListeB='recap S1'!$B84)*(OFFSET(ListeB,,4)='recap S1'!N$3)*(OFFSET(ListeB,,1)='recap S1'!N$2))&gt;0,SUMPRODUCT((ListeB='recap S1'!$B84)*(OFFSET(ListeB,,4)='recap S1'!N$3)*(OFFSET(ListeB,,1)='recap S1'!N$2)),"")</f>
        <v/>
      </c>
      <c r="O84" s="32"/>
      <c r="P84" s="32" t="str">
        <f ca="1">IF(SUMPRODUCT((ListeB='recap S1'!$B84)*(OFFSET(ListeB,,4)='recap S1'!P$3)*(OFFSET(ListeB,,1)='recap S1'!P$2))&gt;0,SUMPRODUCT((ListeB='recap S1'!$B84)*(OFFSET(ListeB,,4)='recap S1'!P$3)*(OFFSET(ListeB,,1)='recap S1'!P$2)),"")</f>
        <v/>
      </c>
      <c r="Q84" s="32" t="str">
        <f ca="1">IF(SUMPRODUCT((ListeB='recap S1'!$B84)*(OFFSET(ListeB,,4)='recap S1'!Q$3)*(OFFSET(ListeB,,1)='recap S1'!Q$2))&gt;0,SUMPRODUCT((ListeB='recap S1'!$B84)*(OFFSET(ListeB,,4)='recap S1'!Q$3)*(OFFSET(ListeB,,1)='recap S1'!Q$2)),"")</f>
        <v/>
      </c>
      <c r="R84" s="32"/>
      <c r="S84" s="32" t="str">
        <f ca="1">IF(SUMPRODUCT((ListeB='recap S1'!$B84)*(OFFSET(ListeB,,4)='recap S1'!S$3)*(OFFSET(ListeB,,1)='recap S1'!S$2))&gt;0,SUMPRODUCT((ListeB='recap S1'!$B84)*(OFFSET(ListeB,,4)='recap S1'!S$3)*(OFFSET(ListeB,,1)='recap S1'!S$2)),"")</f>
        <v/>
      </c>
      <c r="T84" s="32" t="str">
        <f ca="1">IF(SUMPRODUCT((ListeB='recap S1'!$B84)*(OFFSET(ListeB,,4)='recap S1'!T$3)*(OFFSET(ListeB,,1)='recap S1'!T$2))&gt;0,SUMPRODUCT((ListeB='recap S1'!$B84)*(OFFSET(ListeB,,4)='recap S1'!T$3)*(OFFSET(ListeB,,1)='recap S1'!T$2)),"")</f>
        <v/>
      </c>
      <c r="U84" s="32" t="str">
        <f ca="1">IF(SUMPRODUCT((ListeB='recap S1'!$B84)*(OFFSET(ListeB,,4)='recap S1'!U$3)*(OFFSET(ListeB,,1)='recap S1'!U$2))&gt;0,SUMPRODUCT((ListeB='recap S1'!$B84)*(OFFSET(ListeB,,4)='recap S1'!U$3)*(OFFSET(ListeB,,1)='recap S1'!U$2)),"")</f>
        <v/>
      </c>
      <c r="V84" s="32"/>
      <c r="W84" s="32" t="str">
        <f ca="1">IF(SUMPRODUCT((ListeB='recap S1'!$B84)*(OFFSET(ListeB,,4)='recap S1'!W$3)*(OFFSET(ListeB,,1)='recap S1'!W$2))&gt;0,SUMPRODUCT((ListeB='recap S1'!$B84)*(OFFSET(ListeB,,4)='recap S1'!W$3)*(OFFSET(ListeB,,1)='recap S1'!W$2)),"")</f>
        <v/>
      </c>
      <c r="X84" s="32"/>
      <c r="Y84" s="32" t="str">
        <f ca="1">IF(SUMPRODUCT((ListeB='recap S1'!$B84)*(OFFSET(ListeB,,4)='recap S1'!Y$3)*(OFFSET(ListeB,,1)='recap S1'!Y$2))&gt;0,SUMPRODUCT((ListeB='recap S1'!$B84)*(OFFSET(ListeB,,4)='recap S1'!Y$3)*(OFFSET(ListeB,,1)='recap S1'!Y$2)),"")</f>
        <v/>
      </c>
      <c r="Z84" s="32" t="str">
        <f ca="1">IF(SUMPRODUCT((ListeB='recap S1'!$B84)*(OFFSET(ListeB,,4)='recap S1'!Z$3)*(OFFSET(ListeB,,1)='recap S1'!Z$2))&gt;0,SUMPRODUCT((ListeB='recap S1'!$B84)*(OFFSET(ListeB,,4)='recap S1'!Z$3)*(OFFSET(ListeB,,1)='recap S1'!Z$2)),"")</f>
        <v/>
      </c>
      <c r="AA84" s="32" t="str">
        <f ca="1">IF(SUMPRODUCT((ListeB='recap S1'!$B84)*(OFFSET(ListeB,,4)='recap S1'!AA$3)*(OFFSET(ListeB,,1)='recap S1'!AA$2))&gt;0,SUMPRODUCT((ListeB='recap S1'!$B84)*(OFFSET(ListeB,,4)='recap S1'!AA$3)*(OFFSET(ListeB,,1)='recap S1'!AA$2)),"")</f>
        <v/>
      </c>
      <c r="AB84" s="32"/>
      <c r="AC84" s="32" t="str">
        <f ca="1">IF(SUMPRODUCT((ListeB='recap S1'!$B84)*(OFFSET(ListeB,,4)='recap S1'!AC$3)*(OFFSET(ListeB,,1)='recap S1'!AC$2))&gt;0,SUMPRODUCT((ListeB='recap S1'!$B84)*(OFFSET(ListeB,,4)='recap S1'!AC$3)*(OFFSET(ListeB,,1)='recap S1'!AC$2)),"")</f>
        <v/>
      </c>
      <c r="AD84" s="32"/>
      <c r="AE84" s="32" t="str">
        <f ca="1">IF(SUMPRODUCT((ListeB='recap S1'!$B84)*(OFFSET(ListeB,,4)='recap S1'!AE$3)*(OFFSET(ListeB,,1)='recap S1'!AE$2))&gt;0,SUMPRODUCT((ListeB='recap S1'!$B84)*(OFFSET(ListeB,,4)='recap S1'!AE$3)*(OFFSET(ListeB,,1)='recap S1'!AE$2)),"")</f>
        <v/>
      </c>
      <c r="AF84" s="32" t="str">
        <f ca="1">IF(SUMPRODUCT((ListeB='recap S1'!$B84)*(OFFSET(ListeB,,4)='recap S1'!AF$3)*(OFFSET(ListeB,,1)='recap S1'!AF$2))&gt;0,SUMPRODUCT((ListeB='recap S1'!$B84)*(OFFSET(ListeB,,4)='recap S1'!AF$3)*(OFFSET(ListeB,,1)='recap S1'!AF$2)),"")</f>
        <v/>
      </c>
      <c r="AG84" s="32"/>
      <c r="AH84" s="32" t="str">
        <f ca="1">IF(SUMPRODUCT((ListeB='recap S1'!$B84)*(OFFSET(ListeB,,4)='recap S1'!AH$3)*(OFFSET(ListeB,,1)='recap S1'!AH$2))&gt;0,SUMPRODUCT((ListeB='recap S1'!$B84)*(OFFSET(ListeB,,4)='recap S1'!AH$3)*(OFFSET(ListeB,,1)='recap S1'!AH$2)),"")</f>
        <v/>
      </c>
      <c r="AI84" s="32" t="str">
        <f ca="1">IF(SUMPRODUCT((ListeB='recap S1'!$B84)*(OFFSET(ListeB,,4)='recap S1'!AI$3)*(OFFSET(ListeB,,1)='recap S1'!AI$2))&gt;0,SUMPRODUCT((ListeB='recap S1'!$B84)*(OFFSET(ListeB,,4)='recap S1'!AI$3)*(OFFSET(ListeB,,1)='recap S1'!AI$2)),"")</f>
        <v/>
      </c>
      <c r="AJ84" s="32" t="str">
        <f ca="1">IF(SUMPRODUCT((ListeB='recap S1'!$B84)*(OFFSET(ListeB,,4)='recap S1'!AJ$3)*(OFFSET(ListeB,,1)='recap S1'!AJ$2))&gt;0,SUMPRODUCT((ListeB='recap S1'!$B84)*(OFFSET(ListeB,,4)='recap S1'!AJ$3)*(OFFSET(ListeB,,1)='recap S1'!AJ$2)),"")</f>
        <v/>
      </c>
      <c r="AK84" s="32"/>
      <c r="AL84" s="32" t="str">
        <f ca="1">IF(SUMPRODUCT((ListeB='recap S1'!$B84)*(OFFSET(ListeB,,4)='recap S1'!AL$3)*(OFFSET(ListeB,,1)='recap S1'!AL$2))&gt;0,SUMPRODUCT((ListeB='recap S1'!$B84)*(OFFSET(ListeB,,4)='recap S1'!AL$3)*(OFFSET(ListeB,,1)='recap S1'!AL$2)),"")</f>
        <v/>
      </c>
      <c r="AM84" s="32"/>
      <c r="AN84" s="32" t="str">
        <f ca="1">IF(SUMPRODUCT((ListeB='recap S1'!$B84)*(OFFSET(ListeB,,4)='recap S1'!AN$3)*(OFFSET(ListeB,,1)='recap S1'!AN$2))&gt;0,SUMPRODUCT((ListeB='recap S1'!$B84)*(OFFSET(ListeB,,4)='recap S1'!AN$3)*(OFFSET(ListeB,,1)='recap S1'!AN$2)),"")</f>
        <v/>
      </c>
      <c r="AO84" s="32" t="str">
        <f ca="1">IF(SUMPRODUCT((ListeB='recap S1'!$B84)*(OFFSET(ListeB,,4)='recap S1'!AO$3)*(OFFSET(ListeB,,1)='recap S1'!AO$2))&gt;0,SUMPRODUCT((ListeB='recap S1'!$B84)*(OFFSET(ListeB,,4)='recap S1'!AO$3)*(OFFSET(ListeB,,1)='recap S1'!AO$2)),"")</f>
        <v/>
      </c>
      <c r="AP84" s="32"/>
      <c r="AQ84" s="32"/>
      <c r="AR84" s="32"/>
      <c r="AS84" s="32" t="str">
        <f ca="1">IF(SUMPRODUCT((ListeB='recap S1'!$B84)*(OFFSET(ListeB,,4)='recap S1'!AS$3)*(OFFSET(ListeB,,1)='recap S1'!AS$2))&gt;0,SUMPRODUCT((ListeB='recap S1'!$B84)*(OFFSET(ListeB,,4)='recap S1'!AS$3)*(OFFSET(ListeB,,1)='recap S1'!AS$2)),"")</f>
        <v/>
      </c>
      <c r="AT84" s="32" t="str">
        <f ca="1">IF(SUMPRODUCT((ListeB='recap S1'!$B84)*(OFFSET(ListeB,,4)='recap S1'!AT$3)*(OFFSET(ListeB,,1)='recap S1'!AT$2))&gt;0,SUMPRODUCT((ListeB='recap S1'!$B84)*(OFFSET(ListeB,,4)='recap S1'!AT$3)*(OFFSET(ListeB,,1)='recap S1'!AT$2)),"")</f>
        <v/>
      </c>
      <c r="AU84" s="32"/>
      <c r="AV84" s="32" t="str">
        <f ca="1">IF(SUMPRODUCT((ListeB='recap S1'!$B84)*(OFFSET(ListeB,,4)='recap S1'!AV$3)*(OFFSET(ListeB,,1)='recap S1'!AV$2))&gt;0,SUMPRODUCT((ListeB='recap S1'!$B84)*(OFFSET(ListeB,,4)='recap S1'!AV$3)*(OFFSET(ListeB,,1)='recap S1'!AV$2)),"")</f>
        <v/>
      </c>
      <c r="AW84" s="32" t="str">
        <f ca="1">IF(SUMPRODUCT((ListeB='recap S1'!$B84)*(OFFSET(ListeB,,4)='recap S1'!AW$3)*(OFFSET(ListeB,,1)='recap S1'!AW$2))&gt;0,SUMPRODUCT((ListeB='recap S1'!$B84)*(OFFSET(ListeB,,4)='recap S1'!AW$3)*(OFFSET(ListeB,,1)='recap S1'!AW$2)),"")</f>
        <v/>
      </c>
      <c r="AX84" s="32" t="str">
        <f ca="1">IF(SUMPRODUCT((ListeB='recap S1'!$B84)*(OFFSET(ListeB,,4)='recap S1'!AX$3)*(OFFSET(ListeB,,1)='recap S1'!AX$2))&gt;0,SUMPRODUCT((ListeB='recap S1'!$B84)*(OFFSET(ListeB,,4)='recap S1'!AX$3)*(OFFSET(ListeB,,1)='recap S1'!AX$2)),"")</f>
        <v/>
      </c>
      <c r="AY84" s="34"/>
      <c r="AZ84" s="32">
        <f t="shared" ca="1" si="2"/>
        <v>0</v>
      </c>
    </row>
    <row r="85" spans="1:52">
      <c r="A85" s="41" t="str">
        <f>IF('SEANCE 1'!$B83&lt;&gt;"",'SEANCE 1'!$A83,"")</f>
        <v/>
      </c>
      <c r="B85" s="41" t="str">
        <f t="array" aca="1" ref="B85" ca="1">IF(ISNA(INDEX(ListeB,MATCH(0,COUNTIF($B$3:B84,ListeB),0))),"",INDEX(ListeB,MATCH(0,COUNTIF($B$3:B84,ListeB),0)))</f>
        <v/>
      </c>
      <c r="C85" s="32" t="str">
        <f ca="1">IF(SUMPRODUCT((ListeB='recap S1'!$B85)*(OFFSET(ListeB,,4)='recap S1'!C$3)*(OFFSET(ListeB,,1)='recap S1'!C$2))&gt;0,SUMPRODUCT((ListeB='recap S1'!$B85)*(OFFSET(ListeB,,4)='recap S1'!C$3)*(OFFSET(ListeB,,1)='recap S1'!C$2)),"")</f>
        <v/>
      </c>
      <c r="D85" s="32" t="str">
        <f ca="1">IF(SUMPRODUCT((ListeB='recap S1'!$B85)*(OFFSET(ListeB,,4)='recap S1'!D$3)*(OFFSET(ListeB,,1)='recap S1'!D$2))&gt;0,SUMPRODUCT((ListeB='recap S1'!$B85)*(OFFSET(ListeB,,4)='recap S1'!D$3)*(OFFSET(ListeB,,1)='recap S1'!D$2)),"")</f>
        <v/>
      </c>
      <c r="E85" s="32"/>
      <c r="F85" s="32" t="str">
        <f ca="1">IF(SUMPRODUCT((ListeB='recap S1'!$B85)*(OFFSET(ListeB,,4)='recap S1'!F$3)*(OFFSET(ListeB,,1)='recap S1'!F$2))&gt;0,SUMPRODUCT((ListeB='recap S1'!$B85)*(OFFSET(ListeB,,4)='recap S1'!F$3)*(OFFSET(ListeB,,1)='recap S1'!F$2)),"")</f>
        <v/>
      </c>
      <c r="G85" s="32" t="str">
        <f ca="1">IF(SUMPRODUCT((ListeB='recap S1'!$B85)*(OFFSET(ListeB,,4)='recap S1'!G$3)*(OFFSET(ListeB,,1)='recap S1'!G$2))&gt;0,SUMPRODUCT((ListeB='recap S1'!$B85)*(OFFSET(ListeB,,4)='recap S1'!G$3)*(OFFSET(ListeB,,1)='recap S1'!G$2)),"")</f>
        <v/>
      </c>
      <c r="H85" s="32"/>
      <c r="I85" s="32" t="str">
        <f ca="1">IF(SUMPRODUCT((ListeB='recap S1'!$B85)*(OFFSET(ListeB,,4)='recap S1'!I$3)*(OFFSET(ListeB,,1)='recap S1'!I$2))&gt;0,SUMPRODUCT((ListeB='recap S1'!$B85)*(OFFSET(ListeB,,4)='recap S1'!I$3)*(OFFSET(ListeB,,1)='recap S1'!I$2)),"")</f>
        <v/>
      </c>
      <c r="J85" s="32" t="str">
        <f ca="1">IF(SUMPRODUCT((ListeB='recap S1'!$B85)*(OFFSET(ListeB,,4)='recap S1'!J$3)*(OFFSET(ListeB,,1)='recap S1'!J$2))&gt;0,SUMPRODUCT((ListeB='recap S1'!$B85)*(OFFSET(ListeB,,4)='recap S1'!J$3)*(OFFSET(ListeB,,1)='recap S1'!J$2)),"")</f>
        <v/>
      </c>
      <c r="K85" s="32" t="str">
        <f ca="1">IF(SUMPRODUCT((ListeB='recap S1'!$B85)*(OFFSET(ListeB,,4)='recap S1'!K$3)*(OFFSET(ListeB,,1)='recap S1'!K$2))&gt;0,SUMPRODUCT((ListeB='recap S1'!$B85)*(OFFSET(ListeB,,4)='recap S1'!K$3)*(OFFSET(ListeB,,1)='recap S1'!K$2)),"")</f>
        <v/>
      </c>
      <c r="L85" s="32"/>
      <c r="M85" s="32" t="str">
        <f ca="1">IF(SUMPRODUCT((ListeB='recap S1'!$B85)*(OFFSET(ListeB,,4)='recap S1'!M$3)*(OFFSET(ListeB,,1)='recap S1'!M$2))&gt;0,SUMPRODUCT((ListeB='recap S1'!$B85)*(OFFSET(ListeB,,4)='recap S1'!M$3)*(OFFSET(ListeB,,1)='recap S1'!M$2)),"")</f>
        <v/>
      </c>
      <c r="N85" s="32" t="str">
        <f ca="1">IF(SUMPRODUCT((ListeB='recap S1'!$B85)*(OFFSET(ListeB,,4)='recap S1'!N$3)*(OFFSET(ListeB,,1)='recap S1'!N$2))&gt;0,SUMPRODUCT((ListeB='recap S1'!$B85)*(OFFSET(ListeB,,4)='recap S1'!N$3)*(OFFSET(ListeB,,1)='recap S1'!N$2)),"")</f>
        <v/>
      </c>
      <c r="O85" s="32"/>
      <c r="P85" s="32" t="str">
        <f ca="1">IF(SUMPRODUCT((ListeB='recap S1'!$B85)*(OFFSET(ListeB,,4)='recap S1'!P$3)*(OFFSET(ListeB,,1)='recap S1'!P$2))&gt;0,SUMPRODUCT((ListeB='recap S1'!$B85)*(OFFSET(ListeB,,4)='recap S1'!P$3)*(OFFSET(ListeB,,1)='recap S1'!P$2)),"")</f>
        <v/>
      </c>
      <c r="Q85" s="32" t="str">
        <f ca="1">IF(SUMPRODUCT((ListeB='recap S1'!$B85)*(OFFSET(ListeB,,4)='recap S1'!Q$3)*(OFFSET(ListeB,,1)='recap S1'!Q$2))&gt;0,SUMPRODUCT((ListeB='recap S1'!$B85)*(OFFSET(ListeB,,4)='recap S1'!Q$3)*(OFFSET(ListeB,,1)='recap S1'!Q$2)),"")</f>
        <v/>
      </c>
      <c r="R85" s="32"/>
      <c r="S85" s="32" t="str">
        <f ca="1">IF(SUMPRODUCT((ListeB='recap S1'!$B85)*(OFFSET(ListeB,,4)='recap S1'!S$3)*(OFFSET(ListeB,,1)='recap S1'!S$2))&gt;0,SUMPRODUCT((ListeB='recap S1'!$B85)*(OFFSET(ListeB,,4)='recap S1'!S$3)*(OFFSET(ListeB,,1)='recap S1'!S$2)),"")</f>
        <v/>
      </c>
      <c r="T85" s="32" t="str">
        <f ca="1">IF(SUMPRODUCT((ListeB='recap S1'!$B85)*(OFFSET(ListeB,,4)='recap S1'!T$3)*(OFFSET(ListeB,,1)='recap S1'!T$2))&gt;0,SUMPRODUCT((ListeB='recap S1'!$B85)*(OFFSET(ListeB,,4)='recap S1'!T$3)*(OFFSET(ListeB,,1)='recap S1'!T$2)),"")</f>
        <v/>
      </c>
      <c r="U85" s="32" t="str">
        <f ca="1">IF(SUMPRODUCT((ListeB='recap S1'!$B85)*(OFFSET(ListeB,,4)='recap S1'!U$3)*(OFFSET(ListeB,,1)='recap S1'!U$2))&gt;0,SUMPRODUCT((ListeB='recap S1'!$B85)*(OFFSET(ListeB,,4)='recap S1'!U$3)*(OFFSET(ListeB,,1)='recap S1'!U$2)),"")</f>
        <v/>
      </c>
      <c r="V85" s="32"/>
      <c r="W85" s="32" t="str">
        <f ca="1">IF(SUMPRODUCT((ListeB='recap S1'!$B85)*(OFFSET(ListeB,,4)='recap S1'!W$3)*(OFFSET(ListeB,,1)='recap S1'!W$2))&gt;0,SUMPRODUCT((ListeB='recap S1'!$B85)*(OFFSET(ListeB,,4)='recap S1'!W$3)*(OFFSET(ListeB,,1)='recap S1'!W$2)),"")</f>
        <v/>
      </c>
      <c r="X85" s="32"/>
      <c r="Y85" s="32" t="str">
        <f ca="1">IF(SUMPRODUCT((ListeB='recap S1'!$B85)*(OFFSET(ListeB,,4)='recap S1'!Y$3)*(OFFSET(ListeB,,1)='recap S1'!Y$2))&gt;0,SUMPRODUCT((ListeB='recap S1'!$B85)*(OFFSET(ListeB,,4)='recap S1'!Y$3)*(OFFSET(ListeB,,1)='recap S1'!Y$2)),"")</f>
        <v/>
      </c>
      <c r="Z85" s="32" t="str">
        <f ca="1">IF(SUMPRODUCT((ListeB='recap S1'!$B85)*(OFFSET(ListeB,,4)='recap S1'!Z$3)*(OFFSET(ListeB,,1)='recap S1'!Z$2))&gt;0,SUMPRODUCT((ListeB='recap S1'!$B85)*(OFFSET(ListeB,,4)='recap S1'!Z$3)*(OFFSET(ListeB,,1)='recap S1'!Z$2)),"")</f>
        <v/>
      </c>
      <c r="AA85" s="32" t="str">
        <f ca="1">IF(SUMPRODUCT((ListeB='recap S1'!$B85)*(OFFSET(ListeB,,4)='recap S1'!AA$3)*(OFFSET(ListeB,,1)='recap S1'!AA$2))&gt;0,SUMPRODUCT((ListeB='recap S1'!$B85)*(OFFSET(ListeB,,4)='recap S1'!AA$3)*(OFFSET(ListeB,,1)='recap S1'!AA$2)),"")</f>
        <v/>
      </c>
      <c r="AB85" s="32"/>
      <c r="AC85" s="32" t="str">
        <f ca="1">IF(SUMPRODUCT((ListeB='recap S1'!$B85)*(OFFSET(ListeB,,4)='recap S1'!AC$3)*(OFFSET(ListeB,,1)='recap S1'!AC$2))&gt;0,SUMPRODUCT((ListeB='recap S1'!$B85)*(OFFSET(ListeB,,4)='recap S1'!AC$3)*(OFFSET(ListeB,,1)='recap S1'!AC$2)),"")</f>
        <v/>
      </c>
      <c r="AD85" s="32"/>
      <c r="AE85" s="32" t="str">
        <f ca="1">IF(SUMPRODUCT((ListeB='recap S1'!$B85)*(OFFSET(ListeB,,4)='recap S1'!AE$3)*(OFFSET(ListeB,,1)='recap S1'!AE$2))&gt;0,SUMPRODUCT((ListeB='recap S1'!$B85)*(OFFSET(ListeB,,4)='recap S1'!AE$3)*(OFFSET(ListeB,,1)='recap S1'!AE$2)),"")</f>
        <v/>
      </c>
      <c r="AF85" s="32" t="str">
        <f ca="1">IF(SUMPRODUCT((ListeB='recap S1'!$B85)*(OFFSET(ListeB,,4)='recap S1'!AF$3)*(OFFSET(ListeB,,1)='recap S1'!AF$2))&gt;0,SUMPRODUCT((ListeB='recap S1'!$B85)*(OFFSET(ListeB,,4)='recap S1'!AF$3)*(OFFSET(ListeB,,1)='recap S1'!AF$2)),"")</f>
        <v/>
      </c>
      <c r="AG85" s="32"/>
      <c r="AH85" s="32" t="str">
        <f ca="1">IF(SUMPRODUCT((ListeB='recap S1'!$B85)*(OFFSET(ListeB,,4)='recap S1'!AH$3)*(OFFSET(ListeB,,1)='recap S1'!AH$2))&gt;0,SUMPRODUCT((ListeB='recap S1'!$B85)*(OFFSET(ListeB,,4)='recap S1'!AH$3)*(OFFSET(ListeB,,1)='recap S1'!AH$2)),"")</f>
        <v/>
      </c>
      <c r="AI85" s="32" t="str">
        <f ca="1">IF(SUMPRODUCT((ListeB='recap S1'!$B85)*(OFFSET(ListeB,,4)='recap S1'!AI$3)*(OFFSET(ListeB,,1)='recap S1'!AI$2))&gt;0,SUMPRODUCT((ListeB='recap S1'!$B85)*(OFFSET(ListeB,,4)='recap S1'!AI$3)*(OFFSET(ListeB,,1)='recap S1'!AI$2)),"")</f>
        <v/>
      </c>
      <c r="AJ85" s="32" t="str">
        <f ca="1">IF(SUMPRODUCT((ListeB='recap S1'!$B85)*(OFFSET(ListeB,,4)='recap S1'!AJ$3)*(OFFSET(ListeB,,1)='recap S1'!AJ$2))&gt;0,SUMPRODUCT((ListeB='recap S1'!$B85)*(OFFSET(ListeB,,4)='recap S1'!AJ$3)*(OFFSET(ListeB,,1)='recap S1'!AJ$2)),"")</f>
        <v/>
      </c>
      <c r="AK85" s="32"/>
      <c r="AL85" s="32" t="str">
        <f ca="1">IF(SUMPRODUCT((ListeB='recap S1'!$B85)*(OFFSET(ListeB,,4)='recap S1'!AL$3)*(OFFSET(ListeB,,1)='recap S1'!AL$2))&gt;0,SUMPRODUCT((ListeB='recap S1'!$B85)*(OFFSET(ListeB,,4)='recap S1'!AL$3)*(OFFSET(ListeB,,1)='recap S1'!AL$2)),"")</f>
        <v/>
      </c>
      <c r="AM85" s="32"/>
      <c r="AN85" s="32" t="str">
        <f ca="1">IF(SUMPRODUCT((ListeB='recap S1'!$B85)*(OFFSET(ListeB,,4)='recap S1'!AN$3)*(OFFSET(ListeB,,1)='recap S1'!AN$2))&gt;0,SUMPRODUCT((ListeB='recap S1'!$B85)*(OFFSET(ListeB,,4)='recap S1'!AN$3)*(OFFSET(ListeB,,1)='recap S1'!AN$2)),"")</f>
        <v/>
      </c>
      <c r="AO85" s="32" t="str">
        <f ca="1">IF(SUMPRODUCT((ListeB='recap S1'!$B85)*(OFFSET(ListeB,,4)='recap S1'!AO$3)*(OFFSET(ListeB,,1)='recap S1'!AO$2))&gt;0,SUMPRODUCT((ListeB='recap S1'!$B85)*(OFFSET(ListeB,,4)='recap S1'!AO$3)*(OFFSET(ListeB,,1)='recap S1'!AO$2)),"")</f>
        <v/>
      </c>
      <c r="AP85" s="32"/>
      <c r="AQ85" s="32"/>
      <c r="AR85" s="32"/>
      <c r="AS85" s="32" t="str">
        <f ca="1">IF(SUMPRODUCT((ListeB='recap S1'!$B85)*(OFFSET(ListeB,,4)='recap S1'!AS$3)*(OFFSET(ListeB,,1)='recap S1'!AS$2))&gt;0,SUMPRODUCT((ListeB='recap S1'!$B85)*(OFFSET(ListeB,,4)='recap S1'!AS$3)*(OFFSET(ListeB,,1)='recap S1'!AS$2)),"")</f>
        <v/>
      </c>
      <c r="AT85" s="32" t="str">
        <f ca="1">IF(SUMPRODUCT((ListeB='recap S1'!$B85)*(OFFSET(ListeB,,4)='recap S1'!AT$3)*(OFFSET(ListeB,,1)='recap S1'!AT$2))&gt;0,SUMPRODUCT((ListeB='recap S1'!$B85)*(OFFSET(ListeB,,4)='recap S1'!AT$3)*(OFFSET(ListeB,,1)='recap S1'!AT$2)),"")</f>
        <v/>
      </c>
      <c r="AU85" s="32"/>
      <c r="AV85" s="32" t="str">
        <f ca="1">IF(SUMPRODUCT((ListeB='recap S1'!$B85)*(OFFSET(ListeB,,4)='recap S1'!AV$3)*(OFFSET(ListeB,,1)='recap S1'!AV$2))&gt;0,SUMPRODUCT((ListeB='recap S1'!$B85)*(OFFSET(ListeB,,4)='recap S1'!AV$3)*(OFFSET(ListeB,,1)='recap S1'!AV$2)),"")</f>
        <v/>
      </c>
      <c r="AW85" s="32" t="str">
        <f ca="1">IF(SUMPRODUCT((ListeB='recap S1'!$B85)*(OFFSET(ListeB,,4)='recap S1'!AW$3)*(OFFSET(ListeB,,1)='recap S1'!AW$2))&gt;0,SUMPRODUCT((ListeB='recap S1'!$B85)*(OFFSET(ListeB,,4)='recap S1'!AW$3)*(OFFSET(ListeB,,1)='recap S1'!AW$2)),"")</f>
        <v/>
      </c>
      <c r="AX85" s="32" t="str">
        <f ca="1">IF(SUMPRODUCT((ListeB='recap S1'!$B85)*(OFFSET(ListeB,,4)='recap S1'!AX$3)*(OFFSET(ListeB,,1)='recap S1'!AX$2))&gt;0,SUMPRODUCT((ListeB='recap S1'!$B85)*(OFFSET(ListeB,,4)='recap S1'!AX$3)*(OFFSET(ListeB,,1)='recap S1'!AX$2)),"")</f>
        <v/>
      </c>
      <c r="AY85" s="34"/>
      <c r="AZ85" s="32">
        <f t="shared" ca="1" si="2"/>
        <v>0</v>
      </c>
    </row>
    <row r="86" spans="1:52">
      <c r="A86" s="41" t="str">
        <f>IF('SEANCE 1'!$B84&lt;&gt;"",'SEANCE 1'!$A84,"")</f>
        <v/>
      </c>
      <c r="B86" s="41" t="str">
        <f t="array" aca="1" ref="B86" ca="1">IF(ISNA(INDEX(ListeB,MATCH(0,COUNTIF($B$3:B85,ListeB),0))),"",INDEX(ListeB,MATCH(0,COUNTIF($B$3:B85,ListeB),0)))</f>
        <v/>
      </c>
      <c r="C86" s="32" t="str">
        <f ca="1">IF(SUMPRODUCT((ListeB='recap S1'!$B86)*(OFFSET(ListeB,,4)='recap S1'!C$3)*(OFFSET(ListeB,,1)='recap S1'!C$2))&gt;0,SUMPRODUCT((ListeB='recap S1'!$B86)*(OFFSET(ListeB,,4)='recap S1'!C$3)*(OFFSET(ListeB,,1)='recap S1'!C$2)),"")</f>
        <v/>
      </c>
      <c r="D86" s="32" t="str">
        <f ca="1">IF(SUMPRODUCT((ListeB='recap S1'!$B86)*(OFFSET(ListeB,,4)='recap S1'!D$3)*(OFFSET(ListeB,,1)='recap S1'!D$2))&gt;0,SUMPRODUCT((ListeB='recap S1'!$B86)*(OFFSET(ListeB,,4)='recap S1'!D$3)*(OFFSET(ListeB,,1)='recap S1'!D$2)),"")</f>
        <v/>
      </c>
      <c r="E86" s="32"/>
      <c r="F86" s="32" t="str">
        <f ca="1">IF(SUMPRODUCT((ListeB='recap S1'!$B86)*(OFFSET(ListeB,,4)='recap S1'!F$3)*(OFFSET(ListeB,,1)='recap S1'!F$2))&gt;0,SUMPRODUCT((ListeB='recap S1'!$B86)*(OFFSET(ListeB,,4)='recap S1'!F$3)*(OFFSET(ListeB,,1)='recap S1'!F$2)),"")</f>
        <v/>
      </c>
      <c r="G86" s="32" t="str">
        <f ca="1">IF(SUMPRODUCT((ListeB='recap S1'!$B86)*(OFFSET(ListeB,,4)='recap S1'!G$3)*(OFFSET(ListeB,,1)='recap S1'!G$2))&gt;0,SUMPRODUCT((ListeB='recap S1'!$B86)*(OFFSET(ListeB,,4)='recap S1'!G$3)*(OFFSET(ListeB,,1)='recap S1'!G$2)),"")</f>
        <v/>
      </c>
      <c r="H86" s="32"/>
      <c r="I86" s="32" t="str">
        <f ca="1">IF(SUMPRODUCT((ListeB='recap S1'!$B86)*(OFFSET(ListeB,,4)='recap S1'!I$3)*(OFFSET(ListeB,,1)='recap S1'!I$2))&gt;0,SUMPRODUCT((ListeB='recap S1'!$B86)*(OFFSET(ListeB,,4)='recap S1'!I$3)*(OFFSET(ListeB,,1)='recap S1'!I$2)),"")</f>
        <v/>
      </c>
      <c r="J86" s="32" t="str">
        <f ca="1">IF(SUMPRODUCT((ListeB='recap S1'!$B86)*(OFFSET(ListeB,,4)='recap S1'!J$3)*(OFFSET(ListeB,,1)='recap S1'!J$2))&gt;0,SUMPRODUCT((ListeB='recap S1'!$B86)*(OFFSET(ListeB,,4)='recap S1'!J$3)*(OFFSET(ListeB,,1)='recap S1'!J$2)),"")</f>
        <v/>
      </c>
      <c r="K86" s="32" t="str">
        <f ca="1">IF(SUMPRODUCT((ListeB='recap S1'!$B86)*(OFFSET(ListeB,,4)='recap S1'!K$3)*(OFFSET(ListeB,,1)='recap S1'!K$2))&gt;0,SUMPRODUCT((ListeB='recap S1'!$B86)*(OFFSET(ListeB,,4)='recap S1'!K$3)*(OFFSET(ListeB,,1)='recap S1'!K$2)),"")</f>
        <v/>
      </c>
      <c r="L86" s="32"/>
      <c r="M86" s="32" t="str">
        <f ca="1">IF(SUMPRODUCT((ListeB='recap S1'!$B86)*(OFFSET(ListeB,,4)='recap S1'!M$3)*(OFFSET(ListeB,,1)='recap S1'!M$2))&gt;0,SUMPRODUCT((ListeB='recap S1'!$B86)*(OFFSET(ListeB,,4)='recap S1'!M$3)*(OFFSET(ListeB,,1)='recap S1'!M$2)),"")</f>
        <v/>
      </c>
      <c r="N86" s="32" t="str">
        <f ca="1">IF(SUMPRODUCT((ListeB='recap S1'!$B86)*(OFFSET(ListeB,,4)='recap S1'!N$3)*(OFFSET(ListeB,,1)='recap S1'!N$2))&gt;0,SUMPRODUCT((ListeB='recap S1'!$B86)*(OFFSET(ListeB,,4)='recap S1'!N$3)*(OFFSET(ListeB,,1)='recap S1'!N$2)),"")</f>
        <v/>
      </c>
      <c r="O86" s="32"/>
      <c r="P86" s="32" t="str">
        <f ca="1">IF(SUMPRODUCT((ListeB='recap S1'!$B86)*(OFFSET(ListeB,,4)='recap S1'!P$3)*(OFFSET(ListeB,,1)='recap S1'!P$2))&gt;0,SUMPRODUCT((ListeB='recap S1'!$B86)*(OFFSET(ListeB,,4)='recap S1'!P$3)*(OFFSET(ListeB,,1)='recap S1'!P$2)),"")</f>
        <v/>
      </c>
      <c r="Q86" s="32" t="str">
        <f ca="1">IF(SUMPRODUCT((ListeB='recap S1'!$B86)*(OFFSET(ListeB,,4)='recap S1'!Q$3)*(OFFSET(ListeB,,1)='recap S1'!Q$2))&gt;0,SUMPRODUCT((ListeB='recap S1'!$B86)*(OFFSET(ListeB,,4)='recap S1'!Q$3)*(OFFSET(ListeB,,1)='recap S1'!Q$2)),"")</f>
        <v/>
      </c>
      <c r="R86" s="32"/>
      <c r="S86" s="32" t="str">
        <f ca="1">IF(SUMPRODUCT((ListeB='recap S1'!$B86)*(OFFSET(ListeB,,4)='recap S1'!S$3)*(OFFSET(ListeB,,1)='recap S1'!S$2))&gt;0,SUMPRODUCT((ListeB='recap S1'!$B86)*(OFFSET(ListeB,,4)='recap S1'!S$3)*(OFFSET(ListeB,,1)='recap S1'!S$2)),"")</f>
        <v/>
      </c>
      <c r="T86" s="32" t="str">
        <f ca="1">IF(SUMPRODUCT((ListeB='recap S1'!$B86)*(OFFSET(ListeB,,4)='recap S1'!T$3)*(OFFSET(ListeB,,1)='recap S1'!T$2))&gt;0,SUMPRODUCT((ListeB='recap S1'!$B86)*(OFFSET(ListeB,,4)='recap S1'!T$3)*(OFFSET(ListeB,,1)='recap S1'!T$2)),"")</f>
        <v/>
      </c>
      <c r="U86" s="32" t="str">
        <f ca="1">IF(SUMPRODUCT((ListeB='recap S1'!$B86)*(OFFSET(ListeB,,4)='recap S1'!U$3)*(OFFSET(ListeB,,1)='recap S1'!U$2))&gt;0,SUMPRODUCT((ListeB='recap S1'!$B86)*(OFFSET(ListeB,,4)='recap S1'!U$3)*(OFFSET(ListeB,,1)='recap S1'!U$2)),"")</f>
        <v/>
      </c>
      <c r="V86" s="32"/>
      <c r="W86" s="32" t="str">
        <f ca="1">IF(SUMPRODUCT((ListeB='recap S1'!$B86)*(OFFSET(ListeB,,4)='recap S1'!W$3)*(OFFSET(ListeB,,1)='recap S1'!W$2))&gt;0,SUMPRODUCT((ListeB='recap S1'!$B86)*(OFFSET(ListeB,,4)='recap S1'!W$3)*(OFFSET(ListeB,,1)='recap S1'!W$2)),"")</f>
        <v/>
      </c>
      <c r="X86" s="32"/>
      <c r="Y86" s="32" t="str">
        <f ca="1">IF(SUMPRODUCT((ListeB='recap S1'!$B86)*(OFFSET(ListeB,,4)='recap S1'!Y$3)*(OFFSET(ListeB,,1)='recap S1'!Y$2))&gt;0,SUMPRODUCT((ListeB='recap S1'!$B86)*(OFFSET(ListeB,,4)='recap S1'!Y$3)*(OFFSET(ListeB,,1)='recap S1'!Y$2)),"")</f>
        <v/>
      </c>
      <c r="Z86" s="32" t="str">
        <f ca="1">IF(SUMPRODUCT((ListeB='recap S1'!$B86)*(OFFSET(ListeB,,4)='recap S1'!Z$3)*(OFFSET(ListeB,,1)='recap S1'!Z$2))&gt;0,SUMPRODUCT((ListeB='recap S1'!$B86)*(OFFSET(ListeB,,4)='recap S1'!Z$3)*(OFFSET(ListeB,,1)='recap S1'!Z$2)),"")</f>
        <v/>
      </c>
      <c r="AA86" s="32" t="str">
        <f ca="1">IF(SUMPRODUCT((ListeB='recap S1'!$B86)*(OFFSET(ListeB,,4)='recap S1'!AA$3)*(OFFSET(ListeB,,1)='recap S1'!AA$2))&gt;0,SUMPRODUCT((ListeB='recap S1'!$B86)*(OFFSET(ListeB,,4)='recap S1'!AA$3)*(OFFSET(ListeB,,1)='recap S1'!AA$2)),"")</f>
        <v/>
      </c>
      <c r="AB86" s="32"/>
      <c r="AC86" s="32" t="str">
        <f ca="1">IF(SUMPRODUCT((ListeB='recap S1'!$B86)*(OFFSET(ListeB,,4)='recap S1'!AC$3)*(OFFSET(ListeB,,1)='recap S1'!AC$2))&gt;0,SUMPRODUCT((ListeB='recap S1'!$B86)*(OFFSET(ListeB,,4)='recap S1'!AC$3)*(OFFSET(ListeB,,1)='recap S1'!AC$2)),"")</f>
        <v/>
      </c>
      <c r="AD86" s="32"/>
      <c r="AE86" s="32" t="str">
        <f ca="1">IF(SUMPRODUCT((ListeB='recap S1'!$B86)*(OFFSET(ListeB,,4)='recap S1'!AE$3)*(OFFSET(ListeB,,1)='recap S1'!AE$2))&gt;0,SUMPRODUCT((ListeB='recap S1'!$B86)*(OFFSET(ListeB,,4)='recap S1'!AE$3)*(OFFSET(ListeB,,1)='recap S1'!AE$2)),"")</f>
        <v/>
      </c>
      <c r="AF86" s="32" t="str">
        <f ca="1">IF(SUMPRODUCT((ListeB='recap S1'!$B86)*(OFFSET(ListeB,,4)='recap S1'!AF$3)*(OFFSET(ListeB,,1)='recap S1'!AF$2))&gt;0,SUMPRODUCT((ListeB='recap S1'!$B86)*(OFFSET(ListeB,,4)='recap S1'!AF$3)*(OFFSET(ListeB,,1)='recap S1'!AF$2)),"")</f>
        <v/>
      </c>
      <c r="AG86" s="32"/>
      <c r="AH86" s="32" t="str">
        <f ca="1">IF(SUMPRODUCT((ListeB='recap S1'!$B86)*(OFFSET(ListeB,,4)='recap S1'!AH$3)*(OFFSET(ListeB,,1)='recap S1'!AH$2))&gt;0,SUMPRODUCT((ListeB='recap S1'!$B86)*(OFFSET(ListeB,,4)='recap S1'!AH$3)*(OFFSET(ListeB,,1)='recap S1'!AH$2)),"")</f>
        <v/>
      </c>
      <c r="AI86" s="32" t="str">
        <f ca="1">IF(SUMPRODUCT((ListeB='recap S1'!$B86)*(OFFSET(ListeB,,4)='recap S1'!AI$3)*(OFFSET(ListeB,,1)='recap S1'!AI$2))&gt;0,SUMPRODUCT((ListeB='recap S1'!$B86)*(OFFSET(ListeB,,4)='recap S1'!AI$3)*(OFFSET(ListeB,,1)='recap S1'!AI$2)),"")</f>
        <v/>
      </c>
      <c r="AJ86" s="32" t="str">
        <f ca="1">IF(SUMPRODUCT((ListeB='recap S1'!$B86)*(OFFSET(ListeB,,4)='recap S1'!AJ$3)*(OFFSET(ListeB,,1)='recap S1'!AJ$2))&gt;0,SUMPRODUCT((ListeB='recap S1'!$B86)*(OFFSET(ListeB,,4)='recap S1'!AJ$3)*(OFFSET(ListeB,,1)='recap S1'!AJ$2)),"")</f>
        <v/>
      </c>
      <c r="AK86" s="32"/>
      <c r="AL86" s="32" t="str">
        <f ca="1">IF(SUMPRODUCT((ListeB='recap S1'!$B86)*(OFFSET(ListeB,,4)='recap S1'!AL$3)*(OFFSET(ListeB,,1)='recap S1'!AL$2))&gt;0,SUMPRODUCT((ListeB='recap S1'!$B86)*(OFFSET(ListeB,,4)='recap S1'!AL$3)*(OFFSET(ListeB,,1)='recap S1'!AL$2)),"")</f>
        <v/>
      </c>
      <c r="AM86" s="32"/>
      <c r="AN86" s="32" t="str">
        <f ca="1">IF(SUMPRODUCT((ListeB='recap S1'!$B86)*(OFFSET(ListeB,,4)='recap S1'!AN$3)*(OFFSET(ListeB,,1)='recap S1'!AN$2))&gt;0,SUMPRODUCT((ListeB='recap S1'!$B86)*(OFFSET(ListeB,,4)='recap S1'!AN$3)*(OFFSET(ListeB,,1)='recap S1'!AN$2)),"")</f>
        <v/>
      </c>
      <c r="AO86" s="32" t="str">
        <f ca="1">IF(SUMPRODUCT((ListeB='recap S1'!$B86)*(OFFSET(ListeB,,4)='recap S1'!AO$3)*(OFFSET(ListeB,,1)='recap S1'!AO$2))&gt;0,SUMPRODUCT((ListeB='recap S1'!$B86)*(OFFSET(ListeB,,4)='recap S1'!AO$3)*(OFFSET(ListeB,,1)='recap S1'!AO$2)),"")</f>
        <v/>
      </c>
      <c r="AP86" s="32"/>
      <c r="AQ86" s="32"/>
      <c r="AR86" s="32"/>
      <c r="AS86" s="32" t="str">
        <f ca="1">IF(SUMPRODUCT((ListeB='recap S1'!$B86)*(OFFSET(ListeB,,4)='recap S1'!AS$3)*(OFFSET(ListeB,,1)='recap S1'!AS$2))&gt;0,SUMPRODUCT((ListeB='recap S1'!$B86)*(OFFSET(ListeB,,4)='recap S1'!AS$3)*(OFFSET(ListeB,,1)='recap S1'!AS$2)),"")</f>
        <v/>
      </c>
      <c r="AT86" s="32" t="str">
        <f ca="1">IF(SUMPRODUCT((ListeB='recap S1'!$B86)*(OFFSET(ListeB,,4)='recap S1'!AT$3)*(OFFSET(ListeB,,1)='recap S1'!AT$2))&gt;0,SUMPRODUCT((ListeB='recap S1'!$B86)*(OFFSET(ListeB,,4)='recap S1'!AT$3)*(OFFSET(ListeB,,1)='recap S1'!AT$2)),"")</f>
        <v/>
      </c>
      <c r="AU86" s="32"/>
      <c r="AV86" s="32" t="str">
        <f ca="1">IF(SUMPRODUCT((ListeB='recap S1'!$B86)*(OFFSET(ListeB,,4)='recap S1'!AV$3)*(OFFSET(ListeB,,1)='recap S1'!AV$2))&gt;0,SUMPRODUCT((ListeB='recap S1'!$B86)*(OFFSET(ListeB,,4)='recap S1'!AV$3)*(OFFSET(ListeB,,1)='recap S1'!AV$2)),"")</f>
        <v/>
      </c>
      <c r="AW86" s="32" t="str">
        <f ca="1">IF(SUMPRODUCT((ListeB='recap S1'!$B86)*(OFFSET(ListeB,,4)='recap S1'!AW$3)*(OFFSET(ListeB,,1)='recap S1'!AW$2))&gt;0,SUMPRODUCT((ListeB='recap S1'!$B86)*(OFFSET(ListeB,,4)='recap S1'!AW$3)*(OFFSET(ListeB,,1)='recap S1'!AW$2)),"")</f>
        <v/>
      </c>
      <c r="AX86" s="32" t="str">
        <f ca="1">IF(SUMPRODUCT((ListeB='recap S1'!$B86)*(OFFSET(ListeB,,4)='recap S1'!AX$3)*(OFFSET(ListeB,,1)='recap S1'!AX$2))&gt;0,SUMPRODUCT((ListeB='recap S1'!$B86)*(OFFSET(ListeB,,4)='recap S1'!AX$3)*(OFFSET(ListeB,,1)='recap S1'!AX$2)),"")</f>
        <v/>
      </c>
      <c r="AY86" s="34"/>
      <c r="AZ86" s="32">
        <f t="shared" ca="1" si="2"/>
        <v>0</v>
      </c>
    </row>
    <row r="87" spans="1:52">
      <c r="A87" s="41" t="str">
        <f>IF('SEANCE 1'!$B85&lt;&gt;"",'SEANCE 1'!$A85,"")</f>
        <v/>
      </c>
      <c r="B87" s="41" t="str">
        <f t="array" aca="1" ref="B87" ca="1">IF(ISNA(INDEX(ListeB,MATCH(0,COUNTIF($B$3:B86,ListeB),0))),"",INDEX(ListeB,MATCH(0,COUNTIF($B$3:B86,ListeB),0)))</f>
        <v/>
      </c>
      <c r="C87" s="32" t="str">
        <f ca="1">IF(SUMPRODUCT((ListeB='recap S1'!$B87)*(OFFSET(ListeB,,4)='recap S1'!C$3)*(OFFSET(ListeB,,1)='recap S1'!C$2))&gt;0,SUMPRODUCT((ListeB='recap S1'!$B87)*(OFFSET(ListeB,,4)='recap S1'!C$3)*(OFFSET(ListeB,,1)='recap S1'!C$2)),"")</f>
        <v/>
      </c>
      <c r="D87" s="32" t="str">
        <f ca="1">IF(SUMPRODUCT((ListeB='recap S1'!$B87)*(OFFSET(ListeB,,4)='recap S1'!D$3)*(OFFSET(ListeB,,1)='recap S1'!D$2))&gt;0,SUMPRODUCT((ListeB='recap S1'!$B87)*(OFFSET(ListeB,,4)='recap S1'!D$3)*(OFFSET(ListeB,,1)='recap S1'!D$2)),"")</f>
        <v/>
      </c>
      <c r="E87" s="32"/>
      <c r="F87" s="32" t="str">
        <f ca="1">IF(SUMPRODUCT((ListeB='recap S1'!$B87)*(OFFSET(ListeB,,4)='recap S1'!F$3)*(OFFSET(ListeB,,1)='recap S1'!F$2))&gt;0,SUMPRODUCT((ListeB='recap S1'!$B87)*(OFFSET(ListeB,,4)='recap S1'!F$3)*(OFFSET(ListeB,,1)='recap S1'!F$2)),"")</f>
        <v/>
      </c>
      <c r="G87" s="32" t="str">
        <f ca="1">IF(SUMPRODUCT((ListeB='recap S1'!$B87)*(OFFSET(ListeB,,4)='recap S1'!G$3)*(OFFSET(ListeB,,1)='recap S1'!G$2))&gt;0,SUMPRODUCT((ListeB='recap S1'!$B87)*(OFFSET(ListeB,,4)='recap S1'!G$3)*(OFFSET(ListeB,,1)='recap S1'!G$2)),"")</f>
        <v/>
      </c>
      <c r="H87" s="32"/>
      <c r="I87" s="32" t="str">
        <f ca="1">IF(SUMPRODUCT((ListeB='recap S1'!$B87)*(OFFSET(ListeB,,4)='recap S1'!I$3)*(OFFSET(ListeB,,1)='recap S1'!I$2))&gt;0,SUMPRODUCT((ListeB='recap S1'!$B87)*(OFFSET(ListeB,,4)='recap S1'!I$3)*(OFFSET(ListeB,,1)='recap S1'!I$2)),"")</f>
        <v/>
      </c>
      <c r="J87" s="32" t="str">
        <f ca="1">IF(SUMPRODUCT((ListeB='recap S1'!$B87)*(OFFSET(ListeB,,4)='recap S1'!J$3)*(OFFSET(ListeB,,1)='recap S1'!J$2))&gt;0,SUMPRODUCT((ListeB='recap S1'!$B87)*(OFFSET(ListeB,,4)='recap S1'!J$3)*(OFFSET(ListeB,,1)='recap S1'!J$2)),"")</f>
        <v/>
      </c>
      <c r="K87" s="32" t="str">
        <f ca="1">IF(SUMPRODUCT((ListeB='recap S1'!$B87)*(OFFSET(ListeB,,4)='recap S1'!K$3)*(OFFSET(ListeB,,1)='recap S1'!K$2))&gt;0,SUMPRODUCT((ListeB='recap S1'!$B87)*(OFFSET(ListeB,,4)='recap S1'!K$3)*(OFFSET(ListeB,,1)='recap S1'!K$2)),"")</f>
        <v/>
      </c>
      <c r="L87" s="32"/>
      <c r="M87" s="32" t="str">
        <f ca="1">IF(SUMPRODUCT((ListeB='recap S1'!$B87)*(OFFSET(ListeB,,4)='recap S1'!M$3)*(OFFSET(ListeB,,1)='recap S1'!M$2))&gt;0,SUMPRODUCT((ListeB='recap S1'!$B87)*(OFFSET(ListeB,,4)='recap S1'!M$3)*(OFFSET(ListeB,,1)='recap S1'!M$2)),"")</f>
        <v/>
      </c>
      <c r="N87" s="32" t="str">
        <f ca="1">IF(SUMPRODUCT((ListeB='recap S1'!$B87)*(OFFSET(ListeB,,4)='recap S1'!N$3)*(OFFSET(ListeB,,1)='recap S1'!N$2))&gt;0,SUMPRODUCT((ListeB='recap S1'!$B87)*(OFFSET(ListeB,,4)='recap S1'!N$3)*(OFFSET(ListeB,,1)='recap S1'!N$2)),"")</f>
        <v/>
      </c>
      <c r="O87" s="32"/>
      <c r="P87" s="32" t="str">
        <f ca="1">IF(SUMPRODUCT((ListeB='recap S1'!$B87)*(OFFSET(ListeB,,4)='recap S1'!P$3)*(OFFSET(ListeB,,1)='recap S1'!P$2))&gt;0,SUMPRODUCT((ListeB='recap S1'!$B87)*(OFFSET(ListeB,,4)='recap S1'!P$3)*(OFFSET(ListeB,,1)='recap S1'!P$2)),"")</f>
        <v/>
      </c>
      <c r="Q87" s="32" t="str">
        <f ca="1">IF(SUMPRODUCT((ListeB='recap S1'!$B87)*(OFFSET(ListeB,,4)='recap S1'!Q$3)*(OFFSET(ListeB,,1)='recap S1'!Q$2))&gt;0,SUMPRODUCT((ListeB='recap S1'!$B87)*(OFFSET(ListeB,,4)='recap S1'!Q$3)*(OFFSET(ListeB,,1)='recap S1'!Q$2)),"")</f>
        <v/>
      </c>
      <c r="R87" s="32"/>
      <c r="S87" s="32" t="str">
        <f ca="1">IF(SUMPRODUCT((ListeB='recap S1'!$B87)*(OFFSET(ListeB,,4)='recap S1'!S$3)*(OFFSET(ListeB,,1)='recap S1'!S$2))&gt;0,SUMPRODUCT((ListeB='recap S1'!$B87)*(OFFSET(ListeB,,4)='recap S1'!S$3)*(OFFSET(ListeB,,1)='recap S1'!S$2)),"")</f>
        <v/>
      </c>
      <c r="T87" s="32" t="str">
        <f ca="1">IF(SUMPRODUCT((ListeB='recap S1'!$B87)*(OFFSET(ListeB,,4)='recap S1'!T$3)*(OFFSET(ListeB,,1)='recap S1'!T$2))&gt;0,SUMPRODUCT((ListeB='recap S1'!$B87)*(OFFSET(ListeB,,4)='recap S1'!T$3)*(OFFSET(ListeB,,1)='recap S1'!T$2)),"")</f>
        <v/>
      </c>
      <c r="U87" s="32" t="str">
        <f ca="1">IF(SUMPRODUCT((ListeB='recap S1'!$B87)*(OFFSET(ListeB,,4)='recap S1'!U$3)*(OFFSET(ListeB,,1)='recap S1'!U$2))&gt;0,SUMPRODUCT((ListeB='recap S1'!$B87)*(OFFSET(ListeB,,4)='recap S1'!U$3)*(OFFSET(ListeB,,1)='recap S1'!U$2)),"")</f>
        <v/>
      </c>
      <c r="V87" s="32"/>
      <c r="W87" s="32" t="str">
        <f ca="1">IF(SUMPRODUCT((ListeB='recap S1'!$B87)*(OFFSET(ListeB,,4)='recap S1'!W$3)*(OFFSET(ListeB,,1)='recap S1'!W$2))&gt;0,SUMPRODUCT((ListeB='recap S1'!$B87)*(OFFSET(ListeB,,4)='recap S1'!W$3)*(OFFSET(ListeB,,1)='recap S1'!W$2)),"")</f>
        <v/>
      </c>
      <c r="X87" s="32"/>
      <c r="Y87" s="32" t="str">
        <f ca="1">IF(SUMPRODUCT((ListeB='recap S1'!$B87)*(OFFSET(ListeB,,4)='recap S1'!Y$3)*(OFFSET(ListeB,,1)='recap S1'!Y$2))&gt;0,SUMPRODUCT((ListeB='recap S1'!$B87)*(OFFSET(ListeB,,4)='recap S1'!Y$3)*(OFFSET(ListeB,,1)='recap S1'!Y$2)),"")</f>
        <v/>
      </c>
      <c r="Z87" s="32" t="str">
        <f ca="1">IF(SUMPRODUCT((ListeB='recap S1'!$B87)*(OFFSET(ListeB,,4)='recap S1'!Z$3)*(OFFSET(ListeB,,1)='recap S1'!Z$2))&gt;0,SUMPRODUCT((ListeB='recap S1'!$B87)*(OFFSET(ListeB,,4)='recap S1'!Z$3)*(OFFSET(ListeB,,1)='recap S1'!Z$2)),"")</f>
        <v/>
      </c>
      <c r="AA87" s="32" t="str">
        <f ca="1">IF(SUMPRODUCT((ListeB='recap S1'!$B87)*(OFFSET(ListeB,,4)='recap S1'!AA$3)*(OFFSET(ListeB,,1)='recap S1'!AA$2))&gt;0,SUMPRODUCT((ListeB='recap S1'!$B87)*(OFFSET(ListeB,,4)='recap S1'!AA$3)*(OFFSET(ListeB,,1)='recap S1'!AA$2)),"")</f>
        <v/>
      </c>
      <c r="AB87" s="32"/>
      <c r="AC87" s="32" t="str">
        <f ca="1">IF(SUMPRODUCT((ListeB='recap S1'!$B87)*(OFFSET(ListeB,,4)='recap S1'!AC$3)*(OFFSET(ListeB,,1)='recap S1'!AC$2))&gt;0,SUMPRODUCT((ListeB='recap S1'!$B87)*(OFFSET(ListeB,,4)='recap S1'!AC$3)*(OFFSET(ListeB,,1)='recap S1'!AC$2)),"")</f>
        <v/>
      </c>
      <c r="AD87" s="32"/>
      <c r="AE87" s="32" t="str">
        <f ca="1">IF(SUMPRODUCT((ListeB='recap S1'!$B87)*(OFFSET(ListeB,,4)='recap S1'!AE$3)*(OFFSET(ListeB,,1)='recap S1'!AE$2))&gt;0,SUMPRODUCT((ListeB='recap S1'!$B87)*(OFFSET(ListeB,,4)='recap S1'!AE$3)*(OFFSET(ListeB,,1)='recap S1'!AE$2)),"")</f>
        <v/>
      </c>
      <c r="AF87" s="32" t="str">
        <f ca="1">IF(SUMPRODUCT((ListeB='recap S1'!$B87)*(OFFSET(ListeB,,4)='recap S1'!AF$3)*(OFFSET(ListeB,,1)='recap S1'!AF$2))&gt;0,SUMPRODUCT((ListeB='recap S1'!$B87)*(OFFSET(ListeB,,4)='recap S1'!AF$3)*(OFFSET(ListeB,,1)='recap S1'!AF$2)),"")</f>
        <v/>
      </c>
      <c r="AG87" s="32"/>
      <c r="AH87" s="32" t="str">
        <f ca="1">IF(SUMPRODUCT((ListeB='recap S1'!$B87)*(OFFSET(ListeB,,4)='recap S1'!AH$3)*(OFFSET(ListeB,,1)='recap S1'!AH$2))&gt;0,SUMPRODUCT((ListeB='recap S1'!$B87)*(OFFSET(ListeB,,4)='recap S1'!AH$3)*(OFFSET(ListeB,,1)='recap S1'!AH$2)),"")</f>
        <v/>
      </c>
      <c r="AI87" s="32" t="str">
        <f ca="1">IF(SUMPRODUCT((ListeB='recap S1'!$B87)*(OFFSET(ListeB,,4)='recap S1'!AI$3)*(OFFSET(ListeB,,1)='recap S1'!AI$2))&gt;0,SUMPRODUCT((ListeB='recap S1'!$B87)*(OFFSET(ListeB,,4)='recap S1'!AI$3)*(OFFSET(ListeB,,1)='recap S1'!AI$2)),"")</f>
        <v/>
      </c>
      <c r="AJ87" s="32" t="str">
        <f ca="1">IF(SUMPRODUCT((ListeB='recap S1'!$B87)*(OFFSET(ListeB,,4)='recap S1'!AJ$3)*(OFFSET(ListeB,,1)='recap S1'!AJ$2))&gt;0,SUMPRODUCT((ListeB='recap S1'!$B87)*(OFFSET(ListeB,,4)='recap S1'!AJ$3)*(OFFSET(ListeB,,1)='recap S1'!AJ$2)),"")</f>
        <v/>
      </c>
      <c r="AK87" s="32"/>
      <c r="AL87" s="32" t="str">
        <f ca="1">IF(SUMPRODUCT((ListeB='recap S1'!$B87)*(OFFSET(ListeB,,4)='recap S1'!AL$3)*(OFFSET(ListeB,,1)='recap S1'!AL$2))&gt;0,SUMPRODUCT((ListeB='recap S1'!$B87)*(OFFSET(ListeB,,4)='recap S1'!AL$3)*(OFFSET(ListeB,,1)='recap S1'!AL$2)),"")</f>
        <v/>
      </c>
      <c r="AM87" s="32"/>
      <c r="AN87" s="32" t="str">
        <f ca="1">IF(SUMPRODUCT((ListeB='recap S1'!$B87)*(OFFSET(ListeB,,4)='recap S1'!AN$3)*(OFFSET(ListeB,,1)='recap S1'!AN$2))&gt;0,SUMPRODUCT((ListeB='recap S1'!$B87)*(OFFSET(ListeB,,4)='recap S1'!AN$3)*(OFFSET(ListeB,,1)='recap S1'!AN$2)),"")</f>
        <v/>
      </c>
      <c r="AO87" s="32" t="str">
        <f ca="1">IF(SUMPRODUCT((ListeB='recap S1'!$B87)*(OFFSET(ListeB,,4)='recap S1'!AO$3)*(OFFSET(ListeB,,1)='recap S1'!AO$2))&gt;0,SUMPRODUCT((ListeB='recap S1'!$B87)*(OFFSET(ListeB,,4)='recap S1'!AO$3)*(OFFSET(ListeB,,1)='recap S1'!AO$2)),"")</f>
        <v/>
      </c>
      <c r="AP87" s="32"/>
      <c r="AQ87" s="32"/>
      <c r="AR87" s="32"/>
      <c r="AS87" s="32" t="str">
        <f ca="1">IF(SUMPRODUCT((ListeB='recap S1'!$B87)*(OFFSET(ListeB,,4)='recap S1'!AS$3)*(OFFSET(ListeB,,1)='recap S1'!AS$2))&gt;0,SUMPRODUCT((ListeB='recap S1'!$B87)*(OFFSET(ListeB,,4)='recap S1'!AS$3)*(OFFSET(ListeB,,1)='recap S1'!AS$2)),"")</f>
        <v/>
      </c>
      <c r="AT87" s="32" t="str">
        <f ca="1">IF(SUMPRODUCT((ListeB='recap S1'!$B87)*(OFFSET(ListeB,,4)='recap S1'!AT$3)*(OFFSET(ListeB,,1)='recap S1'!AT$2))&gt;0,SUMPRODUCT((ListeB='recap S1'!$B87)*(OFFSET(ListeB,,4)='recap S1'!AT$3)*(OFFSET(ListeB,,1)='recap S1'!AT$2)),"")</f>
        <v/>
      </c>
      <c r="AU87" s="32"/>
      <c r="AV87" s="32" t="str">
        <f ca="1">IF(SUMPRODUCT((ListeB='recap S1'!$B87)*(OFFSET(ListeB,,4)='recap S1'!AV$3)*(OFFSET(ListeB,,1)='recap S1'!AV$2))&gt;0,SUMPRODUCT((ListeB='recap S1'!$B87)*(OFFSET(ListeB,,4)='recap S1'!AV$3)*(OFFSET(ListeB,,1)='recap S1'!AV$2)),"")</f>
        <v/>
      </c>
      <c r="AW87" s="32" t="str">
        <f ca="1">IF(SUMPRODUCT((ListeB='recap S1'!$B87)*(OFFSET(ListeB,,4)='recap S1'!AW$3)*(OFFSET(ListeB,,1)='recap S1'!AW$2))&gt;0,SUMPRODUCT((ListeB='recap S1'!$B87)*(OFFSET(ListeB,,4)='recap S1'!AW$3)*(OFFSET(ListeB,,1)='recap S1'!AW$2)),"")</f>
        <v/>
      </c>
      <c r="AX87" s="32" t="str">
        <f ca="1">IF(SUMPRODUCT((ListeB='recap S1'!$B87)*(OFFSET(ListeB,,4)='recap S1'!AX$3)*(OFFSET(ListeB,,1)='recap S1'!AX$2))&gt;0,SUMPRODUCT((ListeB='recap S1'!$B87)*(OFFSET(ListeB,,4)='recap S1'!AX$3)*(OFFSET(ListeB,,1)='recap S1'!AX$2)),"")</f>
        <v/>
      </c>
      <c r="AY87" s="34"/>
      <c r="AZ87" s="32">
        <f t="shared" ca="1" si="2"/>
        <v>0</v>
      </c>
    </row>
    <row r="88" spans="1:52">
      <c r="A88" s="41" t="str">
        <f>IF('SEANCE 1'!$B86&lt;&gt;"",'SEANCE 1'!$A86,"")</f>
        <v/>
      </c>
      <c r="B88" s="41" t="str">
        <f t="array" aca="1" ref="B88" ca="1">IF(ISNA(INDEX(ListeB,MATCH(0,COUNTIF($B$3:B87,ListeB),0))),"",INDEX(ListeB,MATCH(0,COUNTIF($B$3:B87,ListeB),0)))</f>
        <v/>
      </c>
      <c r="C88" s="32" t="str">
        <f ca="1">IF(SUMPRODUCT((ListeB='recap S1'!$B88)*(OFFSET(ListeB,,4)='recap S1'!C$3)*(OFFSET(ListeB,,1)='recap S1'!C$2))&gt;0,SUMPRODUCT((ListeB='recap S1'!$B88)*(OFFSET(ListeB,,4)='recap S1'!C$3)*(OFFSET(ListeB,,1)='recap S1'!C$2)),"")</f>
        <v/>
      </c>
      <c r="D88" s="32" t="str">
        <f ca="1">IF(SUMPRODUCT((ListeB='recap S1'!$B88)*(OFFSET(ListeB,,4)='recap S1'!D$3)*(OFFSET(ListeB,,1)='recap S1'!D$2))&gt;0,SUMPRODUCT((ListeB='recap S1'!$B88)*(OFFSET(ListeB,,4)='recap S1'!D$3)*(OFFSET(ListeB,,1)='recap S1'!D$2)),"")</f>
        <v/>
      </c>
      <c r="E88" s="32"/>
      <c r="F88" s="32" t="str">
        <f ca="1">IF(SUMPRODUCT((ListeB='recap S1'!$B88)*(OFFSET(ListeB,,4)='recap S1'!F$3)*(OFFSET(ListeB,,1)='recap S1'!F$2))&gt;0,SUMPRODUCT((ListeB='recap S1'!$B88)*(OFFSET(ListeB,,4)='recap S1'!F$3)*(OFFSET(ListeB,,1)='recap S1'!F$2)),"")</f>
        <v/>
      </c>
      <c r="G88" s="32" t="str">
        <f ca="1">IF(SUMPRODUCT((ListeB='recap S1'!$B88)*(OFFSET(ListeB,,4)='recap S1'!G$3)*(OFFSET(ListeB,,1)='recap S1'!G$2))&gt;0,SUMPRODUCT((ListeB='recap S1'!$B88)*(OFFSET(ListeB,,4)='recap S1'!G$3)*(OFFSET(ListeB,,1)='recap S1'!G$2)),"")</f>
        <v/>
      </c>
      <c r="H88" s="32"/>
      <c r="I88" s="32" t="str">
        <f ca="1">IF(SUMPRODUCT((ListeB='recap S1'!$B88)*(OFFSET(ListeB,,4)='recap S1'!I$3)*(OFFSET(ListeB,,1)='recap S1'!I$2))&gt;0,SUMPRODUCT((ListeB='recap S1'!$B88)*(OFFSET(ListeB,,4)='recap S1'!I$3)*(OFFSET(ListeB,,1)='recap S1'!I$2)),"")</f>
        <v/>
      </c>
      <c r="J88" s="32" t="str">
        <f ca="1">IF(SUMPRODUCT((ListeB='recap S1'!$B88)*(OFFSET(ListeB,,4)='recap S1'!J$3)*(OFFSET(ListeB,,1)='recap S1'!J$2))&gt;0,SUMPRODUCT((ListeB='recap S1'!$B88)*(OFFSET(ListeB,,4)='recap S1'!J$3)*(OFFSET(ListeB,,1)='recap S1'!J$2)),"")</f>
        <v/>
      </c>
      <c r="K88" s="32" t="str">
        <f ca="1">IF(SUMPRODUCT((ListeB='recap S1'!$B88)*(OFFSET(ListeB,,4)='recap S1'!K$3)*(OFFSET(ListeB,,1)='recap S1'!K$2))&gt;0,SUMPRODUCT((ListeB='recap S1'!$B88)*(OFFSET(ListeB,,4)='recap S1'!K$3)*(OFFSET(ListeB,,1)='recap S1'!K$2)),"")</f>
        <v/>
      </c>
      <c r="L88" s="32"/>
      <c r="M88" s="32" t="str">
        <f ca="1">IF(SUMPRODUCT((ListeB='recap S1'!$B88)*(OFFSET(ListeB,,4)='recap S1'!M$3)*(OFFSET(ListeB,,1)='recap S1'!M$2))&gt;0,SUMPRODUCT((ListeB='recap S1'!$B88)*(OFFSET(ListeB,,4)='recap S1'!M$3)*(OFFSET(ListeB,,1)='recap S1'!M$2)),"")</f>
        <v/>
      </c>
      <c r="N88" s="32" t="str">
        <f ca="1">IF(SUMPRODUCT((ListeB='recap S1'!$B88)*(OFFSET(ListeB,,4)='recap S1'!N$3)*(OFFSET(ListeB,,1)='recap S1'!N$2))&gt;0,SUMPRODUCT((ListeB='recap S1'!$B88)*(OFFSET(ListeB,,4)='recap S1'!N$3)*(OFFSET(ListeB,,1)='recap S1'!N$2)),"")</f>
        <v/>
      </c>
      <c r="O88" s="32"/>
      <c r="P88" s="32" t="str">
        <f ca="1">IF(SUMPRODUCT((ListeB='recap S1'!$B88)*(OFFSET(ListeB,,4)='recap S1'!P$3)*(OFFSET(ListeB,,1)='recap S1'!P$2))&gt;0,SUMPRODUCT((ListeB='recap S1'!$B88)*(OFFSET(ListeB,,4)='recap S1'!P$3)*(OFFSET(ListeB,,1)='recap S1'!P$2)),"")</f>
        <v/>
      </c>
      <c r="Q88" s="32" t="str">
        <f ca="1">IF(SUMPRODUCT((ListeB='recap S1'!$B88)*(OFFSET(ListeB,,4)='recap S1'!Q$3)*(OFFSET(ListeB,,1)='recap S1'!Q$2))&gt;0,SUMPRODUCT((ListeB='recap S1'!$B88)*(OFFSET(ListeB,,4)='recap S1'!Q$3)*(OFFSET(ListeB,,1)='recap S1'!Q$2)),"")</f>
        <v/>
      </c>
      <c r="R88" s="32"/>
      <c r="S88" s="32" t="str">
        <f ca="1">IF(SUMPRODUCT((ListeB='recap S1'!$B88)*(OFFSET(ListeB,,4)='recap S1'!S$3)*(OFFSET(ListeB,,1)='recap S1'!S$2))&gt;0,SUMPRODUCT((ListeB='recap S1'!$B88)*(OFFSET(ListeB,,4)='recap S1'!S$3)*(OFFSET(ListeB,,1)='recap S1'!S$2)),"")</f>
        <v/>
      </c>
      <c r="T88" s="32" t="str">
        <f ca="1">IF(SUMPRODUCT((ListeB='recap S1'!$B88)*(OFFSET(ListeB,,4)='recap S1'!T$3)*(OFFSET(ListeB,,1)='recap S1'!T$2))&gt;0,SUMPRODUCT((ListeB='recap S1'!$B88)*(OFFSET(ListeB,,4)='recap S1'!T$3)*(OFFSET(ListeB,,1)='recap S1'!T$2)),"")</f>
        <v/>
      </c>
      <c r="U88" s="32" t="str">
        <f ca="1">IF(SUMPRODUCT((ListeB='recap S1'!$B88)*(OFFSET(ListeB,,4)='recap S1'!U$3)*(OFFSET(ListeB,,1)='recap S1'!U$2))&gt;0,SUMPRODUCT((ListeB='recap S1'!$B88)*(OFFSET(ListeB,,4)='recap S1'!U$3)*(OFFSET(ListeB,,1)='recap S1'!U$2)),"")</f>
        <v/>
      </c>
      <c r="V88" s="32"/>
      <c r="W88" s="32" t="str">
        <f ca="1">IF(SUMPRODUCT((ListeB='recap S1'!$B88)*(OFFSET(ListeB,,4)='recap S1'!W$3)*(OFFSET(ListeB,,1)='recap S1'!W$2))&gt;0,SUMPRODUCT((ListeB='recap S1'!$B88)*(OFFSET(ListeB,,4)='recap S1'!W$3)*(OFFSET(ListeB,,1)='recap S1'!W$2)),"")</f>
        <v/>
      </c>
      <c r="X88" s="32"/>
      <c r="Y88" s="32" t="str">
        <f ca="1">IF(SUMPRODUCT((ListeB='recap S1'!$B88)*(OFFSET(ListeB,,4)='recap S1'!Y$3)*(OFFSET(ListeB,,1)='recap S1'!Y$2))&gt;0,SUMPRODUCT((ListeB='recap S1'!$B88)*(OFFSET(ListeB,,4)='recap S1'!Y$3)*(OFFSET(ListeB,,1)='recap S1'!Y$2)),"")</f>
        <v/>
      </c>
      <c r="Z88" s="32" t="str">
        <f ca="1">IF(SUMPRODUCT((ListeB='recap S1'!$B88)*(OFFSET(ListeB,,4)='recap S1'!Z$3)*(OFFSET(ListeB,,1)='recap S1'!Z$2))&gt;0,SUMPRODUCT((ListeB='recap S1'!$B88)*(OFFSET(ListeB,,4)='recap S1'!Z$3)*(OFFSET(ListeB,,1)='recap S1'!Z$2)),"")</f>
        <v/>
      </c>
      <c r="AA88" s="32" t="str">
        <f ca="1">IF(SUMPRODUCT((ListeB='recap S1'!$B88)*(OFFSET(ListeB,,4)='recap S1'!AA$3)*(OFFSET(ListeB,,1)='recap S1'!AA$2))&gt;0,SUMPRODUCT((ListeB='recap S1'!$B88)*(OFFSET(ListeB,,4)='recap S1'!AA$3)*(OFFSET(ListeB,,1)='recap S1'!AA$2)),"")</f>
        <v/>
      </c>
      <c r="AB88" s="32"/>
      <c r="AC88" s="32" t="str">
        <f ca="1">IF(SUMPRODUCT((ListeB='recap S1'!$B88)*(OFFSET(ListeB,,4)='recap S1'!AC$3)*(OFFSET(ListeB,,1)='recap S1'!AC$2))&gt;0,SUMPRODUCT((ListeB='recap S1'!$B88)*(OFFSET(ListeB,,4)='recap S1'!AC$3)*(OFFSET(ListeB,,1)='recap S1'!AC$2)),"")</f>
        <v/>
      </c>
      <c r="AD88" s="32"/>
      <c r="AE88" s="32" t="str">
        <f ca="1">IF(SUMPRODUCT((ListeB='recap S1'!$B88)*(OFFSET(ListeB,,4)='recap S1'!AE$3)*(OFFSET(ListeB,,1)='recap S1'!AE$2))&gt;0,SUMPRODUCT((ListeB='recap S1'!$B88)*(OFFSET(ListeB,,4)='recap S1'!AE$3)*(OFFSET(ListeB,,1)='recap S1'!AE$2)),"")</f>
        <v/>
      </c>
      <c r="AF88" s="32" t="str">
        <f ca="1">IF(SUMPRODUCT((ListeB='recap S1'!$B88)*(OFFSET(ListeB,,4)='recap S1'!AF$3)*(OFFSET(ListeB,,1)='recap S1'!AF$2))&gt;0,SUMPRODUCT((ListeB='recap S1'!$B88)*(OFFSET(ListeB,,4)='recap S1'!AF$3)*(OFFSET(ListeB,,1)='recap S1'!AF$2)),"")</f>
        <v/>
      </c>
      <c r="AG88" s="32"/>
      <c r="AH88" s="32" t="str">
        <f ca="1">IF(SUMPRODUCT((ListeB='recap S1'!$B88)*(OFFSET(ListeB,,4)='recap S1'!AH$3)*(OFFSET(ListeB,,1)='recap S1'!AH$2))&gt;0,SUMPRODUCT((ListeB='recap S1'!$B88)*(OFFSET(ListeB,,4)='recap S1'!AH$3)*(OFFSET(ListeB,,1)='recap S1'!AH$2)),"")</f>
        <v/>
      </c>
      <c r="AI88" s="32" t="str">
        <f ca="1">IF(SUMPRODUCT((ListeB='recap S1'!$B88)*(OFFSET(ListeB,,4)='recap S1'!AI$3)*(OFFSET(ListeB,,1)='recap S1'!AI$2))&gt;0,SUMPRODUCT((ListeB='recap S1'!$B88)*(OFFSET(ListeB,,4)='recap S1'!AI$3)*(OFFSET(ListeB,,1)='recap S1'!AI$2)),"")</f>
        <v/>
      </c>
      <c r="AJ88" s="32" t="str">
        <f ca="1">IF(SUMPRODUCT((ListeB='recap S1'!$B88)*(OFFSET(ListeB,,4)='recap S1'!AJ$3)*(OFFSET(ListeB,,1)='recap S1'!AJ$2))&gt;0,SUMPRODUCT((ListeB='recap S1'!$B88)*(OFFSET(ListeB,,4)='recap S1'!AJ$3)*(OFFSET(ListeB,,1)='recap S1'!AJ$2)),"")</f>
        <v/>
      </c>
      <c r="AK88" s="32"/>
      <c r="AL88" s="32" t="str">
        <f ca="1">IF(SUMPRODUCT((ListeB='recap S1'!$B88)*(OFFSET(ListeB,,4)='recap S1'!AL$3)*(OFFSET(ListeB,,1)='recap S1'!AL$2))&gt;0,SUMPRODUCT((ListeB='recap S1'!$B88)*(OFFSET(ListeB,,4)='recap S1'!AL$3)*(OFFSET(ListeB,,1)='recap S1'!AL$2)),"")</f>
        <v/>
      </c>
      <c r="AM88" s="32"/>
      <c r="AN88" s="32" t="str">
        <f ca="1">IF(SUMPRODUCT((ListeB='recap S1'!$B88)*(OFFSET(ListeB,,4)='recap S1'!AN$3)*(OFFSET(ListeB,,1)='recap S1'!AN$2))&gt;0,SUMPRODUCT((ListeB='recap S1'!$B88)*(OFFSET(ListeB,,4)='recap S1'!AN$3)*(OFFSET(ListeB,,1)='recap S1'!AN$2)),"")</f>
        <v/>
      </c>
      <c r="AO88" s="32" t="str">
        <f ca="1">IF(SUMPRODUCT((ListeB='recap S1'!$B88)*(OFFSET(ListeB,,4)='recap S1'!AO$3)*(OFFSET(ListeB,,1)='recap S1'!AO$2))&gt;0,SUMPRODUCT((ListeB='recap S1'!$B88)*(OFFSET(ListeB,,4)='recap S1'!AO$3)*(OFFSET(ListeB,,1)='recap S1'!AO$2)),"")</f>
        <v/>
      </c>
      <c r="AP88" s="32"/>
      <c r="AQ88" s="32"/>
      <c r="AR88" s="32"/>
      <c r="AS88" s="32" t="str">
        <f ca="1">IF(SUMPRODUCT((ListeB='recap S1'!$B88)*(OFFSET(ListeB,,4)='recap S1'!AS$3)*(OFFSET(ListeB,,1)='recap S1'!AS$2))&gt;0,SUMPRODUCT((ListeB='recap S1'!$B88)*(OFFSET(ListeB,,4)='recap S1'!AS$3)*(OFFSET(ListeB,,1)='recap S1'!AS$2)),"")</f>
        <v/>
      </c>
      <c r="AT88" s="32" t="str">
        <f ca="1">IF(SUMPRODUCT((ListeB='recap S1'!$B88)*(OFFSET(ListeB,,4)='recap S1'!AT$3)*(OFFSET(ListeB,,1)='recap S1'!AT$2))&gt;0,SUMPRODUCT((ListeB='recap S1'!$B88)*(OFFSET(ListeB,,4)='recap S1'!AT$3)*(OFFSET(ListeB,,1)='recap S1'!AT$2)),"")</f>
        <v/>
      </c>
      <c r="AU88" s="32"/>
      <c r="AV88" s="32" t="str">
        <f ca="1">IF(SUMPRODUCT((ListeB='recap S1'!$B88)*(OFFSET(ListeB,,4)='recap S1'!AV$3)*(OFFSET(ListeB,,1)='recap S1'!AV$2))&gt;0,SUMPRODUCT((ListeB='recap S1'!$B88)*(OFFSET(ListeB,,4)='recap S1'!AV$3)*(OFFSET(ListeB,,1)='recap S1'!AV$2)),"")</f>
        <v/>
      </c>
      <c r="AW88" s="32" t="str">
        <f ca="1">IF(SUMPRODUCT((ListeB='recap S1'!$B88)*(OFFSET(ListeB,,4)='recap S1'!AW$3)*(OFFSET(ListeB,,1)='recap S1'!AW$2))&gt;0,SUMPRODUCT((ListeB='recap S1'!$B88)*(OFFSET(ListeB,,4)='recap S1'!AW$3)*(OFFSET(ListeB,,1)='recap S1'!AW$2)),"")</f>
        <v/>
      </c>
      <c r="AX88" s="32" t="str">
        <f ca="1">IF(SUMPRODUCT((ListeB='recap S1'!$B88)*(OFFSET(ListeB,,4)='recap S1'!AX$3)*(OFFSET(ListeB,,1)='recap S1'!AX$2))&gt;0,SUMPRODUCT((ListeB='recap S1'!$B88)*(OFFSET(ListeB,,4)='recap S1'!AX$3)*(OFFSET(ListeB,,1)='recap S1'!AX$2)),"")</f>
        <v/>
      </c>
      <c r="AY88" s="34"/>
      <c r="AZ88" s="32">
        <f t="shared" ca="1" si="2"/>
        <v>0</v>
      </c>
    </row>
    <row r="89" spans="1:52">
      <c r="A89" s="41" t="str">
        <f>IF('SEANCE 1'!$B87&lt;&gt;"",'SEANCE 1'!$A87,"")</f>
        <v/>
      </c>
      <c r="B89" s="41" t="str">
        <f t="array" aca="1" ref="B89" ca="1">IF(ISNA(INDEX(ListeB,MATCH(0,COUNTIF($B$3:B88,ListeB),0))),"",INDEX(ListeB,MATCH(0,COUNTIF($B$3:B88,ListeB),0)))</f>
        <v/>
      </c>
      <c r="C89" s="32" t="str">
        <f ca="1">IF(SUMPRODUCT((ListeB='recap S1'!$B89)*(OFFSET(ListeB,,4)='recap S1'!C$3)*(OFFSET(ListeB,,1)='recap S1'!C$2))&gt;0,SUMPRODUCT((ListeB='recap S1'!$B89)*(OFFSET(ListeB,,4)='recap S1'!C$3)*(OFFSET(ListeB,,1)='recap S1'!C$2)),"")</f>
        <v/>
      </c>
      <c r="D89" s="32" t="str">
        <f ca="1">IF(SUMPRODUCT((ListeB='recap S1'!$B89)*(OFFSET(ListeB,,4)='recap S1'!D$3)*(OFFSET(ListeB,,1)='recap S1'!D$2))&gt;0,SUMPRODUCT((ListeB='recap S1'!$B89)*(OFFSET(ListeB,,4)='recap S1'!D$3)*(OFFSET(ListeB,,1)='recap S1'!D$2)),"")</f>
        <v/>
      </c>
      <c r="E89" s="32"/>
      <c r="F89" s="32" t="str">
        <f ca="1">IF(SUMPRODUCT((ListeB='recap S1'!$B89)*(OFFSET(ListeB,,4)='recap S1'!F$3)*(OFFSET(ListeB,,1)='recap S1'!F$2))&gt;0,SUMPRODUCT((ListeB='recap S1'!$B89)*(OFFSET(ListeB,,4)='recap S1'!F$3)*(OFFSET(ListeB,,1)='recap S1'!F$2)),"")</f>
        <v/>
      </c>
      <c r="G89" s="32" t="str">
        <f ca="1">IF(SUMPRODUCT((ListeB='recap S1'!$B89)*(OFFSET(ListeB,,4)='recap S1'!G$3)*(OFFSET(ListeB,,1)='recap S1'!G$2))&gt;0,SUMPRODUCT((ListeB='recap S1'!$B89)*(OFFSET(ListeB,,4)='recap S1'!G$3)*(OFFSET(ListeB,,1)='recap S1'!G$2)),"")</f>
        <v/>
      </c>
      <c r="H89" s="32"/>
      <c r="I89" s="32" t="str">
        <f ca="1">IF(SUMPRODUCT((ListeB='recap S1'!$B89)*(OFFSET(ListeB,,4)='recap S1'!I$3)*(OFFSET(ListeB,,1)='recap S1'!I$2))&gt;0,SUMPRODUCT((ListeB='recap S1'!$B89)*(OFFSET(ListeB,,4)='recap S1'!I$3)*(OFFSET(ListeB,,1)='recap S1'!I$2)),"")</f>
        <v/>
      </c>
      <c r="J89" s="32" t="str">
        <f ca="1">IF(SUMPRODUCT((ListeB='recap S1'!$B89)*(OFFSET(ListeB,,4)='recap S1'!J$3)*(OFFSET(ListeB,,1)='recap S1'!J$2))&gt;0,SUMPRODUCT((ListeB='recap S1'!$B89)*(OFFSET(ListeB,,4)='recap S1'!J$3)*(OFFSET(ListeB,,1)='recap S1'!J$2)),"")</f>
        <v/>
      </c>
      <c r="K89" s="32" t="str">
        <f ca="1">IF(SUMPRODUCT((ListeB='recap S1'!$B89)*(OFFSET(ListeB,,4)='recap S1'!K$3)*(OFFSET(ListeB,,1)='recap S1'!K$2))&gt;0,SUMPRODUCT((ListeB='recap S1'!$B89)*(OFFSET(ListeB,,4)='recap S1'!K$3)*(OFFSET(ListeB,,1)='recap S1'!K$2)),"")</f>
        <v/>
      </c>
      <c r="L89" s="32"/>
      <c r="M89" s="32" t="str">
        <f ca="1">IF(SUMPRODUCT((ListeB='recap S1'!$B89)*(OFFSET(ListeB,,4)='recap S1'!M$3)*(OFFSET(ListeB,,1)='recap S1'!M$2))&gt;0,SUMPRODUCT((ListeB='recap S1'!$B89)*(OFFSET(ListeB,,4)='recap S1'!M$3)*(OFFSET(ListeB,,1)='recap S1'!M$2)),"")</f>
        <v/>
      </c>
      <c r="N89" s="32" t="str">
        <f ca="1">IF(SUMPRODUCT((ListeB='recap S1'!$B89)*(OFFSET(ListeB,,4)='recap S1'!N$3)*(OFFSET(ListeB,,1)='recap S1'!N$2))&gt;0,SUMPRODUCT((ListeB='recap S1'!$B89)*(OFFSET(ListeB,,4)='recap S1'!N$3)*(OFFSET(ListeB,,1)='recap S1'!N$2)),"")</f>
        <v/>
      </c>
      <c r="O89" s="32"/>
      <c r="P89" s="32" t="str">
        <f ca="1">IF(SUMPRODUCT((ListeB='recap S1'!$B89)*(OFFSET(ListeB,,4)='recap S1'!P$3)*(OFFSET(ListeB,,1)='recap S1'!P$2))&gt;0,SUMPRODUCT((ListeB='recap S1'!$B89)*(OFFSET(ListeB,,4)='recap S1'!P$3)*(OFFSET(ListeB,,1)='recap S1'!P$2)),"")</f>
        <v/>
      </c>
      <c r="Q89" s="32" t="str">
        <f ca="1">IF(SUMPRODUCT((ListeB='recap S1'!$B89)*(OFFSET(ListeB,,4)='recap S1'!Q$3)*(OFFSET(ListeB,,1)='recap S1'!Q$2))&gt;0,SUMPRODUCT((ListeB='recap S1'!$B89)*(OFFSET(ListeB,,4)='recap S1'!Q$3)*(OFFSET(ListeB,,1)='recap S1'!Q$2)),"")</f>
        <v/>
      </c>
      <c r="R89" s="32"/>
      <c r="S89" s="32" t="str">
        <f ca="1">IF(SUMPRODUCT((ListeB='recap S1'!$B89)*(OFFSET(ListeB,,4)='recap S1'!S$3)*(OFFSET(ListeB,,1)='recap S1'!S$2))&gt;0,SUMPRODUCT((ListeB='recap S1'!$B89)*(OFFSET(ListeB,,4)='recap S1'!S$3)*(OFFSET(ListeB,,1)='recap S1'!S$2)),"")</f>
        <v/>
      </c>
      <c r="T89" s="32" t="str">
        <f ca="1">IF(SUMPRODUCT((ListeB='recap S1'!$B89)*(OFFSET(ListeB,,4)='recap S1'!T$3)*(OFFSET(ListeB,,1)='recap S1'!T$2))&gt;0,SUMPRODUCT((ListeB='recap S1'!$B89)*(OFFSET(ListeB,,4)='recap S1'!T$3)*(OFFSET(ListeB,,1)='recap S1'!T$2)),"")</f>
        <v/>
      </c>
      <c r="U89" s="32" t="str">
        <f ca="1">IF(SUMPRODUCT((ListeB='recap S1'!$B89)*(OFFSET(ListeB,,4)='recap S1'!U$3)*(OFFSET(ListeB,,1)='recap S1'!U$2))&gt;0,SUMPRODUCT((ListeB='recap S1'!$B89)*(OFFSET(ListeB,,4)='recap S1'!U$3)*(OFFSET(ListeB,,1)='recap S1'!U$2)),"")</f>
        <v/>
      </c>
      <c r="V89" s="32"/>
      <c r="W89" s="32" t="str">
        <f ca="1">IF(SUMPRODUCT((ListeB='recap S1'!$B89)*(OFFSET(ListeB,,4)='recap S1'!W$3)*(OFFSET(ListeB,,1)='recap S1'!W$2))&gt;0,SUMPRODUCT((ListeB='recap S1'!$B89)*(OFFSET(ListeB,,4)='recap S1'!W$3)*(OFFSET(ListeB,,1)='recap S1'!W$2)),"")</f>
        <v/>
      </c>
      <c r="X89" s="32"/>
      <c r="Y89" s="32" t="str">
        <f ca="1">IF(SUMPRODUCT((ListeB='recap S1'!$B89)*(OFFSET(ListeB,,4)='recap S1'!Y$3)*(OFFSET(ListeB,,1)='recap S1'!Y$2))&gt;0,SUMPRODUCT((ListeB='recap S1'!$B89)*(OFFSET(ListeB,,4)='recap S1'!Y$3)*(OFFSET(ListeB,,1)='recap S1'!Y$2)),"")</f>
        <v/>
      </c>
      <c r="Z89" s="32" t="str">
        <f ca="1">IF(SUMPRODUCT((ListeB='recap S1'!$B89)*(OFFSET(ListeB,,4)='recap S1'!Z$3)*(OFFSET(ListeB,,1)='recap S1'!Z$2))&gt;0,SUMPRODUCT((ListeB='recap S1'!$B89)*(OFFSET(ListeB,,4)='recap S1'!Z$3)*(OFFSET(ListeB,,1)='recap S1'!Z$2)),"")</f>
        <v/>
      </c>
      <c r="AA89" s="32" t="str">
        <f ca="1">IF(SUMPRODUCT((ListeB='recap S1'!$B89)*(OFFSET(ListeB,,4)='recap S1'!AA$3)*(OFFSET(ListeB,,1)='recap S1'!AA$2))&gt;0,SUMPRODUCT((ListeB='recap S1'!$B89)*(OFFSET(ListeB,,4)='recap S1'!AA$3)*(OFFSET(ListeB,,1)='recap S1'!AA$2)),"")</f>
        <v/>
      </c>
      <c r="AB89" s="32"/>
      <c r="AC89" s="32" t="str">
        <f ca="1">IF(SUMPRODUCT((ListeB='recap S1'!$B89)*(OFFSET(ListeB,,4)='recap S1'!AC$3)*(OFFSET(ListeB,,1)='recap S1'!AC$2))&gt;0,SUMPRODUCT((ListeB='recap S1'!$B89)*(OFFSET(ListeB,,4)='recap S1'!AC$3)*(OFFSET(ListeB,,1)='recap S1'!AC$2)),"")</f>
        <v/>
      </c>
      <c r="AD89" s="32"/>
      <c r="AE89" s="32" t="str">
        <f ca="1">IF(SUMPRODUCT((ListeB='recap S1'!$B89)*(OFFSET(ListeB,,4)='recap S1'!AE$3)*(OFFSET(ListeB,,1)='recap S1'!AE$2))&gt;0,SUMPRODUCT((ListeB='recap S1'!$B89)*(OFFSET(ListeB,,4)='recap S1'!AE$3)*(OFFSET(ListeB,,1)='recap S1'!AE$2)),"")</f>
        <v/>
      </c>
      <c r="AF89" s="32" t="str">
        <f ca="1">IF(SUMPRODUCT((ListeB='recap S1'!$B89)*(OFFSET(ListeB,,4)='recap S1'!AF$3)*(OFFSET(ListeB,,1)='recap S1'!AF$2))&gt;0,SUMPRODUCT((ListeB='recap S1'!$B89)*(OFFSET(ListeB,,4)='recap S1'!AF$3)*(OFFSET(ListeB,,1)='recap S1'!AF$2)),"")</f>
        <v/>
      </c>
      <c r="AG89" s="32"/>
      <c r="AH89" s="32" t="str">
        <f ca="1">IF(SUMPRODUCT((ListeB='recap S1'!$B89)*(OFFSET(ListeB,,4)='recap S1'!AH$3)*(OFFSET(ListeB,,1)='recap S1'!AH$2))&gt;0,SUMPRODUCT((ListeB='recap S1'!$B89)*(OFFSET(ListeB,,4)='recap S1'!AH$3)*(OFFSET(ListeB,,1)='recap S1'!AH$2)),"")</f>
        <v/>
      </c>
      <c r="AI89" s="32" t="str">
        <f ca="1">IF(SUMPRODUCT((ListeB='recap S1'!$B89)*(OFFSET(ListeB,,4)='recap S1'!AI$3)*(OFFSET(ListeB,,1)='recap S1'!AI$2))&gt;0,SUMPRODUCT((ListeB='recap S1'!$B89)*(OFFSET(ListeB,,4)='recap S1'!AI$3)*(OFFSET(ListeB,,1)='recap S1'!AI$2)),"")</f>
        <v/>
      </c>
      <c r="AJ89" s="32" t="str">
        <f ca="1">IF(SUMPRODUCT((ListeB='recap S1'!$B89)*(OFFSET(ListeB,,4)='recap S1'!AJ$3)*(OFFSET(ListeB,,1)='recap S1'!AJ$2))&gt;0,SUMPRODUCT((ListeB='recap S1'!$B89)*(OFFSET(ListeB,,4)='recap S1'!AJ$3)*(OFFSET(ListeB,,1)='recap S1'!AJ$2)),"")</f>
        <v/>
      </c>
      <c r="AK89" s="32"/>
      <c r="AL89" s="32" t="str">
        <f ca="1">IF(SUMPRODUCT((ListeB='recap S1'!$B89)*(OFFSET(ListeB,,4)='recap S1'!AL$3)*(OFFSET(ListeB,,1)='recap S1'!AL$2))&gt;0,SUMPRODUCT((ListeB='recap S1'!$B89)*(OFFSET(ListeB,,4)='recap S1'!AL$3)*(OFFSET(ListeB,,1)='recap S1'!AL$2)),"")</f>
        <v/>
      </c>
      <c r="AM89" s="32"/>
      <c r="AN89" s="32" t="str">
        <f ca="1">IF(SUMPRODUCT((ListeB='recap S1'!$B89)*(OFFSET(ListeB,,4)='recap S1'!AN$3)*(OFFSET(ListeB,,1)='recap S1'!AN$2))&gt;0,SUMPRODUCT((ListeB='recap S1'!$B89)*(OFFSET(ListeB,,4)='recap S1'!AN$3)*(OFFSET(ListeB,,1)='recap S1'!AN$2)),"")</f>
        <v/>
      </c>
      <c r="AO89" s="32" t="str">
        <f ca="1">IF(SUMPRODUCT((ListeB='recap S1'!$B89)*(OFFSET(ListeB,,4)='recap S1'!AO$3)*(OFFSET(ListeB,,1)='recap S1'!AO$2))&gt;0,SUMPRODUCT((ListeB='recap S1'!$B89)*(OFFSET(ListeB,,4)='recap S1'!AO$3)*(OFFSET(ListeB,,1)='recap S1'!AO$2)),"")</f>
        <v/>
      </c>
      <c r="AP89" s="32"/>
      <c r="AQ89" s="32"/>
      <c r="AR89" s="32"/>
      <c r="AS89" s="32" t="str">
        <f ca="1">IF(SUMPRODUCT((ListeB='recap S1'!$B89)*(OFFSET(ListeB,,4)='recap S1'!AS$3)*(OFFSET(ListeB,,1)='recap S1'!AS$2))&gt;0,SUMPRODUCT((ListeB='recap S1'!$B89)*(OFFSET(ListeB,,4)='recap S1'!AS$3)*(OFFSET(ListeB,,1)='recap S1'!AS$2)),"")</f>
        <v/>
      </c>
      <c r="AT89" s="32" t="str">
        <f ca="1">IF(SUMPRODUCT((ListeB='recap S1'!$B89)*(OFFSET(ListeB,,4)='recap S1'!AT$3)*(OFFSET(ListeB,,1)='recap S1'!AT$2))&gt;0,SUMPRODUCT((ListeB='recap S1'!$B89)*(OFFSET(ListeB,,4)='recap S1'!AT$3)*(OFFSET(ListeB,,1)='recap S1'!AT$2)),"")</f>
        <v/>
      </c>
      <c r="AU89" s="32"/>
      <c r="AV89" s="32" t="str">
        <f ca="1">IF(SUMPRODUCT((ListeB='recap S1'!$B89)*(OFFSET(ListeB,,4)='recap S1'!AV$3)*(OFFSET(ListeB,,1)='recap S1'!AV$2))&gt;0,SUMPRODUCT((ListeB='recap S1'!$B89)*(OFFSET(ListeB,,4)='recap S1'!AV$3)*(OFFSET(ListeB,,1)='recap S1'!AV$2)),"")</f>
        <v/>
      </c>
      <c r="AW89" s="32" t="str">
        <f ca="1">IF(SUMPRODUCT((ListeB='recap S1'!$B89)*(OFFSET(ListeB,,4)='recap S1'!AW$3)*(OFFSET(ListeB,,1)='recap S1'!AW$2))&gt;0,SUMPRODUCT((ListeB='recap S1'!$B89)*(OFFSET(ListeB,,4)='recap S1'!AW$3)*(OFFSET(ListeB,,1)='recap S1'!AW$2)),"")</f>
        <v/>
      </c>
      <c r="AX89" s="32" t="str">
        <f ca="1">IF(SUMPRODUCT((ListeB='recap S1'!$B89)*(OFFSET(ListeB,,4)='recap S1'!AX$3)*(OFFSET(ListeB,,1)='recap S1'!AX$2))&gt;0,SUMPRODUCT((ListeB='recap S1'!$B89)*(OFFSET(ListeB,,4)='recap S1'!AX$3)*(OFFSET(ListeB,,1)='recap S1'!AX$2)),"")</f>
        <v/>
      </c>
      <c r="AY89" s="34"/>
      <c r="AZ89" s="32">
        <f t="shared" ca="1" si="2"/>
        <v>0</v>
      </c>
    </row>
    <row r="90" spans="1:52">
      <c r="A90" s="41" t="str">
        <f>IF('SEANCE 1'!$B88&lt;&gt;"",'SEANCE 1'!$A88,"")</f>
        <v/>
      </c>
      <c r="B90" s="41" t="str">
        <f t="array" aca="1" ref="B90" ca="1">IF(ISNA(INDEX(ListeB,MATCH(0,COUNTIF($B$3:B89,ListeB),0))),"",INDEX(ListeB,MATCH(0,COUNTIF($B$3:B89,ListeB),0)))</f>
        <v/>
      </c>
      <c r="C90" s="32" t="str">
        <f ca="1">IF(SUMPRODUCT((ListeB='recap S1'!$B90)*(OFFSET(ListeB,,4)='recap S1'!C$3)*(OFFSET(ListeB,,1)='recap S1'!C$2))&gt;0,SUMPRODUCT((ListeB='recap S1'!$B90)*(OFFSET(ListeB,,4)='recap S1'!C$3)*(OFFSET(ListeB,,1)='recap S1'!C$2)),"")</f>
        <v/>
      </c>
      <c r="D90" s="32" t="str">
        <f ca="1">IF(SUMPRODUCT((ListeB='recap S1'!$B90)*(OFFSET(ListeB,,4)='recap S1'!D$3)*(OFFSET(ListeB,,1)='recap S1'!D$2))&gt;0,SUMPRODUCT((ListeB='recap S1'!$B90)*(OFFSET(ListeB,,4)='recap S1'!D$3)*(OFFSET(ListeB,,1)='recap S1'!D$2)),"")</f>
        <v/>
      </c>
      <c r="E90" s="32"/>
      <c r="F90" s="32" t="str">
        <f ca="1">IF(SUMPRODUCT((ListeB='recap S1'!$B90)*(OFFSET(ListeB,,4)='recap S1'!F$3)*(OFFSET(ListeB,,1)='recap S1'!F$2))&gt;0,SUMPRODUCT((ListeB='recap S1'!$B90)*(OFFSET(ListeB,,4)='recap S1'!F$3)*(OFFSET(ListeB,,1)='recap S1'!F$2)),"")</f>
        <v/>
      </c>
      <c r="G90" s="32" t="str">
        <f ca="1">IF(SUMPRODUCT((ListeB='recap S1'!$B90)*(OFFSET(ListeB,,4)='recap S1'!G$3)*(OFFSET(ListeB,,1)='recap S1'!G$2))&gt;0,SUMPRODUCT((ListeB='recap S1'!$B90)*(OFFSET(ListeB,,4)='recap S1'!G$3)*(OFFSET(ListeB,,1)='recap S1'!G$2)),"")</f>
        <v/>
      </c>
      <c r="H90" s="32"/>
      <c r="I90" s="32" t="str">
        <f ca="1">IF(SUMPRODUCT((ListeB='recap S1'!$B90)*(OFFSET(ListeB,,4)='recap S1'!I$3)*(OFFSET(ListeB,,1)='recap S1'!I$2))&gt;0,SUMPRODUCT((ListeB='recap S1'!$B90)*(OFFSET(ListeB,,4)='recap S1'!I$3)*(OFFSET(ListeB,,1)='recap S1'!I$2)),"")</f>
        <v/>
      </c>
      <c r="J90" s="32" t="str">
        <f ca="1">IF(SUMPRODUCT((ListeB='recap S1'!$B90)*(OFFSET(ListeB,,4)='recap S1'!J$3)*(OFFSET(ListeB,,1)='recap S1'!J$2))&gt;0,SUMPRODUCT((ListeB='recap S1'!$B90)*(OFFSET(ListeB,,4)='recap S1'!J$3)*(OFFSET(ListeB,,1)='recap S1'!J$2)),"")</f>
        <v/>
      </c>
      <c r="K90" s="32" t="str">
        <f ca="1">IF(SUMPRODUCT((ListeB='recap S1'!$B90)*(OFFSET(ListeB,,4)='recap S1'!K$3)*(OFFSET(ListeB,,1)='recap S1'!K$2))&gt;0,SUMPRODUCT((ListeB='recap S1'!$B90)*(OFFSET(ListeB,,4)='recap S1'!K$3)*(OFFSET(ListeB,,1)='recap S1'!K$2)),"")</f>
        <v/>
      </c>
      <c r="L90" s="32"/>
      <c r="M90" s="32" t="str">
        <f ca="1">IF(SUMPRODUCT((ListeB='recap S1'!$B90)*(OFFSET(ListeB,,4)='recap S1'!M$3)*(OFFSET(ListeB,,1)='recap S1'!M$2))&gt;0,SUMPRODUCT((ListeB='recap S1'!$B90)*(OFFSET(ListeB,,4)='recap S1'!M$3)*(OFFSET(ListeB,,1)='recap S1'!M$2)),"")</f>
        <v/>
      </c>
      <c r="N90" s="32" t="str">
        <f ca="1">IF(SUMPRODUCT((ListeB='recap S1'!$B90)*(OFFSET(ListeB,,4)='recap S1'!N$3)*(OFFSET(ListeB,,1)='recap S1'!N$2))&gt;0,SUMPRODUCT((ListeB='recap S1'!$B90)*(OFFSET(ListeB,,4)='recap S1'!N$3)*(OFFSET(ListeB,,1)='recap S1'!N$2)),"")</f>
        <v/>
      </c>
      <c r="O90" s="32"/>
      <c r="P90" s="32" t="str">
        <f ca="1">IF(SUMPRODUCT((ListeB='recap S1'!$B90)*(OFFSET(ListeB,,4)='recap S1'!P$3)*(OFFSET(ListeB,,1)='recap S1'!P$2))&gt;0,SUMPRODUCT((ListeB='recap S1'!$B90)*(OFFSET(ListeB,,4)='recap S1'!P$3)*(OFFSET(ListeB,,1)='recap S1'!P$2)),"")</f>
        <v/>
      </c>
      <c r="Q90" s="32" t="str">
        <f ca="1">IF(SUMPRODUCT((ListeB='recap S1'!$B90)*(OFFSET(ListeB,,4)='recap S1'!Q$3)*(OFFSET(ListeB,,1)='recap S1'!Q$2))&gt;0,SUMPRODUCT((ListeB='recap S1'!$B90)*(OFFSET(ListeB,,4)='recap S1'!Q$3)*(OFFSET(ListeB,,1)='recap S1'!Q$2)),"")</f>
        <v/>
      </c>
      <c r="R90" s="32"/>
      <c r="S90" s="32" t="str">
        <f ca="1">IF(SUMPRODUCT((ListeB='recap S1'!$B90)*(OFFSET(ListeB,,4)='recap S1'!S$3)*(OFFSET(ListeB,,1)='recap S1'!S$2))&gt;0,SUMPRODUCT((ListeB='recap S1'!$B90)*(OFFSET(ListeB,,4)='recap S1'!S$3)*(OFFSET(ListeB,,1)='recap S1'!S$2)),"")</f>
        <v/>
      </c>
      <c r="T90" s="32" t="str">
        <f ca="1">IF(SUMPRODUCT((ListeB='recap S1'!$B90)*(OFFSET(ListeB,,4)='recap S1'!T$3)*(OFFSET(ListeB,,1)='recap S1'!T$2))&gt;0,SUMPRODUCT((ListeB='recap S1'!$B90)*(OFFSET(ListeB,,4)='recap S1'!T$3)*(OFFSET(ListeB,,1)='recap S1'!T$2)),"")</f>
        <v/>
      </c>
      <c r="U90" s="32" t="str">
        <f ca="1">IF(SUMPRODUCT((ListeB='recap S1'!$B90)*(OFFSET(ListeB,,4)='recap S1'!U$3)*(OFFSET(ListeB,,1)='recap S1'!U$2))&gt;0,SUMPRODUCT((ListeB='recap S1'!$B90)*(OFFSET(ListeB,,4)='recap S1'!U$3)*(OFFSET(ListeB,,1)='recap S1'!U$2)),"")</f>
        <v/>
      </c>
      <c r="V90" s="32"/>
      <c r="W90" s="32" t="str">
        <f ca="1">IF(SUMPRODUCT((ListeB='recap S1'!$B90)*(OFFSET(ListeB,,4)='recap S1'!W$3)*(OFFSET(ListeB,,1)='recap S1'!W$2))&gt;0,SUMPRODUCT((ListeB='recap S1'!$B90)*(OFFSET(ListeB,,4)='recap S1'!W$3)*(OFFSET(ListeB,,1)='recap S1'!W$2)),"")</f>
        <v/>
      </c>
      <c r="X90" s="32"/>
      <c r="Y90" s="32" t="str">
        <f ca="1">IF(SUMPRODUCT((ListeB='recap S1'!$B90)*(OFFSET(ListeB,,4)='recap S1'!Y$3)*(OFFSET(ListeB,,1)='recap S1'!Y$2))&gt;0,SUMPRODUCT((ListeB='recap S1'!$B90)*(OFFSET(ListeB,,4)='recap S1'!Y$3)*(OFFSET(ListeB,,1)='recap S1'!Y$2)),"")</f>
        <v/>
      </c>
      <c r="Z90" s="32" t="str">
        <f ca="1">IF(SUMPRODUCT((ListeB='recap S1'!$B90)*(OFFSET(ListeB,,4)='recap S1'!Z$3)*(OFFSET(ListeB,,1)='recap S1'!Z$2))&gt;0,SUMPRODUCT((ListeB='recap S1'!$B90)*(OFFSET(ListeB,,4)='recap S1'!Z$3)*(OFFSET(ListeB,,1)='recap S1'!Z$2)),"")</f>
        <v/>
      </c>
      <c r="AA90" s="32" t="str">
        <f ca="1">IF(SUMPRODUCT((ListeB='recap S1'!$B90)*(OFFSET(ListeB,,4)='recap S1'!AA$3)*(OFFSET(ListeB,,1)='recap S1'!AA$2))&gt;0,SUMPRODUCT((ListeB='recap S1'!$B90)*(OFFSET(ListeB,,4)='recap S1'!AA$3)*(OFFSET(ListeB,,1)='recap S1'!AA$2)),"")</f>
        <v/>
      </c>
      <c r="AB90" s="32"/>
      <c r="AC90" s="32" t="str">
        <f ca="1">IF(SUMPRODUCT((ListeB='recap S1'!$B90)*(OFFSET(ListeB,,4)='recap S1'!AC$3)*(OFFSET(ListeB,,1)='recap S1'!AC$2))&gt;0,SUMPRODUCT((ListeB='recap S1'!$B90)*(OFFSET(ListeB,,4)='recap S1'!AC$3)*(OFFSET(ListeB,,1)='recap S1'!AC$2)),"")</f>
        <v/>
      </c>
      <c r="AD90" s="32"/>
      <c r="AE90" s="32" t="str">
        <f ca="1">IF(SUMPRODUCT((ListeB='recap S1'!$B90)*(OFFSET(ListeB,,4)='recap S1'!AE$3)*(OFFSET(ListeB,,1)='recap S1'!AE$2))&gt;0,SUMPRODUCT((ListeB='recap S1'!$B90)*(OFFSET(ListeB,,4)='recap S1'!AE$3)*(OFFSET(ListeB,,1)='recap S1'!AE$2)),"")</f>
        <v/>
      </c>
      <c r="AF90" s="32" t="str">
        <f ca="1">IF(SUMPRODUCT((ListeB='recap S1'!$B90)*(OFFSET(ListeB,,4)='recap S1'!AF$3)*(OFFSET(ListeB,,1)='recap S1'!AF$2))&gt;0,SUMPRODUCT((ListeB='recap S1'!$B90)*(OFFSET(ListeB,,4)='recap S1'!AF$3)*(OFFSET(ListeB,,1)='recap S1'!AF$2)),"")</f>
        <v/>
      </c>
      <c r="AG90" s="32"/>
      <c r="AH90" s="32" t="str">
        <f ca="1">IF(SUMPRODUCT((ListeB='recap S1'!$B90)*(OFFSET(ListeB,,4)='recap S1'!AH$3)*(OFFSET(ListeB,,1)='recap S1'!AH$2))&gt;0,SUMPRODUCT((ListeB='recap S1'!$B90)*(OFFSET(ListeB,,4)='recap S1'!AH$3)*(OFFSET(ListeB,,1)='recap S1'!AH$2)),"")</f>
        <v/>
      </c>
      <c r="AI90" s="32" t="str">
        <f ca="1">IF(SUMPRODUCT((ListeB='recap S1'!$B90)*(OFFSET(ListeB,,4)='recap S1'!AI$3)*(OFFSET(ListeB,,1)='recap S1'!AI$2))&gt;0,SUMPRODUCT((ListeB='recap S1'!$B90)*(OFFSET(ListeB,,4)='recap S1'!AI$3)*(OFFSET(ListeB,,1)='recap S1'!AI$2)),"")</f>
        <v/>
      </c>
      <c r="AJ90" s="32" t="str">
        <f ca="1">IF(SUMPRODUCT((ListeB='recap S1'!$B90)*(OFFSET(ListeB,,4)='recap S1'!AJ$3)*(OFFSET(ListeB,,1)='recap S1'!AJ$2))&gt;0,SUMPRODUCT((ListeB='recap S1'!$B90)*(OFFSET(ListeB,,4)='recap S1'!AJ$3)*(OFFSET(ListeB,,1)='recap S1'!AJ$2)),"")</f>
        <v/>
      </c>
      <c r="AK90" s="32"/>
      <c r="AL90" s="32" t="str">
        <f ca="1">IF(SUMPRODUCT((ListeB='recap S1'!$B90)*(OFFSET(ListeB,,4)='recap S1'!AL$3)*(OFFSET(ListeB,,1)='recap S1'!AL$2))&gt;0,SUMPRODUCT((ListeB='recap S1'!$B90)*(OFFSET(ListeB,,4)='recap S1'!AL$3)*(OFFSET(ListeB,,1)='recap S1'!AL$2)),"")</f>
        <v/>
      </c>
      <c r="AM90" s="32"/>
      <c r="AN90" s="32" t="str">
        <f ca="1">IF(SUMPRODUCT((ListeB='recap S1'!$B90)*(OFFSET(ListeB,,4)='recap S1'!AN$3)*(OFFSET(ListeB,,1)='recap S1'!AN$2))&gt;0,SUMPRODUCT((ListeB='recap S1'!$B90)*(OFFSET(ListeB,,4)='recap S1'!AN$3)*(OFFSET(ListeB,,1)='recap S1'!AN$2)),"")</f>
        <v/>
      </c>
      <c r="AO90" s="32" t="str">
        <f ca="1">IF(SUMPRODUCT((ListeB='recap S1'!$B90)*(OFFSET(ListeB,,4)='recap S1'!AO$3)*(OFFSET(ListeB,,1)='recap S1'!AO$2))&gt;0,SUMPRODUCT((ListeB='recap S1'!$B90)*(OFFSET(ListeB,,4)='recap S1'!AO$3)*(OFFSET(ListeB,,1)='recap S1'!AO$2)),"")</f>
        <v/>
      </c>
      <c r="AP90" s="32"/>
      <c r="AQ90" s="32"/>
      <c r="AR90" s="32"/>
      <c r="AS90" s="32" t="str">
        <f ca="1">IF(SUMPRODUCT((ListeB='recap S1'!$B90)*(OFFSET(ListeB,,4)='recap S1'!AS$3)*(OFFSET(ListeB,,1)='recap S1'!AS$2))&gt;0,SUMPRODUCT((ListeB='recap S1'!$B90)*(OFFSET(ListeB,,4)='recap S1'!AS$3)*(OFFSET(ListeB,,1)='recap S1'!AS$2)),"")</f>
        <v/>
      </c>
      <c r="AT90" s="32" t="str">
        <f ca="1">IF(SUMPRODUCT((ListeB='recap S1'!$B90)*(OFFSET(ListeB,,4)='recap S1'!AT$3)*(OFFSET(ListeB,,1)='recap S1'!AT$2))&gt;0,SUMPRODUCT((ListeB='recap S1'!$B90)*(OFFSET(ListeB,,4)='recap S1'!AT$3)*(OFFSET(ListeB,,1)='recap S1'!AT$2)),"")</f>
        <v/>
      </c>
      <c r="AU90" s="32"/>
      <c r="AV90" s="32" t="str">
        <f ca="1">IF(SUMPRODUCT((ListeB='recap S1'!$B90)*(OFFSET(ListeB,,4)='recap S1'!AV$3)*(OFFSET(ListeB,,1)='recap S1'!AV$2))&gt;0,SUMPRODUCT((ListeB='recap S1'!$B90)*(OFFSET(ListeB,,4)='recap S1'!AV$3)*(OFFSET(ListeB,,1)='recap S1'!AV$2)),"")</f>
        <v/>
      </c>
      <c r="AW90" s="32" t="str">
        <f ca="1">IF(SUMPRODUCT((ListeB='recap S1'!$B90)*(OFFSET(ListeB,,4)='recap S1'!AW$3)*(OFFSET(ListeB,,1)='recap S1'!AW$2))&gt;0,SUMPRODUCT((ListeB='recap S1'!$B90)*(OFFSET(ListeB,,4)='recap S1'!AW$3)*(OFFSET(ListeB,,1)='recap S1'!AW$2)),"")</f>
        <v/>
      </c>
      <c r="AX90" s="32" t="str">
        <f ca="1">IF(SUMPRODUCT((ListeB='recap S1'!$B90)*(OFFSET(ListeB,,4)='recap S1'!AX$3)*(OFFSET(ListeB,,1)='recap S1'!AX$2))&gt;0,SUMPRODUCT((ListeB='recap S1'!$B90)*(OFFSET(ListeB,,4)='recap S1'!AX$3)*(OFFSET(ListeB,,1)='recap S1'!AX$2)),"")</f>
        <v/>
      </c>
      <c r="AY90" s="34"/>
      <c r="AZ90" s="32">
        <f t="shared" ca="1" si="2"/>
        <v>0</v>
      </c>
    </row>
    <row r="91" spans="1:52">
      <c r="A91" s="41" t="str">
        <f>IF('SEANCE 1'!$B89&lt;&gt;"",'SEANCE 1'!$A89,"")</f>
        <v/>
      </c>
      <c r="B91" s="41" t="str">
        <f t="array" aca="1" ref="B91" ca="1">IF(ISNA(INDEX(ListeB,MATCH(0,COUNTIF($B$3:B90,ListeB),0))),"",INDEX(ListeB,MATCH(0,COUNTIF($B$3:B90,ListeB),0)))</f>
        <v/>
      </c>
      <c r="C91" s="32" t="str">
        <f ca="1">IF(SUMPRODUCT((ListeB='recap S1'!$B91)*(OFFSET(ListeB,,4)='recap S1'!C$3)*(OFFSET(ListeB,,1)='recap S1'!C$2))&gt;0,SUMPRODUCT((ListeB='recap S1'!$B91)*(OFFSET(ListeB,,4)='recap S1'!C$3)*(OFFSET(ListeB,,1)='recap S1'!C$2)),"")</f>
        <v/>
      </c>
      <c r="D91" s="32" t="str">
        <f ca="1">IF(SUMPRODUCT((ListeB='recap S1'!$B91)*(OFFSET(ListeB,,4)='recap S1'!D$3)*(OFFSET(ListeB,,1)='recap S1'!D$2))&gt;0,SUMPRODUCT((ListeB='recap S1'!$B91)*(OFFSET(ListeB,,4)='recap S1'!D$3)*(OFFSET(ListeB,,1)='recap S1'!D$2)),"")</f>
        <v/>
      </c>
      <c r="E91" s="32"/>
      <c r="F91" s="32" t="str">
        <f ca="1">IF(SUMPRODUCT((ListeB='recap S1'!$B91)*(OFFSET(ListeB,,4)='recap S1'!F$3)*(OFFSET(ListeB,,1)='recap S1'!F$2))&gt;0,SUMPRODUCT((ListeB='recap S1'!$B91)*(OFFSET(ListeB,,4)='recap S1'!F$3)*(OFFSET(ListeB,,1)='recap S1'!F$2)),"")</f>
        <v/>
      </c>
      <c r="G91" s="32" t="str">
        <f ca="1">IF(SUMPRODUCT((ListeB='recap S1'!$B91)*(OFFSET(ListeB,,4)='recap S1'!G$3)*(OFFSET(ListeB,,1)='recap S1'!G$2))&gt;0,SUMPRODUCT((ListeB='recap S1'!$B91)*(OFFSET(ListeB,,4)='recap S1'!G$3)*(OFFSET(ListeB,,1)='recap S1'!G$2)),"")</f>
        <v/>
      </c>
      <c r="H91" s="32"/>
      <c r="I91" s="32" t="str">
        <f ca="1">IF(SUMPRODUCT((ListeB='recap S1'!$B91)*(OFFSET(ListeB,,4)='recap S1'!I$3)*(OFFSET(ListeB,,1)='recap S1'!I$2))&gt;0,SUMPRODUCT((ListeB='recap S1'!$B91)*(OFFSET(ListeB,,4)='recap S1'!I$3)*(OFFSET(ListeB,,1)='recap S1'!I$2)),"")</f>
        <v/>
      </c>
      <c r="J91" s="32" t="str">
        <f ca="1">IF(SUMPRODUCT((ListeB='recap S1'!$B91)*(OFFSET(ListeB,,4)='recap S1'!J$3)*(OFFSET(ListeB,,1)='recap S1'!J$2))&gt;0,SUMPRODUCT((ListeB='recap S1'!$B91)*(OFFSET(ListeB,,4)='recap S1'!J$3)*(OFFSET(ListeB,,1)='recap S1'!J$2)),"")</f>
        <v/>
      </c>
      <c r="K91" s="32" t="str">
        <f ca="1">IF(SUMPRODUCT((ListeB='recap S1'!$B91)*(OFFSET(ListeB,,4)='recap S1'!K$3)*(OFFSET(ListeB,,1)='recap S1'!K$2))&gt;0,SUMPRODUCT((ListeB='recap S1'!$B91)*(OFFSET(ListeB,,4)='recap S1'!K$3)*(OFFSET(ListeB,,1)='recap S1'!K$2)),"")</f>
        <v/>
      </c>
      <c r="L91" s="32"/>
      <c r="M91" s="32" t="str">
        <f ca="1">IF(SUMPRODUCT((ListeB='recap S1'!$B91)*(OFFSET(ListeB,,4)='recap S1'!M$3)*(OFFSET(ListeB,,1)='recap S1'!M$2))&gt;0,SUMPRODUCT((ListeB='recap S1'!$B91)*(OFFSET(ListeB,,4)='recap S1'!M$3)*(OFFSET(ListeB,,1)='recap S1'!M$2)),"")</f>
        <v/>
      </c>
      <c r="N91" s="32" t="str">
        <f ca="1">IF(SUMPRODUCT((ListeB='recap S1'!$B91)*(OFFSET(ListeB,,4)='recap S1'!N$3)*(OFFSET(ListeB,,1)='recap S1'!N$2))&gt;0,SUMPRODUCT((ListeB='recap S1'!$B91)*(OFFSET(ListeB,,4)='recap S1'!N$3)*(OFFSET(ListeB,,1)='recap S1'!N$2)),"")</f>
        <v/>
      </c>
      <c r="O91" s="32"/>
      <c r="P91" s="32" t="str">
        <f ca="1">IF(SUMPRODUCT((ListeB='recap S1'!$B91)*(OFFSET(ListeB,,4)='recap S1'!P$3)*(OFFSET(ListeB,,1)='recap S1'!P$2))&gt;0,SUMPRODUCT((ListeB='recap S1'!$B91)*(OFFSET(ListeB,,4)='recap S1'!P$3)*(OFFSET(ListeB,,1)='recap S1'!P$2)),"")</f>
        <v/>
      </c>
      <c r="Q91" s="32" t="str">
        <f ca="1">IF(SUMPRODUCT((ListeB='recap S1'!$B91)*(OFFSET(ListeB,,4)='recap S1'!Q$3)*(OFFSET(ListeB,,1)='recap S1'!Q$2))&gt;0,SUMPRODUCT((ListeB='recap S1'!$B91)*(OFFSET(ListeB,,4)='recap S1'!Q$3)*(OFFSET(ListeB,,1)='recap S1'!Q$2)),"")</f>
        <v/>
      </c>
      <c r="R91" s="32"/>
      <c r="S91" s="32" t="str">
        <f ca="1">IF(SUMPRODUCT((ListeB='recap S1'!$B91)*(OFFSET(ListeB,,4)='recap S1'!S$3)*(OFFSET(ListeB,,1)='recap S1'!S$2))&gt;0,SUMPRODUCT((ListeB='recap S1'!$B91)*(OFFSET(ListeB,,4)='recap S1'!S$3)*(OFFSET(ListeB,,1)='recap S1'!S$2)),"")</f>
        <v/>
      </c>
      <c r="T91" s="32" t="str">
        <f ca="1">IF(SUMPRODUCT((ListeB='recap S1'!$B91)*(OFFSET(ListeB,,4)='recap S1'!T$3)*(OFFSET(ListeB,,1)='recap S1'!T$2))&gt;0,SUMPRODUCT((ListeB='recap S1'!$B91)*(OFFSET(ListeB,,4)='recap S1'!T$3)*(OFFSET(ListeB,,1)='recap S1'!T$2)),"")</f>
        <v/>
      </c>
      <c r="U91" s="32" t="str">
        <f ca="1">IF(SUMPRODUCT((ListeB='recap S1'!$B91)*(OFFSET(ListeB,,4)='recap S1'!U$3)*(OFFSET(ListeB,,1)='recap S1'!U$2))&gt;0,SUMPRODUCT((ListeB='recap S1'!$B91)*(OFFSET(ListeB,,4)='recap S1'!U$3)*(OFFSET(ListeB,,1)='recap S1'!U$2)),"")</f>
        <v/>
      </c>
      <c r="V91" s="32"/>
      <c r="W91" s="32" t="str">
        <f ca="1">IF(SUMPRODUCT((ListeB='recap S1'!$B91)*(OFFSET(ListeB,,4)='recap S1'!W$3)*(OFFSET(ListeB,,1)='recap S1'!W$2))&gt;0,SUMPRODUCT((ListeB='recap S1'!$B91)*(OFFSET(ListeB,,4)='recap S1'!W$3)*(OFFSET(ListeB,,1)='recap S1'!W$2)),"")</f>
        <v/>
      </c>
      <c r="X91" s="32"/>
      <c r="Y91" s="32" t="str">
        <f ca="1">IF(SUMPRODUCT((ListeB='recap S1'!$B91)*(OFFSET(ListeB,,4)='recap S1'!Y$3)*(OFFSET(ListeB,,1)='recap S1'!Y$2))&gt;0,SUMPRODUCT((ListeB='recap S1'!$B91)*(OFFSET(ListeB,,4)='recap S1'!Y$3)*(OFFSET(ListeB,,1)='recap S1'!Y$2)),"")</f>
        <v/>
      </c>
      <c r="Z91" s="32" t="str">
        <f ca="1">IF(SUMPRODUCT((ListeB='recap S1'!$B91)*(OFFSET(ListeB,,4)='recap S1'!Z$3)*(OFFSET(ListeB,,1)='recap S1'!Z$2))&gt;0,SUMPRODUCT((ListeB='recap S1'!$B91)*(OFFSET(ListeB,,4)='recap S1'!Z$3)*(OFFSET(ListeB,,1)='recap S1'!Z$2)),"")</f>
        <v/>
      </c>
      <c r="AA91" s="32" t="str">
        <f ca="1">IF(SUMPRODUCT((ListeB='recap S1'!$B91)*(OFFSET(ListeB,,4)='recap S1'!AA$3)*(OFFSET(ListeB,,1)='recap S1'!AA$2))&gt;0,SUMPRODUCT((ListeB='recap S1'!$B91)*(OFFSET(ListeB,,4)='recap S1'!AA$3)*(OFFSET(ListeB,,1)='recap S1'!AA$2)),"")</f>
        <v/>
      </c>
      <c r="AB91" s="32"/>
      <c r="AC91" s="32" t="str">
        <f ca="1">IF(SUMPRODUCT((ListeB='recap S1'!$B91)*(OFFSET(ListeB,,4)='recap S1'!AC$3)*(OFFSET(ListeB,,1)='recap S1'!AC$2))&gt;0,SUMPRODUCT((ListeB='recap S1'!$B91)*(OFFSET(ListeB,,4)='recap S1'!AC$3)*(OFFSET(ListeB,,1)='recap S1'!AC$2)),"")</f>
        <v/>
      </c>
      <c r="AD91" s="32"/>
      <c r="AE91" s="32" t="str">
        <f ca="1">IF(SUMPRODUCT((ListeB='recap S1'!$B91)*(OFFSET(ListeB,,4)='recap S1'!AE$3)*(OFFSET(ListeB,,1)='recap S1'!AE$2))&gt;0,SUMPRODUCT((ListeB='recap S1'!$B91)*(OFFSET(ListeB,,4)='recap S1'!AE$3)*(OFFSET(ListeB,,1)='recap S1'!AE$2)),"")</f>
        <v/>
      </c>
      <c r="AF91" s="32" t="str">
        <f ca="1">IF(SUMPRODUCT((ListeB='recap S1'!$B91)*(OFFSET(ListeB,,4)='recap S1'!AF$3)*(OFFSET(ListeB,,1)='recap S1'!AF$2))&gt;0,SUMPRODUCT((ListeB='recap S1'!$B91)*(OFFSET(ListeB,,4)='recap S1'!AF$3)*(OFFSET(ListeB,,1)='recap S1'!AF$2)),"")</f>
        <v/>
      </c>
      <c r="AG91" s="32"/>
      <c r="AH91" s="32" t="str">
        <f ca="1">IF(SUMPRODUCT((ListeB='recap S1'!$B91)*(OFFSET(ListeB,,4)='recap S1'!AH$3)*(OFFSET(ListeB,,1)='recap S1'!AH$2))&gt;0,SUMPRODUCT((ListeB='recap S1'!$B91)*(OFFSET(ListeB,,4)='recap S1'!AH$3)*(OFFSET(ListeB,,1)='recap S1'!AH$2)),"")</f>
        <v/>
      </c>
      <c r="AI91" s="32" t="str">
        <f ca="1">IF(SUMPRODUCT((ListeB='recap S1'!$B91)*(OFFSET(ListeB,,4)='recap S1'!AI$3)*(OFFSET(ListeB,,1)='recap S1'!AI$2))&gt;0,SUMPRODUCT((ListeB='recap S1'!$B91)*(OFFSET(ListeB,,4)='recap S1'!AI$3)*(OFFSET(ListeB,,1)='recap S1'!AI$2)),"")</f>
        <v/>
      </c>
      <c r="AJ91" s="32" t="str">
        <f ca="1">IF(SUMPRODUCT((ListeB='recap S1'!$B91)*(OFFSET(ListeB,,4)='recap S1'!AJ$3)*(OFFSET(ListeB,,1)='recap S1'!AJ$2))&gt;0,SUMPRODUCT((ListeB='recap S1'!$B91)*(OFFSET(ListeB,,4)='recap S1'!AJ$3)*(OFFSET(ListeB,,1)='recap S1'!AJ$2)),"")</f>
        <v/>
      </c>
      <c r="AK91" s="32"/>
      <c r="AL91" s="32" t="str">
        <f ca="1">IF(SUMPRODUCT((ListeB='recap S1'!$B91)*(OFFSET(ListeB,,4)='recap S1'!AL$3)*(OFFSET(ListeB,,1)='recap S1'!AL$2))&gt;0,SUMPRODUCT((ListeB='recap S1'!$B91)*(OFFSET(ListeB,,4)='recap S1'!AL$3)*(OFFSET(ListeB,,1)='recap S1'!AL$2)),"")</f>
        <v/>
      </c>
      <c r="AM91" s="32"/>
      <c r="AN91" s="32" t="str">
        <f ca="1">IF(SUMPRODUCT((ListeB='recap S1'!$B91)*(OFFSET(ListeB,,4)='recap S1'!AN$3)*(OFFSET(ListeB,,1)='recap S1'!AN$2))&gt;0,SUMPRODUCT((ListeB='recap S1'!$B91)*(OFFSET(ListeB,,4)='recap S1'!AN$3)*(OFFSET(ListeB,,1)='recap S1'!AN$2)),"")</f>
        <v/>
      </c>
      <c r="AO91" s="32" t="str">
        <f ca="1">IF(SUMPRODUCT((ListeB='recap S1'!$B91)*(OFFSET(ListeB,,4)='recap S1'!AO$3)*(OFFSET(ListeB,,1)='recap S1'!AO$2))&gt;0,SUMPRODUCT((ListeB='recap S1'!$B91)*(OFFSET(ListeB,,4)='recap S1'!AO$3)*(OFFSET(ListeB,,1)='recap S1'!AO$2)),"")</f>
        <v/>
      </c>
      <c r="AP91" s="32"/>
      <c r="AQ91" s="32"/>
      <c r="AR91" s="32"/>
      <c r="AS91" s="32" t="str">
        <f ca="1">IF(SUMPRODUCT((ListeB='recap S1'!$B91)*(OFFSET(ListeB,,4)='recap S1'!AS$3)*(OFFSET(ListeB,,1)='recap S1'!AS$2))&gt;0,SUMPRODUCT((ListeB='recap S1'!$B91)*(OFFSET(ListeB,,4)='recap S1'!AS$3)*(OFFSET(ListeB,,1)='recap S1'!AS$2)),"")</f>
        <v/>
      </c>
      <c r="AT91" s="32" t="str">
        <f ca="1">IF(SUMPRODUCT((ListeB='recap S1'!$B91)*(OFFSET(ListeB,,4)='recap S1'!AT$3)*(OFFSET(ListeB,,1)='recap S1'!AT$2))&gt;0,SUMPRODUCT((ListeB='recap S1'!$B91)*(OFFSET(ListeB,,4)='recap S1'!AT$3)*(OFFSET(ListeB,,1)='recap S1'!AT$2)),"")</f>
        <v/>
      </c>
      <c r="AU91" s="32"/>
      <c r="AV91" s="32" t="str">
        <f ca="1">IF(SUMPRODUCT((ListeB='recap S1'!$B91)*(OFFSET(ListeB,,4)='recap S1'!AV$3)*(OFFSET(ListeB,,1)='recap S1'!AV$2))&gt;0,SUMPRODUCT((ListeB='recap S1'!$B91)*(OFFSET(ListeB,,4)='recap S1'!AV$3)*(OFFSET(ListeB,,1)='recap S1'!AV$2)),"")</f>
        <v/>
      </c>
      <c r="AW91" s="32" t="str">
        <f ca="1">IF(SUMPRODUCT((ListeB='recap S1'!$B91)*(OFFSET(ListeB,,4)='recap S1'!AW$3)*(OFFSET(ListeB,,1)='recap S1'!AW$2))&gt;0,SUMPRODUCT((ListeB='recap S1'!$B91)*(OFFSET(ListeB,,4)='recap S1'!AW$3)*(OFFSET(ListeB,,1)='recap S1'!AW$2)),"")</f>
        <v/>
      </c>
      <c r="AX91" s="32" t="str">
        <f ca="1">IF(SUMPRODUCT((ListeB='recap S1'!$B91)*(OFFSET(ListeB,,4)='recap S1'!AX$3)*(OFFSET(ListeB,,1)='recap S1'!AX$2))&gt;0,SUMPRODUCT((ListeB='recap S1'!$B91)*(OFFSET(ListeB,,4)='recap S1'!AX$3)*(OFFSET(ListeB,,1)='recap S1'!AX$2)),"")</f>
        <v/>
      </c>
      <c r="AY91" s="34"/>
      <c r="AZ91" s="32">
        <f t="shared" ca="1" si="2"/>
        <v>0</v>
      </c>
    </row>
    <row r="92" spans="1:52">
      <c r="A92" s="41" t="str">
        <f>IF('SEANCE 1'!$B90&lt;&gt;"",'SEANCE 1'!$A90,"")</f>
        <v/>
      </c>
      <c r="B92" s="41" t="str">
        <f t="array" aca="1" ref="B92" ca="1">IF(ISNA(INDEX(ListeB,MATCH(0,COUNTIF($B$3:B91,ListeB),0))),"",INDEX(ListeB,MATCH(0,COUNTIF($B$3:B91,ListeB),0)))</f>
        <v/>
      </c>
      <c r="C92" s="32" t="str">
        <f ca="1">IF(SUMPRODUCT((ListeB='recap S1'!$B92)*(OFFSET(ListeB,,4)='recap S1'!C$3)*(OFFSET(ListeB,,1)='recap S1'!C$2))&gt;0,SUMPRODUCT((ListeB='recap S1'!$B92)*(OFFSET(ListeB,,4)='recap S1'!C$3)*(OFFSET(ListeB,,1)='recap S1'!C$2)),"")</f>
        <v/>
      </c>
      <c r="D92" s="32" t="str">
        <f ca="1">IF(SUMPRODUCT((ListeB='recap S1'!$B92)*(OFFSET(ListeB,,4)='recap S1'!D$3)*(OFFSET(ListeB,,1)='recap S1'!D$2))&gt;0,SUMPRODUCT((ListeB='recap S1'!$B92)*(OFFSET(ListeB,,4)='recap S1'!D$3)*(OFFSET(ListeB,,1)='recap S1'!D$2)),"")</f>
        <v/>
      </c>
      <c r="E92" s="32"/>
      <c r="F92" s="32" t="str">
        <f ca="1">IF(SUMPRODUCT((ListeB='recap S1'!$B92)*(OFFSET(ListeB,,4)='recap S1'!F$3)*(OFFSET(ListeB,,1)='recap S1'!F$2))&gt;0,SUMPRODUCT((ListeB='recap S1'!$B92)*(OFFSET(ListeB,,4)='recap S1'!F$3)*(OFFSET(ListeB,,1)='recap S1'!F$2)),"")</f>
        <v/>
      </c>
      <c r="G92" s="32" t="str">
        <f ca="1">IF(SUMPRODUCT((ListeB='recap S1'!$B92)*(OFFSET(ListeB,,4)='recap S1'!G$3)*(OFFSET(ListeB,,1)='recap S1'!G$2))&gt;0,SUMPRODUCT((ListeB='recap S1'!$B92)*(OFFSET(ListeB,,4)='recap S1'!G$3)*(OFFSET(ListeB,,1)='recap S1'!G$2)),"")</f>
        <v/>
      </c>
      <c r="H92" s="32"/>
      <c r="I92" s="32" t="str">
        <f ca="1">IF(SUMPRODUCT((ListeB='recap S1'!$B92)*(OFFSET(ListeB,,4)='recap S1'!I$3)*(OFFSET(ListeB,,1)='recap S1'!I$2))&gt;0,SUMPRODUCT((ListeB='recap S1'!$B92)*(OFFSET(ListeB,,4)='recap S1'!I$3)*(OFFSET(ListeB,,1)='recap S1'!I$2)),"")</f>
        <v/>
      </c>
      <c r="J92" s="32" t="str">
        <f ca="1">IF(SUMPRODUCT((ListeB='recap S1'!$B92)*(OFFSET(ListeB,,4)='recap S1'!J$3)*(OFFSET(ListeB,,1)='recap S1'!J$2))&gt;0,SUMPRODUCT((ListeB='recap S1'!$B92)*(OFFSET(ListeB,,4)='recap S1'!J$3)*(OFFSET(ListeB,,1)='recap S1'!J$2)),"")</f>
        <v/>
      </c>
      <c r="K92" s="32" t="str">
        <f ca="1">IF(SUMPRODUCT((ListeB='recap S1'!$B92)*(OFFSET(ListeB,,4)='recap S1'!K$3)*(OFFSET(ListeB,,1)='recap S1'!K$2))&gt;0,SUMPRODUCT((ListeB='recap S1'!$B92)*(OFFSET(ListeB,,4)='recap S1'!K$3)*(OFFSET(ListeB,,1)='recap S1'!K$2)),"")</f>
        <v/>
      </c>
      <c r="L92" s="32"/>
      <c r="M92" s="32" t="str">
        <f ca="1">IF(SUMPRODUCT((ListeB='recap S1'!$B92)*(OFFSET(ListeB,,4)='recap S1'!M$3)*(OFFSET(ListeB,,1)='recap S1'!M$2))&gt;0,SUMPRODUCT((ListeB='recap S1'!$B92)*(OFFSET(ListeB,,4)='recap S1'!M$3)*(OFFSET(ListeB,,1)='recap S1'!M$2)),"")</f>
        <v/>
      </c>
      <c r="N92" s="32" t="str">
        <f ca="1">IF(SUMPRODUCT((ListeB='recap S1'!$B92)*(OFFSET(ListeB,,4)='recap S1'!N$3)*(OFFSET(ListeB,,1)='recap S1'!N$2))&gt;0,SUMPRODUCT((ListeB='recap S1'!$B92)*(OFFSET(ListeB,,4)='recap S1'!N$3)*(OFFSET(ListeB,,1)='recap S1'!N$2)),"")</f>
        <v/>
      </c>
      <c r="O92" s="32"/>
      <c r="P92" s="32" t="str">
        <f ca="1">IF(SUMPRODUCT((ListeB='recap S1'!$B92)*(OFFSET(ListeB,,4)='recap S1'!P$3)*(OFFSET(ListeB,,1)='recap S1'!P$2))&gt;0,SUMPRODUCT((ListeB='recap S1'!$B92)*(OFFSET(ListeB,,4)='recap S1'!P$3)*(OFFSET(ListeB,,1)='recap S1'!P$2)),"")</f>
        <v/>
      </c>
      <c r="Q92" s="32" t="str">
        <f ca="1">IF(SUMPRODUCT((ListeB='recap S1'!$B92)*(OFFSET(ListeB,,4)='recap S1'!Q$3)*(OFFSET(ListeB,,1)='recap S1'!Q$2))&gt;0,SUMPRODUCT((ListeB='recap S1'!$B92)*(OFFSET(ListeB,,4)='recap S1'!Q$3)*(OFFSET(ListeB,,1)='recap S1'!Q$2)),"")</f>
        <v/>
      </c>
      <c r="R92" s="32"/>
      <c r="S92" s="32" t="str">
        <f ca="1">IF(SUMPRODUCT((ListeB='recap S1'!$B92)*(OFFSET(ListeB,,4)='recap S1'!S$3)*(OFFSET(ListeB,,1)='recap S1'!S$2))&gt;0,SUMPRODUCT((ListeB='recap S1'!$B92)*(OFFSET(ListeB,,4)='recap S1'!S$3)*(OFFSET(ListeB,,1)='recap S1'!S$2)),"")</f>
        <v/>
      </c>
      <c r="T92" s="32" t="str">
        <f ca="1">IF(SUMPRODUCT((ListeB='recap S1'!$B92)*(OFFSET(ListeB,,4)='recap S1'!T$3)*(OFFSET(ListeB,,1)='recap S1'!T$2))&gt;0,SUMPRODUCT((ListeB='recap S1'!$B92)*(OFFSET(ListeB,,4)='recap S1'!T$3)*(OFFSET(ListeB,,1)='recap S1'!T$2)),"")</f>
        <v/>
      </c>
      <c r="U92" s="32" t="str">
        <f ca="1">IF(SUMPRODUCT((ListeB='recap S1'!$B92)*(OFFSET(ListeB,,4)='recap S1'!U$3)*(OFFSET(ListeB,,1)='recap S1'!U$2))&gt;0,SUMPRODUCT((ListeB='recap S1'!$B92)*(OFFSET(ListeB,,4)='recap S1'!U$3)*(OFFSET(ListeB,,1)='recap S1'!U$2)),"")</f>
        <v/>
      </c>
      <c r="V92" s="32"/>
      <c r="W92" s="32" t="str">
        <f ca="1">IF(SUMPRODUCT((ListeB='recap S1'!$B92)*(OFFSET(ListeB,,4)='recap S1'!W$3)*(OFFSET(ListeB,,1)='recap S1'!W$2))&gt;0,SUMPRODUCT((ListeB='recap S1'!$B92)*(OFFSET(ListeB,,4)='recap S1'!W$3)*(OFFSET(ListeB,,1)='recap S1'!W$2)),"")</f>
        <v/>
      </c>
      <c r="X92" s="32"/>
      <c r="Y92" s="32" t="str">
        <f ca="1">IF(SUMPRODUCT((ListeB='recap S1'!$B92)*(OFFSET(ListeB,,4)='recap S1'!Y$3)*(OFFSET(ListeB,,1)='recap S1'!Y$2))&gt;0,SUMPRODUCT((ListeB='recap S1'!$B92)*(OFFSET(ListeB,,4)='recap S1'!Y$3)*(OFFSET(ListeB,,1)='recap S1'!Y$2)),"")</f>
        <v/>
      </c>
      <c r="Z92" s="32" t="str">
        <f ca="1">IF(SUMPRODUCT((ListeB='recap S1'!$B92)*(OFFSET(ListeB,,4)='recap S1'!Z$3)*(OFFSET(ListeB,,1)='recap S1'!Z$2))&gt;0,SUMPRODUCT((ListeB='recap S1'!$B92)*(OFFSET(ListeB,,4)='recap S1'!Z$3)*(OFFSET(ListeB,,1)='recap S1'!Z$2)),"")</f>
        <v/>
      </c>
      <c r="AA92" s="32" t="str">
        <f ca="1">IF(SUMPRODUCT((ListeB='recap S1'!$B92)*(OFFSET(ListeB,,4)='recap S1'!AA$3)*(OFFSET(ListeB,,1)='recap S1'!AA$2))&gt;0,SUMPRODUCT((ListeB='recap S1'!$B92)*(OFFSET(ListeB,,4)='recap S1'!AA$3)*(OFFSET(ListeB,,1)='recap S1'!AA$2)),"")</f>
        <v/>
      </c>
      <c r="AB92" s="32"/>
      <c r="AC92" s="32" t="str">
        <f ca="1">IF(SUMPRODUCT((ListeB='recap S1'!$B92)*(OFFSET(ListeB,,4)='recap S1'!AC$3)*(OFFSET(ListeB,,1)='recap S1'!AC$2))&gt;0,SUMPRODUCT((ListeB='recap S1'!$B92)*(OFFSET(ListeB,,4)='recap S1'!AC$3)*(OFFSET(ListeB,,1)='recap S1'!AC$2)),"")</f>
        <v/>
      </c>
      <c r="AD92" s="32"/>
      <c r="AE92" s="32" t="str">
        <f ca="1">IF(SUMPRODUCT((ListeB='recap S1'!$B92)*(OFFSET(ListeB,,4)='recap S1'!AE$3)*(OFFSET(ListeB,,1)='recap S1'!AE$2))&gt;0,SUMPRODUCT((ListeB='recap S1'!$B92)*(OFFSET(ListeB,,4)='recap S1'!AE$3)*(OFFSET(ListeB,,1)='recap S1'!AE$2)),"")</f>
        <v/>
      </c>
      <c r="AF92" s="32" t="str">
        <f ca="1">IF(SUMPRODUCT((ListeB='recap S1'!$B92)*(OFFSET(ListeB,,4)='recap S1'!AF$3)*(OFFSET(ListeB,,1)='recap S1'!AF$2))&gt;0,SUMPRODUCT((ListeB='recap S1'!$B92)*(OFFSET(ListeB,,4)='recap S1'!AF$3)*(OFFSET(ListeB,,1)='recap S1'!AF$2)),"")</f>
        <v/>
      </c>
      <c r="AG92" s="32"/>
      <c r="AH92" s="32" t="str">
        <f ca="1">IF(SUMPRODUCT((ListeB='recap S1'!$B92)*(OFFSET(ListeB,,4)='recap S1'!AH$3)*(OFFSET(ListeB,,1)='recap S1'!AH$2))&gt;0,SUMPRODUCT((ListeB='recap S1'!$B92)*(OFFSET(ListeB,,4)='recap S1'!AH$3)*(OFFSET(ListeB,,1)='recap S1'!AH$2)),"")</f>
        <v/>
      </c>
      <c r="AI92" s="32" t="str">
        <f ca="1">IF(SUMPRODUCT((ListeB='recap S1'!$B92)*(OFFSET(ListeB,,4)='recap S1'!AI$3)*(OFFSET(ListeB,,1)='recap S1'!AI$2))&gt;0,SUMPRODUCT((ListeB='recap S1'!$B92)*(OFFSET(ListeB,,4)='recap S1'!AI$3)*(OFFSET(ListeB,,1)='recap S1'!AI$2)),"")</f>
        <v/>
      </c>
      <c r="AJ92" s="32" t="str">
        <f ca="1">IF(SUMPRODUCT((ListeB='recap S1'!$B92)*(OFFSET(ListeB,,4)='recap S1'!AJ$3)*(OFFSET(ListeB,,1)='recap S1'!AJ$2))&gt;0,SUMPRODUCT((ListeB='recap S1'!$B92)*(OFFSET(ListeB,,4)='recap S1'!AJ$3)*(OFFSET(ListeB,,1)='recap S1'!AJ$2)),"")</f>
        <v/>
      </c>
      <c r="AK92" s="32"/>
      <c r="AL92" s="32" t="str">
        <f ca="1">IF(SUMPRODUCT((ListeB='recap S1'!$B92)*(OFFSET(ListeB,,4)='recap S1'!AL$3)*(OFFSET(ListeB,,1)='recap S1'!AL$2))&gt;0,SUMPRODUCT((ListeB='recap S1'!$B92)*(OFFSET(ListeB,,4)='recap S1'!AL$3)*(OFFSET(ListeB,,1)='recap S1'!AL$2)),"")</f>
        <v/>
      </c>
      <c r="AM92" s="32"/>
      <c r="AN92" s="32" t="str">
        <f ca="1">IF(SUMPRODUCT((ListeB='recap S1'!$B92)*(OFFSET(ListeB,,4)='recap S1'!AN$3)*(OFFSET(ListeB,,1)='recap S1'!AN$2))&gt;0,SUMPRODUCT((ListeB='recap S1'!$B92)*(OFFSET(ListeB,,4)='recap S1'!AN$3)*(OFFSET(ListeB,,1)='recap S1'!AN$2)),"")</f>
        <v/>
      </c>
      <c r="AO92" s="32" t="str">
        <f ca="1">IF(SUMPRODUCT((ListeB='recap S1'!$B92)*(OFFSET(ListeB,,4)='recap S1'!AO$3)*(OFFSET(ListeB,,1)='recap S1'!AO$2))&gt;0,SUMPRODUCT((ListeB='recap S1'!$B92)*(OFFSET(ListeB,,4)='recap S1'!AO$3)*(OFFSET(ListeB,,1)='recap S1'!AO$2)),"")</f>
        <v/>
      </c>
      <c r="AP92" s="32"/>
      <c r="AQ92" s="32"/>
      <c r="AR92" s="32"/>
      <c r="AS92" s="32" t="str">
        <f ca="1">IF(SUMPRODUCT((ListeB='recap S1'!$B92)*(OFFSET(ListeB,,4)='recap S1'!AS$3)*(OFFSET(ListeB,,1)='recap S1'!AS$2))&gt;0,SUMPRODUCT((ListeB='recap S1'!$B92)*(OFFSET(ListeB,,4)='recap S1'!AS$3)*(OFFSET(ListeB,,1)='recap S1'!AS$2)),"")</f>
        <v/>
      </c>
      <c r="AT92" s="32" t="str">
        <f ca="1">IF(SUMPRODUCT((ListeB='recap S1'!$B92)*(OFFSET(ListeB,,4)='recap S1'!AT$3)*(OFFSET(ListeB,,1)='recap S1'!AT$2))&gt;0,SUMPRODUCT((ListeB='recap S1'!$B92)*(OFFSET(ListeB,,4)='recap S1'!AT$3)*(OFFSET(ListeB,,1)='recap S1'!AT$2)),"")</f>
        <v/>
      </c>
      <c r="AU92" s="32"/>
      <c r="AV92" s="32" t="str">
        <f ca="1">IF(SUMPRODUCT((ListeB='recap S1'!$B92)*(OFFSET(ListeB,,4)='recap S1'!AV$3)*(OFFSET(ListeB,,1)='recap S1'!AV$2))&gt;0,SUMPRODUCT((ListeB='recap S1'!$B92)*(OFFSET(ListeB,,4)='recap S1'!AV$3)*(OFFSET(ListeB,,1)='recap S1'!AV$2)),"")</f>
        <v/>
      </c>
      <c r="AW92" s="32" t="str">
        <f ca="1">IF(SUMPRODUCT((ListeB='recap S1'!$B92)*(OFFSET(ListeB,,4)='recap S1'!AW$3)*(OFFSET(ListeB,,1)='recap S1'!AW$2))&gt;0,SUMPRODUCT((ListeB='recap S1'!$B92)*(OFFSET(ListeB,,4)='recap S1'!AW$3)*(OFFSET(ListeB,,1)='recap S1'!AW$2)),"")</f>
        <v/>
      </c>
      <c r="AX92" s="32" t="str">
        <f ca="1">IF(SUMPRODUCT((ListeB='recap S1'!$B92)*(OFFSET(ListeB,,4)='recap S1'!AX$3)*(OFFSET(ListeB,,1)='recap S1'!AX$2))&gt;0,SUMPRODUCT((ListeB='recap S1'!$B92)*(OFFSET(ListeB,,4)='recap S1'!AX$3)*(OFFSET(ListeB,,1)='recap S1'!AX$2)),"")</f>
        <v/>
      </c>
      <c r="AY92" s="34"/>
      <c r="AZ92" s="32">
        <f t="shared" ca="1" si="2"/>
        <v>0</v>
      </c>
    </row>
    <row r="93" spans="1:52">
      <c r="A93" s="41" t="str">
        <f>IF('SEANCE 1'!$B91&lt;&gt;"",'SEANCE 1'!$A91,"")</f>
        <v/>
      </c>
      <c r="B93" s="41" t="str">
        <f t="array" aca="1" ref="B93" ca="1">IF(ISNA(INDEX(ListeB,MATCH(0,COUNTIF($B$3:B92,ListeB),0))),"",INDEX(ListeB,MATCH(0,COUNTIF($B$3:B92,ListeB),0)))</f>
        <v/>
      </c>
      <c r="C93" s="32" t="str">
        <f ca="1">IF(SUMPRODUCT((ListeB='recap S1'!$B93)*(OFFSET(ListeB,,4)='recap S1'!C$3)*(OFFSET(ListeB,,1)='recap S1'!C$2))&gt;0,SUMPRODUCT((ListeB='recap S1'!$B93)*(OFFSET(ListeB,,4)='recap S1'!C$3)*(OFFSET(ListeB,,1)='recap S1'!C$2)),"")</f>
        <v/>
      </c>
      <c r="D93" s="32" t="str">
        <f ca="1">IF(SUMPRODUCT((ListeB='recap S1'!$B93)*(OFFSET(ListeB,,4)='recap S1'!D$3)*(OFFSET(ListeB,,1)='recap S1'!D$2))&gt;0,SUMPRODUCT((ListeB='recap S1'!$B93)*(OFFSET(ListeB,,4)='recap S1'!D$3)*(OFFSET(ListeB,,1)='recap S1'!D$2)),"")</f>
        <v/>
      </c>
      <c r="E93" s="32"/>
      <c r="F93" s="32" t="str">
        <f ca="1">IF(SUMPRODUCT((ListeB='recap S1'!$B93)*(OFFSET(ListeB,,4)='recap S1'!F$3)*(OFFSET(ListeB,,1)='recap S1'!F$2))&gt;0,SUMPRODUCT((ListeB='recap S1'!$B93)*(OFFSET(ListeB,,4)='recap S1'!F$3)*(OFFSET(ListeB,,1)='recap S1'!F$2)),"")</f>
        <v/>
      </c>
      <c r="G93" s="32" t="str">
        <f ca="1">IF(SUMPRODUCT((ListeB='recap S1'!$B93)*(OFFSET(ListeB,,4)='recap S1'!G$3)*(OFFSET(ListeB,,1)='recap S1'!G$2))&gt;0,SUMPRODUCT((ListeB='recap S1'!$B93)*(OFFSET(ListeB,,4)='recap S1'!G$3)*(OFFSET(ListeB,,1)='recap S1'!G$2)),"")</f>
        <v/>
      </c>
      <c r="H93" s="32"/>
      <c r="I93" s="32" t="str">
        <f ca="1">IF(SUMPRODUCT((ListeB='recap S1'!$B93)*(OFFSET(ListeB,,4)='recap S1'!I$3)*(OFFSET(ListeB,,1)='recap S1'!I$2))&gt;0,SUMPRODUCT((ListeB='recap S1'!$B93)*(OFFSET(ListeB,,4)='recap S1'!I$3)*(OFFSET(ListeB,,1)='recap S1'!I$2)),"")</f>
        <v/>
      </c>
      <c r="J93" s="32" t="str">
        <f ca="1">IF(SUMPRODUCT((ListeB='recap S1'!$B93)*(OFFSET(ListeB,,4)='recap S1'!J$3)*(OFFSET(ListeB,,1)='recap S1'!J$2))&gt;0,SUMPRODUCT((ListeB='recap S1'!$B93)*(OFFSET(ListeB,,4)='recap S1'!J$3)*(OFFSET(ListeB,,1)='recap S1'!J$2)),"")</f>
        <v/>
      </c>
      <c r="K93" s="32" t="str">
        <f ca="1">IF(SUMPRODUCT((ListeB='recap S1'!$B93)*(OFFSET(ListeB,,4)='recap S1'!K$3)*(OFFSET(ListeB,,1)='recap S1'!K$2))&gt;0,SUMPRODUCT((ListeB='recap S1'!$B93)*(OFFSET(ListeB,,4)='recap S1'!K$3)*(OFFSET(ListeB,,1)='recap S1'!K$2)),"")</f>
        <v/>
      </c>
      <c r="L93" s="32"/>
      <c r="M93" s="32" t="str">
        <f ca="1">IF(SUMPRODUCT((ListeB='recap S1'!$B93)*(OFFSET(ListeB,,4)='recap S1'!M$3)*(OFFSET(ListeB,,1)='recap S1'!M$2))&gt;0,SUMPRODUCT((ListeB='recap S1'!$B93)*(OFFSET(ListeB,,4)='recap S1'!M$3)*(OFFSET(ListeB,,1)='recap S1'!M$2)),"")</f>
        <v/>
      </c>
      <c r="N93" s="32" t="str">
        <f ca="1">IF(SUMPRODUCT((ListeB='recap S1'!$B93)*(OFFSET(ListeB,,4)='recap S1'!N$3)*(OFFSET(ListeB,,1)='recap S1'!N$2))&gt;0,SUMPRODUCT((ListeB='recap S1'!$B93)*(OFFSET(ListeB,,4)='recap S1'!N$3)*(OFFSET(ListeB,,1)='recap S1'!N$2)),"")</f>
        <v/>
      </c>
      <c r="O93" s="32"/>
      <c r="P93" s="32" t="str">
        <f ca="1">IF(SUMPRODUCT((ListeB='recap S1'!$B93)*(OFFSET(ListeB,,4)='recap S1'!P$3)*(OFFSET(ListeB,,1)='recap S1'!P$2))&gt;0,SUMPRODUCT((ListeB='recap S1'!$B93)*(OFFSET(ListeB,,4)='recap S1'!P$3)*(OFFSET(ListeB,,1)='recap S1'!P$2)),"")</f>
        <v/>
      </c>
      <c r="Q93" s="32" t="str">
        <f ca="1">IF(SUMPRODUCT((ListeB='recap S1'!$B93)*(OFFSET(ListeB,,4)='recap S1'!Q$3)*(OFFSET(ListeB,,1)='recap S1'!Q$2))&gt;0,SUMPRODUCT((ListeB='recap S1'!$B93)*(OFFSET(ListeB,,4)='recap S1'!Q$3)*(OFFSET(ListeB,,1)='recap S1'!Q$2)),"")</f>
        <v/>
      </c>
      <c r="R93" s="32"/>
      <c r="S93" s="32" t="str">
        <f ca="1">IF(SUMPRODUCT((ListeB='recap S1'!$B93)*(OFFSET(ListeB,,4)='recap S1'!S$3)*(OFFSET(ListeB,,1)='recap S1'!S$2))&gt;0,SUMPRODUCT((ListeB='recap S1'!$B93)*(OFFSET(ListeB,,4)='recap S1'!S$3)*(OFFSET(ListeB,,1)='recap S1'!S$2)),"")</f>
        <v/>
      </c>
      <c r="T93" s="32" t="str">
        <f ca="1">IF(SUMPRODUCT((ListeB='recap S1'!$B93)*(OFFSET(ListeB,,4)='recap S1'!T$3)*(OFFSET(ListeB,,1)='recap S1'!T$2))&gt;0,SUMPRODUCT((ListeB='recap S1'!$B93)*(OFFSET(ListeB,,4)='recap S1'!T$3)*(OFFSET(ListeB,,1)='recap S1'!T$2)),"")</f>
        <v/>
      </c>
      <c r="U93" s="32" t="str">
        <f ca="1">IF(SUMPRODUCT((ListeB='recap S1'!$B93)*(OFFSET(ListeB,,4)='recap S1'!U$3)*(OFFSET(ListeB,,1)='recap S1'!U$2))&gt;0,SUMPRODUCT((ListeB='recap S1'!$B93)*(OFFSET(ListeB,,4)='recap S1'!U$3)*(OFFSET(ListeB,,1)='recap S1'!U$2)),"")</f>
        <v/>
      </c>
      <c r="V93" s="32"/>
      <c r="W93" s="32" t="str">
        <f ca="1">IF(SUMPRODUCT((ListeB='recap S1'!$B93)*(OFFSET(ListeB,,4)='recap S1'!W$3)*(OFFSET(ListeB,,1)='recap S1'!W$2))&gt;0,SUMPRODUCT((ListeB='recap S1'!$B93)*(OFFSET(ListeB,,4)='recap S1'!W$3)*(OFFSET(ListeB,,1)='recap S1'!W$2)),"")</f>
        <v/>
      </c>
      <c r="X93" s="32"/>
      <c r="Y93" s="32" t="str">
        <f ca="1">IF(SUMPRODUCT((ListeB='recap S1'!$B93)*(OFFSET(ListeB,,4)='recap S1'!Y$3)*(OFFSET(ListeB,,1)='recap S1'!Y$2))&gt;0,SUMPRODUCT((ListeB='recap S1'!$B93)*(OFFSET(ListeB,,4)='recap S1'!Y$3)*(OFFSET(ListeB,,1)='recap S1'!Y$2)),"")</f>
        <v/>
      </c>
      <c r="Z93" s="32" t="str">
        <f ca="1">IF(SUMPRODUCT((ListeB='recap S1'!$B93)*(OFFSET(ListeB,,4)='recap S1'!Z$3)*(OFFSET(ListeB,,1)='recap S1'!Z$2))&gt;0,SUMPRODUCT((ListeB='recap S1'!$B93)*(OFFSET(ListeB,,4)='recap S1'!Z$3)*(OFFSET(ListeB,,1)='recap S1'!Z$2)),"")</f>
        <v/>
      </c>
      <c r="AA93" s="32" t="str">
        <f ca="1">IF(SUMPRODUCT((ListeB='recap S1'!$B93)*(OFFSET(ListeB,,4)='recap S1'!AA$3)*(OFFSET(ListeB,,1)='recap S1'!AA$2))&gt;0,SUMPRODUCT((ListeB='recap S1'!$B93)*(OFFSET(ListeB,,4)='recap S1'!AA$3)*(OFFSET(ListeB,,1)='recap S1'!AA$2)),"")</f>
        <v/>
      </c>
      <c r="AB93" s="32"/>
      <c r="AC93" s="32" t="str">
        <f ca="1">IF(SUMPRODUCT((ListeB='recap S1'!$B93)*(OFFSET(ListeB,,4)='recap S1'!AC$3)*(OFFSET(ListeB,,1)='recap S1'!AC$2))&gt;0,SUMPRODUCT((ListeB='recap S1'!$B93)*(OFFSET(ListeB,,4)='recap S1'!AC$3)*(OFFSET(ListeB,,1)='recap S1'!AC$2)),"")</f>
        <v/>
      </c>
      <c r="AD93" s="32"/>
      <c r="AE93" s="32" t="str">
        <f ca="1">IF(SUMPRODUCT((ListeB='recap S1'!$B93)*(OFFSET(ListeB,,4)='recap S1'!AE$3)*(OFFSET(ListeB,,1)='recap S1'!AE$2))&gt;0,SUMPRODUCT((ListeB='recap S1'!$B93)*(OFFSET(ListeB,,4)='recap S1'!AE$3)*(OFFSET(ListeB,,1)='recap S1'!AE$2)),"")</f>
        <v/>
      </c>
      <c r="AF93" s="32" t="str">
        <f ca="1">IF(SUMPRODUCT((ListeB='recap S1'!$B93)*(OFFSET(ListeB,,4)='recap S1'!AF$3)*(OFFSET(ListeB,,1)='recap S1'!AF$2))&gt;0,SUMPRODUCT((ListeB='recap S1'!$B93)*(OFFSET(ListeB,,4)='recap S1'!AF$3)*(OFFSET(ListeB,,1)='recap S1'!AF$2)),"")</f>
        <v/>
      </c>
      <c r="AG93" s="32"/>
      <c r="AH93" s="32" t="str">
        <f ca="1">IF(SUMPRODUCT((ListeB='recap S1'!$B93)*(OFFSET(ListeB,,4)='recap S1'!AH$3)*(OFFSET(ListeB,,1)='recap S1'!AH$2))&gt;0,SUMPRODUCT((ListeB='recap S1'!$B93)*(OFFSET(ListeB,,4)='recap S1'!AH$3)*(OFFSET(ListeB,,1)='recap S1'!AH$2)),"")</f>
        <v/>
      </c>
      <c r="AI93" s="32" t="str">
        <f ca="1">IF(SUMPRODUCT((ListeB='recap S1'!$B93)*(OFFSET(ListeB,,4)='recap S1'!AI$3)*(OFFSET(ListeB,,1)='recap S1'!AI$2))&gt;0,SUMPRODUCT((ListeB='recap S1'!$B93)*(OFFSET(ListeB,,4)='recap S1'!AI$3)*(OFFSET(ListeB,,1)='recap S1'!AI$2)),"")</f>
        <v/>
      </c>
      <c r="AJ93" s="32" t="str">
        <f ca="1">IF(SUMPRODUCT((ListeB='recap S1'!$B93)*(OFFSET(ListeB,,4)='recap S1'!AJ$3)*(OFFSET(ListeB,,1)='recap S1'!AJ$2))&gt;0,SUMPRODUCT((ListeB='recap S1'!$B93)*(OFFSET(ListeB,,4)='recap S1'!AJ$3)*(OFFSET(ListeB,,1)='recap S1'!AJ$2)),"")</f>
        <v/>
      </c>
      <c r="AK93" s="32"/>
      <c r="AL93" s="32" t="str">
        <f ca="1">IF(SUMPRODUCT((ListeB='recap S1'!$B93)*(OFFSET(ListeB,,4)='recap S1'!AL$3)*(OFFSET(ListeB,,1)='recap S1'!AL$2))&gt;0,SUMPRODUCT((ListeB='recap S1'!$B93)*(OFFSET(ListeB,,4)='recap S1'!AL$3)*(OFFSET(ListeB,,1)='recap S1'!AL$2)),"")</f>
        <v/>
      </c>
      <c r="AM93" s="32"/>
      <c r="AN93" s="32" t="str">
        <f ca="1">IF(SUMPRODUCT((ListeB='recap S1'!$B93)*(OFFSET(ListeB,,4)='recap S1'!AN$3)*(OFFSET(ListeB,,1)='recap S1'!AN$2))&gt;0,SUMPRODUCT((ListeB='recap S1'!$B93)*(OFFSET(ListeB,,4)='recap S1'!AN$3)*(OFFSET(ListeB,,1)='recap S1'!AN$2)),"")</f>
        <v/>
      </c>
      <c r="AO93" s="32" t="str">
        <f ca="1">IF(SUMPRODUCT((ListeB='recap S1'!$B93)*(OFFSET(ListeB,,4)='recap S1'!AO$3)*(OFFSET(ListeB,,1)='recap S1'!AO$2))&gt;0,SUMPRODUCT((ListeB='recap S1'!$B93)*(OFFSET(ListeB,,4)='recap S1'!AO$3)*(OFFSET(ListeB,,1)='recap S1'!AO$2)),"")</f>
        <v/>
      </c>
      <c r="AP93" s="32"/>
      <c r="AQ93" s="32"/>
      <c r="AR93" s="32"/>
      <c r="AS93" s="32" t="str">
        <f ca="1">IF(SUMPRODUCT((ListeB='recap S1'!$B93)*(OFFSET(ListeB,,4)='recap S1'!AS$3)*(OFFSET(ListeB,,1)='recap S1'!AS$2))&gt;0,SUMPRODUCT((ListeB='recap S1'!$B93)*(OFFSET(ListeB,,4)='recap S1'!AS$3)*(OFFSET(ListeB,,1)='recap S1'!AS$2)),"")</f>
        <v/>
      </c>
      <c r="AT93" s="32" t="str">
        <f ca="1">IF(SUMPRODUCT((ListeB='recap S1'!$B93)*(OFFSET(ListeB,,4)='recap S1'!AT$3)*(OFFSET(ListeB,,1)='recap S1'!AT$2))&gt;0,SUMPRODUCT((ListeB='recap S1'!$B93)*(OFFSET(ListeB,,4)='recap S1'!AT$3)*(OFFSET(ListeB,,1)='recap S1'!AT$2)),"")</f>
        <v/>
      </c>
      <c r="AU93" s="32"/>
      <c r="AV93" s="32" t="str">
        <f ca="1">IF(SUMPRODUCT((ListeB='recap S1'!$B93)*(OFFSET(ListeB,,4)='recap S1'!AV$3)*(OFFSET(ListeB,,1)='recap S1'!AV$2))&gt;0,SUMPRODUCT((ListeB='recap S1'!$B93)*(OFFSET(ListeB,,4)='recap S1'!AV$3)*(OFFSET(ListeB,,1)='recap S1'!AV$2)),"")</f>
        <v/>
      </c>
      <c r="AW93" s="32" t="str">
        <f ca="1">IF(SUMPRODUCT((ListeB='recap S1'!$B93)*(OFFSET(ListeB,,4)='recap S1'!AW$3)*(OFFSET(ListeB,,1)='recap S1'!AW$2))&gt;0,SUMPRODUCT((ListeB='recap S1'!$B93)*(OFFSET(ListeB,,4)='recap S1'!AW$3)*(OFFSET(ListeB,,1)='recap S1'!AW$2)),"")</f>
        <v/>
      </c>
      <c r="AX93" s="32" t="str">
        <f ca="1">IF(SUMPRODUCT((ListeB='recap S1'!$B93)*(OFFSET(ListeB,,4)='recap S1'!AX$3)*(OFFSET(ListeB,,1)='recap S1'!AX$2))&gt;0,SUMPRODUCT((ListeB='recap S1'!$B93)*(OFFSET(ListeB,,4)='recap S1'!AX$3)*(OFFSET(ListeB,,1)='recap S1'!AX$2)),"")</f>
        <v/>
      </c>
      <c r="AY93" s="34"/>
      <c r="AZ93" s="32">
        <f t="shared" ca="1" si="2"/>
        <v>0</v>
      </c>
    </row>
    <row r="94" spans="1:52">
      <c r="A94" s="41" t="str">
        <f>IF('SEANCE 1'!$B92&lt;&gt;"",'SEANCE 1'!$A92,"")</f>
        <v/>
      </c>
      <c r="B94" s="41" t="str">
        <f t="array" aca="1" ref="B94" ca="1">IF(ISNA(INDEX(ListeB,MATCH(0,COUNTIF($B$3:B93,ListeB),0))),"",INDEX(ListeB,MATCH(0,COUNTIF($B$3:B93,ListeB),0)))</f>
        <v/>
      </c>
      <c r="C94" s="32" t="str">
        <f ca="1">IF(SUMPRODUCT((ListeB='recap S1'!$B94)*(OFFSET(ListeB,,4)='recap S1'!C$3)*(OFFSET(ListeB,,1)='recap S1'!C$2))&gt;0,SUMPRODUCT((ListeB='recap S1'!$B94)*(OFFSET(ListeB,,4)='recap S1'!C$3)*(OFFSET(ListeB,,1)='recap S1'!C$2)),"")</f>
        <v/>
      </c>
      <c r="D94" s="32" t="str">
        <f ca="1">IF(SUMPRODUCT((ListeB='recap S1'!$B94)*(OFFSET(ListeB,,4)='recap S1'!D$3)*(OFFSET(ListeB,,1)='recap S1'!D$2))&gt;0,SUMPRODUCT((ListeB='recap S1'!$B94)*(OFFSET(ListeB,,4)='recap S1'!D$3)*(OFFSET(ListeB,,1)='recap S1'!D$2)),"")</f>
        <v/>
      </c>
      <c r="E94" s="32"/>
      <c r="F94" s="32" t="str">
        <f ca="1">IF(SUMPRODUCT((ListeB='recap S1'!$B94)*(OFFSET(ListeB,,4)='recap S1'!F$3)*(OFFSET(ListeB,,1)='recap S1'!F$2))&gt;0,SUMPRODUCT((ListeB='recap S1'!$B94)*(OFFSET(ListeB,,4)='recap S1'!F$3)*(OFFSET(ListeB,,1)='recap S1'!F$2)),"")</f>
        <v/>
      </c>
      <c r="G94" s="32" t="str">
        <f ca="1">IF(SUMPRODUCT((ListeB='recap S1'!$B94)*(OFFSET(ListeB,,4)='recap S1'!G$3)*(OFFSET(ListeB,,1)='recap S1'!G$2))&gt;0,SUMPRODUCT((ListeB='recap S1'!$B94)*(OFFSET(ListeB,,4)='recap S1'!G$3)*(OFFSET(ListeB,,1)='recap S1'!G$2)),"")</f>
        <v/>
      </c>
      <c r="H94" s="32"/>
      <c r="I94" s="32" t="str">
        <f ca="1">IF(SUMPRODUCT((ListeB='recap S1'!$B94)*(OFFSET(ListeB,,4)='recap S1'!I$3)*(OFFSET(ListeB,,1)='recap S1'!I$2))&gt;0,SUMPRODUCT((ListeB='recap S1'!$B94)*(OFFSET(ListeB,,4)='recap S1'!I$3)*(OFFSET(ListeB,,1)='recap S1'!I$2)),"")</f>
        <v/>
      </c>
      <c r="J94" s="32" t="str">
        <f ca="1">IF(SUMPRODUCT((ListeB='recap S1'!$B94)*(OFFSET(ListeB,,4)='recap S1'!J$3)*(OFFSET(ListeB,,1)='recap S1'!J$2))&gt;0,SUMPRODUCT((ListeB='recap S1'!$B94)*(OFFSET(ListeB,,4)='recap S1'!J$3)*(OFFSET(ListeB,,1)='recap S1'!J$2)),"")</f>
        <v/>
      </c>
      <c r="K94" s="32" t="str">
        <f ca="1">IF(SUMPRODUCT((ListeB='recap S1'!$B94)*(OFFSET(ListeB,,4)='recap S1'!K$3)*(OFFSET(ListeB,,1)='recap S1'!K$2))&gt;0,SUMPRODUCT((ListeB='recap S1'!$B94)*(OFFSET(ListeB,,4)='recap S1'!K$3)*(OFFSET(ListeB,,1)='recap S1'!K$2)),"")</f>
        <v/>
      </c>
      <c r="L94" s="32"/>
      <c r="M94" s="32" t="str">
        <f ca="1">IF(SUMPRODUCT((ListeB='recap S1'!$B94)*(OFFSET(ListeB,,4)='recap S1'!M$3)*(OFFSET(ListeB,,1)='recap S1'!M$2))&gt;0,SUMPRODUCT((ListeB='recap S1'!$B94)*(OFFSET(ListeB,,4)='recap S1'!M$3)*(OFFSET(ListeB,,1)='recap S1'!M$2)),"")</f>
        <v/>
      </c>
      <c r="N94" s="32" t="str">
        <f ca="1">IF(SUMPRODUCT((ListeB='recap S1'!$B94)*(OFFSET(ListeB,,4)='recap S1'!N$3)*(OFFSET(ListeB,,1)='recap S1'!N$2))&gt;0,SUMPRODUCT((ListeB='recap S1'!$B94)*(OFFSET(ListeB,,4)='recap S1'!N$3)*(OFFSET(ListeB,,1)='recap S1'!N$2)),"")</f>
        <v/>
      </c>
      <c r="O94" s="32"/>
      <c r="P94" s="32" t="str">
        <f ca="1">IF(SUMPRODUCT((ListeB='recap S1'!$B94)*(OFFSET(ListeB,,4)='recap S1'!P$3)*(OFFSET(ListeB,,1)='recap S1'!P$2))&gt;0,SUMPRODUCT((ListeB='recap S1'!$B94)*(OFFSET(ListeB,,4)='recap S1'!P$3)*(OFFSET(ListeB,,1)='recap S1'!P$2)),"")</f>
        <v/>
      </c>
      <c r="Q94" s="32" t="str">
        <f ca="1">IF(SUMPRODUCT((ListeB='recap S1'!$B94)*(OFFSET(ListeB,,4)='recap S1'!Q$3)*(OFFSET(ListeB,,1)='recap S1'!Q$2))&gt;0,SUMPRODUCT((ListeB='recap S1'!$B94)*(OFFSET(ListeB,,4)='recap S1'!Q$3)*(OFFSET(ListeB,,1)='recap S1'!Q$2)),"")</f>
        <v/>
      </c>
      <c r="R94" s="32"/>
      <c r="S94" s="32" t="str">
        <f ca="1">IF(SUMPRODUCT((ListeB='recap S1'!$B94)*(OFFSET(ListeB,,4)='recap S1'!S$3)*(OFFSET(ListeB,,1)='recap S1'!S$2))&gt;0,SUMPRODUCT((ListeB='recap S1'!$B94)*(OFFSET(ListeB,,4)='recap S1'!S$3)*(OFFSET(ListeB,,1)='recap S1'!S$2)),"")</f>
        <v/>
      </c>
      <c r="T94" s="32" t="str">
        <f ca="1">IF(SUMPRODUCT((ListeB='recap S1'!$B94)*(OFFSET(ListeB,,4)='recap S1'!T$3)*(OFFSET(ListeB,,1)='recap S1'!T$2))&gt;0,SUMPRODUCT((ListeB='recap S1'!$B94)*(OFFSET(ListeB,,4)='recap S1'!T$3)*(OFFSET(ListeB,,1)='recap S1'!T$2)),"")</f>
        <v/>
      </c>
      <c r="U94" s="32" t="str">
        <f ca="1">IF(SUMPRODUCT((ListeB='recap S1'!$B94)*(OFFSET(ListeB,,4)='recap S1'!U$3)*(OFFSET(ListeB,,1)='recap S1'!U$2))&gt;0,SUMPRODUCT((ListeB='recap S1'!$B94)*(OFFSET(ListeB,,4)='recap S1'!U$3)*(OFFSET(ListeB,,1)='recap S1'!U$2)),"")</f>
        <v/>
      </c>
      <c r="V94" s="32"/>
      <c r="W94" s="32" t="str">
        <f ca="1">IF(SUMPRODUCT((ListeB='recap S1'!$B94)*(OFFSET(ListeB,,4)='recap S1'!W$3)*(OFFSET(ListeB,,1)='recap S1'!W$2))&gt;0,SUMPRODUCT((ListeB='recap S1'!$B94)*(OFFSET(ListeB,,4)='recap S1'!W$3)*(OFFSET(ListeB,,1)='recap S1'!W$2)),"")</f>
        <v/>
      </c>
      <c r="X94" s="32"/>
      <c r="Y94" s="32" t="str">
        <f ca="1">IF(SUMPRODUCT((ListeB='recap S1'!$B94)*(OFFSET(ListeB,,4)='recap S1'!Y$3)*(OFFSET(ListeB,,1)='recap S1'!Y$2))&gt;0,SUMPRODUCT((ListeB='recap S1'!$B94)*(OFFSET(ListeB,,4)='recap S1'!Y$3)*(OFFSET(ListeB,,1)='recap S1'!Y$2)),"")</f>
        <v/>
      </c>
      <c r="Z94" s="32" t="str">
        <f ca="1">IF(SUMPRODUCT((ListeB='recap S1'!$B94)*(OFFSET(ListeB,,4)='recap S1'!Z$3)*(OFFSET(ListeB,,1)='recap S1'!Z$2))&gt;0,SUMPRODUCT((ListeB='recap S1'!$B94)*(OFFSET(ListeB,,4)='recap S1'!Z$3)*(OFFSET(ListeB,,1)='recap S1'!Z$2)),"")</f>
        <v/>
      </c>
      <c r="AA94" s="32" t="str">
        <f ca="1">IF(SUMPRODUCT((ListeB='recap S1'!$B94)*(OFFSET(ListeB,,4)='recap S1'!AA$3)*(OFFSET(ListeB,,1)='recap S1'!AA$2))&gt;0,SUMPRODUCT((ListeB='recap S1'!$B94)*(OFFSET(ListeB,,4)='recap S1'!AA$3)*(OFFSET(ListeB,,1)='recap S1'!AA$2)),"")</f>
        <v/>
      </c>
      <c r="AB94" s="32"/>
      <c r="AC94" s="32" t="str">
        <f ca="1">IF(SUMPRODUCT((ListeB='recap S1'!$B94)*(OFFSET(ListeB,,4)='recap S1'!AC$3)*(OFFSET(ListeB,,1)='recap S1'!AC$2))&gt;0,SUMPRODUCT((ListeB='recap S1'!$B94)*(OFFSET(ListeB,,4)='recap S1'!AC$3)*(OFFSET(ListeB,,1)='recap S1'!AC$2)),"")</f>
        <v/>
      </c>
      <c r="AD94" s="32"/>
      <c r="AE94" s="32" t="str">
        <f ca="1">IF(SUMPRODUCT((ListeB='recap S1'!$B94)*(OFFSET(ListeB,,4)='recap S1'!AE$3)*(OFFSET(ListeB,,1)='recap S1'!AE$2))&gt;0,SUMPRODUCT((ListeB='recap S1'!$B94)*(OFFSET(ListeB,,4)='recap S1'!AE$3)*(OFFSET(ListeB,,1)='recap S1'!AE$2)),"")</f>
        <v/>
      </c>
      <c r="AF94" s="32" t="str">
        <f ca="1">IF(SUMPRODUCT((ListeB='recap S1'!$B94)*(OFFSET(ListeB,,4)='recap S1'!AF$3)*(OFFSET(ListeB,,1)='recap S1'!AF$2))&gt;0,SUMPRODUCT((ListeB='recap S1'!$B94)*(OFFSET(ListeB,,4)='recap S1'!AF$3)*(OFFSET(ListeB,,1)='recap S1'!AF$2)),"")</f>
        <v/>
      </c>
      <c r="AG94" s="32"/>
      <c r="AH94" s="32" t="str">
        <f ca="1">IF(SUMPRODUCT((ListeB='recap S1'!$B94)*(OFFSET(ListeB,,4)='recap S1'!AH$3)*(OFFSET(ListeB,,1)='recap S1'!AH$2))&gt;0,SUMPRODUCT((ListeB='recap S1'!$B94)*(OFFSET(ListeB,,4)='recap S1'!AH$3)*(OFFSET(ListeB,,1)='recap S1'!AH$2)),"")</f>
        <v/>
      </c>
      <c r="AI94" s="32" t="str">
        <f ca="1">IF(SUMPRODUCT((ListeB='recap S1'!$B94)*(OFFSET(ListeB,,4)='recap S1'!AI$3)*(OFFSET(ListeB,,1)='recap S1'!AI$2))&gt;0,SUMPRODUCT((ListeB='recap S1'!$B94)*(OFFSET(ListeB,,4)='recap S1'!AI$3)*(OFFSET(ListeB,,1)='recap S1'!AI$2)),"")</f>
        <v/>
      </c>
      <c r="AJ94" s="32" t="str">
        <f ca="1">IF(SUMPRODUCT((ListeB='recap S1'!$B94)*(OFFSET(ListeB,,4)='recap S1'!AJ$3)*(OFFSET(ListeB,,1)='recap S1'!AJ$2))&gt;0,SUMPRODUCT((ListeB='recap S1'!$B94)*(OFFSET(ListeB,,4)='recap S1'!AJ$3)*(OFFSET(ListeB,,1)='recap S1'!AJ$2)),"")</f>
        <v/>
      </c>
      <c r="AK94" s="32"/>
      <c r="AL94" s="32" t="str">
        <f ca="1">IF(SUMPRODUCT((ListeB='recap S1'!$B94)*(OFFSET(ListeB,,4)='recap S1'!AL$3)*(OFFSET(ListeB,,1)='recap S1'!AL$2))&gt;0,SUMPRODUCT((ListeB='recap S1'!$B94)*(OFFSET(ListeB,,4)='recap S1'!AL$3)*(OFFSET(ListeB,,1)='recap S1'!AL$2)),"")</f>
        <v/>
      </c>
      <c r="AM94" s="32"/>
      <c r="AN94" s="32" t="str">
        <f ca="1">IF(SUMPRODUCT((ListeB='recap S1'!$B94)*(OFFSET(ListeB,,4)='recap S1'!AN$3)*(OFFSET(ListeB,,1)='recap S1'!AN$2))&gt;0,SUMPRODUCT((ListeB='recap S1'!$B94)*(OFFSET(ListeB,,4)='recap S1'!AN$3)*(OFFSET(ListeB,,1)='recap S1'!AN$2)),"")</f>
        <v/>
      </c>
      <c r="AO94" s="32" t="str">
        <f ca="1">IF(SUMPRODUCT((ListeB='recap S1'!$B94)*(OFFSET(ListeB,,4)='recap S1'!AO$3)*(OFFSET(ListeB,,1)='recap S1'!AO$2))&gt;0,SUMPRODUCT((ListeB='recap S1'!$B94)*(OFFSET(ListeB,,4)='recap S1'!AO$3)*(OFFSET(ListeB,,1)='recap S1'!AO$2)),"")</f>
        <v/>
      </c>
      <c r="AP94" s="32"/>
      <c r="AQ94" s="32"/>
      <c r="AR94" s="32"/>
      <c r="AS94" s="32" t="str">
        <f ca="1">IF(SUMPRODUCT((ListeB='recap S1'!$B94)*(OFFSET(ListeB,,4)='recap S1'!AS$3)*(OFFSET(ListeB,,1)='recap S1'!AS$2))&gt;0,SUMPRODUCT((ListeB='recap S1'!$B94)*(OFFSET(ListeB,,4)='recap S1'!AS$3)*(OFFSET(ListeB,,1)='recap S1'!AS$2)),"")</f>
        <v/>
      </c>
      <c r="AT94" s="32" t="str">
        <f ca="1">IF(SUMPRODUCT((ListeB='recap S1'!$B94)*(OFFSET(ListeB,,4)='recap S1'!AT$3)*(OFFSET(ListeB,,1)='recap S1'!AT$2))&gt;0,SUMPRODUCT((ListeB='recap S1'!$B94)*(OFFSET(ListeB,,4)='recap S1'!AT$3)*(OFFSET(ListeB,,1)='recap S1'!AT$2)),"")</f>
        <v/>
      </c>
      <c r="AU94" s="32"/>
      <c r="AV94" s="32" t="str">
        <f ca="1">IF(SUMPRODUCT((ListeB='recap S1'!$B94)*(OFFSET(ListeB,,4)='recap S1'!AV$3)*(OFFSET(ListeB,,1)='recap S1'!AV$2))&gt;0,SUMPRODUCT((ListeB='recap S1'!$B94)*(OFFSET(ListeB,,4)='recap S1'!AV$3)*(OFFSET(ListeB,,1)='recap S1'!AV$2)),"")</f>
        <v/>
      </c>
      <c r="AW94" s="32" t="str">
        <f ca="1">IF(SUMPRODUCT((ListeB='recap S1'!$B94)*(OFFSET(ListeB,,4)='recap S1'!AW$3)*(OFFSET(ListeB,,1)='recap S1'!AW$2))&gt;0,SUMPRODUCT((ListeB='recap S1'!$B94)*(OFFSET(ListeB,,4)='recap S1'!AW$3)*(OFFSET(ListeB,,1)='recap S1'!AW$2)),"")</f>
        <v/>
      </c>
      <c r="AX94" s="32" t="str">
        <f ca="1">IF(SUMPRODUCT((ListeB='recap S1'!$B94)*(OFFSET(ListeB,,4)='recap S1'!AX$3)*(OFFSET(ListeB,,1)='recap S1'!AX$2))&gt;0,SUMPRODUCT((ListeB='recap S1'!$B94)*(OFFSET(ListeB,,4)='recap S1'!AX$3)*(OFFSET(ListeB,,1)='recap S1'!AX$2)),"")</f>
        <v/>
      </c>
      <c r="AY94" s="34"/>
      <c r="AZ94" s="32">
        <f t="shared" ca="1" si="2"/>
        <v>0</v>
      </c>
    </row>
    <row r="95" spans="1:52">
      <c r="A95" s="41" t="str">
        <f>IF('SEANCE 1'!$B93&lt;&gt;"",'SEANCE 1'!$A93,"")</f>
        <v/>
      </c>
      <c r="B95" s="41" t="str">
        <f t="array" aca="1" ref="B95" ca="1">IF(ISNA(INDEX(ListeB,MATCH(0,COUNTIF($B$3:B94,ListeB),0))),"",INDEX(ListeB,MATCH(0,COUNTIF($B$3:B94,ListeB),0)))</f>
        <v/>
      </c>
      <c r="C95" s="32" t="str">
        <f ca="1">IF(SUMPRODUCT((ListeB='recap S1'!$B95)*(OFFSET(ListeB,,4)='recap S1'!C$3)*(OFFSET(ListeB,,1)='recap S1'!C$2))&gt;0,SUMPRODUCT((ListeB='recap S1'!$B95)*(OFFSET(ListeB,,4)='recap S1'!C$3)*(OFFSET(ListeB,,1)='recap S1'!C$2)),"")</f>
        <v/>
      </c>
      <c r="D95" s="32" t="str">
        <f ca="1">IF(SUMPRODUCT((ListeB='recap S1'!$B95)*(OFFSET(ListeB,,4)='recap S1'!D$3)*(OFFSET(ListeB,,1)='recap S1'!D$2))&gt;0,SUMPRODUCT((ListeB='recap S1'!$B95)*(OFFSET(ListeB,,4)='recap S1'!D$3)*(OFFSET(ListeB,,1)='recap S1'!D$2)),"")</f>
        <v/>
      </c>
      <c r="E95" s="32"/>
      <c r="F95" s="32" t="str">
        <f ca="1">IF(SUMPRODUCT((ListeB='recap S1'!$B95)*(OFFSET(ListeB,,4)='recap S1'!F$3)*(OFFSET(ListeB,,1)='recap S1'!F$2))&gt;0,SUMPRODUCT((ListeB='recap S1'!$B95)*(OFFSET(ListeB,,4)='recap S1'!F$3)*(OFFSET(ListeB,,1)='recap S1'!F$2)),"")</f>
        <v/>
      </c>
      <c r="G95" s="32" t="str">
        <f ca="1">IF(SUMPRODUCT((ListeB='recap S1'!$B95)*(OFFSET(ListeB,,4)='recap S1'!G$3)*(OFFSET(ListeB,,1)='recap S1'!G$2))&gt;0,SUMPRODUCT((ListeB='recap S1'!$B95)*(OFFSET(ListeB,,4)='recap S1'!G$3)*(OFFSET(ListeB,,1)='recap S1'!G$2)),"")</f>
        <v/>
      </c>
      <c r="H95" s="32"/>
      <c r="I95" s="32" t="str">
        <f ca="1">IF(SUMPRODUCT((ListeB='recap S1'!$B95)*(OFFSET(ListeB,,4)='recap S1'!I$3)*(OFFSET(ListeB,,1)='recap S1'!I$2))&gt;0,SUMPRODUCT((ListeB='recap S1'!$B95)*(OFFSET(ListeB,,4)='recap S1'!I$3)*(OFFSET(ListeB,,1)='recap S1'!I$2)),"")</f>
        <v/>
      </c>
      <c r="J95" s="32" t="str">
        <f ca="1">IF(SUMPRODUCT((ListeB='recap S1'!$B95)*(OFFSET(ListeB,,4)='recap S1'!J$3)*(OFFSET(ListeB,,1)='recap S1'!J$2))&gt;0,SUMPRODUCT((ListeB='recap S1'!$B95)*(OFFSET(ListeB,,4)='recap S1'!J$3)*(OFFSET(ListeB,,1)='recap S1'!J$2)),"")</f>
        <v/>
      </c>
      <c r="K95" s="32" t="str">
        <f ca="1">IF(SUMPRODUCT((ListeB='recap S1'!$B95)*(OFFSET(ListeB,,4)='recap S1'!K$3)*(OFFSET(ListeB,,1)='recap S1'!K$2))&gt;0,SUMPRODUCT((ListeB='recap S1'!$B95)*(OFFSET(ListeB,,4)='recap S1'!K$3)*(OFFSET(ListeB,,1)='recap S1'!K$2)),"")</f>
        <v/>
      </c>
      <c r="L95" s="32"/>
      <c r="M95" s="32" t="str">
        <f ca="1">IF(SUMPRODUCT((ListeB='recap S1'!$B95)*(OFFSET(ListeB,,4)='recap S1'!M$3)*(OFFSET(ListeB,,1)='recap S1'!M$2))&gt;0,SUMPRODUCT((ListeB='recap S1'!$B95)*(OFFSET(ListeB,,4)='recap S1'!M$3)*(OFFSET(ListeB,,1)='recap S1'!M$2)),"")</f>
        <v/>
      </c>
      <c r="N95" s="32" t="str">
        <f ca="1">IF(SUMPRODUCT((ListeB='recap S1'!$B95)*(OFFSET(ListeB,,4)='recap S1'!N$3)*(OFFSET(ListeB,,1)='recap S1'!N$2))&gt;0,SUMPRODUCT((ListeB='recap S1'!$B95)*(OFFSET(ListeB,,4)='recap S1'!N$3)*(OFFSET(ListeB,,1)='recap S1'!N$2)),"")</f>
        <v/>
      </c>
      <c r="O95" s="32"/>
      <c r="P95" s="32" t="str">
        <f ca="1">IF(SUMPRODUCT((ListeB='recap S1'!$B95)*(OFFSET(ListeB,,4)='recap S1'!P$3)*(OFFSET(ListeB,,1)='recap S1'!P$2))&gt;0,SUMPRODUCT((ListeB='recap S1'!$B95)*(OFFSET(ListeB,,4)='recap S1'!P$3)*(OFFSET(ListeB,,1)='recap S1'!P$2)),"")</f>
        <v/>
      </c>
      <c r="Q95" s="32" t="str">
        <f ca="1">IF(SUMPRODUCT((ListeB='recap S1'!$B95)*(OFFSET(ListeB,,4)='recap S1'!Q$3)*(OFFSET(ListeB,,1)='recap S1'!Q$2))&gt;0,SUMPRODUCT((ListeB='recap S1'!$B95)*(OFFSET(ListeB,,4)='recap S1'!Q$3)*(OFFSET(ListeB,,1)='recap S1'!Q$2)),"")</f>
        <v/>
      </c>
      <c r="R95" s="32"/>
      <c r="S95" s="32" t="str">
        <f ca="1">IF(SUMPRODUCT((ListeB='recap S1'!$B95)*(OFFSET(ListeB,,4)='recap S1'!S$3)*(OFFSET(ListeB,,1)='recap S1'!S$2))&gt;0,SUMPRODUCT((ListeB='recap S1'!$B95)*(OFFSET(ListeB,,4)='recap S1'!S$3)*(OFFSET(ListeB,,1)='recap S1'!S$2)),"")</f>
        <v/>
      </c>
      <c r="T95" s="32" t="str">
        <f ca="1">IF(SUMPRODUCT((ListeB='recap S1'!$B95)*(OFFSET(ListeB,,4)='recap S1'!T$3)*(OFFSET(ListeB,,1)='recap S1'!T$2))&gt;0,SUMPRODUCT((ListeB='recap S1'!$B95)*(OFFSET(ListeB,,4)='recap S1'!T$3)*(OFFSET(ListeB,,1)='recap S1'!T$2)),"")</f>
        <v/>
      </c>
      <c r="U95" s="32" t="str">
        <f ca="1">IF(SUMPRODUCT((ListeB='recap S1'!$B95)*(OFFSET(ListeB,,4)='recap S1'!U$3)*(OFFSET(ListeB,,1)='recap S1'!U$2))&gt;0,SUMPRODUCT((ListeB='recap S1'!$B95)*(OFFSET(ListeB,,4)='recap S1'!U$3)*(OFFSET(ListeB,,1)='recap S1'!U$2)),"")</f>
        <v/>
      </c>
      <c r="V95" s="32"/>
      <c r="W95" s="32" t="str">
        <f ca="1">IF(SUMPRODUCT((ListeB='recap S1'!$B95)*(OFFSET(ListeB,,4)='recap S1'!W$3)*(OFFSET(ListeB,,1)='recap S1'!W$2))&gt;0,SUMPRODUCT((ListeB='recap S1'!$B95)*(OFFSET(ListeB,,4)='recap S1'!W$3)*(OFFSET(ListeB,,1)='recap S1'!W$2)),"")</f>
        <v/>
      </c>
      <c r="X95" s="32"/>
      <c r="Y95" s="32" t="str">
        <f ca="1">IF(SUMPRODUCT((ListeB='recap S1'!$B95)*(OFFSET(ListeB,,4)='recap S1'!Y$3)*(OFFSET(ListeB,,1)='recap S1'!Y$2))&gt;0,SUMPRODUCT((ListeB='recap S1'!$B95)*(OFFSET(ListeB,,4)='recap S1'!Y$3)*(OFFSET(ListeB,,1)='recap S1'!Y$2)),"")</f>
        <v/>
      </c>
      <c r="Z95" s="32" t="str">
        <f ca="1">IF(SUMPRODUCT((ListeB='recap S1'!$B95)*(OFFSET(ListeB,,4)='recap S1'!Z$3)*(OFFSET(ListeB,,1)='recap S1'!Z$2))&gt;0,SUMPRODUCT((ListeB='recap S1'!$B95)*(OFFSET(ListeB,,4)='recap S1'!Z$3)*(OFFSET(ListeB,,1)='recap S1'!Z$2)),"")</f>
        <v/>
      </c>
      <c r="AA95" s="32" t="str">
        <f ca="1">IF(SUMPRODUCT((ListeB='recap S1'!$B95)*(OFFSET(ListeB,,4)='recap S1'!AA$3)*(OFFSET(ListeB,,1)='recap S1'!AA$2))&gt;0,SUMPRODUCT((ListeB='recap S1'!$B95)*(OFFSET(ListeB,,4)='recap S1'!AA$3)*(OFFSET(ListeB,,1)='recap S1'!AA$2)),"")</f>
        <v/>
      </c>
      <c r="AB95" s="32"/>
      <c r="AC95" s="32" t="str">
        <f ca="1">IF(SUMPRODUCT((ListeB='recap S1'!$B95)*(OFFSET(ListeB,,4)='recap S1'!AC$3)*(OFFSET(ListeB,,1)='recap S1'!AC$2))&gt;0,SUMPRODUCT((ListeB='recap S1'!$B95)*(OFFSET(ListeB,,4)='recap S1'!AC$3)*(OFFSET(ListeB,,1)='recap S1'!AC$2)),"")</f>
        <v/>
      </c>
      <c r="AD95" s="32"/>
      <c r="AE95" s="32" t="str">
        <f ca="1">IF(SUMPRODUCT((ListeB='recap S1'!$B95)*(OFFSET(ListeB,,4)='recap S1'!AE$3)*(OFFSET(ListeB,,1)='recap S1'!AE$2))&gt;0,SUMPRODUCT((ListeB='recap S1'!$B95)*(OFFSET(ListeB,,4)='recap S1'!AE$3)*(OFFSET(ListeB,,1)='recap S1'!AE$2)),"")</f>
        <v/>
      </c>
      <c r="AF95" s="32" t="str">
        <f ca="1">IF(SUMPRODUCT((ListeB='recap S1'!$B95)*(OFFSET(ListeB,,4)='recap S1'!AF$3)*(OFFSET(ListeB,,1)='recap S1'!AF$2))&gt;0,SUMPRODUCT((ListeB='recap S1'!$B95)*(OFFSET(ListeB,,4)='recap S1'!AF$3)*(OFFSET(ListeB,,1)='recap S1'!AF$2)),"")</f>
        <v/>
      </c>
      <c r="AG95" s="32"/>
      <c r="AH95" s="32" t="str">
        <f ca="1">IF(SUMPRODUCT((ListeB='recap S1'!$B95)*(OFFSET(ListeB,,4)='recap S1'!AH$3)*(OFFSET(ListeB,,1)='recap S1'!AH$2))&gt;0,SUMPRODUCT((ListeB='recap S1'!$B95)*(OFFSET(ListeB,,4)='recap S1'!AH$3)*(OFFSET(ListeB,,1)='recap S1'!AH$2)),"")</f>
        <v/>
      </c>
      <c r="AI95" s="32" t="str">
        <f ca="1">IF(SUMPRODUCT((ListeB='recap S1'!$B95)*(OFFSET(ListeB,,4)='recap S1'!AI$3)*(OFFSET(ListeB,,1)='recap S1'!AI$2))&gt;0,SUMPRODUCT((ListeB='recap S1'!$B95)*(OFFSET(ListeB,,4)='recap S1'!AI$3)*(OFFSET(ListeB,,1)='recap S1'!AI$2)),"")</f>
        <v/>
      </c>
      <c r="AJ95" s="32" t="str">
        <f ca="1">IF(SUMPRODUCT((ListeB='recap S1'!$B95)*(OFFSET(ListeB,,4)='recap S1'!AJ$3)*(OFFSET(ListeB,,1)='recap S1'!AJ$2))&gt;0,SUMPRODUCT((ListeB='recap S1'!$B95)*(OFFSET(ListeB,,4)='recap S1'!AJ$3)*(OFFSET(ListeB,,1)='recap S1'!AJ$2)),"")</f>
        <v/>
      </c>
      <c r="AK95" s="32"/>
      <c r="AL95" s="32" t="str">
        <f ca="1">IF(SUMPRODUCT((ListeB='recap S1'!$B95)*(OFFSET(ListeB,,4)='recap S1'!AL$3)*(OFFSET(ListeB,,1)='recap S1'!AL$2))&gt;0,SUMPRODUCT((ListeB='recap S1'!$B95)*(OFFSET(ListeB,,4)='recap S1'!AL$3)*(OFFSET(ListeB,,1)='recap S1'!AL$2)),"")</f>
        <v/>
      </c>
      <c r="AM95" s="32"/>
      <c r="AN95" s="32" t="str">
        <f ca="1">IF(SUMPRODUCT((ListeB='recap S1'!$B95)*(OFFSET(ListeB,,4)='recap S1'!AN$3)*(OFFSET(ListeB,,1)='recap S1'!AN$2))&gt;0,SUMPRODUCT((ListeB='recap S1'!$B95)*(OFFSET(ListeB,,4)='recap S1'!AN$3)*(OFFSET(ListeB,,1)='recap S1'!AN$2)),"")</f>
        <v/>
      </c>
      <c r="AO95" s="32" t="str">
        <f ca="1">IF(SUMPRODUCT((ListeB='recap S1'!$B95)*(OFFSET(ListeB,,4)='recap S1'!AO$3)*(OFFSET(ListeB,,1)='recap S1'!AO$2))&gt;0,SUMPRODUCT((ListeB='recap S1'!$B95)*(OFFSET(ListeB,,4)='recap S1'!AO$3)*(OFFSET(ListeB,,1)='recap S1'!AO$2)),"")</f>
        <v/>
      </c>
      <c r="AP95" s="32"/>
      <c r="AQ95" s="32"/>
      <c r="AR95" s="32"/>
      <c r="AS95" s="32" t="str">
        <f ca="1">IF(SUMPRODUCT((ListeB='recap S1'!$B95)*(OFFSET(ListeB,,4)='recap S1'!AS$3)*(OFFSET(ListeB,,1)='recap S1'!AS$2))&gt;0,SUMPRODUCT((ListeB='recap S1'!$B95)*(OFFSET(ListeB,,4)='recap S1'!AS$3)*(OFFSET(ListeB,,1)='recap S1'!AS$2)),"")</f>
        <v/>
      </c>
      <c r="AT95" s="32" t="str">
        <f ca="1">IF(SUMPRODUCT((ListeB='recap S1'!$B95)*(OFFSET(ListeB,,4)='recap S1'!AT$3)*(OFFSET(ListeB,,1)='recap S1'!AT$2))&gt;0,SUMPRODUCT((ListeB='recap S1'!$B95)*(OFFSET(ListeB,,4)='recap S1'!AT$3)*(OFFSET(ListeB,,1)='recap S1'!AT$2)),"")</f>
        <v/>
      </c>
      <c r="AU95" s="32"/>
      <c r="AV95" s="32" t="str">
        <f ca="1">IF(SUMPRODUCT((ListeB='recap S1'!$B95)*(OFFSET(ListeB,,4)='recap S1'!AV$3)*(OFFSET(ListeB,,1)='recap S1'!AV$2))&gt;0,SUMPRODUCT((ListeB='recap S1'!$B95)*(OFFSET(ListeB,,4)='recap S1'!AV$3)*(OFFSET(ListeB,,1)='recap S1'!AV$2)),"")</f>
        <v/>
      </c>
      <c r="AW95" s="32" t="str">
        <f ca="1">IF(SUMPRODUCT((ListeB='recap S1'!$B95)*(OFFSET(ListeB,,4)='recap S1'!AW$3)*(OFFSET(ListeB,,1)='recap S1'!AW$2))&gt;0,SUMPRODUCT((ListeB='recap S1'!$B95)*(OFFSET(ListeB,,4)='recap S1'!AW$3)*(OFFSET(ListeB,,1)='recap S1'!AW$2)),"")</f>
        <v/>
      </c>
      <c r="AX95" s="32" t="str">
        <f ca="1">IF(SUMPRODUCT((ListeB='recap S1'!$B95)*(OFFSET(ListeB,,4)='recap S1'!AX$3)*(OFFSET(ListeB,,1)='recap S1'!AX$2))&gt;0,SUMPRODUCT((ListeB='recap S1'!$B95)*(OFFSET(ListeB,,4)='recap S1'!AX$3)*(OFFSET(ListeB,,1)='recap S1'!AX$2)),"")</f>
        <v/>
      </c>
      <c r="AY95" s="34"/>
      <c r="AZ95" s="32">
        <f t="shared" ca="1" si="2"/>
        <v>0</v>
      </c>
    </row>
    <row r="96" spans="1:52">
      <c r="A96" s="41" t="str">
        <f>IF('SEANCE 1'!$B94&lt;&gt;"",'SEANCE 1'!$A94,"")</f>
        <v/>
      </c>
      <c r="B96" s="41" t="str">
        <f t="array" aca="1" ref="B96" ca="1">IF(ISNA(INDEX(ListeB,MATCH(0,COUNTIF($B$3:B95,ListeB),0))),"",INDEX(ListeB,MATCH(0,COUNTIF($B$3:B95,ListeB),0)))</f>
        <v/>
      </c>
      <c r="C96" s="32" t="str">
        <f ca="1">IF(SUMPRODUCT((ListeB='recap S1'!$B96)*(OFFSET(ListeB,,4)='recap S1'!C$3)*(OFFSET(ListeB,,1)='recap S1'!C$2))&gt;0,SUMPRODUCT((ListeB='recap S1'!$B96)*(OFFSET(ListeB,,4)='recap S1'!C$3)*(OFFSET(ListeB,,1)='recap S1'!C$2)),"")</f>
        <v/>
      </c>
      <c r="D96" s="32" t="str">
        <f ca="1">IF(SUMPRODUCT((ListeB='recap S1'!$B96)*(OFFSET(ListeB,,4)='recap S1'!D$3)*(OFFSET(ListeB,,1)='recap S1'!D$2))&gt;0,SUMPRODUCT((ListeB='recap S1'!$B96)*(OFFSET(ListeB,,4)='recap S1'!D$3)*(OFFSET(ListeB,,1)='recap S1'!D$2)),"")</f>
        <v/>
      </c>
      <c r="E96" s="32"/>
      <c r="F96" s="32" t="str">
        <f ca="1">IF(SUMPRODUCT((ListeB='recap S1'!$B96)*(OFFSET(ListeB,,4)='recap S1'!F$3)*(OFFSET(ListeB,,1)='recap S1'!F$2))&gt;0,SUMPRODUCT((ListeB='recap S1'!$B96)*(OFFSET(ListeB,,4)='recap S1'!F$3)*(OFFSET(ListeB,,1)='recap S1'!F$2)),"")</f>
        <v/>
      </c>
      <c r="G96" s="32" t="str">
        <f ca="1">IF(SUMPRODUCT((ListeB='recap S1'!$B96)*(OFFSET(ListeB,,4)='recap S1'!G$3)*(OFFSET(ListeB,,1)='recap S1'!G$2))&gt;0,SUMPRODUCT((ListeB='recap S1'!$B96)*(OFFSET(ListeB,,4)='recap S1'!G$3)*(OFFSET(ListeB,,1)='recap S1'!G$2)),"")</f>
        <v/>
      </c>
      <c r="H96" s="32"/>
      <c r="I96" s="32" t="str">
        <f ca="1">IF(SUMPRODUCT((ListeB='recap S1'!$B96)*(OFFSET(ListeB,,4)='recap S1'!I$3)*(OFFSET(ListeB,,1)='recap S1'!I$2))&gt;0,SUMPRODUCT((ListeB='recap S1'!$B96)*(OFFSET(ListeB,,4)='recap S1'!I$3)*(OFFSET(ListeB,,1)='recap S1'!I$2)),"")</f>
        <v/>
      </c>
      <c r="J96" s="32" t="str">
        <f ca="1">IF(SUMPRODUCT((ListeB='recap S1'!$B96)*(OFFSET(ListeB,,4)='recap S1'!J$3)*(OFFSET(ListeB,,1)='recap S1'!J$2))&gt;0,SUMPRODUCT((ListeB='recap S1'!$B96)*(OFFSET(ListeB,,4)='recap S1'!J$3)*(OFFSET(ListeB,,1)='recap S1'!J$2)),"")</f>
        <v/>
      </c>
      <c r="K96" s="32" t="str">
        <f ca="1">IF(SUMPRODUCT((ListeB='recap S1'!$B96)*(OFFSET(ListeB,,4)='recap S1'!K$3)*(OFFSET(ListeB,,1)='recap S1'!K$2))&gt;0,SUMPRODUCT((ListeB='recap S1'!$B96)*(OFFSET(ListeB,,4)='recap S1'!K$3)*(OFFSET(ListeB,,1)='recap S1'!K$2)),"")</f>
        <v/>
      </c>
      <c r="L96" s="32"/>
      <c r="M96" s="32" t="str">
        <f ca="1">IF(SUMPRODUCT((ListeB='recap S1'!$B96)*(OFFSET(ListeB,,4)='recap S1'!M$3)*(OFFSET(ListeB,,1)='recap S1'!M$2))&gt;0,SUMPRODUCT((ListeB='recap S1'!$B96)*(OFFSET(ListeB,,4)='recap S1'!M$3)*(OFFSET(ListeB,,1)='recap S1'!M$2)),"")</f>
        <v/>
      </c>
      <c r="N96" s="32" t="str">
        <f ca="1">IF(SUMPRODUCT((ListeB='recap S1'!$B96)*(OFFSET(ListeB,,4)='recap S1'!N$3)*(OFFSET(ListeB,,1)='recap S1'!N$2))&gt;0,SUMPRODUCT((ListeB='recap S1'!$B96)*(OFFSET(ListeB,,4)='recap S1'!N$3)*(OFFSET(ListeB,,1)='recap S1'!N$2)),"")</f>
        <v/>
      </c>
      <c r="O96" s="32"/>
      <c r="P96" s="32" t="str">
        <f ca="1">IF(SUMPRODUCT((ListeB='recap S1'!$B96)*(OFFSET(ListeB,,4)='recap S1'!P$3)*(OFFSET(ListeB,,1)='recap S1'!P$2))&gt;0,SUMPRODUCT((ListeB='recap S1'!$B96)*(OFFSET(ListeB,,4)='recap S1'!P$3)*(OFFSET(ListeB,,1)='recap S1'!P$2)),"")</f>
        <v/>
      </c>
      <c r="Q96" s="32" t="str">
        <f ca="1">IF(SUMPRODUCT((ListeB='recap S1'!$B96)*(OFFSET(ListeB,,4)='recap S1'!Q$3)*(OFFSET(ListeB,,1)='recap S1'!Q$2))&gt;0,SUMPRODUCT((ListeB='recap S1'!$B96)*(OFFSET(ListeB,,4)='recap S1'!Q$3)*(OFFSET(ListeB,,1)='recap S1'!Q$2)),"")</f>
        <v/>
      </c>
      <c r="R96" s="32"/>
      <c r="S96" s="32" t="str">
        <f ca="1">IF(SUMPRODUCT((ListeB='recap S1'!$B96)*(OFFSET(ListeB,,4)='recap S1'!S$3)*(OFFSET(ListeB,,1)='recap S1'!S$2))&gt;0,SUMPRODUCT((ListeB='recap S1'!$B96)*(OFFSET(ListeB,,4)='recap S1'!S$3)*(OFFSET(ListeB,,1)='recap S1'!S$2)),"")</f>
        <v/>
      </c>
      <c r="T96" s="32" t="str">
        <f ca="1">IF(SUMPRODUCT((ListeB='recap S1'!$B96)*(OFFSET(ListeB,,4)='recap S1'!T$3)*(OFFSET(ListeB,,1)='recap S1'!T$2))&gt;0,SUMPRODUCT((ListeB='recap S1'!$B96)*(OFFSET(ListeB,,4)='recap S1'!T$3)*(OFFSET(ListeB,,1)='recap S1'!T$2)),"")</f>
        <v/>
      </c>
      <c r="U96" s="32" t="str">
        <f ca="1">IF(SUMPRODUCT((ListeB='recap S1'!$B96)*(OFFSET(ListeB,,4)='recap S1'!U$3)*(OFFSET(ListeB,,1)='recap S1'!U$2))&gt;0,SUMPRODUCT((ListeB='recap S1'!$B96)*(OFFSET(ListeB,,4)='recap S1'!U$3)*(OFFSET(ListeB,,1)='recap S1'!U$2)),"")</f>
        <v/>
      </c>
      <c r="V96" s="32"/>
      <c r="W96" s="32" t="str">
        <f ca="1">IF(SUMPRODUCT((ListeB='recap S1'!$B96)*(OFFSET(ListeB,,4)='recap S1'!W$3)*(OFFSET(ListeB,,1)='recap S1'!W$2))&gt;0,SUMPRODUCT((ListeB='recap S1'!$B96)*(OFFSET(ListeB,,4)='recap S1'!W$3)*(OFFSET(ListeB,,1)='recap S1'!W$2)),"")</f>
        <v/>
      </c>
      <c r="X96" s="32"/>
      <c r="Y96" s="32" t="str">
        <f ca="1">IF(SUMPRODUCT((ListeB='recap S1'!$B96)*(OFFSET(ListeB,,4)='recap S1'!Y$3)*(OFFSET(ListeB,,1)='recap S1'!Y$2))&gt;0,SUMPRODUCT((ListeB='recap S1'!$B96)*(OFFSET(ListeB,,4)='recap S1'!Y$3)*(OFFSET(ListeB,,1)='recap S1'!Y$2)),"")</f>
        <v/>
      </c>
      <c r="Z96" s="32" t="str">
        <f ca="1">IF(SUMPRODUCT((ListeB='recap S1'!$B96)*(OFFSET(ListeB,,4)='recap S1'!Z$3)*(OFFSET(ListeB,,1)='recap S1'!Z$2))&gt;0,SUMPRODUCT((ListeB='recap S1'!$B96)*(OFFSET(ListeB,,4)='recap S1'!Z$3)*(OFFSET(ListeB,,1)='recap S1'!Z$2)),"")</f>
        <v/>
      </c>
      <c r="AA96" s="32" t="str">
        <f ca="1">IF(SUMPRODUCT((ListeB='recap S1'!$B96)*(OFFSET(ListeB,,4)='recap S1'!AA$3)*(OFFSET(ListeB,,1)='recap S1'!AA$2))&gt;0,SUMPRODUCT((ListeB='recap S1'!$B96)*(OFFSET(ListeB,,4)='recap S1'!AA$3)*(OFFSET(ListeB,,1)='recap S1'!AA$2)),"")</f>
        <v/>
      </c>
      <c r="AB96" s="32"/>
      <c r="AC96" s="32" t="str">
        <f ca="1">IF(SUMPRODUCT((ListeB='recap S1'!$B96)*(OFFSET(ListeB,,4)='recap S1'!AC$3)*(OFFSET(ListeB,,1)='recap S1'!AC$2))&gt;0,SUMPRODUCT((ListeB='recap S1'!$B96)*(OFFSET(ListeB,,4)='recap S1'!AC$3)*(OFFSET(ListeB,,1)='recap S1'!AC$2)),"")</f>
        <v/>
      </c>
      <c r="AD96" s="32"/>
      <c r="AE96" s="32" t="str">
        <f ca="1">IF(SUMPRODUCT((ListeB='recap S1'!$B96)*(OFFSET(ListeB,,4)='recap S1'!AE$3)*(OFFSET(ListeB,,1)='recap S1'!AE$2))&gt;0,SUMPRODUCT((ListeB='recap S1'!$B96)*(OFFSET(ListeB,,4)='recap S1'!AE$3)*(OFFSET(ListeB,,1)='recap S1'!AE$2)),"")</f>
        <v/>
      </c>
      <c r="AF96" s="32" t="str">
        <f ca="1">IF(SUMPRODUCT((ListeB='recap S1'!$B96)*(OFFSET(ListeB,,4)='recap S1'!AF$3)*(OFFSET(ListeB,,1)='recap S1'!AF$2))&gt;0,SUMPRODUCT((ListeB='recap S1'!$B96)*(OFFSET(ListeB,,4)='recap S1'!AF$3)*(OFFSET(ListeB,,1)='recap S1'!AF$2)),"")</f>
        <v/>
      </c>
      <c r="AG96" s="32"/>
      <c r="AH96" s="32" t="str">
        <f ca="1">IF(SUMPRODUCT((ListeB='recap S1'!$B96)*(OFFSET(ListeB,,4)='recap S1'!AH$3)*(OFFSET(ListeB,,1)='recap S1'!AH$2))&gt;0,SUMPRODUCT((ListeB='recap S1'!$B96)*(OFFSET(ListeB,,4)='recap S1'!AH$3)*(OFFSET(ListeB,,1)='recap S1'!AH$2)),"")</f>
        <v/>
      </c>
      <c r="AI96" s="32" t="str">
        <f ca="1">IF(SUMPRODUCT((ListeB='recap S1'!$B96)*(OFFSET(ListeB,,4)='recap S1'!AI$3)*(OFFSET(ListeB,,1)='recap S1'!AI$2))&gt;0,SUMPRODUCT((ListeB='recap S1'!$B96)*(OFFSET(ListeB,,4)='recap S1'!AI$3)*(OFFSET(ListeB,,1)='recap S1'!AI$2)),"")</f>
        <v/>
      </c>
      <c r="AJ96" s="32" t="str">
        <f ca="1">IF(SUMPRODUCT((ListeB='recap S1'!$B96)*(OFFSET(ListeB,,4)='recap S1'!AJ$3)*(OFFSET(ListeB,,1)='recap S1'!AJ$2))&gt;0,SUMPRODUCT((ListeB='recap S1'!$B96)*(OFFSET(ListeB,,4)='recap S1'!AJ$3)*(OFFSET(ListeB,,1)='recap S1'!AJ$2)),"")</f>
        <v/>
      </c>
      <c r="AK96" s="32"/>
      <c r="AL96" s="32" t="str">
        <f ca="1">IF(SUMPRODUCT((ListeB='recap S1'!$B96)*(OFFSET(ListeB,,4)='recap S1'!AL$3)*(OFFSET(ListeB,,1)='recap S1'!AL$2))&gt;0,SUMPRODUCT((ListeB='recap S1'!$B96)*(OFFSET(ListeB,,4)='recap S1'!AL$3)*(OFFSET(ListeB,,1)='recap S1'!AL$2)),"")</f>
        <v/>
      </c>
      <c r="AM96" s="32"/>
      <c r="AN96" s="32" t="str">
        <f ca="1">IF(SUMPRODUCT((ListeB='recap S1'!$B96)*(OFFSET(ListeB,,4)='recap S1'!AN$3)*(OFFSET(ListeB,,1)='recap S1'!AN$2))&gt;0,SUMPRODUCT((ListeB='recap S1'!$B96)*(OFFSET(ListeB,,4)='recap S1'!AN$3)*(OFFSET(ListeB,,1)='recap S1'!AN$2)),"")</f>
        <v/>
      </c>
      <c r="AO96" s="32" t="str">
        <f ca="1">IF(SUMPRODUCT((ListeB='recap S1'!$B96)*(OFFSET(ListeB,,4)='recap S1'!AO$3)*(OFFSET(ListeB,,1)='recap S1'!AO$2))&gt;0,SUMPRODUCT((ListeB='recap S1'!$B96)*(OFFSET(ListeB,,4)='recap S1'!AO$3)*(OFFSET(ListeB,,1)='recap S1'!AO$2)),"")</f>
        <v/>
      </c>
      <c r="AP96" s="32"/>
      <c r="AQ96" s="32"/>
      <c r="AR96" s="32"/>
      <c r="AS96" s="32" t="str">
        <f ca="1">IF(SUMPRODUCT((ListeB='recap S1'!$B96)*(OFFSET(ListeB,,4)='recap S1'!AS$3)*(OFFSET(ListeB,,1)='recap S1'!AS$2))&gt;0,SUMPRODUCT((ListeB='recap S1'!$B96)*(OFFSET(ListeB,,4)='recap S1'!AS$3)*(OFFSET(ListeB,,1)='recap S1'!AS$2)),"")</f>
        <v/>
      </c>
      <c r="AT96" s="32" t="str">
        <f ca="1">IF(SUMPRODUCT((ListeB='recap S1'!$B96)*(OFFSET(ListeB,,4)='recap S1'!AT$3)*(OFFSET(ListeB,,1)='recap S1'!AT$2))&gt;0,SUMPRODUCT((ListeB='recap S1'!$B96)*(OFFSET(ListeB,,4)='recap S1'!AT$3)*(OFFSET(ListeB,,1)='recap S1'!AT$2)),"")</f>
        <v/>
      </c>
      <c r="AU96" s="32"/>
      <c r="AV96" s="32" t="str">
        <f ca="1">IF(SUMPRODUCT((ListeB='recap S1'!$B96)*(OFFSET(ListeB,,4)='recap S1'!AV$3)*(OFFSET(ListeB,,1)='recap S1'!AV$2))&gt;0,SUMPRODUCT((ListeB='recap S1'!$B96)*(OFFSET(ListeB,,4)='recap S1'!AV$3)*(OFFSET(ListeB,,1)='recap S1'!AV$2)),"")</f>
        <v/>
      </c>
      <c r="AW96" s="32" t="str">
        <f ca="1">IF(SUMPRODUCT((ListeB='recap S1'!$B96)*(OFFSET(ListeB,,4)='recap S1'!AW$3)*(OFFSET(ListeB,,1)='recap S1'!AW$2))&gt;0,SUMPRODUCT((ListeB='recap S1'!$B96)*(OFFSET(ListeB,,4)='recap S1'!AW$3)*(OFFSET(ListeB,,1)='recap S1'!AW$2)),"")</f>
        <v/>
      </c>
      <c r="AX96" s="32" t="str">
        <f ca="1">IF(SUMPRODUCT((ListeB='recap S1'!$B96)*(OFFSET(ListeB,,4)='recap S1'!AX$3)*(OFFSET(ListeB,,1)='recap S1'!AX$2))&gt;0,SUMPRODUCT((ListeB='recap S1'!$B96)*(OFFSET(ListeB,,4)='recap S1'!AX$3)*(OFFSET(ListeB,,1)='recap S1'!AX$2)),"")</f>
        <v/>
      </c>
      <c r="AY96" s="34"/>
      <c r="AZ96" s="32">
        <f t="shared" ca="1" si="2"/>
        <v>0</v>
      </c>
    </row>
    <row r="97" spans="1:52">
      <c r="A97" s="41" t="str">
        <f>IF('SEANCE 1'!$B95&lt;&gt;"",'SEANCE 1'!$A95,"")</f>
        <v/>
      </c>
      <c r="B97" s="41" t="str">
        <f t="array" aca="1" ref="B97" ca="1">IF(ISNA(INDEX(ListeB,MATCH(0,COUNTIF($B$3:B96,ListeB),0))),"",INDEX(ListeB,MATCH(0,COUNTIF($B$3:B96,ListeB),0)))</f>
        <v/>
      </c>
      <c r="C97" s="32" t="str">
        <f ca="1">IF(SUMPRODUCT((ListeB='recap S1'!$B97)*(OFFSET(ListeB,,4)='recap S1'!C$3)*(OFFSET(ListeB,,1)='recap S1'!C$2))&gt;0,SUMPRODUCT((ListeB='recap S1'!$B97)*(OFFSET(ListeB,,4)='recap S1'!C$3)*(OFFSET(ListeB,,1)='recap S1'!C$2)),"")</f>
        <v/>
      </c>
      <c r="D97" s="32" t="str">
        <f ca="1">IF(SUMPRODUCT((ListeB='recap S1'!$B97)*(OFFSET(ListeB,,4)='recap S1'!D$3)*(OFFSET(ListeB,,1)='recap S1'!D$2))&gt;0,SUMPRODUCT((ListeB='recap S1'!$B97)*(OFFSET(ListeB,,4)='recap S1'!D$3)*(OFFSET(ListeB,,1)='recap S1'!D$2)),"")</f>
        <v/>
      </c>
      <c r="E97" s="32"/>
      <c r="F97" s="32" t="str">
        <f ca="1">IF(SUMPRODUCT((ListeB='recap S1'!$B97)*(OFFSET(ListeB,,4)='recap S1'!F$3)*(OFFSET(ListeB,,1)='recap S1'!F$2))&gt;0,SUMPRODUCT((ListeB='recap S1'!$B97)*(OFFSET(ListeB,,4)='recap S1'!F$3)*(OFFSET(ListeB,,1)='recap S1'!F$2)),"")</f>
        <v/>
      </c>
      <c r="G97" s="32" t="str">
        <f ca="1">IF(SUMPRODUCT((ListeB='recap S1'!$B97)*(OFFSET(ListeB,,4)='recap S1'!G$3)*(OFFSET(ListeB,,1)='recap S1'!G$2))&gt;0,SUMPRODUCT((ListeB='recap S1'!$B97)*(OFFSET(ListeB,,4)='recap S1'!G$3)*(OFFSET(ListeB,,1)='recap S1'!G$2)),"")</f>
        <v/>
      </c>
      <c r="H97" s="32"/>
      <c r="I97" s="32" t="str">
        <f ca="1">IF(SUMPRODUCT((ListeB='recap S1'!$B97)*(OFFSET(ListeB,,4)='recap S1'!I$3)*(OFFSET(ListeB,,1)='recap S1'!I$2))&gt;0,SUMPRODUCT((ListeB='recap S1'!$B97)*(OFFSET(ListeB,,4)='recap S1'!I$3)*(OFFSET(ListeB,,1)='recap S1'!I$2)),"")</f>
        <v/>
      </c>
      <c r="J97" s="32" t="str">
        <f ca="1">IF(SUMPRODUCT((ListeB='recap S1'!$B97)*(OFFSET(ListeB,,4)='recap S1'!J$3)*(OFFSET(ListeB,,1)='recap S1'!J$2))&gt;0,SUMPRODUCT((ListeB='recap S1'!$B97)*(OFFSET(ListeB,,4)='recap S1'!J$3)*(OFFSET(ListeB,,1)='recap S1'!J$2)),"")</f>
        <v/>
      </c>
      <c r="K97" s="32" t="str">
        <f ca="1">IF(SUMPRODUCT((ListeB='recap S1'!$B97)*(OFFSET(ListeB,,4)='recap S1'!K$3)*(OFFSET(ListeB,,1)='recap S1'!K$2))&gt;0,SUMPRODUCT((ListeB='recap S1'!$B97)*(OFFSET(ListeB,,4)='recap S1'!K$3)*(OFFSET(ListeB,,1)='recap S1'!K$2)),"")</f>
        <v/>
      </c>
      <c r="L97" s="32"/>
      <c r="M97" s="32" t="str">
        <f ca="1">IF(SUMPRODUCT((ListeB='recap S1'!$B97)*(OFFSET(ListeB,,4)='recap S1'!M$3)*(OFFSET(ListeB,,1)='recap S1'!M$2))&gt;0,SUMPRODUCT((ListeB='recap S1'!$B97)*(OFFSET(ListeB,,4)='recap S1'!M$3)*(OFFSET(ListeB,,1)='recap S1'!M$2)),"")</f>
        <v/>
      </c>
      <c r="N97" s="32" t="str">
        <f ca="1">IF(SUMPRODUCT((ListeB='recap S1'!$B97)*(OFFSET(ListeB,,4)='recap S1'!N$3)*(OFFSET(ListeB,,1)='recap S1'!N$2))&gt;0,SUMPRODUCT((ListeB='recap S1'!$B97)*(OFFSET(ListeB,,4)='recap S1'!N$3)*(OFFSET(ListeB,,1)='recap S1'!N$2)),"")</f>
        <v/>
      </c>
      <c r="O97" s="32"/>
      <c r="P97" s="32" t="str">
        <f ca="1">IF(SUMPRODUCT((ListeB='recap S1'!$B97)*(OFFSET(ListeB,,4)='recap S1'!P$3)*(OFFSET(ListeB,,1)='recap S1'!P$2))&gt;0,SUMPRODUCT((ListeB='recap S1'!$B97)*(OFFSET(ListeB,,4)='recap S1'!P$3)*(OFFSET(ListeB,,1)='recap S1'!P$2)),"")</f>
        <v/>
      </c>
      <c r="Q97" s="32" t="str">
        <f ca="1">IF(SUMPRODUCT((ListeB='recap S1'!$B97)*(OFFSET(ListeB,,4)='recap S1'!Q$3)*(OFFSET(ListeB,,1)='recap S1'!Q$2))&gt;0,SUMPRODUCT((ListeB='recap S1'!$B97)*(OFFSET(ListeB,,4)='recap S1'!Q$3)*(OFFSET(ListeB,,1)='recap S1'!Q$2)),"")</f>
        <v/>
      </c>
      <c r="R97" s="32"/>
      <c r="S97" s="32" t="str">
        <f ca="1">IF(SUMPRODUCT((ListeB='recap S1'!$B97)*(OFFSET(ListeB,,4)='recap S1'!S$3)*(OFFSET(ListeB,,1)='recap S1'!S$2))&gt;0,SUMPRODUCT((ListeB='recap S1'!$B97)*(OFFSET(ListeB,,4)='recap S1'!S$3)*(OFFSET(ListeB,,1)='recap S1'!S$2)),"")</f>
        <v/>
      </c>
      <c r="T97" s="32" t="str">
        <f ca="1">IF(SUMPRODUCT((ListeB='recap S1'!$B97)*(OFFSET(ListeB,,4)='recap S1'!T$3)*(OFFSET(ListeB,,1)='recap S1'!T$2))&gt;0,SUMPRODUCT((ListeB='recap S1'!$B97)*(OFFSET(ListeB,,4)='recap S1'!T$3)*(OFFSET(ListeB,,1)='recap S1'!T$2)),"")</f>
        <v/>
      </c>
      <c r="U97" s="32" t="str">
        <f ca="1">IF(SUMPRODUCT((ListeB='recap S1'!$B97)*(OFFSET(ListeB,,4)='recap S1'!U$3)*(OFFSET(ListeB,,1)='recap S1'!U$2))&gt;0,SUMPRODUCT((ListeB='recap S1'!$B97)*(OFFSET(ListeB,,4)='recap S1'!U$3)*(OFFSET(ListeB,,1)='recap S1'!U$2)),"")</f>
        <v/>
      </c>
      <c r="V97" s="32"/>
      <c r="W97" s="32" t="str">
        <f ca="1">IF(SUMPRODUCT((ListeB='recap S1'!$B97)*(OFFSET(ListeB,,4)='recap S1'!W$3)*(OFFSET(ListeB,,1)='recap S1'!W$2))&gt;0,SUMPRODUCT((ListeB='recap S1'!$B97)*(OFFSET(ListeB,,4)='recap S1'!W$3)*(OFFSET(ListeB,,1)='recap S1'!W$2)),"")</f>
        <v/>
      </c>
      <c r="X97" s="32"/>
      <c r="Y97" s="32" t="str">
        <f ca="1">IF(SUMPRODUCT((ListeB='recap S1'!$B97)*(OFFSET(ListeB,,4)='recap S1'!Y$3)*(OFFSET(ListeB,,1)='recap S1'!Y$2))&gt;0,SUMPRODUCT((ListeB='recap S1'!$B97)*(OFFSET(ListeB,,4)='recap S1'!Y$3)*(OFFSET(ListeB,,1)='recap S1'!Y$2)),"")</f>
        <v/>
      </c>
      <c r="Z97" s="32" t="str">
        <f ca="1">IF(SUMPRODUCT((ListeB='recap S1'!$B97)*(OFFSET(ListeB,,4)='recap S1'!Z$3)*(OFFSET(ListeB,,1)='recap S1'!Z$2))&gt;0,SUMPRODUCT((ListeB='recap S1'!$B97)*(OFFSET(ListeB,,4)='recap S1'!Z$3)*(OFFSET(ListeB,,1)='recap S1'!Z$2)),"")</f>
        <v/>
      </c>
      <c r="AA97" s="32" t="str">
        <f ca="1">IF(SUMPRODUCT((ListeB='recap S1'!$B97)*(OFFSET(ListeB,,4)='recap S1'!AA$3)*(OFFSET(ListeB,,1)='recap S1'!AA$2))&gt;0,SUMPRODUCT((ListeB='recap S1'!$B97)*(OFFSET(ListeB,,4)='recap S1'!AA$3)*(OFFSET(ListeB,,1)='recap S1'!AA$2)),"")</f>
        <v/>
      </c>
      <c r="AB97" s="32"/>
      <c r="AC97" s="32" t="str">
        <f ca="1">IF(SUMPRODUCT((ListeB='recap S1'!$B97)*(OFFSET(ListeB,,4)='recap S1'!AC$3)*(OFFSET(ListeB,,1)='recap S1'!AC$2))&gt;0,SUMPRODUCT((ListeB='recap S1'!$B97)*(OFFSET(ListeB,,4)='recap S1'!AC$3)*(OFFSET(ListeB,,1)='recap S1'!AC$2)),"")</f>
        <v/>
      </c>
      <c r="AD97" s="32"/>
      <c r="AE97" s="32" t="str">
        <f ca="1">IF(SUMPRODUCT((ListeB='recap S1'!$B97)*(OFFSET(ListeB,,4)='recap S1'!AE$3)*(OFFSET(ListeB,,1)='recap S1'!AE$2))&gt;0,SUMPRODUCT((ListeB='recap S1'!$B97)*(OFFSET(ListeB,,4)='recap S1'!AE$3)*(OFFSET(ListeB,,1)='recap S1'!AE$2)),"")</f>
        <v/>
      </c>
      <c r="AF97" s="32" t="str">
        <f ca="1">IF(SUMPRODUCT((ListeB='recap S1'!$B97)*(OFFSET(ListeB,,4)='recap S1'!AF$3)*(OFFSET(ListeB,,1)='recap S1'!AF$2))&gt;0,SUMPRODUCT((ListeB='recap S1'!$B97)*(OFFSET(ListeB,,4)='recap S1'!AF$3)*(OFFSET(ListeB,,1)='recap S1'!AF$2)),"")</f>
        <v/>
      </c>
      <c r="AG97" s="32"/>
      <c r="AH97" s="32" t="str">
        <f ca="1">IF(SUMPRODUCT((ListeB='recap S1'!$B97)*(OFFSET(ListeB,,4)='recap S1'!AH$3)*(OFFSET(ListeB,,1)='recap S1'!AH$2))&gt;0,SUMPRODUCT((ListeB='recap S1'!$B97)*(OFFSET(ListeB,,4)='recap S1'!AH$3)*(OFFSET(ListeB,,1)='recap S1'!AH$2)),"")</f>
        <v/>
      </c>
      <c r="AI97" s="32" t="str">
        <f ca="1">IF(SUMPRODUCT((ListeB='recap S1'!$B97)*(OFFSET(ListeB,,4)='recap S1'!AI$3)*(OFFSET(ListeB,,1)='recap S1'!AI$2))&gt;0,SUMPRODUCT((ListeB='recap S1'!$B97)*(OFFSET(ListeB,,4)='recap S1'!AI$3)*(OFFSET(ListeB,,1)='recap S1'!AI$2)),"")</f>
        <v/>
      </c>
      <c r="AJ97" s="32" t="str">
        <f ca="1">IF(SUMPRODUCT((ListeB='recap S1'!$B97)*(OFFSET(ListeB,,4)='recap S1'!AJ$3)*(OFFSET(ListeB,,1)='recap S1'!AJ$2))&gt;0,SUMPRODUCT((ListeB='recap S1'!$B97)*(OFFSET(ListeB,,4)='recap S1'!AJ$3)*(OFFSET(ListeB,,1)='recap S1'!AJ$2)),"")</f>
        <v/>
      </c>
      <c r="AK97" s="32"/>
      <c r="AL97" s="32" t="str">
        <f ca="1">IF(SUMPRODUCT((ListeB='recap S1'!$B97)*(OFFSET(ListeB,,4)='recap S1'!AL$3)*(OFFSET(ListeB,,1)='recap S1'!AL$2))&gt;0,SUMPRODUCT((ListeB='recap S1'!$B97)*(OFFSET(ListeB,,4)='recap S1'!AL$3)*(OFFSET(ListeB,,1)='recap S1'!AL$2)),"")</f>
        <v/>
      </c>
      <c r="AM97" s="32"/>
      <c r="AN97" s="32" t="str">
        <f ca="1">IF(SUMPRODUCT((ListeB='recap S1'!$B97)*(OFFSET(ListeB,,4)='recap S1'!AN$3)*(OFFSET(ListeB,,1)='recap S1'!AN$2))&gt;0,SUMPRODUCT((ListeB='recap S1'!$B97)*(OFFSET(ListeB,,4)='recap S1'!AN$3)*(OFFSET(ListeB,,1)='recap S1'!AN$2)),"")</f>
        <v/>
      </c>
      <c r="AO97" s="32" t="str">
        <f ca="1">IF(SUMPRODUCT((ListeB='recap S1'!$B97)*(OFFSET(ListeB,,4)='recap S1'!AO$3)*(OFFSET(ListeB,,1)='recap S1'!AO$2))&gt;0,SUMPRODUCT((ListeB='recap S1'!$B97)*(OFFSET(ListeB,,4)='recap S1'!AO$3)*(OFFSET(ListeB,,1)='recap S1'!AO$2)),"")</f>
        <v/>
      </c>
      <c r="AP97" s="32"/>
      <c r="AQ97" s="32"/>
      <c r="AR97" s="32"/>
      <c r="AS97" s="32" t="str">
        <f ca="1">IF(SUMPRODUCT((ListeB='recap S1'!$B97)*(OFFSET(ListeB,,4)='recap S1'!AS$3)*(OFFSET(ListeB,,1)='recap S1'!AS$2))&gt;0,SUMPRODUCT((ListeB='recap S1'!$B97)*(OFFSET(ListeB,,4)='recap S1'!AS$3)*(OFFSET(ListeB,,1)='recap S1'!AS$2)),"")</f>
        <v/>
      </c>
      <c r="AT97" s="32" t="str">
        <f ca="1">IF(SUMPRODUCT((ListeB='recap S1'!$B97)*(OFFSET(ListeB,,4)='recap S1'!AT$3)*(OFFSET(ListeB,,1)='recap S1'!AT$2))&gt;0,SUMPRODUCT((ListeB='recap S1'!$B97)*(OFFSET(ListeB,,4)='recap S1'!AT$3)*(OFFSET(ListeB,,1)='recap S1'!AT$2)),"")</f>
        <v/>
      </c>
      <c r="AU97" s="32"/>
      <c r="AV97" s="32" t="str">
        <f ca="1">IF(SUMPRODUCT((ListeB='recap S1'!$B97)*(OFFSET(ListeB,,4)='recap S1'!AV$3)*(OFFSET(ListeB,,1)='recap S1'!AV$2))&gt;0,SUMPRODUCT((ListeB='recap S1'!$B97)*(OFFSET(ListeB,,4)='recap S1'!AV$3)*(OFFSET(ListeB,,1)='recap S1'!AV$2)),"")</f>
        <v/>
      </c>
      <c r="AW97" s="32" t="str">
        <f ca="1">IF(SUMPRODUCT((ListeB='recap S1'!$B97)*(OFFSET(ListeB,,4)='recap S1'!AW$3)*(OFFSET(ListeB,,1)='recap S1'!AW$2))&gt;0,SUMPRODUCT((ListeB='recap S1'!$B97)*(OFFSET(ListeB,,4)='recap S1'!AW$3)*(OFFSET(ListeB,,1)='recap S1'!AW$2)),"")</f>
        <v/>
      </c>
      <c r="AX97" s="32" t="str">
        <f ca="1">IF(SUMPRODUCT((ListeB='recap S1'!$B97)*(OFFSET(ListeB,,4)='recap S1'!AX$3)*(OFFSET(ListeB,,1)='recap S1'!AX$2))&gt;0,SUMPRODUCT((ListeB='recap S1'!$B97)*(OFFSET(ListeB,,4)='recap S1'!AX$3)*(OFFSET(ListeB,,1)='recap S1'!AX$2)),"")</f>
        <v/>
      </c>
      <c r="AY97" s="34"/>
      <c r="AZ97" s="32">
        <f t="shared" ca="1" si="2"/>
        <v>0</v>
      </c>
    </row>
    <row r="98" spans="1:52">
      <c r="A98" s="41" t="str">
        <f>IF('SEANCE 1'!$B96&lt;&gt;"",'SEANCE 1'!$A96,"")</f>
        <v/>
      </c>
      <c r="B98" s="41" t="str">
        <f t="array" aca="1" ref="B98" ca="1">IF(ISNA(INDEX(ListeB,MATCH(0,COUNTIF($B$3:B97,ListeB),0))),"",INDEX(ListeB,MATCH(0,COUNTIF($B$3:B97,ListeB),0)))</f>
        <v/>
      </c>
      <c r="C98" s="32" t="str">
        <f ca="1">IF(SUMPRODUCT((ListeB='recap S1'!$B98)*(OFFSET(ListeB,,4)='recap S1'!C$3)*(OFFSET(ListeB,,1)='recap S1'!C$2))&gt;0,SUMPRODUCT((ListeB='recap S1'!$B98)*(OFFSET(ListeB,,4)='recap S1'!C$3)*(OFFSET(ListeB,,1)='recap S1'!C$2)),"")</f>
        <v/>
      </c>
      <c r="D98" s="32" t="str">
        <f ca="1">IF(SUMPRODUCT((ListeB='recap S1'!$B98)*(OFFSET(ListeB,,4)='recap S1'!D$3)*(OFFSET(ListeB,,1)='recap S1'!D$2))&gt;0,SUMPRODUCT((ListeB='recap S1'!$B98)*(OFFSET(ListeB,,4)='recap S1'!D$3)*(OFFSET(ListeB,,1)='recap S1'!D$2)),"")</f>
        <v/>
      </c>
      <c r="E98" s="32"/>
      <c r="F98" s="32" t="str">
        <f ca="1">IF(SUMPRODUCT((ListeB='recap S1'!$B98)*(OFFSET(ListeB,,4)='recap S1'!F$3)*(OFFSET(ListeB,,1)='recap S1'!F$2))&gt;0,SUMPRODUCT((ListeB='recap S1'!$B98)*(OFFSET(ListeB,,4)='recap S1'!F$3)*(OFFSET(ListeB,,1)='recap S1'!F$2)),"")</f>
        <v/>
      </c>
      <c r="G98" s="32" t="str">
        <f ca="1">IF(SUMPRODUCT((ListeB='recap S1'!$B98)*(OFFSET(ListeB,,4)='recap S1'!G$3)*(OFFSET(ListeB,,1)='recap S1'!G$2))&gt;0,SUMPRODUCT((ListeB='recap S1'!$B98)*(OFFSET(ListeB,,4)='recap S1'!G$3)*(OFFSET(ListeB,,1)='recap S1'!G$2)),"")</f>
        <v/>
      </c>
      <c r="H98" s="32"/>
      <c r="I98" s="32" t="str">
        <f ca="1">IF(SUMPRODUCT((ListeB='recap S1'!$B98)*(OFFSET(ListeB,,4)='recap S1'!I$3)*(OFFSET(ListeB,,1)='recap S1'!I$2))&gt;0,SUMPRODUCT((ListeB='recap S1'!$B98)*(OFFSET(ListeB,,4)='recap S1'!I$3)*(OFFSET(ListeB,,1)='recap S1'!I$2)),"")</f>
        <v/>
      </c>
      <c r="J98" s="32" t="str">
        <f ca="1">IF(SUMPRODUCT((ListeB='recap S1'!$B98)*(OFFSET(ListeB,,4)='recap S1'!J$3)*(OFFSET(ListeB,,1)='recap S1'!J$2))&gt;0,SUMPRODUCT((ListeB='recap S1'!$B98)*(OFFSET(ListeB,,4)='recap S1'!J$3)*(OFFSET(ListeB,,1)='recap S1'!J$2)),"")</f>
        <v/>
      </c>
      <c r="K98" s="32" t="str">
        <f ca="1">IF(SUMPRODUCT((ListeB='recap S1'!$B98)*(OFFSET(ListeB,,4)='recap S1'!K$3)*(OFFSET(ListeB,,1)='recap S1'!K$2))&gt;0,SUMPRODUCT((ListeB='recap S1'!$B98)*(OFFSET(ListeB,,4)='recap S1'!K$3)*(OFFSET(ListeB,,1)='recap S1'!K$2)),"")</f>
        <v/>
      </c>
      <c r="L98" s="32"/>
      <c r="M98" s="32" t="str">
        <f ca="1">IF(SUMPRODUCT((ListeB='recap S1'!$B98)*(OFFSET(ListeB,,4)='recap S1'!M$3)*(OFFSET(ListeB,,1)='recap S1'!M$2))&gt;0,SUMPRODUCT((ListeB='recap S1'!$B98)*(OFFSET(ListeB,,4)='recap S1'!M$3)*(OFFSET(ListeB,,1)='recap S1'!M$2)),"")</f>
        <v/>
      </c>
      <c r="N98" s="32" t="str">
        <f ca="1">IF(SUMPRODUCT((ListeB='recap S1'!$B98)*(OFFSET(ListeB,,4)='recap S1'!N$3)*(OFFSET(ListeB,,1)='recap S1'!N$2))&gt;0,SUMPRODUCT((ListeB='recap S1'!$B98)*(OFFSET(ListeB,,4)='recap S1'!N$3)*(OFFSET(ListeB,,1)='recap S1'!N$2)),"")</f>
        <v/>
      </c>
      <c r="O98" s="32"/>
      <c r="P98" s="32" t="str">
        <f ca="1">IF(SUMPRODUCT((ListeB='recap S1'!$B98)*(OFFSET(ListeB,,4)='recap S1'!P$3)*(OFFSET(ListeB,,1)='recap S1'!P$2))&gt;0,SUMPRODUCT((ListeB='recap S1'!$B98)*(OFFSET(ListeB,,4)='recap S1'!P$3)*(OFFSET(ListeB,,1)='recap S1'!P$2)),"")</f>
        <v/>
      </c>
      <c r="Q98" s="32" t="str">
        <f ca="1">IF(SUMPRODUCT((ListeB='recap S1'!$B98)*(OFFSET(ListeB,,4)='recap S1'!Q$3)*(OFFSET(ListeB,,1)='recap S1'!Q$2))&gt;0,SUMPRODUCT((ListeB='recap S1'!$B98)*(OFFSET(ListeB,,4)='recap S1'!Q$3)*(OFFSET(ListeB,,1)='recap S1'!Q$2)),"")</f>
        <v/>
      </c>
      <c r="R98" s="32"/>
      <c r="S98" s="32" t="str">
        <f ca="1">IF(SUMPRODUCT((ListeB='recap S1'!$B98)*(OFFSET(ListeB,,4)='recap S1'!S$3)*(OFFSET(ListeB,,1)='recap S1'!S$2))&gt;0,SUMPRODUCT((ListeB='recap S1'!$B98)*(OFFSET(ListeB,,4)='recap S1'!S$3)*(OFFSET(ListeB,,1)='recap S1'!S$2)),"")</f>
        <v/>
      </c>
      <c r="T98" s="32" t="str">
        <f ca="1">IF(SUMPRODUCT((ListeB='recap S1'!$B98)*(OFFSET(ListeB,,4)='recap S1'!T$3)*(OFFSET(ListeB,,1)='recap S1'!T$2))&gt;0,SUMPRODUCT((ListeB='recap S1'!$B98)*(OFFSET(ListeB,,4)='recap S1'!T$3)*(OFFSET(ListeB,,1)='recap S1'!T$2)),"")</f>
        <v/>
      </c>
      <c r="U98" s="32" t="str">
        <f ca="1">IF(SUMPRODUCT((ListeB='recap S1'!$B98)*(OFFSET(ListeB,,4)='recap S1'!U$3)*(OFFSET(ListeB,,1)='recap S1'!U$2))&gt;0,SUMPRODUCT((ListeB='recap S1'!$B98)*(OFFSET(ListeB,,4)='recap S1'!U$3)*(OFFSET(ListeB,,1)='recap S1'!U$2)),"")</f>
        <v/>
      </c>
      <c r="V98" s="32"/>
      <c r="W98" s="32" t="str">
        <f ca="1">IF(SUMPRODUCT((ListeB='recap S1'!$B98)*(OFFSET(ListeB,,4)='recap S1'!W$3)*(OFFSET(ListeB,,1)='recap S1'!W$2))&gt;0,SUMPRODUCT((ListeB='recap S1'!$B98)*(OFFSET(ListeB,,4)='recap S1'!W$3)*(OFFSET(ListeB,,1)='recap S1'!W$2)),"")</f>
        <v/>
      </c>
      <c r="X98" s="32"/>
      <c r="Y98" s="32" t="str">
        <f ca="1">IF(SUMPRODUCT((ListeB='recap S1'!$B98)*(OFFSET(ListeB,,4)='recap S1'!Y$3)*(OFFSET(ListeB,,1)='recap S1'!Y$2))&gt;0,SUMPRODUCT((ListeB='recap S1'!$B98)*(OFFSET(ListeB,,4)='recap S1'!Y$3)*(OFFSET(ListeB,,1)='recap S1'!Y$2)),"")</f>
        <v/>
      </c>
      <c r="Z98" s="32" t="str">
        <f ca="1">IF(SUMPRODUCT((ListeB='recap S1'!$B98)*(OFFSET(ListeB,,4)='recap S1'!Z$3)*(OFFSET(ListeB,,1)='recap S1'!Z$2))&gt;0,SUMPRODUCT((ListeB='recap S1'!$B98)*(OFFSET(ListeB,,4)='recap S1'!Z$3)*(OFFSET(ListeB,,1)='recap S1'!Z$2)),"")</f>
        <v/>
      </c>
      <c r="AA98" s="32" t="str">
        <f ca="1">IF(SUMPRODUCT((ListeB='recap S1'!$B98)*(OFFSET(ListeB,,4)='recap S1'!AA$3)*(OFFSET(ListeB,,1)='recap S1'!AA$2))&gt;0,SUMPRODUCT((ListeB='recap S1'!$B98)*(OFFSET(ListeB,,4)='recap S1'!AA$3)*(OFFSET(ListeB,,1)='recap S1'!AA$2)),"")</f>
        <v/>
      </c>
      <c r="AB98" s="32"/>
      <c r="AC98" s="32" t="str">
        <f ca="1">IF(SUMPRODUCT((ListeB='recap S1'!$B98)*(OFFSET(ListeB,,4)='recap S1'!AC$3)*(OFFSET(ListeB,,1)='recap S1'!AC$2))&gt;0,SUMPRODUCT((ListeB='recap S1'!$B98)*(OFFSET(ListeB,,4)='recap S1'!AC$3)*(OFFSET(ListeB,,1)='recap S1'!AC$2)),"")</f>
        <v/>
      </c>
      <c r="AD98" s="32"/>
      <c r="AE98" s="32" t="str">
        <f ca="1">IF(SUMPRODUCT((ListeB='recap S1'!$B98)*(OFFSET(ListeB,,4)='recap S1'!AE$3)*(OFFSET(ListeB,,1)='recap S1'!AE$2))&gt;0,SUMPRODUCT((ListeB='recap S1'!$B98)*(OFFSET(ListeB,,4)='recap S1'!AE$3)*(OFFSET(ListeB,,1)='recap S1'!AE$2)),"")</f>
        <v/>
      </c>
      <c r="AF98" s="32" t="str">
        <f ca="1">IF(SUMPRODUCT((ListeB='recap S1'!$B98)*(OFFSET(ListeB,,4)='recap S1'!AF$3)*(OFFSET(ListeB,,1)='recap S1'!AF$2))&gt;0,SUMPRODUCT((ListeB='recap S1'!$B98)*(OFFSET(ListeB,,4)='recap S1'!AF$3)*(OFFSET(ListeB,,1)='recap S1'!AF$2)),"")</f>
        <v/>
      </c>
      <c r="AG98" s="32"/>
      <c r="AH98" s="32" t="str">
        <f ca="1">IF(SUMPRODUCT((ListeB='recap S1'!$B98)*(OFFSET(ListeB,,4)='recap S1'!AH$3)*(OFFSET(ListeB,,1)='recap S1'!AH$2))&gt;0,SUMPRODUCT((ListeB='recap S1'!$B98)*(OFFSET(ListeB,,4)='recap S1'!AH$3)*(OFFSET(ListeB,,1)='recap S1'!AH$2)),"")</f>
        <v/>
      </c>
      <c r="AI98" s="32" t="str">
        <f ca="1">IF(SUMPRODUCT((ListeB='recap S1'!$B98)*(OFFSET(ListeB,,4)='recap S1'!AI$3)*(OFFSET(ListeB,,1)='recap S1'!AI$2))&gt;0,SUMPRODUCT((ListeB='recap S1'!$B98)*(OFFSET(ListeB,,4)='recap S1'!AI$3)*(OFFSET(ListeB,,1)='recap S1'!AI$2)),"")</f>
        <v/>
      </c>
      <c r="AJ98" s="32" t="str">
        <f ca="1">IF(SUMPRODUCT((ListeB='recap S1'!$B98)*(OFFSET(ListeB,,4)='recap S1'!AJ$3)*(OFFSET(ListeB,,1)='recap S1'!AJ$2))&gt;0,SUMPRODUCT((ListeB='recap S1'!$B98)*(OFFSET(ListeB,,4)='recap S1'!AJ$3)*(OFFSET(ListeB,,1)='recap S1'!AJ$2)),"")</f>
        <v/>
      </c>
      <c r="AK98" s="32"/>
      <c r="AL98" s="32" t="str">
        <f ca="1">IF(SUMPRODUCT((ListeB='recap S1'!$B98)*(OFFSET(ListeB,,4)='recap S1'!AL$3)*(OFFSET(ListeB,,1)='recap S1'!AL$2))&gt;0,SUMPRODUCT((ListeB='recap S1'!$B98)*(OFFSET(ListeB,,4)='recap S1'!AL$3)*(OFFSET(ListeB,,1)='recap S1'!AL$2)),"")</f>
        <v/>
      </c>
      <c r="AM98" s="32"/>
      <c r="AN98" s="32" t="str">
        <f ca="1">IF(SUMPRODUCT((ListeB='recap S1'!$B98)*(OFFSET(ListeB,,4)='recap S1'!AN$3)*(OFFSET(ListeB,,1)='recap S1'!AN$2))&gt;0,SUMPRODUCT((ListeB='recap S1'!$B98)*(OFFSET(ListeB,,4)='recap S1'!AN$3)*(OFFSET(ListeB,,1)='recap S1'!AN$2)),"")</f>
        <v/>
      </c>
      <c r="AO98" s="32" t="str">
        <f ca="1">IF(SUMPRODUCT((ListeB='recap S1'!$B98)*(OFFSET(ListeB,,4)='recap S1'!AO$3)*(OFFSET(ListeB,,1)='recap S1'!AO$2))&gt;0,SUMPRODUCT((ListeB='recap S1'!$B98)*(OFFSET(ListeB,,4)='recap S1'!AO$3)*(OFFSET(ListeB,,1)='recap S1'!AO$2)),"")</f>
        <v/>
      </c>
      <c r="AP98" s="32"/>
      <c r="AQ98" s="32"/>
      <c r="AR98" s="32"/>
      <c r="AS98" s="32" t="str">
        <f ca="1">IF(SUMPRODUCT((ListeB='recap S1'!$B98)*(OFFSET(ListeB,,4)='recap S1'!AS$3)*(OFFSET(ListeB,,1)='recap S1'!AS$2))&gt;0,SUMPRODUCT((ListeB='recap S1'!$B98)*(OFFSET(ListeB,,4)='recap S1'!AS$3)*(OFFSET(ListeB,,1)='recap S1'!AS$2)),"")</f>
        <v/>
      </c>
      <c r="AT98" s="32" t="str">
        <f ca="1">IF(SUMPRODUCT((ListeB='recap S1'!$B98)*(OFFSET(ListeB,,4)='recap S1'!AT$3)*(OFFSET(ListeB,,1)='recap S1'!AT$2))&gt;0,SUMPRODUCT((ListeB='recap S1'!$B98)*(OFFSET(ListeB,,4)='recap S1'!AT$3)*(OFFSET(ListeB,,1)='recap S1'!AT$2)),"")</f>
        <v/>
      </c>
      <c r="AU98" s="32"/>
      <c r="AV98" s="32" t="str">
        <f ca="1">IF(SUMPRODUCT((ListeB='recap S1'!$B98)*(OFFSET(ListeB,,4)='recap S1'!AV$3)*(OFFSET(ListeB,,1)='recap S1'!AV$2))&gt;0,SUMPRODUCT((ListeB='recap S1'!$B98)*(OFFSET(ListeB,,4)='recap S1'!AV$3)*(OFFSET(ListeB,,1)='recap S1'!AV$2)),"")</f>
        <v/>
      </c>
      <c r="AW98" s="32" t="str">
        <f ca="1">IF(SUMPRODUCT((ListeB='recap S1'!$B98)*(OFFSET(ListeB,,4)='recap S1'!AW$3)*(OFFSET(ListeB,,1)='recap S1'!AW$2))&gt;0,SUMPRODUCT((ListeB='recap S1'!$B98)*(OFFSET(ListeB,,4)='recap S1'!AW$3)*(OFFSET(ListeB,,1)='recap S1'!AW$2)),"")</f>
        <v/>
      </c>
      <c r="AX98" s="32" t="str">
        <f ca="1">IF(SUMPRODUCT((ListeB='recap S1'!$B98)*(OFFSET(ListeB,,4)='recap S1'!AX$3)*(OFFSET(ListeB,,1)='recap S1'!AX$2))&gt;0,SUMPRODUCT((ListeB='recap S1'!$B98)*(OFFSET(ListeB,,4)='recap S1'!AX$3)*(OFFSET(ListeB,,1)='recap S1'!AX$2)),"")</f>
        <v/>
      </c>
      <c r="AY98" s="34"/>
      <c r="AZ98" s="32">
        <f t="shared" ca="1" si="2"/>
        <v>0</v>
      </c>
    </row>
    <row r="99" spans="1:52">
      <c r="A99" s="41" t="str">
        <f>IF('SEANCE 1'!$B97&lt;&gt;"",'SEANCE 1'!$A97,"")</f>
        <v/>
      </c>
      <c r="B99" s="41" t="str">
        <f t="array" aca="1" ref="B99" ca="1">IF(ISNA(INDEX(ListeB,MATCH(0,COUNTIF($B$3:B98,ListeB),0))),"",INDEX(ListeB,MATCH(0,COUNTIF($B$3:B98,ListeB),0)))</f>
        <v/>
      </c>
      <c r="C99" s="32" t="str">
        <f ca="1">IF(SUMPRODUCT((ListeB='recap S1'!$B99)*(OFFSET(ListeB,,4)='recap S1'!C$3)*(OFFSET(ListeB,,1)='recap S1'!C$2))&gt;0,SUMPRODUCT((ListeB='recap S1'!$B99)*(OFFSET(ListeB,,4)='recap S1'!C$3)*(OFFSET(ListeB,,1)='recap S1'!C$2)),"")</f>
        <v/>
      </c>
      <c r="D99" s="32" t="str">
        <f ca="1">IF(SUMPRODUCT((ListeB='recap S1'!$B99)*(OFFSET(ListeB,,4)='recap S1'!D$3)*(OFFSET(ListeB,,1)='recap S1'!D$2))&gt;0,SUMPRODUCT((ListeB='recap S1'!$B99)*(OFFSET(ListeB,,4)='recap S1'!D$3)*(OFFSET(ListeB,,1)='recap S1'!D$2)),"")</f>
        <v/>
      </c>
      <c r="E99" s="32"/>
      <c r="F99" s="32" t="str">
        <f ca="1">IF(SUMPRODUCT((ListeB='recap S1'!$B99)*(OFFSET(ListeB,,4)='recap S1'!F$3)*(OFFSET(ListeB,,1)='recap S1'!F$2))&gt;0,SUMPRODUCT((ListeB='recap S1'!$B99)*(OFFSET(ListeB,,4)='recap S1'!F$3)*(OFFSET(ListeB,,1)='recap S1'!F$2)),"")</f>
        <v/>
      </c>
      <c r="G99" s="32" t="str">
        <f ca="1">IF(SUMPRODUCT((ListeB='recap S1'!$B99)*(OFFSET(ListeB,,4)='recap S1'!G$3)*(OFFSET(ListeB,,1)='recap S1'!G$2))&gt;0,SUMPRODUCT((ListeB='recap S1'!$B99)*(OFFSET(ListeB,,4)='recap S1'!G$3)*(OFFSET(ListeB,,1)='recap S1'!G$2)),"")</f>
        <v/>
      </c>
      <c r="H99" s="32"/>
      <c r="I99" s="32" t="str">
        <f ca="1">IF(SUMPRODUCT((ListeB='recap S1'!$B99)*(OFFSET(ListeB,,4)='recap S1'!I$3)*(OFFSET(ListeB,,1)='recap S1'!I$2))&gt;0,SUMPRODUCT((ListeB='recap S1'!$B99)*(OFFSET(ListeB,,4)='recap S1'!I$3)*(OFFSET(ListeB,,1)='recap S1'!I$2)),"")</f>
        <v/>
      </c>
      <c r="J99" s="32" t="str">
        <f ca="1">IF(SUMPRODUCT((ListeB='recap S1'!$B99)*(OFFSET(ListeB,,4)='recap S1'!J$3)*(OFFSET(ListeB,,1)='recap S1'!J$2))&gt;0,SUMPRODUCT((ListeB='recap S1'!$B99)*(OFFSET(ListeB,,4)='recap S1'!J$3)*(OFFSET(ListeB,,1)='recap S1'!J$2)),"")</f>
        <v/>
      </c>
      <c r="K99" s="32" t="str">
        <f ca="1">IF(SUMPRODUCT((ListeB='recap S1'!$B99)*(OFFSET(ListeB,,4)='recap S1'!K$3)*(OFFSET(ListeB,,1)='recap S1'!K$2))&gt;0,SUMPRODUCT((ListeB='recap S1'!$B99)*(OFFSET(ListeB,,4)='recap S1'!K$3)*(OFFSET(ListeB,,1)='recap S1'!K$2)),"")</f>
        <v/>
      </c>
      <c r="L99" s="32"/>
      <c r="M99" s="32" t="str">
        <f ca="1">IF(SUMPRODUCT((ListeB='recap S1'!$B99)*(OFFSET(ListeB,,4)='recap S1'!M$3)*(OFFSET(ListeB,,1)='recap S1'!M$2))&gt;0,SUMPRODUCT((ListeB='recap S1'!$B99)*(OFFSET(ListeB,,4)='recap S1'!M$3)*(OFFSET(ListeB,,1)='recap S1'!M$2)),"")</f>
        <v/>
      </c>
      <c r="N99" s="32" t="str">
        <f ca="1">IF(SUMPRODUCT((ListeB='recap S1'!$B99)*(OFFSET(ListeB,,4)='recap S1'!N$3)*(OFFSET(ListeB,,1)='recap S1'!N$2))&gt;0,SUMPRODUCT((ListeB='recap S1'!$B99)*(OFFSET(ListeB,,4)='recap S1'!N$3)*(OFFSET(ListeB,,1)='recap S1'!N$2)),"")</f>
        <v/>
      </c>
      <c r="O99" s="32"/>
      <c r="P99" s="32" t="str">
        <f ca="1">IF(SUMPRODUCT((ListeB='recap S1'!$B99)*(OFFSET(ListeB,,4)='recap S1'!P$3)*(OFFSET(ListeB,,1)='recap S1'!P$2))&gt;0,SUMPRODUCT((ListeB='recap S1'!$B99)*(OFFSET(ListeB,,4)='recap S1'!P$3)*(OFFSET(ListeB,,1)='recap S1'!P$2)),"")</f>
        <v/>
      </c>
      <c r="Q99" s="32" t="str">
        <f ca="1">IF(SUMPRODUCT((ListeB='recap S1'!$B99)*(OFFSET(ListeB,,4)='recap S1'!Q$3)*(OFFSET(ListeB,,1)='recap S1'!Q$2))&gt;0,SUMPRODUCT((ListeB='recap S1'!$B99)*(OFFSET(ListeB,,4)='recap S1'!Q$3)*(OFFSET(ListeB,,1)='recap S1'!Q$2)),"")</f>
        <v/>
      </c>
      <c r="R99" s="32"/>
      <c r="S99" s="32" t="str">
        <f ca="1">IF(SUMPRODUCT((ListeB='recap S1'!$B99)*(OFFSET(ListeB,,4)='recap S1'!S$3)*(OFFSET(ListeB,,1)='recap S1'!S$2))&gt;0,SUMPRODUCT((ListeB='recap S1'!$B99)*(OFFSET(ListeB,,4)='recap S1'!S$3)*(OFFSET(ListeB,,1)='recap S1'!S$2)),"")</f>
        <v/>
      </c>
      <c r="T99" s="32" t="str">
        <f ca="1">IF(SUMPRODUCT((ListeB='recap S1'!$B99)*(OFFSET(ListeB,,4)='recap S1'!T$3)*(OFFSET(ListeB,,1)='recap S1'!T$2))&gt;0,SUMPRODUCT((ListeB='recap S1'!$B99)*(OFFSET(ListeB,,4)='recap S1'!T$3)*(OFFSET(ListeB,,1)='recap S1'!T$2)),"")</f>
        <v/>
      </c>
      <c r="U99" s="32" t="str">
        <f ca="1">IF(SUMPRODUCT((ListeB='recap S1'!$B99)*(OFFSET(ListeB,,4)='recap S1'!U$3)*(OFFSET(ListeB,,1)='recap S1'!U$2))&gt;0,SUMPRODUCT((ListeB='recap S1'!$B99)*(OFFSET(ListeB,,4)='recap S1'!U$3)*(OFFSET(ListeB,,1)='recap S1'!U$2)),"")</f>
        <v/>
      </c>
      <c r="V99" s="32"/>
      <c r="W99" s="32" t="str">
        <f ca="1">IF(SUMPRODUCT((ListeB='recap S1'!$B99)*(OFFSET(ListeB,,4)='recap S1'!W$3)*(OFFSET(ListeB,,1)='recap S1'!W$2))&gt;0,SUMPRODUCT((ListeB='recap S1'!$B99)*(OFFSET(ListeB,,4)='recap S1'!W$3)*(OFFSET(ListeB,,1)='recap S1'!W$2)),"")</f>
        <v/>
      </c>
      <c r="X99" s="32"/>
      <c r="Y99" s="32" t="str">
        <f ca="1">IF(SUMPRODUCT((ListeB='recap S1'!$B99)*(OFFSET(ListeB,,4)='recap S1'!Y$3)*(OFFSET(ListeB,,1)='recap S1'!Y$2))&gt;0,SUMPRODUCT((ListeB='recap S1'!$B99)*(OFFSET(ListeB,,4)='recap S1'!Y$3)*(OFFSET(ListeB,,1)='recap S1'!Y$2)),"")</f>
        <v/>
      </c>
      <c r="Z99" s="32" t="str">
        <f ca="1">IF(SUMPRODUCT((ListeB='recap S1'!$B99)*(OFFSET(ListeB,,4)='recap S1'!Z$3)*(OFFSET(ListeB,,1)='recap S1'!Z$2))&gt;0,SUMPRODUCT((ListeB='recap S1'!$B99)*(OFFSET(ListeB,,4)='recap S1'!Z$3)*(OFFSET(ListeB,,1)='recap S1'!Z$2)),"")</f>
        <v/>
      </c>
      <c r="AA99" s="32" t="str">
        <f ca="1">IF(SUMPRODUCT((ListeB='recap S1'!$B99)*(OFFSET(ListeB,,4)='recap S1'!AA$3)*(OFFSET(ListeB,,1)='recap S1'!AA$2))&gt;0,SUMPRODUCT((ListeB='recap S1'!$B99)*(OFFSET(ListeB,,4)='recap S1'!AA$3)*(OFFSET(ListeB,,1)='recap S1'!AA$2)),"")</f>
        <v/>
      </c>
      <c r="AB99" s="32"/>
      <c r="AC99" s="32" t="str">
        <f ca="1">IF(SUMPRODUCT((ListeB='recap S1'!$B99)*(OFFSET(ListeB,,4)='recap S1'!AC$3)*(OFFSET(ListeB,,1)='recap S1'!AC$2))&gt;0,SUMPRODUCT((ListeB='recap S1'!$B99)*(OFFSET(ListeB,,4)='recap S1'!AC$3)*(OFFSET(ListeB,,1)='recap S1'!AC$2)),"")</f>
        <v/>
      </c>
      <c r="AD99" s="32"/>
      <c r="AE99" s="32" t="str">
        <f ca="1">IF(SUMPRODUCT((ListeB='recap S1'!$B99)*(OFFSET(ListeB,,4)='recap S1'!AE$3)*(OFFSET(ListeB,,1)='recap S1'!AE$2))&gt;0,SUMPRODUCT((ListeB='recap S1'!$B99)*(OFFSET(ListeB,,4)='recap S1'!AE$3)*(OFFSET(ListeB,,1)='recap S1'!AE$2)),"")</f>
        <v/>
      </c>
      <c r="AF99" s="32" t="str">
        <f ca="1">IF(SUMPRODUCT((ListeB='recap S1'!$B99)*(OFFSET(ListeB,,4)='recap S1'!AF$3)*(OFFSET(ListeB,,1)='recap S1'!AF$2))&gt;0,SUMPRODUCT((ListeB='recap S1'!$B99)*(OFFSET(ListeB,,4)='recap S1'!AF$3)*(OFFSET(ListeB,,1)='recap S1'!AF$2)),"")</f>
        <v/>
      </c>
      <c r="AG99" s="32"/>
      <c r="AH99" s="32" t="str">
        <f ca="1">IF(SUMPRODUCT((ListeB='recap S1'!$B99)*(OFFSET(ListeB,,4)='recap S1'!AH$3)*(OFFSET(ListeB,,1)='recap S1'!AH$2))&gt;0,SUMPRODUCT((ListeB='recap S1'!$B99)*(OFFSET(ListeB,,4)='recap S1'!AH$3)*(OFFSET(ListeB,,1)='recap S1'!AH$2)),"")</f>
        <v/>
      </c>
      <c r="AI99" s="32" t="str">
        <f ca="1">IF(SUMPRODUCT((ListeB='recap S1'!$B99)*(OFFSET(ListeB,,4)='recap S1'!AI$3)*(OFFSET(ListeB,,1)='recap S1'!AI$2))&gt;0,SUMPRODUCT((ListeB='recap S1'!$B99)*(OFFSET(ListeB,,4)='recap S1'!AI$3)*(OFFSET(ListeB,,1)='recap S1'!AI$2)),"")</f>
        <v/>
      </c>
      <c r="AJ99" s="32" t="str">
        <f ca="1">IF(SUMPRODUCT((ListeB='recap S1'!$B99)*(OFFSET(ListeB,,4)='recap S1'!AJ$3)*(OFFSET(ListeB,,1)='recap S1'!AJ$2))&gt;0,SUMPRODUCT((ListeB='recap S1'!$B99)*(OFFSET(ListeB,,4)='recap S1'!AJ$3)*(OFFSET(ListeB,,1)='recap S1'!AJ$2)),"")</f>
        <v/>
      </c>
      <c r="AK99" s="32"/>
      <c r="AL99" s="32" t="str">
        <f ca="1">IF(SUMPRODUCT((ListeB='recap S1'!$B99)*(OFFSET(ListeB,,4)='recap S1'!AL$3)*(OFFSET(ListeB,,1)='recap S1'!AL$2))&gt;0,SUMPRODUCT((ListeB='recap S1'!$B99)*(OFFSET(ListeB,,4)='recap S1'!AL$3)*(OFFSET(ListeB,,1)='recap S1'!AL$2)),"")</f>
        <v/>
      </c>
      <c r="AM99" s="32"/>
      <c r="AN99" s="32" t="str">
        <f ca="1">IF(SUMPRODUCT((ListeB='recap S1'!$B99)*(OFFSET(ListeB,,4)='recap S1'!AN$3)*(OFFSET(ListeB,,1)='recap S1'!AN$2))&gt;0,SUMPRODUCT((ListeB='recap S1'!$B99)*(OFFSET(ListeB,,4)='recap S1'!AN$3)*(OFFSET(ListeB,,1)='recap S1'!AN$2)),"")</f>
        <v/>
      </c>
      <c r="AO99" s="32" t="str">
        <f ca="1">IF(SUMPRODUCT((ListeB='recap S1'!$B99)*(OFFSET(ListeB,,4)='recap S1'!AO$3)*(OFFSET(ListeB,,1)='recap S1'!AO$2))&gt;0,SUMPRODUCT((ListeB='recap S1'!$B99)*(OFFSET(ListeB,,4)='recap S1'!AO$3)*(OFFSET(ListeB,,1)='recap S1'!AO$2)),"")</f>
        <v/>
      </c>
      <c r="AP99" s="32"/>
      <c r="AQ99" s="32"/>
      <c r="AR99" s="32"/>
      <c r="AS99" s="32" t="str">
        <f ca="1">IF(SUMPRODUCT((ListeB='recap S1'!$B99)*(OFFSET(ListeB,,4)='recap S1'!AS$3)*(OFFSET(ListeB,,1)='recap S1'!AS$2))&gt;0,SUMPRODUCT((ListeB='recap S1'!$B99)*(OFFSET(ListeB,,4)='recap S1'!AS$3)*(OFFSET(ListeB,,1)='recap S1'!AS$2)),"")</f>
        <v/>
      </c>
      <c r="AT99" s="32" t="str">
        <f ca="1">IF(SUMPRODUCT((ListeB='recap S1'!$B99)*(OFFSET(ListeB,,4)='recap S1'!AT$3)*(OFFSET(ListeB,,1)='recap S1'!AT$2))&gt;0,SUMPRODUCT((ListeB='recap S1'!$B99)*(OFFSET(ListeB,,4)='recap S1'!AT$3)*(OFFSET(ListeB,,1)='recap S1'!AT$2)),"")</f>
        <v/>
      </c>
      <c r="AU99" s="32"/>
      <c r="AV99" s="32" t="str">
        <f ca="1">IF(SUMPRODUCT((ListeB='recap S1'!$B99)*(OFFSET(ListeB,,4)='recap S1'!AV$3)*(OFFSET(ListeB,,1)='recap S1'!AV$2))&gt;0,SUMPRODUCT((ListeB='recap S1'!$B99)*(OFFSET(ListeB,,4)='recap S1'!AV$3)*(OFFSET(ListeB,,1)='recap S1'!AV$2)),"")</f>
        <v/>
      </c>
      <c r="AW99" s="32" t="str">
        <f ca="1">IF(SUMPRODUCT((ListeB='recap S1'!$B99)*(OFFSET(ListeB,,4)='recap S1'!AW$3)*(OFFSET(ListeB,,1)='recap S1'!AW$2))&gt;0,SUMPRODUCT((ListeB='recap S1'!$B99)*(OFFSET(ListeB,,4)='recap S1'!AW$3)*(OFFSET(ListeB,,1)='recap S1'!AW$2)),"")</f>
        <v/>
      </c>
      <c r="AX99" s="32" t="str">
        <f ca="1">IF(SUMPRODUCT((ListeB='recap S1'!$B99)*(OFFSET(ListeB,,4)='recap S1'!AX$3)*(OFFSET(ListeB,,1)='recap S1'!AX$2))&gt;0,SUMPRODUCT((ListeB='recap S1'!$B99)*(OFFSET(ListeB,,4)='recap S1'!AX$3)*(OFFSET(ListeB,,1)='recap S1'!AX$2)),"")</f>
        <v/>
      </c>
      <c r="AY99" s="34"/>
      <c r="AZ99" s="32">
        <f t="shared" ca="1" si="2"/>
        <v>0</v>
      </c>
    </row>
    <row r="100" spans="1:52">
      <c r="A100" s="41" t="str">
        <f>IF('SEANCE 1'!$B98&lt;&gt;"",'SEANCE 1'!$A98,"")</f>
        <v/>
      </c>
      <c r="B100" s="41" t="str">
        <f t="array" aca="1" ref="B100" ca="1">IF(ISNA(INDEX(ListeB,MATCH(0,COUNTIF($B$3:B99,ListeB),0))),"",INDEX(ListeB,MATCH(0,COUNTIF($B$3:B99,ListeB),0)))</f>
        <v/>
      </c>
      <c r="C100" s="32" t="str">
        <f ca="1">IF(SUMPRODUCT((ListeB='recap S1'!$B100)*(OFFSET(ListeB,,4)='recap S1'!C$3)*(OFFSET(ListeB,,1)='recap S1'!C$2))&gt;0,SUMPRODUCT((ListeB='recap S1'!$B100)*(OFFSET(ListeB,,4)='recap S1'!C$3)*(OFFSET(ListeB,,1)='recap S1'!C$2)),"")</f>
        <v/>
      </c>
      <c r="D100" s="32" t="str">
        <f ca="1">IF(SUMPRODUCT((ListeB='recap S1'!$B100)*(OFFSET(ListeB,,4)='recap S1'!D$3)*(OFFSET(ListeB,,1)='recap S1'!D$2))&gt;0,SUMPRODUCT((ListeB='recap S1'!$B100)*(OFFSET(ListeB,,4)='recap S1'!D$3)*(OFFSET(ListeB,,1)='recap S1'!D$2)),"")</f>
        <v/>
      </c>
      <c r="E100" s="32"/>
      <c r="F100" s="32" t="str">
        <f ca="1">IF(SUMPRODUCT((ListeB='recap S1'!$B100)*(OFFSET(ListeB,,4)='recap S1'!F$3)*(OFFSET(ListeB,,1)='recap S1'!F$2))&gt;0,SUMPRODUCT((ListeB='recap S1'!$B100)*(OFFSET(ListeB,,4)='recap S1'!F$3)*(OFFSET(ListeB,,1)='recap S1'!F$2)),"")</f>
        <v/>
      </c>
      <c r="G100" s="32" t="str">
        <f ca="1">IF(SUMPRODUCT((ListeB='recap S1'!$B100)*(OFFSET(ListeB,,4)='recap S1'!G$3)*(OFFSET(ListeB,,1)='recap S1'!G$2))&gt;0,SUMPRODUCT((ListeB='recap S1'!$B100)*(OFFSET(ListeB,,4)='recap S1'!G$3)*(OFFSET(ListeB,,1)='recap S1'!G$2)),"")</f>
        <v/>
      </c>
      <c r="H100" s="32"/>
      <c r="I100" s="32" t="str">
        <f ca="1">IF(SUMPRODUCT((ListeB='recap S1'!$B100)*(OFFSET(ListeB,,4)='recap S1'!I$3)*(OFFSET(ListeB,,1)='recap S1'!I$2))&gt;0,SUMPRODUCT((ListeB='recap S1'!$B100)*(OFFSET(ListeB,,4)='recap S1'!I$3)*(OFFSET(ListeB,,1)='recap S1'!I$2)),"")</f>
        <v/>
      </c>
      <c r="J100" s="32" t="str">
        <f ca="1">IF(SUMPRODUCT((ListeB='recap S1'!$B100)*(OFFSET(ListeB,,4)='recap S1'!J$3)*(OFFSET(ListeB,,1)='recap S1'!J$2))&gt;0,SUMPRODUCT((ListeB='recap S1'!$B100)*(OFFSET(ListeB,,4)='recap S1'!J$3)*(OFFSET(ListeB,,1)='recap S1'!J$2)),"")</f>
        <v/>
      </c>
      <c r="K100" s="32" t="str">
        <f ca="1">IF(SUMPRODUCT((ListeB='recap S1'!$B100)*(OFFSET(ListeB,,4)='recap S1'!K$3)*(OFFSET(ListeB,,1)='recap S1'!K$2))&gt;0,SUMPRODUCT((ListeB='recap S1'!$B100)*(OFFSET(ListeB,,4)='recap S1'!K$3)*(OFFSET(ListeB,,1)='recap S1'!K$2)),"")</f>
        <v/>
      </c>
      <c r="L100" s="32"/>
      <c r="M100" s="32" t="str">
        <f ca="1">IF(SUMPRODUCT((ListeB='recap S1'!$B100)*(OFFSET(ListeB,,4)='recap S1'!M$3)*(OFFSET(ListeB,,1)='recap S1'!M$2))&gt;0,SUMPRODUCT((ListeB='recap S1'!$B100)*(OFFSET(ListeB,,4)='recap S1'!M$3)*(OFFSET(ListeB,,1)='recap S1'!M$2)),"")</f>
        <v/>
      </c>
      <c r="N100" s="32" t="str">
        <f ca="1">IF(SUMPRODUCT((ListeB='recap S1'!$B100)*(OFFSET(ListeB,,4)='recap S1'!N$3)*(OFFSET(ListeB,,1)='recap S1'!N$2))&gt;0,SUMPRODUCT((ListeB='recap S1'!$B100)*(OFFSET(ListeB,,4)='recap S1'!N$3)*(OFFSET(ListeB,,1)='recap S1'!N$2)),"")</f>
        <v/>
      </c>
      <c r="O100" s="32"/>
      <c r="P100" s="32" t="str">
        <f ca="1">IF(SUMPRODUCT((ListeB='recap S1'!$B100)*(OFFSET(ListeB,,4)='recap S1'!P$3)*(OFFSET(ListeB,,1)='recap S1'!P$2))&gt;0,SUMPRODUCT((ListeB='recap S1'!$B100)*(OFFSET(ListeB,,4)='recap S1'!P$3)*(OFFSET(ListeB,,1)='recap S1'!P$2)),"")</f>
        <v/>
      </c>
      <c r="Q100" s="32" t="str">
        <f ca="1">IF(SUMPRODUCT((ListeB='recap S1'!$B100)*(OFFSET(ListeB,,4)='recap S1'!Q$3)*(OFFSET(ListeB,,1)='recap S1'!Q$2))&gt;0,SUMPRODUCT((ListeB='recap S1'!$B100)*(OFFSET(ListeB,,4)='recap S1'!Q$3)*(OFFSET(ListeB,,1)='recap S1'!Q$2)),"")</f>
        <v/>
      </c>
      <c r="R100" s="32"/>
      <c r="S100" s="32" t="str">
        <f ca="1">IF(SUMPRODUCT((ListeB='recap S1'!$B100)*(OFFSET(ListeB,,4)='recap S1'!S$3)*(OFFSET(ListeB,,1)='recap S1'!S$2))&gt;0,SUMPRODUCT((ListeB='recap S1'!$B100)*(OFFSET(ListeB,,4)='recap S1'!S$3)*(OFFSET(ListeB,,1)='recap S1'!S$2)),"")</f>
        <v/>
      </c>
      <c r="T100" s="32" t="str">
        <f ca="1">IF(SUMPRODUCT((ListeB='recap S1'!$B100)*(OFFSET(ListeB,,4)='recap S1'!T$3)*(OFFSET(ListeB,,1)='recap S1'!T$2))&gt;0,SUMPRODUCT((ListeB='recap S1'!$B100)*(OFFSET(ListeB,,4)='recap S1'!T$3)*(OFFSET(ListeB,,1)='recap S1'!T$2)),"")</f>
        <v/>
      </c>
      <c r="U100" s="32" t="str">
        <f ca="1">IF(SUMPRODUCT((ListeB='recap S1'!$B100)*(OFFSET(ListeB,,4)='recap S1'!U$3)*(OFFSET(ListeB,,1)='recap S1'!U$2))&gt;0,SUMPRODUCT((ListeB='recap S1'!$B100)*(OFFSET(ListeB,,4)='recap S1'!U$3)*(OFFSET(ListeB,,1)='recap S1'!U$2)),"")</f>
        <v/>
      </c>
      <c r="V100" s="32"/>
      <c r="W100" s="32" t="str">
        <f ca="1">IF(SUMPRODUCT((ListeB='recap S1'!$B100)*(OFFSET(ListeB,,4)='recap S1'!W$3)*(OFFSET(ListeB,,1)='recap S1'!W$2))&gt;0,SUMPRODUCT((ListeB='recap S1'!$B100)*(OFFSET(ListeB,,4)='recap S1'!W$3)*(OFFSET(ListeB,,1)='recap S1'!W$2)),"")</f>
        <v/>
      </c>
      <c r="X100" s="32"/>
      <c r="Y100" s="32" t="str">
        <f ca="1">IF(SUMPRODUCT((ListeB='recap S1'!$B100)*(OFFSET(ListeB,,4)='recap S1'!Y$3)*(OFFSET(ListeB,,1)='recap S1'!Y$2))&gt;0,SUMPRODUCT((ListeB='recap S1'!$B100)*(OFFSET(ListeB,,4)='recap S1'!Y$3)*(OFFSET(ListeB,,1)='recap S1'!Y$2)),"")</f>
        <v/>
      </c>
      <c r="Z100" s="32" t="str">
        <f ca="1">IF(SUMPRODUCT((ListeB='recap S1'!$B100)*(OFFSET(ListeB,,4)='recap S1'!Z$3)*(OFFSET(ListeB,,1)='recap S1'!Z$2))&gt;0,SUMPRODUCT((ListeB='recap S1'!$B100)*(OFFSET(ListeB,,4)='recap S1'!Z$3)*(OFFSET(ListeB,,1)='recap S1'!Z$2)),"")</f>
        <v/>
      </c>
      <c r="AA100" s="32" t="str">
        <f ca="1">IF(SUMPRODUCT((ListeB='recap S1'!$B100)*(OFFSET(ListeB,,4)='recap S1'!AA$3)*(OFFSET(ListeB,,1)='recap S1'!AA$2))&gt;0,SUMPRODUCT((ListeB='recap S1'!$B100)*(OFFSET(ListeB,,4)='recap S1'!AA$3)*(OFFSET(ListeB,,1)='recap S1'!AA$2)),"")</f>
        <v/>
      </c>
      <c r="AB100" s="32"/>
      <c r="AC100" s="32" t="str">
        <f ca="1">IF(SUMPRODUCT((ListeB='recap S1'!$B100)*(OFFSET(ListeB,,4)='recap S1'!AC$3)*(OFFSET(ListeB,,1)='recap S1'!AC$2))&gt;0,SUMPRODUCT((ListeB='recap S1'!$B100)*(OFFSET(ListeB,,4)='recap S1'!AC$3)*(OFFSET(ListeB,,1)='recap S1'!AC$2)),"")</f>
        <v/>
      </c>
      <c r="AD100" s="32"/>
      <c r="AE100" s="32" t="str">
        <f ca="1">IF(SUMPRODUCT((ListeB='recap S1'!$B100)*(OFFSET(ListeB,,4)='recap S1'!AE$3)*(OFFSET(ListeB,,1)='recap S1'!AE$2))&gt;0,SUMPRODUCT((ListeB='recap S1'!$B100)*(OFFSET(ListeB,,4)='recap S1'!AE$3)*(OFFSET(ListeB,,1)='recap S1'!AE$2)),"")</f>
        <v/>
      </c>
      <c r="AF100" s="32" t="str">
        <f ca="1">IF(SUMPRODUCT((ListeB='recap S1'!$B100)*(OFFSET(ListeB,,4)='recap S1'!AF$3)*(OFFSET(ListeB,,1)='recap S1'!AF$2))&gt;0,SUMPRODUCT((ListeB='recap S1'!$B100)*(OFFSET(ListeB,,4)='recap S1'!AF$3)*(OFFSET(ListeB,,1)='recap S1'!AF$2)),"")</f>
        <v/>
      </c>
      <c r="AG100" s="32"/>
      <c r="AH100" s="32" t="str">
        <f ca="1">IF(SUMPRODUCT((ListeB='recap S1'!$B100)*(OFFSET(ListeB,,4)='recap S1'!AH$3)*(OFFSET(ListeB,,1)='recap S1'!AH$2))&gt;0,SUMPRODUCT((ListeB='recap S1'!$B100)*(OFFSET(ListeB,,4)='recap S1'!AH$3)*(OFFSET(ListeB,,1)='recap S1'!AH$2)),"")</f>
        <v/>
      </c>
      <c r="AI100" s="32" t="str">
        <f ca="1">IF(SUMPRODUCT((ListeB='recap S1'!$B100)*(OFFSET(ListeB,,4)='recap S1'!AI$3)*(OFFSET(ListeB,,1)='recap S1'!AI$2))&gt;0,SUMPRODUCT((ListeB='recap S1'!$B100)*(OFFSET(ListeB,,4)='recap S1'!AI$3)*(OFFSET(ListeB,,1)='recap S1'!AI$2)),"")</f>
        <v/>
      </c>
      <c r="AJ100" s="32" t="str">
        <f ca="1">IF(SUMPRODUCT((ListeB='recap S1'!$B100)*(OFFSET(ListeB,,4)='recap S1'!AJ$3)*(OFFSET(ListeB,,1)='recap S1'!AJ$2))&gt;0,SUMPRODUCT((ListeB='recap S1'!$B100)*(OFFSET(ListeB,,4)='recap S1'!AJ$3)*(OFFSET(ListeB,,1)='recap S1'!AJ$2)),"")</f>
        <v/>
      </c>
      <c r="AK100" s="32"/>
      <c r="AL100" s="32" t="str">
        <f ca="1">IF(SUMPRODUCT((ListeB='recap S1'!$B100)*(OFFSET(ListeB,,4)='recap S1'!AL$3)*(OFFSET(ListeB,,1)='recap S1'!AL$2))&gt;0,SUMPRODUCT((ListeB='recap S1'!$B100)*(OFFSET(ListeB,,4)='recap S1'!AL$3)*(OFFSET(ListeB,,1)='recap S1'!AL$2)),"")</f>
        <v/>
      </c>
      <c r="AM100" s="32"/>
      <c r="AN100" s="32" t="str">
        <f ca="1">IF(SUMPRODUCT((ListeB='recap S1'!$B100)*(OFFSET(ListeB,,4)='recap S1'!AN$3)*(OFFSET(ListeB,,1)='recap S1'!AN$2))&gt;0,SUMPRODUCT((ListeB='recap S1'!$B100)*(OFFSET(ListeB,,4)='recap S1'!AN$3)*(OFFSET(ListeB,,1)='recap S1'!AN$2)),"")</f>
        <v/>
      </c>
      <c r="AO100" s="32" t="str">
        <f ca="1">IF(SUMPRODUCT((ListeB='recap S1'!$B100)*(OFFSET(ListeB,,4)='recap S1'!AO$3)*(OFFSET(ListeB,,1)='recap S1'!AO$2))&gt;0,SUMPRODUCT((ListeB='recap S1'!$B100)*(OFFSET(ListeB,,4)='recap S1'!AO$3)*(OFFSET(ListeB,,1)='recap S1'!AO$2)),"")</f>
        <v/>
      </c>
      <c r="AP100" s="32"/>
      <c r="AQ100" s="32"/>
      <c r="AR100" s="32"/>
      <c r="AS100" s="32" t="str">
        <f ca="1">IF(SUMPRODUCT((ListeB='recap S1'!$B100)*(OFFSET(ListeB,,4)='recap S1'!AS$3)*(OFFSET(ListeB,,1)='recap S1'!AS$2))&gt;0,SUMPRODUCT((ListeB='recap S1'!$B100)*(OFFSET(ListeB,,4)='recap S1'!AS$3)*(OFFSET(ListeB,,1)='recap S1'!AS$2)),"")</f>
        <v/>
      </c>
      <c r="AT100" s="32" t="str">
        <f ca="1">IF(SUMPRODUCT((ListeB='recap S1'!$B100)*(OFFSET(ListeB,,4)='recap S1'!AT$3)*(OFFSET(ListeB,,1)='recap S1'!AT$2))&gt;0,SUMPRODUCT((ListeB='recap S1'!$B100)*(OFFSET(ListeB,,4)='recap S1'!AT$3)*(OFFSET(ListeB,,1)='recap S1'!AT$2)),"")</f>
        <v/>
      </c>
      <c r="AU100" s="32"/>
      <c r="AV100" s="32" t="str">
        <f ca="1">IF(SUMPRODUCT((ListeB='recap S1'!$B100)*(OFFSET(ListeB,,4)='recap S1'!AV$3)*(OFFSET(ListeB,,1)='recap S1'!AV$2))&gt;0,SUMPRODUCT((ListeB='recap S1'!$B100)*(OFFSET(ListeB,,4)='recap S1'!AV$3)*(OFFSET(ListeB,,1)='recap S1'!AV$2)),"")</f>
        <v/>
      </c>
      <c r="AW100" s="32" t="str">
        <f ca="1">IF(SUMPRODUCT((ListeB='recap S1'!$B100)*(OFFSET(ListeB,,4)='recap S1'!AW$3)*(OFFSET(ListeB,,1)='recap S1'!AW$2))&gt;0,SUMPRODUCT((ListeB='recap S1'!$B100)*(OFFSET(ListeB,,4)='recap S1'!AW$3)*(OFFSET(ListeB,,1)='recap S1'!AW$2)),"")</f>
        <v/>
      </c>
      <c r="AX100" s="32" t="str">
        <f ca="1">IF(SUMPRODUCT((ListeB='recap S1'!$B100)*(OFFSET(ListeB,,4)='recap S1'!AX$3)*(OFFSET(ListeB,,1)='recap S1'!AX$2))&gt;0,SUMPRODUCT((ListeB='recap S1'!$B100)*(OFFSET(ListeB,,4)='recap S1'!AX$3)*(OFFSET(ListeB,,1)='recap S1'!AX$2)),"")</f>
        <v/>
      </c>
      <c r="AY100" s="34"/>
      <c r="AZ100" s="32">
        <f t="shared" ref="AZ100:AZ132" ca="1" si="3">SUMPRODUCT(C100:AX100)</f>
        <v>0</v>
      </c>
    </row>
    <row r="101" spans="1:52">
      <c r="A101" s="41" t="str">
        <f>IF('SEANCE 1'!$B99&lt;&gt;"",'SEANCE 1'!$A99,"")</f>
        <v/>
      </c>
      <c r="B101" s="41" t="str">
        <f t="array" aca="1" ref="B101" ca="1">IF(ISNA(INDEX(ListeB,MATCH(0,COUNTIF($B$3:B100,ListeB),0))),"",INDEX(ListeB,MATCH(0,COUNTIF($B$3:B100,ListeB),0)))</f>
        <v/>
      </c>
      <c r="C101" s="32" t="str">
        <f ca="1">IF(SUMPRODUCT((ListeB='recap S1'!$B101)*(OFFSET(ListeB,,4)='recap S1'!C$3)*(OFFSET(ListeB,,1)='recap S1'!C$2))&gt;0,SUMPRODUCT((ListeB='recap S1'!$B101)*(OFFSET(ListeB,,4)='recap S1'!C$3)*(OFFSET(ListeB,,1)='recap S1'!C$2)),"")</f>
        <v/>
      </c>
      <c r="D101" s="32" t="str">
        <f ca="1">IF(SUMPRODUCT((ListeB='recap S1'!$B101)*(OFFSET(ListeB,,4)='recap S1'!D$3)*(OFFSET(ListeB,,1)='recap S1'!D$2))&gt;0,SUMPRODUCT((ListeB='recap S1'!$B101)*(OFFSET(ListeB,,4)='recap S1'!D$3)*(OFFSET(ListeB,,1)='recap S1'!D$2)),"")</f>
        <v/>
      </c>
      <c r="E101" s="32"/>
      <c r="F101" s="32" t="str">
        <f ca="1">IF(SUMPRODUCT((ListeB='recap S1'!$B101)*(OFFSET(ListeB,,4)='recap S1'!F$3)*(OFFSET(ListeB,,1)='recap S1'!F$2))&gt;0,SUMPRODUCT((ListeB='recap S1'!$B101)*(OFFSET(ListeB,,4)='recap S1'!F$3)*(OFFSET(ListeB,,1)='recap S1'!F$2)),"")</f>
        <v/>
      </c>
      <c r="G101" s="32" t="str">
        <f ca="1">IF(SUMPRODUCT((ListeB='recap S1'!$B101)*(OFFSET(ListeB,,4)='recap S1'!G$3)*(OFFSET(ListeB,,1)='recap S1'!G$2))&gt;0,SUMPRODUCT((ListeB='recap S1'!$B101)*(OFFSET(ListeB,,4)='recap S1'!G$3)*(OFFSET(ListeB,,1)='recap S1'!G$2)),"")</f>
        <v/>
      </c>
      <c r="H101" s="32"/>
      <c r="I101" s="32" t="str">
        <f ca="1">IF(SUMPRODUCT((ListeB='recap S1'!$B101)*(OFFSET(ListeB,,4)='recap S1'!I$3)*(OFFSET(ListeB,,1)='recap S1'!I$2))&gt;0,SUMPRODUCT((ListeB='recap S1'!$B101)*(OFFSET(ListeB,,4)='recap S1'!I$3)*(OFFSET(ListeB,,1)='recap S1'!I$2)),"")</f>
        <v/>
      </c>
      <c r="J101" s="32" t="str">
        <f ca="1">IF(SUMPRODUCT((ListeB='recap S1'!$B101)*(OFFSET(ListeB,,4)='recap S1'!J$3)*(OFFSET(ListeB,,1)='recap S1'!J$2))&gt;0,SUMPRODUCT((ListeB='recap S1'!$B101)*(OFFSET(ListeB,,4)='recap S1'!J$3)*(OFFSET(ListeB,,1)='recap S1'!J$2)),"")</f>
        <v/>
      </c>
      <c r="K101" s="32" t="str">
        <f ca="1">IF(SUMPRODUCT((ListeB='recap S1'!$B101)*(OFFSET(ListeB,,4)='recap S1'!K$3)*(OFFSET(ListeB,,1)='recap S1'!K$2))&gt;0,SUMPRODUCT((ListeB='recap S1'!$B101)*(OFFSET(ListeB,,4)='recap S1'!K$3)*(OFFSET(ListeB,,1)='recap S1'!K$2)),"")</f>
        <v/>
      </c>
      <c r="L101" s="32"/>
      <c r="M101" s="32" t="str">
        <f ca="1">IF(SUMPRODUCT((ListeB='recap S1'!$B101)*(OFFSET(ListeB,,4)='recap S1'!M$3)*(OFFSET(ListeB,,1)='recap S1'!M$2))&gt;0,SUMPRODUCT((ListeB='recap S1'!$B101)*(OFFSET(ListeB,,4)='recap S1'!M$3)*(OFFSET(ListeB,,1)='recap S1'!M$2)),"")</f>
        <v/>
      </c>
      <c r="N101" s="32" t="str">
        <f ca="1">IF(SUMPRODUCT((ListeB='recap S1'!$B101)*(OFFSET(ListeB,,4)='recap S1'!N$3)*(OFFSET(ListeB,,1)='recap S1'!N$2))&gt;0,SUMPRODUCT((ListeB='recap S1'!$B101)*(OFFSET(ListeB,,4)='recap S1'!N$3)*(OFFSET(ListeB,,1)='recap S1'!N$2)),"")</f>
        <v/>
      </c>
      <c r="O101" s="32"/>
      <c r="P101" s="32" t="str">
        <f ca="1">IF(SUMPRODUCT((ListeB='recap S1'!$B101)*(OFFSET(ListeB,,4)='recap S1'!P$3)*(OFFSET(ListeB,,1)='recap S1'!P$2))&gt;0,SUMPRODUCT((ListeB='recap S1'!$B101)*(OFFSET(ListeB,,4)='recap S1'!P$3)*(OFFSET(ListeB,,1)='recap S1'!P$2)),"")</f>
        <v/>
      </c>
      <c r="Q101" s="32" t="str">
        <f ca="1">IF(SUMPRODUCT((ListeB='recap S1'!$B101)*(OFFSET(ListeB,,4)='recap S1'!Q$3)*(OFFSET(ListeB,,1)='recap S1'!Q$2))&gt;0,SUMPRODUCT((ListeB='recap S1'!$B101)*(OFFSET(ListeB,,4)='recap S1'!Q$3)*(OFFSET(ListeB,,1)='recap S1'!Q$2)),"")</f>
        <v/>
      </c>
      <c r="R101" s="32"/>
      <c r="S101" s="32" t="str">
        <f ca="1">IF(SUMPRODUCT((ListeB='recap S1'!$B101)*(OFFSET(ListeB,,4)='recap S1'!S$3)*(OFFSET(ListeB,,1)='recap S1'!S$2))&gt;0,SUMPRODUCT((ListeB='recap S1'!$B101)*(OFFSET(ListeB,,4)='recap S1'!S$3)*(OFFSET(ListeB,,1)='recap S1'!S$2)),"")</f>
        <v/>
      </c>
      <c r="T101" s="32" t="str">
        <f ca="1">IF(SUMPRODUCT((ListeB='recap S1'!$B101)*(OFFSET(ListeB,,4)='recap S1'!T$3)*(OFFSET(ListeB,,1)='recap S1'!T$2))&gt;0,SUMPRODUCT((ListeB='recap S1'!$B101)*(OFFSET(ListeB,,4)='recap S1'!T$3)*(OFFSET(ListeB,,1)='recap S1'!T$2)),"")</f>
        <v/>
      </c>
      <c r="U101" s="32" t="str">
        <f ca="1">IF(SUMPRODUCT((ListeB='recap S1'!$B101)*(OFFSET(ListeB,,4)='recap S1'!U$3)*(OFFSET(ListeB,,1)='recap S1'!U$2))&gt;0,SUMPRODUCT((ListeB='recap S1'!$B101)*(OFFSET(ListeB,,4)='recap S1'!U$3)*(OFFSET(ListeB,,1)='recap S1'!U$2)),"")</f>
        <v/>
      </c>
      <c r="V101" s="32"/>
      <c r="W101" s="32" t="str">
        <f ca="1">IF(SUMPRODUCT((ListeB='recap S1'!$B101)*(OFFSET(ListeB,,4)='recap S1'!W$3)*(OFFSET(ListeB,,1)='recap S1'!W$2))&gt;0,SUMPRODUCT((ListeB='recap S1'!$B101)*(OFFSET(ListeB,,4)='recap S1'!W$3)*(OFFSET(ListeB,,1)='recap S1'!W$2)),"")</f>
        <v/>
      </c>
      <c r="X101" s="32"/>
      <c r="Y101" s="32" t="str">
        <f ca="1">IF(SUMPRODUCT((ListeB='recap S1'!$B101)*(OFFSET(ListeB,,4)='recap S1'!Y$3)*(OFFSET(ListeB,,1)='recap S1'!Y$2))&gt;0,SUMPRODUCT((ListeB='recap S1'!$B101)*(OFFSET(ListeB,,4)='recap S1'!Y$3)*(OFFSET(ListeB,,1)='recap S1'!Y$2)),"")</f>
        <v/>
      </c>
      <c r="Z101" s="32" t="str">
        <f ca="1">IF(SUMPRODUCT((ListeB='recap S1'!$B101)*(OFFSET(ListeB,,4)='recap S1'!Z$3)*(OFFSET(ListeB,,1)='recap S1'!Z$2))&gt;0,SUMPRODUCT((ListeB='recap S1'!$B101)*(OFFSET(ListeB,,4)='recap S1'!Z$3)*(OFFSET(ListeB,,1)='recap S1'!Z$2)),"")</f>
        <v/>
      </c>
      <c r="AA101" s="32" t="str">
        <f ca="1">IF(SUMPRODUCT((ListeB='recap S1'!$B101)*(OFFSET(ListeB,,4)='recap S1'!AA$3)*(OFFSET(ListeB,,1)='recap S1'!AA$2))&gt;0,SUMPRODUCT((ListeB='recap S1'!$B101)*(OFFSET(ListeB,,4)='recap S1'!AA$3)*(OFFSET(ListeB,,1)='recap S1'!AA$2)),"")</f>
        <v/>
      </c>
      <c r="AB101" s="32"/>
      <c r="AC101" s="32" t="str">
        <f ca="1">IF(SUMPRODUCT((ListeB='recap S1'!$B101)*(OFFSET(ListeB,,4)='recap S1'!AC$3)*(OFFSET(ListeB,,1)='recap S1'!AC$2))&gt;0,SUMPRODUCT((ListeB='recap S1'!$B101)*(OFFSET(ListeB,,4)='recap S1'!AC$3)*(OFFSET(ListeB,,1)='recap S1'!AC$2)),"")</f>
        <v/>
      </c>
      <c r="AD101" s="32"/>
      <c r="AE101" s="32" t="str">
        <f ca="1">IF(SUMPRODUCT((ListeB='recap S1'!$B101)*(OFFSET(ListeB,,4)='recap S1'!AE$3)*(OFFSET(ListeB,,1)='recap S1'!AE$2))&gt;0,SUMPRODUCT((ListeB='recap S1'!$B101)*(OFFSET(ListeB,,4)='recap S1'!AE$3)*(OFFSET(ListeB,,1)='recap S1'!AE$2)),"")</f>
        <v/>
      </c>
      <c r="AF101" s="32" t="str">
        <f ca="1">IF(SUMPRODUCT((ListeB='recap S1'!$B101)*(OFFSET(ListeB,,4)='recap S1'!AF$3)*(OFFSET(ListeB,,1)='recap S1'!AF$2))&gt;0,SUMPRODUCT((ListeB='recap S1'!$B101)*(OFFSET(ListeB,,4)='recap S1'!AF$3)*(OFFSET(ListeB,,1)='recap S1'!AF$2)),"")</f>
        <v/>
      </c>
      <c r="AG101" s="32"/>
      <c r="AH101" s="32" t="str">
        <f ca="1">IF(SUMPRODUCT((ListeB='recap S1'!$B101)*(OFFSET(ListeB,,4)='recap S1'!AH$3)*(OFFSET(ListeB,,1)='recap S1'!AH$2))&gt;0,SUMPRODUCT((ListeB='recap S1'!$B101)*(OFFSET(ListeB,,4)='recap S1'!AH$3)*(OFFSET(ListeB,,1)='recap S1'!AH$2)),"")</f>
        <v/>
      </c>
      <c r="AI101" s="32" t="str">
        <f ca="1">IF(SUMPRODUCT((ListeB='recap S1'!$B101)*(OFFSET(ListeB,,4)='recap S1'!AI$3)*(OFFSET(ListeB,,1)='recap S1'!AI$2))&gt;0,SUMPRODUCT((ListeB='recap S1'!$B101)*(OFFSET(ListeB,,4)='recap S1'!AI$3)*(OFFSET(ListeB,,1)='recap S1'!AI$2)),"")</f>
        <v/>
      </c>
      <c r="AJ101" s="32" t="str">
        <f ca="1">IF(SUMPRODUCT((ListeB='recap S1'!$B101)*(OFFSET(ListeB,,4)='recap S1'!AJ$3)*(OFFSET(ListeB,,1)='recap S1'!AJ$2))&gt;0,SUMPRODUCT((ListeB='recap S1'!$B101)*(OFFSET(ListeB,,4)='recap S1'!AJ$3)*(OFFSET(ListeB,,1)='recap S1'!AJ$2)),"")</f>
        <v/>
      </c>
      <c r="AK101" s="32"/>
      <c r="AL101" s="32" t="str">
        <f ca="1">IF(SUMPRODUCT((ListeB='recap S1'!$B101)*(OFFSET(ListeB,,4)='recap S1'!AL$3)*(OFFSET(ListeB,,1)='recap S1'!AL$2))&gt;0,SUMPRODUCT((ListeB='recap S1'!$B101)*(OFFSET(ListeB,,4)='recap S1'!AL$3)*(OFFSET(ListeB,,1)='recap S1'!AL$2)),"")</f>
        <v/>
      </c>
      <c r="AM101" s="32"/>
      <c r="AN101" s="32" t="str">
        <f ca="1">IF(SUMPRODUCT((ListeB='recap S1'!$B101)*(OFFSET(ListeB,,4)='recap S1'!AN$3)*(OFFSET(ListeB,,1)='recap S1'!AN$2))&gt;0,SUMPRODUCT((ListeB='recap S1'!$B101)*(OFFSET(ListeB,,4)='recap S1'!AN$3)*(OFFSET(ListeB,,1)='recap S1'!AN$2)),"")</f>
        <v/>
      </c>
      <c r="AO101" s="32" t="str">
        <f ca="1">IF(SUMPRODUCT((ListeB='recap S1'!$B101)*(OFFSET(ListeB,,4)='recap S1'!AO$3)*(OFFSET(ListeB,,1)='recap S1'!AO$2))&gt;0,SUMPRODUCT((ListeB='recap S1'!$B101)*(OFFSET(ListeB,,4)='recap S1'!AO$3)*(OFFSET(ListeB,,1)='recap S1'!AO$2)),"")</f>
        <v/>
      </c>
      <c r="AP101" s="32"/>
      <c r="AQ101" s="32"/>
      <c r="AR101" s="32"/>
      <c r="AS101" s="32" t="str">
        <f ca="1">IF(SUMPRODUCT((ListeB='recap S1'!$B101)*(OFFSET(ListeB,,4)='recap S1'!AS$3)*(OFFSET(ListeB,,1)='recap S1'!AS$2))&gt;0,SUMPRODUCT((ListeB='recap S1'!$B101)*(OFFSET(ListeB,,4)='recap S1'!AS$3)*(OFFSET(ListeB,,1)='recap S1'!AS$2)),"")</f>
        <v/>
      </c>
      <c r="AT101" s="32" t="str">
        <f ca="1">IF(SUMPRODUCT((ListeB='recap S1'!$B101)*(OFFSET(ListeB,,4)='recap S1'!AT$3)*(OFFSET(ListeB,,1)='recap S1'!AT$2))&gt;0,SUMPRODUCT((ListeB='recap S1'!$B101)*(OFFSET(ListeB,,4)='recap S1'!AT$3)*(OFFSET(ListeB,,1)='recap S1'!AT$2)),"")</f>
        <v/>
      </c>
      <c r="AU101" s="32"/>
      <c r="AV101" s="32" t="str">
        <f ca="1">IF(SUMPRODUCT((ListeB='recap S1'!$B101)*(OFFSET(ListeB,,4)='recap S1'!AV$3)*(OFFSET(ListeB,,1)='recap S1'!AV$2))&gt;0,SUMPRODUCT((ListeB='recap S1'!$B101)*(OFFSET(ListeB,,4)='recap S1'!AV$3)*(OFFSET(ListeB,,1)='recap S1'!AV$2)),"")</f>
        <v/>
      </c>
      <c r="AW101" s="32" t="str">
        <f ca="1">IF(SUMPRODUCT((ListeB='recap S1'!$B101)*(OFFSET(ListeB,,4)='recap S1'!AW$3)*(OFFSET(ListeB,,1)='recap S1'!AW$2))&gt;0,SUMPRODUCT((ListeB='recap S1'!$B101)*(OFFSET(ListeB,,4)='recap S1'!AW$3)*(OFFSET(ListeB,,1)='recap S1'!AW$2)),"")</f>
        <v/>
      </c>
      <c r="AX101" s="32" t="str">
        <f ca="1">IF(SUMPRODUCT((ListeB='recap S1'!$B101)*(OFFSET(ListeB,,4)='recap S1'!AX$3)*(OFFSET(ListeB,,1)='recap S1'!AX$2))&gt;0,SUMPRODUCT((ListeB='recap S1'!$B101)*(OFFSET(ListeB,,4)='recap S1'!AX$3)*(OFFSET(ListeB,,1)='recap S1'!AX$2)),"")</f>
        <v/>
      </c>
      <c r="AY101" s="34"/>
      <c r="AZ101" s="32">
        <f t="shared" ca="1" si="3"/>
        <v>0</v>
      </c>
    </row>
    <row r="102" spans="1:52">
      <c r="A102" s="41" t="str">
        <f>IF('SEANCE 1'!$B100&lt;&gt;"",'SEANCE 1'!$A100,"")</f>
        <v/>
      </c>
      <c r="B102" s="41" t="str">
        <f t="array" aca="1" ref="B102" ca="1">IF(ISNA(INDEX(ListeB,MATCH(0,COUNTIF($B$3:B101,ListeB),0))),"",INDEX(ListeB,MATCH(0,COUNTIF($B$3:B101,ListeB),0)))</f>
        <v/>
      </c>
      <c r="C102" s="32" t="str">
        <f ca="1">IF(SUMPRODUCT((ListeB='recap S1'!$B102)*(OFFSET(ListeB,,4)='recap S1'!C$3)*(OFFSET(ListeB,,1)='recap S1'!C$2))&gt;0,SUMPRODUCT((ListeB='recap S1'!$B102)*(OFFSET(ListeB,,4)='recap S1'!C$3)*(OFFSET(ListeB,,1)='recap S1'!C$2)),"")</f>
        <v/>
      </c>
      <c r="D102" s="32" t="str">
        <f ca="1">IF(SUMPRODUCT((ListeB='recap S1'!$B102)*(OFFSET(ListeB,,4)='recap S1'!D$3)*(OFFSET(ListeB,,1)='recap S1'!D$2))&gt;0,SUMPRODUCT((ListeB='recap S1'!$B102)*(OFFSET(ListeB,,4)='recap S1'!D$3)*(OFFSET(ListeB,,1)='recap S1'!D$2)),"")</f>
        <v/>
      </c>
      <c r="E102" s="32"/>
      <c r="F102" s="32" t="str">
        <f ca="1">IF(SUMPRODUCT((ListeB='recap S1'!$B102)*(OFFSET(ListeB,,4)='recap S1'!F$3)*(OFFSET(ListeB,,1)='recap S1'!F$2))&gt;0,SUMPRODUCT((ListeB='recap S1'!$B102)*(OFFSET(ListeB,,4)='recap S1'!F$3)*(OFFSET(ListeB,,1)='recap S1'!F$2)),"")</f>
        <v/>
      </c>
      <c r="G102" s="32" t="str">
        <f ca="1">IF(SUMPRODUCT((ListeB='recap S1'!$B102)*(OFFSET(ListeB,,4)='recap S1'!G$3)*(OFFSET(ListeB,,1)='recap S1'!G$2))&gt;0,SUMPRODUCT((ListeB='recap S1'!$B102)*(OFFSET(ListeB,,4)='recap S1'!G$3)*(OFFSET(ListeB,,1)='recap S1'!G$2)),"")</f>
        <v/>
      </c>
      <c r="H102" s="32"/>
      <c r="I102" s="32" t="str">
        <f ca="1">IF(SUMPRODUCT((ListeB='recap S1'!$B102)*(OFFSET(ListeB,,4)='recap S1'!I$3)*(OFFSET(ListeB,,1)='recap S1'!I$2))&gt;0,SUMPRODUCT((ListeB='recap S1'!$B102)*(OFFSET(ListeB,,4)='recap S1'!I$3)*(OFFSET(ListeB,,1)='recap S1'!I$2)),"")</f>
        <v/>
      </c>
      <c r="J102" s="32" t="str">
        <f ca="1">IF(SUMPRODUCT((ListeB='recap S1'!$B102)*(OFFSET(ListeB,,4)='recap S1'!J$3)*(OFFSET(ListeB,,1)='recap S1'!J$2))&gt;0,SUMPRODUCT((ListeB='recap S1'!$B102)*(OFFSET(ListeB,,4)='recap S1'!J$3)*(OFFSET(ListeB,,1)='recap S1'!J$2)),"")</f>
        <v/>
      </c>
      <c r="K102" s="32" t="str">
        <f ca="1">IF(SUMPRODUCT((ListeB='recap S1'!$B102)*(OFFSET(ListeB,,4)='recap S1'!K$3)*(OFFSET(ListeB,,1)='recap S1'!K$2))&gt;0,SUMPRODUCT((ListeB='recap S1'!$B102)*(OFFSET(ListeB,,4)='recap S1'!K$3)*(OFFSET(ListeB,,1)='recap S1'!K$2)),"")</f>
        <v/>
      </c>
      <c r="L102" s="32"/>
      <c r="M102" s="32" t="str">
        <f ca="1">IF(SUMPRODUCT((ListeB='recap S1'!$B102)*(OFFSET(ListeB,,4)='recap S1'!M$3)*(OFFSET(ListeB,,1)='recap S1'!M$2))&gt;0,SUMPRODUCT((ListeB='recap S1'!$B102)*(OFFSET(ListeB,,4)='recap S1'!M$3)*(OFFSET(ListeB,,1)='recap S1'!M$2)),"")</f>
        <v/>
      </c>
      <c r="N102" s="32" t="str">
        <f ca="1">IF(SUMPRODUCT((ListeB='recap S1'!$B102)*(OFFSET(ListeB,,4)='recap S1'!N$3)*(OFFSET(ListeB,,1)='recap S1'!N$2))&gt;0,SUMPRODUCT((ListeB='recap S1'!$B102)*(OFFSET(ListeB,,4)='recap S1'!N$3)*(OFFSET(ListeB,,1)='recap S1'!N$2)),"")</f>
        <v/>
      </c>
      <c r="O102" s="32"/>
      <c r="P102" s="32" t="str">
        <f ca="1">IF(SUMPRODUCT((ListeB='recap S1'!$B102)*(OFFSET(ListeB,,4)='recap S1'!P$3)*(OFFSET(ListeB,,1)='recap S1'!P$2))&gt;0,SUMPRODUCT((ListeB='recap S1'!$B102)*(OFFSET(ListeB,,4)='recap S1'!P$3)*(OFFSET(ListeB,,1)='recap S1'!P$2)),"")</f>
        <v/>
      </c>
      <c r="Q102" s="32" t="str">
        <f ca="1">IF(SUMPRODUCT((ListeB='recap S1'!$B102)*(OFFSET(ListeB,,4)='recap S1'!Q$3)*(OFFSET(ListeB,,1)='recap S1'!Q$2))&gt;0,SUMPRODUCT((ListeB='recap S1'!$B102)*(OFFSET(ListeB,,4)='recap S1'!Q$3)*(OFFSET(ListeB,,1)='recap S1'!Q$2)),"")</f>
        <v/>
      </c>
      <c r="R102" s="32"/>
      <c r="S102" s="32" t="str">
        <f ca="1">IF(SUMPRODUCT((ListeB='recap S1'!$B102)*(OFFSET(ListeB,,4)='recap S1'!S$3)*(OFFSET(ListeB,,1)='recap S1'!S$2))&gt;0,SUMPRODUCT((ListeB='recap S1'!$B102)*(OFFSET(ListeB,,4)='recap S1'!S$3)*(OFFSET(ListeB,,1)='recap S1'!S$2)),"")</f>
        <v/>
      </c>
      <c r="T102" s="32" t="str">
        <f ca="1">IF(SUMPRODUCT((ListeB='recap S1'!$B102)*(OFFSET(ListeB,,4)='recap S1'!T$3)*(OFFSET(ListeB,,1)='recap S1'!T$2))&gt;0,SUMPRODUCT((ListeB='recap S1'!$B102)*(OFFSET(ListeB,,4)='recap S1'!T$3)*(OFFSET(ListeB,,1)='recap S1'!T$2)),"")</f>
        <v/>
      </c>
      <c r="U102" s="32" t="str">
        <f ca="1">IF(SUMPRODUCT((ListeB='recap S1'!$B102)*(OFFSET(ListeB,,4)='recap S1'!U$3)*(OFFSET(ListeB,,1)='recap S1'!U$2))&gt;0,SUMPRODUCT((ListeB='recap S1'!$B102)*(OFFSET(ListeB,,4)='recap S1'!U$3)*(OFFSET(ListeB,,1)='recap S1'!U$2)),"")</f>
        <v/>
      </c>
      <c r="V102" s="32"/>
      <c r="W102" s="32" t="str">
        <f ca="1">IF(SUMPRODUCT((ListeB='recap S1'!$B102)*(OFFSET(ListeB,,4)='recap S1'!W$3)*(OFFSET(ListeB,,1)='recap S1'!W$2))&gt;0,SUMPRODUCT((ListeB='recap S1'!$B102)*(OFFSET(ListeB,,4)='recap S1'!W$3)*(OFFSET(ListeB,,1)='recap S1'!W$2)),"")</f>
        <v/>
      </c>
      <c r="X102" s="32"/>
      <c r="Y102" s="32" t="str">
        <f ca="1">IF(SUMPRODUCT((ListeB='recap S1'!$B102)*(OFFSET(ListeB,,4)='recap S1'!Y$3)*(OFFSET(ListeB,,1)='recap S1'!Y$2))&gt;0,SUMPRODUCT((ListeB='recap S1'!$B102)*(OFFSET(ListeB,,4)='recap S1'!Y$3)*(OFFSET(ListeB,,1)='recap S1'!Y$2)),"")</f>
        <v/>
      </c>
      <c r="Z102" s="32" t="str">
        <f ca="1">IF(SUMPRODUCT((ListeB='recap S1'!$B102)*(OFFSET(ListeB,,4)='recap S1'!Z$3)*(OFFSET(ListeB,,1)='recap S1'!Z$2))&gt;0,SUMPRODUCT((ListeB='recap S1'!$B102)*(OFFSET(ListeB,,4)='recap S1'!Z$3)*(OFFSET(ListeB,,1)='recap S1'!Z$2)),"")</f>
        <v/>
      </c>
      <c r="AA102" s="32" t="str">
        <f ca="1">IF(SUMPRODUCT((ListeB='recap S1'!$B102)*(OFFSET(ListeB,,4)='recap S1'!AA$3)*(OFFSET(ListeB,,1)='recap S1'!AA$2))&gt;0,SUMPRODUCT((ListeB='recap S1'!$B102)*(OFFSET(ListeB,,4)='recap S1'!AA$3)*(OFFSET(ListeB,,1)='recap S1'!AA$2)),"")</f>
        <v/>
      </c>
      <c r="AB102" s="32"/>
      <c r="AC102" s="32" t="str">
        <f ca="1">IF(SUMPRODUCT((ListeB='recap S1'!$B102)*(OFFSET(ListeB,,4)='recap S1'!AC$3)*(OFFSET(ListeB,,1)='recap S1'!AC$2))&gt;0,SUMPRODUCT((ListeB='recap S1'!$B102)*(OFFSET(ListeB,,4)='recap S1'!AC$3)*(OFFSET(ListeB,,1)='recap S1'!AC$2)),"")</f>
        <v/>
      </c>
      <c r="AD102" s="32"/>
      <c r="AE102" s="32" t="str">
        <f ca="1">IF(SUMPRODUCT((ListeB='recap S1'!$B102)*(OFFSET(ListeB,,4)='recap S1'!AE$3)*(OFFSET(ListeB,,1)='recap S1'!AE$2))&gt;0,SUMPRODUCT((ListeB='recap S1'!$B102)*(OFFSET(ListeB,,4)='recap S1'!AE$3)*(OFFSET(ListeB,,1)='recap S1'!AE$2)),"")</f>
        <v/>
      </c>
      <c r="AF102" s="32" t="str">
        <f ca="1">IF(SUMPRODUCT((ListeB='recap S1'!$B102)*(OFFSET(ListeB,,4)='recap S1'!AF$3)*(OFFSET(ListeB,,1)='recap S1'!AF$2))&gt;0,SUMPRODUCT((ListeB='recap S1'!$B102)*(OFFSET(ListeB,,4)='recap S1'!AF$3)*(OFFSET(ListeB,,1)='recap S1'!AF$2)),"")</f>
        <v/>
      </c>
      <c r="AG102" s="32"/>
      <c r="AH102" s="32" t="str">
        <f ca="1">IF(SUMPRODUCT((ListeB='recap S1'!$B102)*(OFFSET(ListeB,,4)='recap S1'!AH$3)*(OFFSET(ListeB,,1)='recap S1'!AH$2))&gt;0,SUMPRODUCT((ListeB='recap S1'!$B102)*(OFFSET(ListeB,,4)='recap S1'!AH$3)*(OFFSET(ListeB,,1)='recap S1'!AH$2)),"")</f>
        <v/>
      </c>
      <c r="AI102" s="32" t="str">
        <f ca="1">IF(SUMPRODUCT((ListeB='recap S1'!$B102)*(OFFSET(ListeB,,4)='recap S1'!AI$3)*(OFFSET(ListeB,,1)='recap S1'!AI$2))&gt;0,SUMPRODUCT((ListeB='recap S1'!$B102)*(OFFSET(ListeB,,4)='recap S1'!AI$3)*(OFFSET(ListeB,,1)='recap S1'!AI$2)),"")</f>
        <v/>
      </c>
      <c r="AJ102" s="32" t="str">
        <f ca="1">IF(SUMPRODUCT((ListeB='recap S1'!$B102)*(OFFSET(ListeB,,4)='recap S1'!AJ$3)*(OFFSET(ListeB,,1)='recap S1'!AJ$2))&gt;0,SUMPRODUCT((ListeB='recap S1'!$B102)*(OFFSET(ListeB,,4)='recap S1'!AJ$3)*(OFFSET(ListeB,,1)='recap S1'!AJ$2)),"")</f>
        <v/>
      </c>
      <c r="AK102" s="32"/>
      <c r="AL102" s="32" t="str">
        <f ca="1">IF(SUMPRODUCT((ListeB='recap S1'!$B102)*(OFFSET(ListeB,,4)='recap S1'!AL$3)*(OFFSET(ListeB,,1)='recap S1'!AL$2))&gt;0,SUMPRODUCT((ListeB='recap S1'!$B102)*(OFFSET(ListeB,,4)='recap S1'!AL$3)*(OFFSET(ListeB,,1)='recap S1'!AL$2)),"")</f>
        <v/>
      </c>
      <c r="AM102" s="32"/>
      <c r="AN102" s="32" t="str">
        <f ca="1">IF(SUMPRODUCT((ListeB='recap S1'!$B102)*(OFFSET(ListeB,,4)='recap S1'!AN$3)*(OFFSET(ListeB,,1)='recap S1'!AN$2))&gt;0,SUMPRODUCT((ListeB='recap S1'!$B102)*(OFFSET(ListeB,,4)='recap S1'!AN$3)*(OFFSET(ListeB,,1)='recap S1'!AN$2)),"")</f>
        <v/>
      </c>
      <c r="AO102" s="32" t="str">
        <f ca="1">IF(SUMPRODUCT((ListeB='recap S1'!$B102)*(OFFSET(ListeB,,4)='recap S1'!AO$3)*(OFFSET(ListeB,,1)='recap S1'!AO$2))&gt;0,SUMPRODUCT((ListeB='recap S1'!$B102)*(OFFSET(ListeB,,4)='recap S1'!AO$3)*(OFFSET(ListeB,,1)='recap S1'!AO$2)),"")</f>
        <v/>
      </c>
      <c r="AP102" s="32"/>
      <c r="AQ102" s="32"/>
      <c r="AR102" s="32"/>
      <c r="AS102" s="32" t="str">
        <f ca="1">IF(SUMPRODUCT((ListeB='recap S1'!$B102)*(OFFSET(ListeB,,4)='recap S1'!AS$3)*(OFFSET(ListeB,,1)='recap S1'!AS$2))&gt;0,SUMPRODUCT((ListeB='recap S1'!$B102)*(OFFSET(ListeB,,4)='recap S1'!AS$3)*(OFFSET(ListeB,,1)='recap S1'!AS$2)),"")</f>
        <v/>
      </c>
      <c r="AT102" s="32" t="str">
        <f ca="1">IF(SUMPRODUCT((ListeB='recap S1'!$B102)*(OFFSET(ListeB,,4)='recap S1'!AT$3)*(OFFSET(ListeB,,1)='recap S1'!AT$2))&gt;0,SUMPRODUCT((ListeB='recap S1'!$B102)*(OFFSET(ListeB,,4)='recap S1'!AT$3)*(OFFSET(ListeB,,1)='recap S1'!AT$2)),"")</f>
        <v/>
      </c>
      <c r="AU102" s="32"/>
      <c r="AV102" s="32" t="str">
        <f ca="1">IF(SUMPRODUCT((ListeB='recap S1'!$B102)*(OFFSET(ListeB,,4)='recap S1'!AV$3)*(OFFSET(ListeB,,1)='recap S1'!AV$2))&gt;0,SUMPRODUCT((ListeB='recap S1'!$B102)*(OFFSET(ListeB,,4)='recap S1'!AV$3)*(OFFSET(ListeB,,1)='recap S1'!AV$2)),"")</f>
        <v/>
      </c>
      <c r="AW102" s="32" t="str">
        <f ca="1">IF(SUMPRODUCT((ListeB='recap S1'!$B102)*(OFFSET(ListeB,,4)='recap S1'!AW$3)*(OFFSET(ListeB,,1)='recap S1'!AW$2))&gt;0,SUMPRODUCT((ListeB='recap S1'!$B102)*(OFFSET(ListeB,,4)='recap S1'!AW$3)*(OFFSET(ListeB,,1)='recap S1'!AW$2)),"")</f>
        <v/>
      </c>
      <c r="AX102" s="32" t="str">
        <f ca="1">IF(SUMPRODUCT((ListeB='recap S1'!$B102)*(OFFSET(ListeB,,4)='recap S1'!AX$3)*(OFFSET(ListeB,,1)='recap S1'!AX$2))&gt;0,SUMPRODUCT((ListeB='recap S1'!$B102)*(OFFSET(ListeB,,4)='recap S1'!AX$3)*(OFFSET(ListeB,,1)='recap S1'!AX$2)),"")</f>
        <v/>
      </c>
      <c r="AY102" s="34"/>
      <c r="AZ102" s="32">
        <f t="shared" ca="1" si="3"/>
        <v>0</v>
      </c>
    </row>
    <row r="103" spans="1:52">
      <c r="A103" s="41" t="str">
        <f>IF('SEANCE 1'!$B101&lt;&gt;"",'SEANCE 1'!$A101,"")</f>
        <v/>
      </c>
      <c r="B103" s="41" t="str">
        <f t="array" aca="1" ref="B103" ca="1">IF(ISNA(INDEX(ListeB,MATCH(0,COUNTIF($B$3:B102,ListeB),0))),"",INDEX(ListeB,MATCH(0,COUNTIF($B$3:B102,ListeB),0)))</f>
        <v/>
      </c>
      <c r="C103" s="32" t="str">
        <f ca="1">IF(SUMPRODUCT((ListeB='recap S1'!$B103)*(OFFSET(ListeB,,4)='recap S1'!C$3)*(OFFSET(ListeB,,1)='recap S1'!C$2))&gt;0,SUMPRODUCT((ListeB='recap S1'!$B103)*(OFFSET(ListeB,,4)='recap S1'!C$3)*(OFFSET(ListeB,,1)='recap S1'!C$2)),"")</f>
        <v/>
      </c>
      <c r="D103" s="32" t="str">
        <f ca="1">IF(SUMPRODUCT((ListeB='recap S1'!$B103)*(OFFSET(ListeB,,4)='recap S1'!D$3)*(OFFSET(ListeB,,1)='recap S1'!D$2))&gt;0,SUMPRODUCT((ListeB='recap S1'!$B103)*(OFFSET(ListeB,,4)='recap S1'!D$3)*(OFFSET(ListeB,,1)='recap S1'!D$2)),"")</f>
        <v/>
      </c>
      <c r="E103" s="32"/>
      <c r="F103" s="32" t="str">
        <f ca="1">IF(SUMPRODUCT((ListeB='recap S1'!$B103)*(OFFSET(ListeB,,4)='recap S1'!F$3)*(OFFSET(ListeB,,1)='recap S1'!F$2))&gt;0,SUMPRODUCT((ListeB='recap S1'!$B103)*(OFFSET(ListeB,,4)='recap S1'!F$3)*(OFFSET(ListeB,,1)='recap S1'!F$2)),"")</f>
        <v/>
      </c>
      <c r="G103" s="32" t="str">
        <f ca="1">IF(SUMPRODUCT((ListeB='recap S1'!$B103)*(OFFSET(ListeB,,4)='recap S1'!G$3)*(OFFSET(ListeB,,1)='recap S1'!G$2))&gt;0,SUMPRODUCT((ListeB='recap S1'!$B103)*(OFFSET(ListeB,,4)='recap S1'!G$3)*(OFFSET(ListeB,,1)='recap S1'!G$2)),"")</f>
        <v/>
      </c>
      <c r="H103" s="32"/>
      <c r="I103" s="32" t="str">
        <f ca="1">IF(SUMPRODUCT((ListeB='recap S1'!$B103)*(OFFSET(ListeB,,4)='recap S1'!I$3)*(OFFSET(ListeB,,1)='recap S1'!I$2))&gt;0,SUMPRODUCT((ListeB='recap S1'!$B103)*(OFFSET(ListeB,,4)='recap S1'!I$3)*(OFFSET(ListeB,,1)='recap S1'!I$2)),"")</f>
        <v/>
      </c>
      <c r="J103" s="32" t="str">
        <f ca="1">IF(SUMPRODUCT((ListeB='recap S1'!$B103)*(OFFSET(ListeB,,4)='recap S1'!J$3)*(OFFSET(ListeB,,1)='recap S1'!J$2))&gt;0,SUMPRODUCT((ListeB='recap S1'!$B103)*(OFFSET(ListeB,,4)='recap S1'!J$3)*(OFFSET(ListeB,,1)='recap S1'!J$2)),"")</f>
        <v/>
      </c>
      <c r="K103" s="32" t="str">
        <f ca="1">IF(SUMPRODUCT((ListeB='recap S1'!$B103)*(OFFSET(ListeB,,4)='recap S1'!K$3)*(OFFSET(ListeB,,1)='recap S1'!K$2))&gt;0,SUMPRODUCT((ListeB='recap S1'!$B103)*(OFFSET(ListeB,,4)='recap S1'!K$3)*(OFFSET(ListeB,,1)='recap S1'!K$2)),"")</f>
        <v/>
      </c>
      <c r="L103" s="32"/>
      <c r="M103" s="32" t="str">
        <f ca="1">IF(SUMPRODUCT((ListeB='recap S1'!$B103)*(OFFSET(ListeB,,4)='recap S1'!M$3)*(OFFSET(ListeB,,1)='recap S1'!M$2))&gt;0,SUMPRODUCT((ListeB='recap S1'!$B103)*(OFFSET(ListeB,,4)='recap S1'!M$3)*(OFFSET(ListeB,,1)='recap S1'!M$2)),"")</f>
        <v/>
      </c>
      <c r="N103" s="32" t="str">
        <f ca="1">IF(SUMPRODUCT((ListeB='recap S1'!$B103)*(OFFSET(ListeB,,4)='recap S1'!N$3)*(OFFSET(ListeB,,1)='recap S1'!N$2))&gt;0,SUMPRODUCT((ListeB='recap S1'!$B103)*(OFFSET(ListeB,,4)='recap S1'!N$3)*(OFFSET(ListeB,,1)='recap S1'!N$2)),"")</f>
        <v/>
      </c>
      <c r="O103" s="32"/>
      <c r="P103" s="32" t="str">
        <f ca="1">IF(SUMPRODUCT((ListeB='recap S1'!$B103)*(OFFSET(ListeB,,4)='recap S1'!P$3)*(OFFSET(ListeB,,1)='recap S1'!P$2))&gt;0,SUMPRODUCT((ListeB='recap S1'!$B103)*(OFFSET(ListeB,,4)='recap S1'!P$3)*(OFFSET(ListeB,,1)='recap S1'!P$2)),"")</f>
        <v/>
      </c>
      <c r="Q103" s="32" t="str">
        <f ca="1">IF(SUMPRODUCT((ListeB='recap S1'!$B103)*(OFFSET(ListeB,,4)='recap S1'!Q$3)*(OFFSET(ListeB,,1)='recap S1'!Q$2))&gt;0,SUMPRODUCT((ListeB='recap S1'!$B103)*(OFFSET(ListeB,,4)='recap S1'!Q$3)*(OFFSET(ListeB,,1)='recap S1'!Q$2)),"")</f>
        <v/>
      </c>
      <c r="R103" s="32"/>
      <c r="S103" s="32" t="str">
        <f ca="1">IF(SUMPRODUCT((ListeB='recap S1'!$B103)*(OFFSET(ListeB,,4)='recap S1'!S$3)*(OFFSET(ListeB,,1)='recap S1'!S$2))&gt;0,SUMPRODUCT((ListeB='recap S1'!$B103)*(OFFSET(ListeB,,4)='recap S1'!S$3)*(OFFSET(ListeB,,1)='recap S1'!S$2)),"")</f>
        <v/>
      </c>
      <c r="T103" s="32" t="str">
        <f ca="1">IF(SUMPRODUCT((ListeB='recap S1'!$B103)*(OFFSET(ListeB,,4)='recap S1'!T$3)*(OFFSET(ListeB,,1)='recap S1'!T$2))&gt;0,SUMPRODUCT((ListeB='recap S1'!$B103)*(OFFSET(ListeB,,4)='recap S1'!T$3)*(OFFSET(ListeB,,1)='recap S1'!T$2)),"")</f>
        <v/>
      </c>
      <c r="U103" s="32" t="str">
        <f ca="1">IF(SUMPRODUCT((ListeB='recap S1'!$B103)*(OFFSET(ListeB,,4)='recap S1'!U$3)*(OFFSET(ListeB,,1)='recap S1'!U$2))&gt;0,SUMPRODUCT((ListeB='recap S1'!$B103)*(OFFSET(ListeB,,4)='recap S1'!U$3)*(OFFSET(ListeB,,1)='recap S1'!U$2)),"")</f>
        <v/>
      </c>
      <c r="V103" s="32"/>
      <c r="W103" s="32" t="str">
        <f ca="1">IF(SUMPRODUCT((ListeB='recap S1'!$B103)*(OFFSET(ListeB,,4)='recap S1'!W$3)*(OFFSET(ListeB,,1)='recap S1'!W$2))&gt;0,SUMPRODUCT((ListeB='recap S1'!$B103)*(OFFSET(ListeB,,4)='recap S1'!W$3)*(OFFSET(ListeB,,1)='recap S1'!W$2)),"")</f>
        <v/>
      </c>
      <c r="X103" s="32"/>
      <c r="Y103" s="32" t="str">
        <f ca="1">IF(SUMPRODUCT((ListeB='recap S1'!$B103)*(OFFSET(ListeB,,4)='recap S1'!Y$3)*(OFFSET(ListeB,,1)='recap S1'!Y$2))&gt;0,SUMPRODUCT((ListeB='recap S1'!$B103)*(OFFSET(ListeB,,4)='recap S1'!Y$3)*(OFFSET(ListeB,,1)='recap S1'!Y$2)),"")</f>
        <v/>
      </c>
      <c r="Z103" s="32" t="str">
        <f ca="1">IF(SUMPRODUCT((ListeB='recap S1'!$B103)*(OFFSET(ListeB,,4)='recap S1'!Z$3)*(OFFSET(ListeB,,1)='recap S1'!Z$2))&gt;0,SUMPRODUCT((ListeB='recap S1'!$B103)*(OFFSET(ListeB,,4)='recap S1'!Z$3)*(OFFSET(ListeB,,1)='recap S1'!Z$2)),"")</f>
        <v/>
      </c>
      <c r="AA103" s="32" t="str">
        <f ca="1">IF(SUMPRODUCT((ListeB='recap S1'!$B103)*(OFFSET(ListeB,,4)='recap S1'!AA$3)*(OFFSET(ListeB,,1)='recap S1'!AA$2))&gt;0,SUMPRODUCT((ListeB='recap S1'!$B103)*(OFFSET(ListeB,,4)='recap S1'!AA$3)*(OFFSET(ListeB,,1)='recap S1'!AA$2)),"")</f>
        <v/>
      </c>
      <c r="AB103" s="32"/>
      <c r="AC103" s="32" t="str">
        <f ca="1">IF(SUMPRODUCT((ListeB='recap S1'!$B103)*(OFFSET(ListeB,,4)='recap S1'!AC$3)*(OFFSET(ListeB,,1)='recap S1'!AC$2))&gt;0,SUMPRODUCT((ListeB='recap S1'!$B103)*(OFFSET(ListeB,,4)='recap S1'!AC$3)*(OFFSET(ListeB,,1)='recap S1'!AC$2)),"")</f>
        <v/>
      </c>
      <c r="AD103" s="32"/>
      <c r="AE103" s="32" t="str">
        <f ca="1">IF(SUMPRODUCT((ListeB='recap S1'!$B103)*(OFFSET(ListeB,,4)='recap S1'!AE$3)*(OFFSET(ListeB,,1)='recap S1'!AE$2))&gt;0,SUMPRODUCT((ListeB='recap S1'!$B103)*(OFFSET(ListeB,,4)='recap S1'!AE$3)*(OFFSET(ListeB,,1)='recap S1'!AE$2)),"")</f>
        <v/>
      </c>
      <c r="AF103" s="32" t="str">
        <f ca="1">IF(SUMPRODUCT((ListeB='recap S1'!$B103)*(OFFSET(ListeB,,4)='recap S1'!AF$3)*(OFFSET(ListeB,,1)='recap S1'!AF$2))&gt;0,SUMPRODUCT((ListeB='recap S1'!$B103)*(OFFSET(ListeB,,4)='recap S1'!AF$3)*(OFFSET(ListeB,,1)='recap S1'!AF$2)),"")</f>
        <v/>
      </c>
      <c r="AG103" s="32"/>
      <c r="AH103" s="32" t="str">
        <f ca="1">IF(SUMPRODUCT((ListeB='recap S1'!$B103)*(OFFSET(ListeB,,4)='recap S1'!AH$3)*(OFFSET(ListeB,,1)='recap S1'!AH$2))&gt;0,SUMPRODUCT((ListeB='recap S1'!$B103)*(OFFSET(ListeB,,4)='recap S1'!AH$3)*(OFFSET(ListeB,,1)='recap S1'!AH$2)),"")</f>
        <v/>
      </c>
      <c r="AI103" s="32" t="str">
        <f ca="1">IF(SUMPRODUCT((ListeB='recap S1'!$B103)*(OFFSET(ListeB,,4)='recap S1'!AI$3)*(OFFSET(ListeB,,1)='recap S1'!AI$2))&gt;0,SUMPRODUCT((ListeB='recap S1'!$B103)*(OFFSET(ListeB,,4)='recap S1'!AI$3)*(OFFSET(ListeB,,1)='recap S1'!AI$2)),"")</f>
        <v/>
      </c>
      <c r="AJ103" s="32" t="str">
        <f ca="1">IF(SUMPRODUCT((ListeB='recap S1'!$B103)*(OFFSET(ListeB,,4)='recap S1'!AJ$3)*(OFFSET(ListeB,,1)='recap S1'!AJ$2))&gt;0,SUMPRODUCT((ListeB='recap S1'!$B103)*(OFFSET(ListeB,,4)='recap S1'!AJ$3)*(OFFSET(ListeB,,1)='recap S1'!AJ$2)),"")</f>
        <v/>
      </c>
      <c r="AK103" s="32"/>
      <c r="AL103" s="32" t="str">
        <f ca="1">IF(SUMPRODUCT((ListeB='recap S1'!$B103)*(OFFSET(ListeB,,4)='recap S1'!AL$3)*(OFFSET(ListeB,,1)='recap S1'!AL$2))&gt;0,SUMPRODUCT((ListeB='recap S1'!$B103)*(OFFSET(ListeB,,4)='recap S1'!AL$3)*(OFFSET(ListeB,,1)='recap S1'!AL$2)),"")</f>
        <v/>
      </c>
      <c r="AM103" s="32"/>
      <c r="AN103" s="32" t="str">
        <f ca="1">IF(SUMPRODUCT((ListeB='recap S1'!$B103)*(OFFSET(ListeB,,4)='recap S1'!AN$3)*(OFFSET(ListeB,,1)='recap S1'!AN$2))&gt;0,SUMPRODUCT((ListeB='recap S1'!$B103)*(OFFSET(ListeB,,4)='recap S1'!AN$3)*(OFFSET(ListeB,,1)='recap S1'!AN$2)),"")</f>
        <v/>
      </c>
      <c r="AO103" s="32" t="str">
        <f ca="1">IF(SUMPRODUCT((ListeB='recap S1'!$B103)*(OFFSET(ListeB,,4)='recap S1'!AO$3)*(OFFSET(ListeB,,1)='recap S1'!AO$2))&gt;0,SUMPRODUCT((ListeB='recap S1'!$B103)*(OFFSET(ListeB,,4)='recap S1'!AO$3)*(OFFSET(ListeB,,1)='recap S1'!AO$2)),"")</f>
        <v/>
      </c>
      <c r="AP103" s="32"/>
      <c r="AQ103" s="32"/>
      <c r="AR103" s="32"/>
      <c r="AS103" s="32" t="str">
        <f ca="1">IF(SUMPRODUCT((ListeB='recap S1'!$B103)*(OFFSET(ListeB,,4)='recap S1'!AS$3)*(OFFSET(ListeB,,1)='recap S1'!AS$2))&gt;0,SUMPRODUCT((ListeB='recap S1'!$B103)*(OFFSET(ListeB,,4)='recap S1'!AS$3)*(OFFSET(ListeB,,1)='recap S1'!AS$2)),"")</f>
        <v/>
      </c>
      <c r="AT103" s="32" t="str">
        <f ca="1">IF(SUMPRODUCT((ListeB='recap S1'!$B103)*(OFFSET(ListeB,,4)='recap S1'!AT$3)*(OFFSET(ListeB,,1)='recap S1'!AT$2))&gt;0,SUMPRODUCT((ListeB='recap S1'!$B103)*(OFFSET(ListeB,,4)='recap S1'!AT$3)*(OFFSET(ListeB,,1)='recap S1'!AT$2)),"")</f>
        <v/>
      </c>
      <c r="AU103" s="32"/>
      <c r="AV103" s="32" t="str">
        <f ca="1">IF(SUMPRODUCT((ListeB='recap S1'!$B103)*(OFFSET(ListeB,,4)='recap S1'!AV$3)*(OFFSET(ListeB,,1)='recap S1'!AV$2))&gt;0,SUMPRODUCT((ListeB='recap S1'!$B103)*(OFFSET(ListeB,,4)='recap S1'!AV$3)*(OFFSET(ListeB,,1)='recap S1'!AV$2)),"")</f>
        <v/>
      </c>
      <c r="AW103" s="32" t="str">
        <f ca="1">IF(SUMPRODUCT((ListeB='recap S1'!$B103)*(OFFSET(ListeB,,4)='recap S1'!AW$3)*(OFFSET(ListeB,,1)='recap S1'!AW$2))&gt;0,SUMPRODUCT((ListeB='recap S1'!$B103)*(OFFSET(ListeB,,4)='recap S1'!AW$3)*(OFFSET(ListeB,,1)='recap S1'!AW$2)),"")</f>
        <v/>
      </c>
      <c r="AX103" s="32" t="str">
        <f ca="1">IF(SUMPRODUCT((ListeB='recap S1'!$B103)*(OFFSET(ListeB,,4)='recap S1'!AX$3)*(OFFSET(ListeB,,1)='recap S1'!AX$2))&gt;0,SUMPRODUCT((ListeB='recap S1'!$B103)*(OFFSET(ListeB,,4)='recap S1'!AX$3)*(OFFSET(ListeB,,1)='recap S1'!AX$2)),"")</f>
        <v/>
      </c>
      <c r="AY103" s="34"/>
      <c r="AZ103" s="32">
        <f t="shared" ca="1" si="3"/>
        <v>0</v>
      </c>
    </row>
    <row r="104" spans="1:52">
      <c r="A104" s="41" t="str">
        <f>IF('SEANCE 1'!$B102&lt;&gt;"",'SEANCE 1'!$A102,"")</f>
        <v/>
      </c>
      <c r="B104" s="41" t="str">
        <f t="array" aca="1" ref="B104" ca="1">IF(ISNA(INDEX(ListeB,MATCH(0,COUNTIF($B$3:B103,ListeB),0))),"",INDEX(ListeB,MATCH(0,COUNTIF($B$3:B103,ListeB),0)))</f>
        <v/>
      </c>
      <c r="C104" s="32" t="str">
        <f ca="1">IF(SUMPRODUCT((ListeB='recap S1'!$B104)*(OFFSET(ListeB,,4)='recap S1'!C$3)*(OFFSET(ListeB,,1)='recap S1'!C$2))&gt;0,SUMPRODUCT((ListeB='recap S1'!$B104)*(OFFSET(ListeB,,4)='recap S1'!C$3)*(OFFSET(ListeB,,1)='recap S1'!C$2)),"")</f>
        <v/>
      </c>
      <c r="D104" s="32" t="str">
        <f ca="1">IF(SUMPRODUCT((ListeB='recap S1'!$B104)*(OFFSET(ListeB,,4)='recap S1'!D$3)*(OFFSET(ListeB,,1)='recap S1'!D$2))&gt;0,SUMPRODUCT((ListeB='recap S1'!$B104)*(OFFSET(ListeB,,4)='recap S1'!D$3)*(OFFSET(ListeB,,1)='recap S1'!D$2)),"")</f>
        <v/>
      </c>
      <c r="E104" s="32"/>
      <c r="F104" s="32" t="str">
        <f ca="1">IF(SUMPRODUCT((ListeB='recap S1'!$B104)*(OFFSET(ListeB,,4)='recap S1'!F$3)*(OFFSET(ListeB,,1)='recap S1'!F$2))&gt;0,SUMPRODUCT((ListeB='recap S1'!$B104)*(OFFSET(ListeB,,4)='recap S1'!F$3)*(OFFSET(ListeB,,1)='recap S1'!F$2)),"")</f>
        <v/>
      </c>
      <c r="G104" s="32" t="str">
        <f ca="1">IF(SUMPRODUCT((ListeB='recap S1'!$B104)*(OFFSET(ListeB,,4)='recap S1'!G$3)*(OFFSET(ListeB,,1)='recap S1'!G$2))&gt;0,SUMPRODUCT((ListeB='recap S1'!$B104)*(OFFSET(ListeB,,4)='recap S1'!G$3)*(OFFSET(ListeB,,1)='recap S1'!G$2)),"")</f>
        <v/>
      </c>
      <c r="H104" s="32"/>
      <c r="I104" s="32" t="str">
        <f ca="1">IF(SUMPRODUCT((ListeB='recap S1'!$B104)*(OFFSET(ListeB,,4)='recap S1'!I$3)*(OFFSET(ListeB,,1)='recap S1'!I$2))&gt;0,SUMPRODUCT((ListeB='recap S1'!$B104)*(OFFSET(ListeB,,4)='recap S1'!I$3)*(OFFSET(ListeB,,1)='recap S1'!I$2)),"")</f>
        <v/>
      </c>
      <c r="J104" s="32" t="str">
        <f ca="1">IF(SUMPRODUCT((ListeB='recap S1'!$B104)*(OFFSET(ListeB,,4)='recap S1'!J$3)*(OFFSET(ListeB,,1)='recap S1'!J$2))&gt;0,SUMPRODUCT((ListeB='recap S1'!$B104)*(OFFSET(ListeB,,4)='recap S1'!J$3)*(OFFSET(ListeB,,1)='recap S1'!J$2)),"")</f>
        <v/>
      </c>
      <c r="K104" s="32" t="str">
        <f ca="1">IF(SUMPRODUCT((ListeB='recap S1'!$B104)*(OFFSET(ListeB,,4)='recap S1'!K$3)*(OFFSET(ListeB,,1)='recap S1'!K$2))&gt;0,SUMPRODUCT((ListeB='recap S1'!$B104)*(OFFSET(ListeB,,4)='recap S1'!K$3)*(OFFSET(ListeB,,1)='recap S1'!K$2)),"")</f>
        <v/>
      </c>
      <c r="L104" s="32"/>
      <c r="M104" s="32" t="str">
        <f ca="1">IF(SUMPRODUCT((ListeB='recap S1'!$B104)*(OFFSET(ListeB,,4)='recap S1'!M$3)*(OFFSET(ListeB,,1)='recap S1'!M$2))&gt;0,SUMPRODUCT((ListeB='recap S1'!$B104)*(OFFSET(ListeB,,4)='recap S1'!M$3)*(OFFSET(ListeB,,1)='recap S1'!M$2)),"")</f>
        <v/>
      </c>
      <c r="N104" s="32" t="str">
        <f ca="1">IF(SUMPRODUCT((ListeB='recap S1'!$B104)*(OFFSET(ListeB,,4)='recap S1'!N$3)*(OFFSET(ListeB,,1)='recap S1'!N$2))&gt;0,SUMPRODUCT((ListeB='recap S1'!$B104)*(OFFSET(ListeB,,4)='recap S1'!N$3)*(OFFSET(ListeB,,1)='recap S1'!N$2)),"")</f>
        <v/>
      </c>
      <c r="O104" s="32"/>
      <c r="P104" s="32" t="str">
        <f ca="1">IF(SUMPRODUCT((ListeB='recap S1'!$B104)*(OFFSET(ListeB,,4)='recap S1'!P$3)*(OFFSET(ListeB,,1)='recap S1'!P$2))&gt;0,SUMPRODUCT((ListeB='recap S1'!$B104)*(OFFSET(ListeB,,4)='recap S1'!P$3)*(OFFSET(ListeB,,1)='recap S1'!P$2)),"")</f>
        <v/>
      </c>
      <c r="Q104" s="32" t="str">
        <f ca="1">IF(SUMPRODUCT((ListeB='recap S1'!$B104)*(OFFSET(ListeB,,4)='recap S1'!Q$3)*(OFFSET(ListeB,,1)='recap S1'!Q$2))&gt;0,SUMPRODUCT((ListeB='recap S1'!$B104)*(OFFSET(ListeB,,4)='recap S1'!Q$3)*(OFFSET(ListeB,,1)='recap S1'!Q$2)),"")</f>
        <v/>
      </c>
      <c r="R104" s="32"/>
      <c r="S104" s="32" t="str">
        <f ca="1">IF(SUMPRODUCT((ListeB='recap S1'!$B104)*(OFFSET(ListeB,,4)='recap S1'!S$3)*(OFFSET(ListeB,,1)='recap S1'!S$2))&gt;0,SUMPRODUCT((ListeB='recap S1'!$B104)*(OFFSET(ListeB,,4)='recap S1'!S$3)*(OFFSET(ListeB,,1)='recap S1'!S$2)),"")</f>
        <v/>
      </c>
      <c r="T104" s="32" t="str">
        <f ca="1">IF(SUMPRODUCT((ListeB='recap S1'!$B104)*(OFFSET(ListeB,,4)='recap S1'!T$3)*(OFFSET(ListeB,,1)='recap S1'!T$2))&gt;0,SUMPRODUCT((ListeB='recap S1'!$B104)*(OFFSET(ListeB,,4)='recap S1'!T$3)*(OFFSET(ListeB,,1)='recap S1'!T$2)),"")</f>
        <v/>
      </c>
      <c r="U104" s="32" t="str">
        <f ca="1">IF(SUMPRODUCT((ListeB='recap S1'!$B104)*(OFFSET(ListeB,,4)='recap S1'!U$3)*(OFFSET(ListeB,,1)='recap S1'!U$2))&gt;0,SUMPRODUCT((ListeB='recap S1'!$B104)*(OFFSET(ListeB,,4)='recap S1'!U$3)*(OFFSET(ListeB,,1)='recap S1'!U$2)),"")</f>
        <v/>
      </c>
      <c r="V104" s="32"/>
      <c r="W104" s="32" t="str">
        <f ca="1">IF(SUMPRODUCT((ListeB='recap S1'!$B104)*(OFFSET(ListeB,,4)='recap S1'!W$3)*(OFFSET(ListeB,,1)='recap S1'!W$2))&gt;0,SUMPRODUCT((ListeB='recap S1'!$B104)*(OFFSET(ListeB,,4)='recap S1'!W$3)*(OFFSET(ListeB,,1)='recap S1'!W$2)),"")</f>
        <v/>
      </c>
      <c r="X104" s="32"/>
      <c r="Y104" s="32" t="str">
        <f ca="1">IF(SUMPRODUCT((ListeB='recap S1'!$B104)*(OFFSET(ListeB,,4)='recap S1'!Y$3)*(OFFSET(ListeB,,1)='recap S1'!Y$2))&gt;0,SUMPRODUCT((ListeB='recap S1'!$B104)*(OFFSET(ListeB,,4)='recap S1'!Y$3)*(OFFSET(ListeB,,1)='recap S1'!Y$2)),"")</f>
        <v/>
      </c>
      <c r="Z104" s="32" t="str">
        <f ca="1">IF(SUMPRODUCT((ListeB='recap S1'!$B104)*(OFFSET(ListeB,,4)='recap S1'!Z$3)*(OFFSET(ListeB,,1)='recap S1'!Z$2))&gt;0,SUMPRODUCT((ListeB='recap S1'!$B104)*(OFFSET(ListeB,,4)='recap S1'!Z$3)*(OFFSET(ListeB,,1)='recap S1'!Z$2)),"")</f>
        <v/>
      </c>
      <c r="AA104" s="32" t="str">
        <f ca="1">IF(SUMPRODUCT((ListeB='recap S1'!$B104)*(OFFSET(ListeB,,4)='recap S1'!AA$3)*(OFFSET(ListeB,,1)='recap S1'!AA$2))&gt;0,SUMPRODUCT((ListeB='recap S1'!$B104)*(OFFSET(ListeB,,4)='recap S1'!AA$3)*(OFFSET(ListeB,,1)='recap S1'!AA$2)),"")</f>
        <v/>
      </c>
      <c r="AB104" s="32"/>
      <c r="AC104" s="32" t="str">
        <f ca="1">IF(SUMPRODUCT((ListeB='recap S1'!$B104)*(OFFSET(ListeB,,4)='recap S1'!AC$3)*(OFFSET(ListeB,,1)='recap S1'!AC$2))&gt;0,SUMPRODUCT((ListeB='recap S1'!$B104)*(OFFSET(ListeB,,4)='recap S1'!AC$3)*(OFFSET(ListeB,,1)='recap S1'!AC$2)),"")</f>
        <v/>
      </c>
      <c r="AD104" s="32"/>
      <c r="AE104" s="32" t="str">
        <f ca="1">IF(SUMPRODUCT((ListeB='recap S1'!$B104)*(OFFSET(ListeB,,4)='recap S1'!AE$3)*(OFFSET(ListeB,,1)='recap S1'!AE$2))&gt;0,SUMPRODUCT((ListeB='recap S1'!$B104)*(OFFSET(ListeB,,4)='recap S1'!AE$3)*(OFFSET(ListeB,,1)='recap S1'!AE$2)),"")</f>
        <v/>
      </c>
      <c r="AF104" s="32" t="str">
        <f ca="1">IF(SUMPRODUCT((ListeB='recap S1'!$B104)*(OFFSET(ListeB,,4)='recap S1'!AF$3)*(OFFSET(ListeB,,1)='recap S1'!AF$2))&gt;0,SUMPRODUCT((ListeB='recap S1'!$B104)*(OFFSET(ListeB,,4)='recap S1'!AF$3)*(OFFSET(ListeB,,1)='recap S1'!AF$2)),"")</f>
        <v/>
      </c>
      <c r="AG104" s="32"/>
      <c r="AH104" s="32" t="str">
        <f ca="1">IF(SUMPRODUCT((ListeB='recap S1'!$B104)*(OFFSET(ListeB,,4)='recap S1'!AH$3)*(OFFSET(ListeB,,1)='recap S1'!AH$2))&gt;0,SUMPRODUCT((ListeB='recap S1'!$B104)*(OFFSET(ListeB,,4)='recap S1'!AH$3)*(OFFSET(ListeB,,1)='recap S1'!AH$2)),"")</f>
        <v/>
      </c>
      <c r="AI104" s="32" t="str">
        <f ca="1">IF(SUMPRODUCT((ListeB='recap S1'!$B104)*(OFFSET(ListeB,,4)='recap S1'!AI$3)*(OFFSET(ListeB,,1)='recap S1'!AI$2))&gt;0,SUMPRODUCT((ListeB='recap S1'!$B104)*(OFFSET(ListeB,,4)='recap S1'!AI$3)*(OFFSET(ListeB,,1)='recap S1'!AI$2)),"")</f>
        <v/>
      </c>
      <c r="AJ104" s="32" t="str">
        <f ca="1">IF(SUMPRODUCT((ListeB='recap S1'!$B104)*(OFFSET(ListeB,,4)='recap S1'!AJ$3)*(OFFSET(ListeB,,1)='recap S1'!AJ$2))&gt;0,SUMPRODUCT((ListeB='recap S1'!$B104)*(OFFSET(ListeB,,4)='recap S1'!AJ$3)*(OFFSET(ListeB,,1)='recap S1'!AJ$2)),"")</f>
        <v/>
      </c>
      <c r="AK104" s="32"/>
      <c r="AL104" s="32" t="str">
        <f ca="1">IF(SUMPRODUCT((ListeB='recap S1'!$B104)*(OFFSET(ListeB,,4)='recap S1'!AL$3)*(OFFSET(ListeB,,1)='recap S1'!AL$2))&gt;0,SUMPRODUCT((ListeB='recap S1'!$B104)*(OFFSET(ListeB,,4)='recap S1'!AL$3)*(OFFSET(ListeB,,1)='recap S1'!AL$2)),"")</f>
        <v/>
      </c>
      <c r="AM104" s="32"/>
      <c r="AN104" s="32" t="str">
        <f ca="1">IF(SUMPRODUCT((ListeB='recap S1'!$B104)*(OFFSET(ListeB,,4)='recap S1'!AN$3)*(OFFSET(ListeB,,1)='recap S1'!AN$2))&gt;0,SUMPRODUCT((ListeB='recap S1'!$B104)*(OFFSET(ListeB,,4)='recap S1'!AN$3)*(OFFSET(ListeB,,1)='recap S1'!AN$2)),"")</f>
        <v/>
      </c>
      <c r="AO104" s="32" t="str">
        <f ca="1">IF(SUMPRODUCT((ListeB='recap S1'!$B104)*(OFFSET(ListeB,,4)='recap S1'!AO$3)*(OFFSET(ListeB,,1)='recap S1'!AO$2))&gt;0,SUMPRODUCT((ListeB='recap S1'!$B104)*(OFFSET(ListeB,,4)='recap S1'!AO$3)*(OFFSET(ListeB,,1)='recap S1'!AO$2)),"")</f>
        <v/>
      </c>
      <c r="AP104" s="32"/>
      <c r="AQ104" s="32"/>
      <c r="AR104" s="32"/>
      <c r="AS104" s="32" t="str">
        <f ca="1">IF(SUMPRODUCT((ListeB='recap S1'!$B104)*(OFFSET(ListeB,,4)='recap S1'!AS$3)*(OFFSET(ListeB,,1)='recap S1'!AS$2))&gt;0,SUMPRODUCT((ListeB='recap S1'!$B104)*(OFFSET(ListeB,,4)='recap S1'!AS$3)*(OFFSET(ListeB,,1)='recap S1'!AS$2)),"")</f>
        <v/>
      </c>
      <c r="AT104" s="32" t="str">
        <f ca="1">IF(SUMPRODUCT((ListeB='recap S1'!$B104)*(OFFSET(ListeB,,4)='recap S1'!AT$3)*(OFFSET(ListeB,,1)='recap S1'!AT$2))&gt;0,SUMPRODUCT((ListeB='recap S1'!$B104)*(OFFSET(ListeB,,4)='recap S1'!AT$3)*(OFFSET(ListeB,,1)='recap S1'!AT$2)),"")</f>
        <v/>
      </c>
      <c r="AU104" s="32"/>
      <c r="AV104" s="32" t="str">
        <f ca="1">IF(SUMPRODUCT((ListeB='recap S1'!$B104)*(OFFSET(ListeB,,4)='recap S1'!AV$3)*(OFFSET(ListeB,,1)='recap S1'!AV$2))&gt;0,SUMPRODUCT((ListeB='recap S1'!$B104)*(OFFSET(ListeB,,4)='recap S1'!AV$3)*(OFFSET(ListeB,,1)='recap S1'!AV$2)),"")</f>
        <v/>
      </c>
      <c r="AW104" s="32" t="str">
        <f ca="1">IF(SUMPRODUCT((ListeB='recap S1'!$B104)*(OFFSET(ListeB,,4)='recap S1'!AW$3)*(OFFSET(ListeB,,1)='recap S1'!AW$2))&gt;0,SUMPRODUCT((ListeB='recap S1'!$B104)*(OFFSET(ListeB,,4)='recap S1'!AW$3)*(OFFSET(ListeB,,1)='recap S1'!AW$2)),"")</f>
        <v/>
      </c>
      <c r="AX104" s="32" t="str">
        <f ca="1">IF(SUMPRODUCT((ListeB='recap S1'!$B104)*(OFFSET(ListeB,,4)='recap S1'!AX$3)*(OFFSET(ListeB,,1)='recap S1'!AX$2))&gt;0,SUMPRODUCT((ListeB='recap S1'!$B104)*(OFFSET(ListeB,,4)='recap S1'!AX$3)*(OFFSET(ListeB,,1)='recap S1'!AX$2)),"")</f>
        <v/>
      </c>
      <c r="AY104" s="34"/>
      <c r="AZ104" s="32">
        <f t="shared" ca="1" si="3"/>
        <v>0</v>
      </c>
    </row>
    <row r="105" spans="1:52">
      <c r="A105" s="41" t="str">
        <f>IF('SEANCE 1'!$B103&lt;&gt;"",'SEANCE 1'!$A103,"")</f>
        <v/>
      </c>
      <c r="B105" s="41" t="str">
        <f t="array" aca="1" ref="B105" ca="1">IF(ISNA(INDEX(ListeB,MATCH(0,COUNTIF($B$3:B104,ListeB),0))),"",INDEX(ListeB,MATCH(0,COUNTIF($B$3:B104,ListeB),0)))</f>
        <v/>
      </c>
      <c r="C105" s="32" t="str">
        <f ca="1">IF(SUMPRODUCT((ListeB='recap S1'!$B105)*(OFFSET(ListeB,,4)='recap S1'!C$3)*(OFFSET(ListeB,,1)='recap S1'!C$2))&gt;0,SUMPRODUCT((ListeB='recap S1'!$B105)*(OFFSET(ListeB,,4)='recap S1'!C$3)*(OFFSET(ListeB,,1)='recap S1'!C$2)),"")</f>
        <v/>
      </c>
      <c r="D105" s="32" t="str">
        <f ca="1">IF(SUMPRODUCT((ListeB='recap S1'!$B105)*(OFFSET(ListeB,,4)='recap S1'!D$3)*(OFFSET(ListeB,,1)='recap S1'!D$2))&gt;0,SUMPRODUCT((ListeB='recap S1'!$B105)*(OFFSET(ListeB,,4)='recap S1'!D$3)*(OFFSET(ListeB,,1)='recap S1'!D$2)),"")</f>
        <v/>
      </c>
      <c r="E105" s="32"/>
      <c r="F105" s="32" t="str">
        <f ca="1">IF(SUMPRODUCT((ListeB='recap S1'!$B105)*(OFFSET(ListeB,,4)='recap S1'!F$3)*(OFFSET(ListeB,,1)='recap S1'!F$2))&gt;0,SUMPRODUCT((ListeB='recap S1'!$B105)*(OFFSET(ListeB,,4)='recap S1'!F$3)*(OFFSET(ListeB,,1)='recap S1'!F$2)),"")</f>
        <v/>
      </c>
      <c r="G105" s="32" t="str">
        <f ca="1">IF(SUMPRODUCT((ListeB='recap S1'!$B105)*(OFFSET(ListeB,,4)='recap S1'!G$3)*(OFFSET(ListeB,,1)='recap S1'!G$2))&gt;0,SUMPRODUCT((ListeB='recap S1'!$B105)*(OFFSET(ListeB,,4)='recap S1'!G$3)*(OFFSET(ListeB,,1)='recap S1'!G$2)),"")</f>
        <v/>
      </c>
      <c r="H105" s="32"/>
      <c r="I105" s="32" t="str">
        <f ca="1">IF(SUMPRODUCT((ListeB='recap S1'!$B105)*(OFFSET(ListeB,,4)='recap S1'!I$3)*(OFFSET(ListeB,,1)='recap S1'!I$2))&gt;0,SUMPRODUCT((ListeB='recap S1'!$B105)*(OFFSET(ListeB,,4)='recap S1'!I$3)*(OFFSET(ListeB,,1)='recap S1'!I$2)),"")</f>
        <v/>
      </c>
      <c r="J105" s="32" t="str">
        <f ca="1">IF(SUMPRODUCT((ListeB='recap S1'!$B105)*(OFFSET(ListeB,,4)='recap S1'!J$3)*(OFFSET(ListeB,,1)='recap S1'!J$2))&gt;0,SUMPRODUCT((ListeB='recap S1'!$B105)*(OFFSET(ListeB,,4)='recap S1'!J$3)*(OFFSET(ListeB,,1)='recap S1'!J$2)),"")</f>
        <v/>
      </c>
      <c r="K105" s="32" t="str">
        <f ca="1">IF(SUMPRODUCT((ListeB='recap S1'!$B105)*(OFFSET(ListeB,,4)='recap S1'!K$3)*(OFFSET(ListeB,,1)='recap S1'!K$2))&gt;0,SUMPRODUCT((ListeB='recap S1'!$B105)*(OFFSET(ListeB,,4)='recap S1'!K$3)*(OFFSET(ListeB,,1)='recap S1'!K$2)),"")</f>
        <v/>
      </c>
      <c r="L105" s="32"/>
      <c r="M105" s="32" t="str">
        <f ca="1">IF(SUMPRODUCT((ListeB='recap S1'!$B105)*(OFFSET(ListeB,,4)='recap S1'!M$3)*(OFFSET(ListeB,,1)='recap S1'!M$2))&gt;0,SUMPRODUCT((ListeB='recap S1'!$B105)*(OFFSET(ListeB,,4)='recap S1'!M$3)*(OFFSET(ListeB,,1)='recap S1'!M$2)),"")</f>
        <v/>
      </c>
      <c r="N105" s="32" t="str">
        <f ca="1">IF(SUMPRODUCT((ListeB='recap S1'!$B105)*(OFFSET(ListeB,,4)='recap S1'!N$3)*(OFFSET(ListeB,,1)='recap S1'!N$2))&gt;0,SUMPRODUCT((ListeB='recap S1'!$B105)*(OFFSET(ListeB,,4)='recap S1'!N$3)*(OFFSET(ListeB,,1)='recap S1'!N$2)),"")</f>
        <v/>
      </c>
      <c r="O105" s="32"/>
      <c r="P105" s="32" t="str">
        <f ca="1">IF(SUMPRODUCT((ListeB='recap S1'!$B105)*(OFFSET(ListeB,,4)='recap S1'!P$3)*(OFFSET(ListeB,,1)='recap S1'!P$2))&gt;0,SUMPRODUCT((ListeB='recap S1'!$B105)*(OFFSET(ListeB,,4)='recap S1'!P$3)*(OFFSET(ListeB,,1)='recap S1'!P$2)),"")</f>
        <v/>
      </c>
      <c r="Q105" s="32" t="str">
        <f ca="1">IF(SUMPRODUCT((ListeB='recap S1'!$B105)*(OFFSET(ListeB,,4)='recap S1'!Q$3)*(OFFSET(ListeB,,1)='recap S1'!Q$2))&gt;0,SUMPRODUCT((ListeB='recap S1'!$B105)*(OFFSET(ListeB,,4)='recap S1'!Q$3)*(OFFSET(ListeB,,1)='recap S1'!Q$2)),"")</f>
        <v/>
      </c>
      <c r="R105" s="32"/>
      <c r="S105" s="32" t="str">
        <f ca="1">IF(SUMPRODUCT((ListeB='recap S1'!$B105)*(OFFSET(ListeB,,4)='recap S1'!S$3)*(OFFSET(ListeB,,1)='recap S1'!S$2))&gt;0,SUMPRODUCT((ListeB='recap S1'!$B105)*(OFFSET(ListeB,,4)='recap S1'!S$3)*(OFFSET(ListeB,,1)='recap S1'!S$2)),"")</f>
        <v/>
      </c>
      <c r="T105" s="32" t="str">
        <f ca="1">IF(SUMPRODUCT((ListeB='recap S1'!$B105)*(OFFSET(ListeB,,4)='recap S1'!T$3)*(OFFSET(ListeB,,1)='recap S1'!T$2))&gt;0,SUMPRODUCT((ListeB='recap S1'!$B105)*(OFFSET(ListeB,,4)='recap S1'!T$3)*(OFFSET(ListeB,,1)='recap S1'!T$2)),"")</f>
        <v/>
      </c>
      <c r="U105" s="32" t="str">
        <f ca="1">IF(SUMPRODUCT((ListeB='recap S1'!$B105)*(OFFSET(ListeB,,4)='recap S1'!U$3)*(OFFSET(ListeB,,1)='recap S1'!U$2))&gt;0,SUMPRODUCT((ListeB='recap S1'!$B105)*(OFFSET(ListeB,,4)='recap S1'!U$3)*(OFFSET(ListeB,,1)='recap S1'!U$2)),"")</f>
        <v/>
      </c>
      <c r="V105" s="32"/>
      <c r="W105" s="32" t="str">
        <f ca="1">IF(SUMPRODUCT((ListeB='recap S1'!$B105)*(OFFSET(ListeB,,4)='recap S1'!W$3)*(OFFSET(ListeB,,1)='recap S1'!W$2))&gt;0,SUMPRODUCT((ListeB='recap S1'!$B105)*(OFFSET(ListeB,,4)='recap S1'!W$3)*(OFFSET(ListeB,,1)='recap S1'!W$2)),"")</f>
        <v/>
      </c>
      <c r="X105" s="32"/>
      <c r="Y105" s="32" t="str">
        <f ca="1">IF(SUMPRODUCT((ListeB='recap S1'!$B105)*(OFFSET(ListeB,,4)='recap S1'!Y$3)*(OFFSET(ListeB,,1)='recap S1'!Y$2))&gt;0,SUMPRODUCT((ListeB='recap S1'!$B105)*(OFFSET(ListeB,,4)='recap S1'!Y$3)*(OFFSET(ListeB,,1)='recap S1'!Y$2)),"")</f>
        <v/>
      </c>
      <c r="Z105" s="32" t="str">
        <f ca="1">IF(SUMPRODUCT((ListeB='recap S1'!$B105)*(OFFSET(ListeB,,4)='recap S1'!Z$3)*(OFFSET(ListeB,,1)='recap S1'!Z$2))&gt;0,SUMPRODUCT((ListeB='recap S1'!$B105)*(OFFSET(ListeB,,4)='recap S1'!Z$3)*(OFFSET(ListeB,,1)='recap S1'!Z$2)),"")</f>
        <v/>
      </c>
      <c r="AA105" s="32" t="str">
        <f ca="1">IF(SUMPRODUCT((ListeB='recap S1'!$B105)*(OFFSET(ListeB,,4)='recap S1'!AA$3)*(OFFSET(ListeB,,1)='recap S1'!AA$2))&gt;0,SUMPRODUCT((ListeB='recap S1'!$B105)*(OFFSET(ListeB,,4)='recap S1'!AA$3)*(OFFSET(ListeB,,1)='recap S1'!AA$2)),"")</f>
        <v/>
      </c>
      <c r="AB105" s="32"/>
      <c r="AC105" s="32" t="str">
        <f ca="1">IF(SUMPRODUCT((ListeB='recap S1'!$B105)*(OFFSET(ListeB,,4)='recap S1'!AC$3)*(OFFSET(ListeB,,1)='recap S1'!AC$2))&gt;0,SUMPRODUCT((ListeB='recap S1'!$B105)*(OFFSET(ListeB,,4)='recap S1'!AC$3)*(OFFSET(ListeB,,1)='recap S1'!AC$2)),"")</f>
        <v/>
      </c>
      <c r="AD105" s="32"/>
      <c r="AE105" s="32" t="str">
        <f ca="1">IF(SUMPRODUCT((ListeB='recap S1'!$B105)*(OFFSET(ListeB,,4)='recap S1'!AE$3)*(OFFSET(ListeB,,1)='recap S1'!AE$2))&gt;0,SUMPRODUCT((ListeB='recap S1'!$B105)*(OFFSET(ListeB,,4)='recap S1'!AE$3)*(OFFSET(ListeB,,1)='recap S1'!AE$2)),"")</f>
        <v/>
      </c>
      <c r="AF105" s="32" t="str">
        <f ca="1">IF(SUMPRODUCT((ListeB='recap S1'!$B105)*(OFFSET(ListeB,,4)='recap S1'!AF$3)*(OFFSET(ListeB,,1)='recap S1'!AF$2))&gt;0,SUMPRODUCT((ListeB='recap S1'!$B105)*(OFFSET(ListeB,,4)='recap S1'!AF$3)*(OFFSET(ListeB,,1)='recap S1'!AF$2)),"")</f>
        <v/>
      </c>
      <c r="AG105" s="32"/>
      <c r="AH105" s="32" t="str">
        <f ca="1">IF(SUMPRODUCT((ListeB='recap S1'!$B105)*(OFFSET(ListeB,,4)='recap S1'!AH$3)*(OFFSET(ListeB,,1)='recap S1'!AH$2))&gt;0,SUMPRODUCT((ListeB='recap S1'!$B105)*(OFFSET(ListeB,,4)='recap S1'!AH$3)*(OFFSET(ListeB,,1)='recap S1'!AH$2)),"")</f>
        <v/>
      </c>
      <c r="AI105" s="32" t="str">
        <f ca="1">IF(SUMPRODUCT((ListeB='recap S1'!$B105)*(OFFSET(ListeB,,4)='recap S1'!AI$3)*(OFFSET(ListeB,,1)='recap S1'!AI$2))&gt;0,SUMPRODUCT((ListeB='recap S1'!$B105)*(OFFSET(ListeB,,4)='recap S1'!AI$3)*(OFFSET(ListeB,,1)='recap S1'!AI$2)),"")</f>
        <v/>
      </c>
      <c r="AJ105" s="32" t="str">
        <f ca="1">IF(SUMPRODUCT((ListeB='recap S1'!$B105)*(OFFSET(ListeB,,4)='recap S1'!AJ$3)*(OFFSET(ListeB,,1)='recap S1'!AJ$2))&gt;0,SUMPRODUCT((ListeB='recap S1'!$B105)*(OFFSET(ListeB,,4)='recap S1'!AJ$3)*(OFFSET(ListeB,,1)='recap S1'!AJ$2)),"")</f>
        <v/>
      </c>
      <c r="AK105" s="32"/>
      <c r="AL105" s="32" t="str">
        <f ca="1">IF(SUMPRODUCT((ListeB='recap S1'!$B105)*(OFFSET(ListeB,,4)='recap S1'!AL$3)*(OFFSET(ListeB,,1)='recap S1'!AL$2))&gt;0,SUMPRODUCT((ListeB='recap S1'!$B105)*(OFFSET(ListeB,,4)='recap S1'!AL$3)*(OFFSET(ListeB,,1)='recap S1'!AL$2)),"")</f>
        <v/>
      </c>
      <c r="AM105" s="32"/>
      <c r="AN105" s="32" t="str">
        <f ca="1">IF(SUMPRODUCT((ListeB='recap S1'!$B105)*(OFFSET(ListeB,,4)='recap S1'!AN$3)*(OFFSET(ListeB,,1)='recap S1'!AN$2))&gt;0,SUMPRODUCT((ListeB='recap S1'!$B105)*(OFFSET(ListeB,,4)='recap S1'!AN$3)*(OFFSET(ListeB,,1)='recap S1'!AN$2)),"")</f>
        <v/>
      </c>
      <c r="AO105" s="32" t="str">
        <f ca="1">IF(SUMPRODUCT((ListeB='recap S1'!$B105)*(OFFSET(ListeB,,4)='recap S1'!AO$3)*(OFFSET(ListeB,,1)='recap S1'!AO$2))&gt;0,SUMPRODUCT((ListeB='recap S1'!$B105)*(OFFSET(ListeB,,4)='recap S1'!AO$3)*(OFFSET(ListeB,,1)='recap S1'!AO$2)),"")</f>
        <v/>
      </c>
      <c r="AP105" s="32"/>
      <c r="AQ105" s="32"/>
      <c r="AR105" s="32"/>
      <c r="AS105" s="32" t="str">
        <f ca="1">IF(SUMPRODUCT((ListeB='recap S1'!$B105)*(OFFSET(ListeB,,4)='recap S1'!AS$3)*(OFFSET(ListeB,,1)='recap S1'!AS$2))&gt;0,SUMPRODUCT((ListeB='recap S1'!$B105)*(OFFSET(ListeB,,4)='recap S1'!AS$3)*(OFFSET(ListeB,,1)='recap S1'!AS$2)),"")</f>
        <v/>
      </c>
      <c r="AT105" s="32" t="str">
        <f ca="1">IF(SUMPRODUCT((ListeB='recap S1'!$B105)*(OFFSET(ListeB,,4)='recap S1'!AT$3)*(OFFSET(ListeB,,1)='recap S1'!AT$2))&gt;0,SUMPRODUCT((ListeB='recap S1'!$B105)*(OFFSET(ListeB,,4)='recap S1'!AT$3)*(OFFSET(ListeB,,1)='recap S1'!AT$2)),"")</f>
        <v/>
      </c>
      <c r="AU105" s="32"/>
      <c r="AV105" s="32" t="str">
        <f ca="1">IF(SUMPRODUCT((ListeB='recap S1'!$B105)*(OFFSET(ListeB,,4)='recap S1'!AV$3)*(OFFSET(ListeB,,1)='recap S1'!AV$2))&gt;0,SUMPRODUCT((ListeB='recap S1'!$B105)*(OFFSET(ListeB,,4)='recap S1'!AV$3)*(OFFSET(ListeB,,1)='recap S1'!AV$2)),"")</f>
        <v/>
      </c>
      <c r="AW105" s="32" t="str">
        <f ca="1">IF(SUMPRODUCT((ListeB='recap S1'!$B105)*(OFFSET(ListeB,,4)='recap S1'!AW$3)*(OFFSET(ListeB,,1)='recap S1'!AW$2))&gt;0,SUMPRODUCT((ListeB='recap S1'!$B105)*(OFFSET(ListeB,,4)='recap S1'!AW$3)*(OFFSET(ListeB,,1)='recap S1'!AW$2)),"")</f>
        <v/>
      </c>
      <c r="AX105" s="32" t="str">
        <f ca="1">IF(SUMPRODUCT((ListeB='recap S1'!$B105)*(OFFSET(ListeB,,4)='recap S1'!AX$3)*(OFFSET(ListeB,,1)='recap S1'!AX$2))&gt;0,SUMPRODUCT((ListeB='recap S1'!$B105)*(OFFSET(ListeB,,4)='recap S1'!AX$3)*(OFFSET(ListeB,,1)='recap S1'!AX$2)),"")</f>
        <v/>
      </c>
      <c r="AY105" s="34"/>
      <c r="AZ105" s="32">
        <f t="shared" ca="1" si="3"/>
        <v>0</v>
      </c>
    </row>
    <row r="106" spans="1:52">
      <c r="A106" s="41" t="str">
        <f>IF('SEANCE 1'!$B104&lt;&gt;"",'SEANCE 1'!$A104,"")</f>
        <v/>
      </c>
      <c r="B106" s="41" t="str">
        <f t="array" aca="1" ref="B106" ca="1">IF(ISNA(INDEX(ListeB,MATCH(0,COUNTIF($B$3:B105,ListeB),0))),"",INDEX(ListeB,MATCH(0,COUNTIF($B$3:B105,ListeB),0)))</f>
        <v/>
      </c>
      <c r="C106" s="32" t="str">
        <f ca="1">IF(SUMPRODUCT((ListeB='recap S1'!$B106)*(OFFSET(ListeB,,4)='recap S1'!C$3)*(OFFSET(ListeB,,1)='recap S1'!C$2))&gt;0,SUMPRODUCT((ListeB='recap S1'!$B106)*(OFFSET(ListeB,,4)='recap S1'!C$3)*(OFFSET(ListeB,,1)='recap S1'!C$2)),"")</f>
        <v/>
      </c>
      <c r="D106" s="32" t="str">
        <f ca="1">IF(SUMPRODUCT((ListeB='recap S1'!$B106)*(OFFSET(ListeB,,4)='recap S1'!D$3)*(OFFSET(ListeB,,1)='recap S1'!D$2))&gt;0,SUMPRODUCT((ListeB='recap S1'!$B106)*(OFFSET(ListeB,,4)='recap S1'!D$3)*(OFFSET(ListeB,,1)='recap S1'!D$2)),"")</f>
        <v/>
      </c>
      <c r="E106" s="32"/>
      <c r="F106" s="32" t="str">
        <f ca="1">IF(SUMPRODUCT((ListeB='recap S1'!$B106)*(OFFSET(ListeB,,4)='recap S1'!F$3)*(OFFSET(ListeB,,1)='recap S1'!F$2))&gt;0,SUMPRODUCT((ListeB='recap S1'!$B106)*(OFFSET(ListeB,,4)='recap S1'!F$3)*(OFFSET(ListeB,,1)='recap S1'!F$2)),"")</f>
        <v/>
      </c>
      <c r="G106" s="32" t="str">
        <f ca="1">IF(SUMPRODUCT((ListeB='recap S1'!$B106)*(OFFSET(ListeB,,4)='recap S1'!G$3)*(OFFSET(ListeB,,1)='recap S1'!G$2))&gt;0,SUMPRODUCT((ListeB='recap S1'!$B106)*(OFFSET(ListeB,,4)='recap S1'!G$3)*(OFFSET(ListeB,,1)='recap S1'!G$2)),"")</f>
        <v/>
      </c>
      <c r="H106" s="32"/>
      <c r="I106" s="32" t="str">
        <f ca="1">IF(SUMPRODUCT((ListeB='recap S1'!$B106)*(OFFSET(ListeB,,4)='recap S1'!I$3)*(OFFSET(ListeB,,1)='recap S1'!I$2))&gt;0,SUMPRODUCT((ListeB='recap S1'!$B106)*(OFFSET(ListeB,,4)='recap S1'!I$3)*(OFFSET(ListeB,,1)='recap S1'!I$2)),"")</f>
        <v/>
      </c>
      <c r="J106" s="32" t="str">
        <f ca="1">IF(SUMPRODUCT((ListeB='recap S1'!$B106)*(OFFSET(ListeB,,4)='recap S1'!J$3)*(OFFSET(ListeB,,1)='recap S1'!J$2))&gt;0,SUMPRODUCT((ListeB='recap S1'!$B106)*(OFFSET(ListeB,,4)='recap S1'!J$3)*(OFFSET(ListeB,,1)='recap S1'!J$2)),"")</f>
        <v/>
      </c>
      <c r="K106" s="32" t="str">
        <f ca="1">IF(SUMPRODUCT((ListeB='recap S1'!$B106)*(OFFSET(ListeB,,4)='recap S1'!K$3)*(OFFSET(ListeB,,1)='recap S1'!K$2))&gt;0,SUMPRODUCT((ListeB='recap S1'!$B106)*(OFFSET(ListeB,,4)='recap S1'!K$3)*(OFFSET(ListeB,,1)='recap S1'!K$2)),"")</f>
        <v/>
      </c>
      <c r="L106" s="32"/>
      <c r="M106" s="32" t="str">
        <f ca="1">IF(SUMPRODUCT((ListeB='recap S1'!$B106)*(OFFSET(ListeB,,4)='recap S1'!M$3)*(OFFSET(ListeB,,1)='recap S1'!M$2))&gt;0,SUMPRODUCT((ListeB='recap S1'!$B106)*(OFFSET(ListeB,,4)='recap S1'!M$3)*(OFFSET(ListeB,,1)='recap S1'!M$2)),"")</f>
        <v/>
      </c>
      <c r="N106" s="32" t="str">
        <f ca="1">IF(SUMPRODUCT((ListeB='recap S1'!$B106)*(OFFSET(ListeB,,4)='recap S1'!N$3)*(OFFSET(ListeB,,1)='recap S1'!N$2))&gt;0,SUMPRODUCT((ListeB='recap S1'!$B106)*(OFFSET(ListeB,,4)='recap S1'!N$3)*(OFFSET(ListeB,,1)='recap S1'!N$2)),"")</f>
        <v/>
      </c>
      <c r="O106" s="32"/>
      <c r="P106" s="32" t="str">
        <f ca="1">IF(SUMPRODUCT((ListeB='recap S1'!$B106)*(OFFSET(ListeB,,4)='recap S1'!P$3)*(OFFSET(ListeB,,1)='recap S1'!P$2))&gt;0,SUMPRODUCT((ListeB='recap S1'!$B106)*(OFFSET(ListeB,,4)='recap S1'!P$3)*(OFFSET(ListeB,,1)='recap S1'!P$2)),"")</f>
        <v/>
      </c>
      <c r="Q106" s="32" t="str">
        <f ca="1">IF(SUMPRODUCT((ListeB='recap S1'!$B106)*(OFFSET(ListeB,,4)='recap S1'!Q$3)*(OFFSET(ListeB,,1)='recap S1'!Q$2))&gt;0,SUMPRODUCT((ListeB='recap S1'!$B106)*(OFFSET(ListeB,,4)='recap S1'!Q$3)*(OFFSET(ListeB,,1)='recap S1'!Q$2)),"")</f>
        <v/>
      </c>
      <c r="R106" s="32"/>
      <c r="S106" s="32" t="str">
        <f ca="1">IF(SUMPRODUCT((ListeB='recap S1'!$B106)*(OFFSET(ListeB,,4)='recap S1'!S$3)*(OFFSET(ListeB,,1)='recap S1'!S$2))&gt;0,SUMPRODUCT((ListeB='recap S1'!$B106)*(OFFSET(ListeB,,4)='recap S1'!S$3)*(OFFSET(ListeB,,1)='recap S1'!S$2)),"")</f>
        <v/>
      </c>
      <c r="T106" s="32" t="str">
        <f ca="1">IF(SUMPRODUCT((ListeB='recap S1'!$B106)*(OFFSET(ListeB,,4)='recap S1'!T$3)*(OFFSET(ListeB,,1)='recap S1'!T$2))&gt;0,SUMPRODUCT((ListeB='recap S1'!$B106)*(OFFSET(ListeB,,4)='recap S1'!T$3)*(OFFSET(ListeB,,1)='recap S1'!T$2)),"")</f>
        <v/>
      </c>
      <c r="U106" s="32" t="str">
        <f ca="1">IF(SUMPRODUCT((ListeB='recap S1'!$B106)*(OFFSET(ListeB,,4)='recap S1'!U$3)*(OFFSET(ListeB,,1)='recap S1'!U$2))&gt;0,SUMPRODUCT((ListeB='recap S1'!$B106)*(OFFSET(ListeB,,4)='recap S1'!U$3)*(OFFSET(ListeB,,1)='recap S1'!U$2)),"")</f>
        <v/>
      </c>
      <c r="V106" s="32"/>
      <c r="W106" s="32" t="str">
        <f ca="1">IF(SUMPRODUCT((ListeB='recap S1'!$B106)*(OFFSET(ListeB,,4)='recap S1'!W$3)*(OFFSET(ListeB,,1)='recap S1'!W$2))&gt;0,SUMPRODUCT((ListeB='recap S1'!$B106)*(OFFSET(ListeB,,4)='recap S1'!W$3)*(OFFSET(ListeB,,1)='recap S1'!W$2)),"")</f>
        <v/>
      </c>
      <c r="X106" s="32"/>
      <c r="Y106" s="32" t="str">
        <f ca="1">IF(SUMPRODUCT((ListeB='recap S1'!$B106)*(OFFSET(ListeB,,4)='recap S1'!Y$3)*(OFFSET(ListeB,,1)='recap S1'!Y$2))&gt;0,SUMPRODUCT((ListeB='recap S1'!$B106)*(OFFSET(ListeB,,4)='recap S1'!Y$3)*(OFFSET(ListeB,,1)='recap S1'!Y$2)),"")</f>
        <v/>
      </c>
      <c r="Z106" s="32" t="str">
        <f ca="1">IF(SUMPRODUCT((ListeB='recap S1'!$B106)*(OFFSET(ListeB,,4)='recap S1'!Z$3)*(OFFSET(ListeB,,1)='recap S1'!Z$2))&gt;0,SUMPRODUCT((ListeB='recap S1'!$B106)*(OFFSET(ListeB,,4)='recap S1'!Z$3)*(OFFSET(ListeB,,1)='recap S1'!Z$2)),"")</f>
        <v/>
      </c>
      <c r="AA106" s="32" t="str">
        <f ca="1">IF(SUMPRODUCT((ListeB='recap S1'!$B106)*(OFFSET(ListeB,,4)='recap S1'!AA$3)*(OFFSET(ListeB,,1)='recap S1'!AA$2))&gt;0,SUMPRODUCT((ListeB='recap S1'!$B106)*(OFFSET(ListeB,,4)='recap S1'!AA$3)*(OFFSET(ListeB,,1)='recap S1'!AA$2)),"")</f>
        <v/>
      </c>
      <c r="AB106" s="32"/>
      <c r="AC106" s="32" t="str">
        <f ca="1">IF(SUMPRODUCT((ListeB='recap S1'!$B106)*(OFFSET(ListeB,,4)='recap S1'!AC$3)*(OFFSET(ListeB,,1)='recap S1'!AC$2))&gt;0,SUMPRODUCT((ListeB='recap S1'!$B106)*(OFFSET(ListeB,,4)='recap S1'!AC$3)*(OFFSET(ListeB,,1)='recap S1'!AC$2)),"")</f>
        <v/>
      </c>
      <c r="AD106" s="32"/>
      <c r="AE106" s="32" t="str">
        <f ca="1">IF(SUMPRODUCT((ListeB='recap S1'!$B106)*(OFFSET(ListeB,,4)='recap S1'!AE$3)*(OFFSET(ListeB,,1)='recap S1'!AE$2))&gt;0,SUMPRODUCT((ListeB='recap S1'!$B106)*(OFFSET(ListeB,,4)='recap S1'!AE$3)*(OFFSET(ListeB,,1)='recap S1'!AE$2)),"")</f>
        <v/>
      </c>
      <c r="AF106" s="32" t="str">
        <f ca="1">IF(SUMPRODUCT((ListeB='recap S1'!$B106)*(OFFSET(ListeB,,4)='recap S1'!AF$3)*(OFFSET(ListeB,,1)='recap S1'!AF$2))&gt;0,SUMPRODUCT((ListeB='recap S1'!$B106)*(OFFSET(ListeB,,4)='recap S1'!AF$3)*(OFFSET(ListeB,,1)='recap S1'!AF$2)),"")</f>
        <v/>
      </c>
      <c r="AG106" s="32"/>
      <c r="AH106" s="32" t="str">
        <f ca="1">IF(SUMPRODUCT((ListeB='recap S1'!$B106)*(OFFSET(ListeB,,4)='recap S1'!AH$3)*(OFFSET(ListeB,,1)='recap S1'!AH$2))&gt;0,SUMPRODUCT((ListeB='recap S1'!$B106)*(OFFSET(ListeB,,4)='recap S1'!AH$3)*(OFFSET(ListeB,,1)='recap S1'!AH$2)),"")</f>
        <v/>
      </c>
      <c r="AI106" s="32" t="str">
        <f ca="1">IF(SUMPRODUCT((ListeB='recap S1'!$B106)*(OFFSET(ListeB,,4)='recap S1'!AI$3)*(OFFSET(ListeB,,1)='recap S1'!AI$2))&gt;0,SUMPRODUCT((ListeB='recap S1'!$B106)*(OFFSET(ListeB,,4)='recap S1'!AI$3)*(OFFSET(ListeB,,1)='recap S1'!AI$2)),"")</f>
        <v/>
      </c>
      <c r="AJ106" s="32" t="str">
        <f ca="1">IF(SUMPRODUCT((ListeB='recap S1'!$B106)*(OFFSET(ListeB,,4)='recap S1'!AJ$3)*(OFFSET(ListeB,,1)='recap S1'!AJ$2))&gt;0,SUMPRODUCT((ListeB='recap S1'!$B106)*(OFFSET(ListeB,,4)='recap S1'!AJ$3)*(OFFSET(ListeB,,1)='recap S1'!AJ$2)),"")</f>
        <v/>
      </c>
      <c r="AK106" s="32"/>
      <c r="AL106" s="32" t="str">
        <f ca="1">IF(SUMPRODUCT((ListeB='recap S1'!$B106)*(OFFSET(ListeB,,4)='recap S1'!AL$3)*(OFFSET(ListeB,,1)='recap S1'!AL$2))&gt;0,SUMPRODUCT((ListeB='recap S1'!$B106)*(OFFSET(ListeB,,4)='recap S1'!AL$3)*(OFFSET(ListeB,,1)='recap S1'!AL$2)),"")</f>
        <v/>
      </c>
      <c r="AM106" s="32"/>
      <c r="AN106" s="32" t="str">
        <f ca="1">IF(SUMPRODUCT((ListeB='recap S1'!$B106)*(OFFSET(ListeB,,4)='recap S1'!AN$3)*(OFFSET(ListeB,,1)='recap S1'!AN$2))&gt;0,SUMPRODUCT((ListeB='recap S1'!$B106)*(OFFSET(ListeB,,4)='recap S1'!AN$3)*(OFFSET(ListeB,,1)='recap S1'!AN$2)),"")</f>
        <v/>
      </c>
      <c r="AO106" s="32" t="str">
        <f ca="1">IF(SUMPRODUCT((ListeB='recap S1'!$B106)*(OFFSET(ListeB,,4)='recap S1'!AO$3)*(OFFSET(ListeB,,1)='recap S1'!AO$2))&gt;0,SUMPRODUCT((ListeB='recap S1'!$B106)*(OFFSET(ListeB,,4)='recap S1'!AO$3)*(OFFSET(ListeB,,1)='recap S1'!AO$2)),"")</f>
        <v/>
      </c>
      <c r="AP106" s="32"/>
      <c r="AQ106" s="32"/>
      <c r="AR106" s="32"/>
      <c r="AS106" s="32" t="str">
        <f ca="1">IF(SUMPRODUCT((ListeB='recap S1'!$B106)*(OFFSET(ListeB,,4)='recap S1'!AS$3)*(OFFSET(ListeB,,1)='recap S1'!AS$2))&gt;0,SUMPRODUCT((ListeB='recap S1'!$B106)*(OFFSET(ListeB,,4)='recap S1'!AS$3)*(OFFSET(ListeB,,1)='recap S1'!AS$2)),"")</f>
        <v/>
      </c>
      <c r="AT106" s="32" t="str">
        <f ca="1">IF(SUMPRODUCT((ListeB='recap S1'!$B106)*(OFFSET(ListeB,,4)='recap S1'!AT$3)*(OFFSET(ListeB,,1)='recap S1'!AT$2))&gt;0,SUMPRODUCT((ListeB='recap S1'!$B106)*(OFFSET(ListeB,,4)='recap S1'!AT$3)*(OFFSET(ListeB,,1)='recap S1'!AT$2)),"")</f>
        <v/>
      </c>
      <c r="AU106" s="32"/>
      <c r="AV106" s="32" t="str">
        <f ca="1">IF(SUMPRODUCT((ListeB='recap S1'!$B106)*(OFFSET(ListeB,,4)='recap S1'!AV$3)*(OFFSET(ListeB,,1)='recap S1'!AV$2))&gt;0,SUMPRODUCT((ListeB='recap S1'!$B106)*(OFFSET(ListeB,,4)='recap S1'!AV$3)*(OFFSET(ListeB,,1)='recap S1'!AV$2)),"")</f>
        <v/>
      </c>
      <c r="AW106" s="32" t="str">
        <f ca="1">IF(SUMPRODUCT((ListeB='recap S1'!$B106)*(OFFSET(ListeB,,4)='recap S1'!AW$3)*(OFFSET(ListeB,,1)='recap S1'!AW$2))&gt;0,SUMPRODUCT((ListeB='recap S1'!$B106)*(OFFSET(ListeB,,4)='recap S1'!AW$3)*(OFFSET(ListeB,,1)='recap S1'!AW$2)),"")</f>
        <v/>
      </c>
      <c r="AX106" s="32" t="str">
        <f ca="1">IF(SUMPRODUCT((ListeB='recap S1'!$B106)*(OFFSET(ListeB,,4)='recap S1'!AX$3)*(OFFSET(ListeB,,1)='recap S1'!AX$2))&gt;0,SUMPRODUCT((ListeB='recap S1'!$B106)*(OFFSET(ListeB,,4)='recap S1'!AX$3)*(OFFSET(ListeB,,1)='recap S1'!AX$2)),"")</f>
        <v/>
      </c>
      <c r="AY106" s="34"/>
      <c r="AZ106" s="32">
        <f t="shared" ca="1" si="3"/>
        <v>0</v>
      </c>
    </row>
    <row r="107" spans="1:52">
      <c r="A107" s="41" t="str">
        <f>IF('SEANCE 1'!$B105&lt;&gt;"",'SEANCE 1'!$A105,"")</f>
        <v/>
      </c>
      <c r="B107" s="41" t="str">
        <f t="array" aca="1" ref="B107" ca="1">IF(ISNA(INDEX(ListeB,MATCH(0,COUNTIF($B$3:B106,ListeB),0))),"",INDEX(ListeB,MATCH(0,COUNTIF($B$3:B106,ListeB),0)))</f>
        <v/>
      </c>
      <c r="C107" s="32" t="str">
        <f ca="1">IF(SUMPRODUCT((ListeB='recap S1'!$B107)*(OFFSET(ListeB,,4)='recap S1'!C$3)*(OFFSET(ListeB,,1)='recap S1'!C$2))&gt;0,SUMPRODUCT((ListeB='recap S1'!$B107)*(OFFSET(ListeB,,4)='recap S1'!C$3)*(OFFSET(ListeB,,1)='recap S1'!C$2)),"")</f>
        <v/>
      </c>
      <c r="D107" s="32" t="str">
        <f ca="1">IF(SUMPRODUCT((ListeB='recap S1'!$B107)*(OFFSET(ListeB,,4)='recap S1'!D$3)*(OFFSET(ListeB,,1)='recap S1'!D$2))&gt;0,SUMPRODUCT((ListeB='recap S1'!$B107)*(OFFSET(ListeB,,4)='recap S1'!D$3)*(OFFSET(ListeB,,1)='recap S1'!D$2)),"")</f>
        <v/>
      </c>
      <c r="E107" s="32"/>
      <c r="F107" s="32" t="str">
        <f ca="1">IF(SUMPRODUCT((ListeB='recap S1'!$B107)*(OFFSET(ListeB,,4)='recap S1'!F$3)*(OFFSET(ListeB,,1)='recap S1'!F$2))&gt;0,SUMPRODUCT((ListeB='recap S1'!$B107)*(OFFSET(ListeB,,4)='recap S1'!F$3)*(OFFSET(ListeB,,1)='recap S1'!F$2)),"")</f>
        <v/>
      </c>
      <c r="G107" s="32" t="str">
        <f ca="1">IF(SUMPRODUCT((ListeB='recap S1'!$B107)*(OFFSET(ListeB,,4)='recap S1'!G$3)*(OFFSET(ListeB,,1)='recap S1'!G$2))&gt;0,SUMPRODUCT((ListeB='recap S1'!$B107)*(OFFSET(ListeB,,4)='recap S1'!G$3)*(OFFSET(ListeB,,1)='recap S1'!G$2)),"")</f>
        <v/>
      </c>
      <c r="H107" s="32"/>
      <c r="I107" s="32" t="str">
        <f ca="1">IF(SUMPRODUCT((ListeB='recap S1'!$B107)*(OFFSET(ListeB,,4)='recap S1'!I$3)*(OFFSET(ListeB,,1)='recap S1'!I$2))&gt;0,SUMPRODUCT((ListeB='recap S1'!$B107)*(OFFSET(ListeB,,4)='recap S1'!I$3)*(OFFSET(ListeB,,1)='recap S1'!I$2)),"")</f>
        <v/>
      </c>
      <c r="J107" s="32" t="str">
        <f ca="1">IF(SUMPRODUCT((ListeB='recap S1'!$B107)*(OFFSET(ListeB,,4)='recap S1'!J$3)*(OFFSET(ListeB,,1)='recap S1'!J$2))&gt;0,SUMPRODUCT((ListeB='recap S1'!$B107)*(OFFSET(ListeB,,4)='recap S1'!J$3)*(OFFSET(ListeB,,1)='recap S1'!J$2)),"")</f>
        <v/>
      </c>
      <c r="K107" s="32" t="str">
        <f ca="1">IF(SUMPRODUCT((ListeB='recap S1'!$B107)*(OFFSET(ListeB,,4)='recap S1'!K$3)*(OFFSET(ListeB,,1)='recap S1'!K$2))&gt;0,SUMPRODUCT((ListeB='recap S1'!$B107)*(OFFSET(ListeB,,4)='recap S1'!K$3)*(OFFSET(ListeB,,1)='recap S1'!K$2)),"")</f>
        <v/>
      </c>
      <c r="L107" s="32"/>
      <c r="M107" s="32" t="str">
        <f ca="1">IF(SUMPRODUCT((ListeB='recap S1'!$B107)*(OFFSET(ListeB,,4)='recap S1'!M$3)*(OFFSET(ListeB,,1)='recap S1'!M$2))&gt;0,SUMPRODUCT((ListeB='recap S1'!$B107)*(OFFSET(ListeB,,4)='recap S1'!M$3)*(OFFSET(ListeB,,1)='recap S1'!M$2)),"")</f>
        <v/>
      </c>
      <c r="N107" s="32" t="str">
        <f ca="1">IF(SUMPRODUCT((ListeB='recap S1'!$B107)*(OFFSET(ListeB,,4)='recap S1'!N$3)*(OFFSET(ListeB,,1)='recap S1'!N$2))&gt;0,SUMPRODUCT((ListeB='recap S1'!$B107)*(OFFSET(ListeB,,4)='recap S1'!N$3)*(OFFSET(ListeB,,1)='recap S1'!N$2)),"")</f>
        <v/>
      </c>
      <c r="O107" s="32"/>
      <c r="P107" s="32" t="str">
        <f ca="1">IF(SUMPRODUCT((ListeB='recap S1'!$B107)*(OFFSET(ListeB,,4)='recap S1'!P$3)*(OFFSET(ListeB,,1)='recap S1'!P$2))&gt;0,SUMPRODUCT((ListeB='recap S1'!$B107)*(OFFSET(ListeB,,4)='recap S1'!P$3)*(OFFSET(ListeB,,1)='recap S1'!P$2)),"")</f>
        <v/>
      </c>
      <c r="Q107" s="32" t="str">
        <f ca="1">IF(SUMPRODUCT((ListeB='recap S1'!$B107)*(OFFSET(ListeB,,4)='recap S1'!Q$3)*(OFFSET(ListeB,,1)='recap S1'!Q$2))&gt;0,SUMPRODUCT((ListeB='recap S1'!$B107)*(OFFSET(ListeB,,4)='recap S1'!Q$3)*(OFFSET(ListeB,,1)='recap S1'!Q$2)),"")</f>
        <v/>
      </c>
      <c r="R107" s="32"/>
      <c r="S107" s="32" t="str">
        <f ca="1">IF(SUMPRODUCT((ListeB='recap S1'!$B107)*(OFFSET(ListeB,,4)='recap S1'!S$3)*(OFFSET(ListeB,,1)='recap S1'!S$2))&gt;0,SUMPRODUCT((ListeB='recap S1'!$B107)*(OFFSET(ListeB,,4)='recap S1'!S$3)*(OFFSET(ListeB,,1)='recap S1'!S$2)),"")</f>
        <v/>
      </c>
      <c r="T107" s="32" t="str">
        <f ca="1">IF(SUMPRODUCT((ListeB='recap S1'!$B107)*(OFFSET(ListeB,,4)='recap S1'!T$3)*(OFFSET(ListeB,,1)='recap S1'!T$2))&gt;0,SUMPRODUCT((ListeB='recap S1'!$B107)*(OFFSET(ListeB,,4)='recap S1'!T$3)*(OFFSET(ListeB,,1)='recap S1'!T$2)),"")</f>
        <v/>
      </c>
      <c r="U107" s="32" t="str">
        <f ca="1">IF(SUMPRODUCT((ListeB='recap S1'!$B107)*(OFFSET(ListeB,,4)='recap S1'!U$3)*(OFFSET(ListeB,,1)='recap S1'!U$2))&gt;0,SUMPRODUCT((ListeB='recap S1'!$B107)*(OFFSET(ListeB,,4)='recap S1'!U$3)*(OFFSET(ListeB,,1)='recap S1'!U$2)),"")</f>
        <v/>
      </c>
      <c r="V107" s="32"/>
      <c r="W107" s="32" t="str">
        <f ca="1">IF(SUMPRODUCT((ListeB='recap S1'!$B107)*(OFFSET(ListeB,,4)='recap S1'!W$3)*(OFFSET(ListeB,,1)='recap S1'!W$2))&gt;0,SUMPRODUCT((ListeB='recap S1'!$B107)*(OFFSET(ListeB,,4)='recap S1'!W$3)*(OFFSET(ListeB,,1)='recap S1'!W$2)),"")</f>
        <v/>
      </c>
      <c r="X107" s="32"/>
      <c r="Y107" s="32" t="str">
        <f ca="1">IF(SUMPRODUCT((ListeB='recap S1'!$B107)*(OFFSET(ListeB,,4)='recap S1'!Y$3)*(OFFSET(ListeB,,1)='recap S1'!Y$2))&gt;0,SUMPRODUCT((ListeB='recap S1'!$B107)*(OFFSET(ListeB,,4)='recap S1'!Y$3)*(OFFSET(ListeB,,1)='recap S1'!Y$2)),"")</f>
        <v/>
      </c>
      <c r="Z107" s="32" t="str">
        <f ca="1">IF(SUMPRODUCT((ListeB='recap S1'!$B107)*(OFFSET(ListeB,,4)='recap S1'!Z$3)*(OFFSET(ListeB,,1)='recap S1'!Z$2))&gt;0,SUMPRODUCT((ListeB='recap S1'!$B107)*(OFFSET(ListeB,,4)='recap S1'!Z$3)*(OFFSET(ListeB,,1)='recap S1'!Z$2)),"")</f>
        <v/>
      </c>
      <c r="AA107" s="32" t="str">
        <f ca="1">IF(SUMPRODUCT((ListeB='recap S1'!$B107)*(OFFSET(ListeB,,4)='recap S1'!AA$3)*(OFFSET(ListeB,,1)='recap S1'!AA$2))&gt;0,SUMPRODUCT((ListeB='recap S1'!$B107)*(OFFSET(ListeB,,4)='recap S1'!AA$3)*(OFFSET(ListeB,,1)='recap S1'!AA$2)),"")</f>
        <v/>
      </c>
      <c r="AB107" s="32"/>
      <c r="AC107" s="32" t="str">
        <f ca="1">IF(SUMPRODUCT((ListeB='recap S1'!$B107)*(OFFSET(ListeB,,4)='recap S1'!AC$3)*(OFFSET(ListeB,,1)='recap S1'!AC$2))&gt;0,SUMPRODUCT((ListeB='recap S1'!$B107)*(OFFSET(ListeB,,4)='recap S1'!AC$3)*(OFFSET(ListeB,,1)='recap S1'!AC$2)),"")</f>
        <v/>
      </c>
      <c r="AD107" s="32"/>
      <c r="AE107" s="32" t="str">
        <f ca="1">IF(SUMPRODUCT((ListeB='recap S1'!$B107)*(OFFSET(ListeB,,4)='recap S1'!AE$3)*(OFFSET(ListeB,,1)='recap S1'!AE$2))&gt;0,SUMPRODUCT((ListeB='recap S1'!$B107)*(OFFSET(ListeB,,4)='recap S1'!AE$3)*(OFFSET(ListeB,,1)='recap S1'!AE$2)),"")</f>
        <v/>
      </c>
      <c r="AF107" s="32" t="str">
        <f ca="1">IF(SUMPRODUCT((ListeB='recap S1'!$B107)*(OFFSET(ListeB,,4)='recap S1'!AF$3)*(OFFSET(ListeB,,1)='recap S1'!AF$2))&gt;0,SUMPRODUCT((ListeB='recap S1'!$B107)*(OFFSET(ListeB,,4)='recap S1'!AF$3)*(OFFSET(ListeB,,1)='recap S1'!AF$2)),"")</f>
        <v/>
      </c>
      <c r="AG107" s="32"/>
      <c r="AH107" s="32" t="str">
        <f ca="1">IF(SUMPRODUCT((ListeB='recap S1'!$B107)*(OFFSET(ListeB,,4)='recap S1'!AH$3)*(OFFSET(ListeB,,1)='recap S1'!AH$2))&gt;0,SUMPRODUCT((ListeB='recap S1'!$B107)*(OFFSET(ListeB,,4)='recap S1'!AH$3)*(OFFSET(ListeB,,1)='recap S1'!AH$2)),"")</f>
        <v/>
      </c>
      <c r="AI107" s="32" t="str">
        <f ca="1">IF(SUMPRODUCT((ListeB='recap S1'!$B107)*(OFFSET(ListeB,,4)='recap S1'!AI$3)*(OFFSET(ListeB,,1)='recap S1'!AI$2))&gt;0,SUMPRODUCT((ListeB='recap S1'!$B107)*(OFFSET(ListeB,,4)='recap S1'!AI$3)*(OFFSET(ListeB,,1)='recap S1'!AI$2)),"")</f>
        <v/>
      </c>
      <c r="AJ107" s="32" t="str">
        <f ca="1">IF(SUMPRODUCT((ListeB='recap S1'!$B107)*(OFFSET(ListeB,,4)='recap S1'!AJ$3)*(OFFSET(ListeB,,1)='recap S1'!AJ$2))&gt;0,SUMPRODUCT((ListeB='recap S1'!$B107)*(OFFSET(ListeB,,4)='recap S1'!AJ$3)*(OFFSET(ListeB,,1)='recap S1'!AJ$2)),"")</f>
        <v/>
      </c>
      <c r="AK107" s="32"/>
      <c r="AL107" s="32" t="str">
        <f ca="1">IF(SUMPRODUCT((ListeB='recap S1'!$B107)*(OFFSET(ListeB,,4)='recap S1'!AL$3)*(OFFSET(ListeB,,1)='recap S1'!AL$2))&gt;0,SUMPRODUCT((ListeB='recap S1'!$B107)*(OFFSET(ListeB,,4)='recap S1'!AL$3)*(OFFSET(ListeB,,1)='recap S1'!AL$2)),"")</f>
        <v/>
      </c>
      <c r="AM107" s="32"/>
      <c r="AN107" s="32" t="str">
        <f ca="1">IF(SUMPRODUCT((ListeB='recap S1'!$B107)*(OFFSET(ListeB,,4)='recap S1'!AN$3)*(OFFSET(ListeB,,1)='recap S1'!AN$2))&gt;0,SUMPRODUCT((ListeB='recap S1'!$B107)*(OFFSET(ListeB,,4)='recap S1'!AN$3)*(OFFSET(ListeB,,1)='recap S1'!AN$2)),"")</f>
        <v/>
      </c>
      <c r="AO107" s="32" t="str">
        <f ca="1">IF(SUMPRODUCT((ListeB='recap S1'!$B107)*(OFFSET(ListeB,,4)='recap S1'!AO$3)*(OFFSET(ListeB,,1)='recap S1'!AO$2))&gt;0,SUMPRODUCT((ListeB='recap S1'!$B107)*(OFFSET(ListeB,,4)='recap S1'!AO$3)*(OFFSET(ListeB,,1)='recap S1'!AO$2)),"")</f>
        <v/>
      </c>
      <c r="AP107" s="32"/>
      <c r="AQ107" s="32"/>
      <c r="AR107" s="32"/>
      <c r="AS107" s="32" t="str">
        <f ca="1">IF(SUMPRODUCT((ListeB='recap S1'!$B107)*(OFFSET(ListeB,,4)='recap S1'!AS$3)*(OFFSET(ListeB,,1)='recap S1'!AS$2))&gt;0,SUMPRODUCT((ListeB='recap S1'!$B107)*(OFFSET(ListeB,,4)='recap S1'!AS$3)*(OFFSET(ListeB,,1)='recap S1'!AS$2)),"")</f>
        <v/>
      </c>
      <c r="AT107" s="32" t="str">
        <f ca="1">IF(SUMPRODUCT((ListeB='recap S1'!$B107)*(OFFSET(ListeB,,4)='recap S1'!AT$3)*(OFFSET(ListeB,,1)='recap S1'!AT$2))&gt;0,SUMPRODUCT((ListeB='recap S1'!$B107)*(OFFSET(ListeB,,4)='recap S1'!AT$3)*(OFFSET(ListeB,,1)='recap S1'!AT$2)),"")</f>
        <v/>
      </c>
      <c r="AU107" s="32"/>
      <c r="AV107" s="32" t="str">
        <f ca="1">IF(SUMPRODUCT((ListeB='recap S1'!$B107)*(OFFSET(ListeB,,4)='recap S1'!AV$3)*(OFFSET(ListeB,,1)='recap S1'!AV$2))&gt;0,SUMPRODUCT((ListeB='recap S1'!$B107)*(OFFSET(ListeB,,4)='recap S1'!AV$3)*(OFFSET(ListeB,,1)='recap S1'!AV$2)),"")</f>
        <v/>
      </c>
      <c r="AW107" s="32" t="str">
        <f ca="1">IF(SUMPRODUCT((ListeB='recap S1'!$B107)*(OFFSET(ListeB,,4)='recap S1'!AW$3)*(OFFSET(ListeB,,1)='recap S1'!AW$2))&gt;0,SUMPRODUCT((ListeB='recap S1'!$B107)*(OFFSET(ListeB,,4)='recap S1'!AW$3)*(OFFSET(ListeB,,1)='recap S1'!AW$2)),"")</f>
        <v/>
      </c>
      <c r="AX107" s="32" t="str">
        <f ca="1">IF(SUMPRODUCT((ListeB='recap S1'!$B107)*(OFFSET(ListeB,,4)='recap S1'!AX$3)*(OFFSET(ListeB,,1)='recap S1'!AX$2))&gt;0,SUMPRODUCT((ListeB='recap S1'!$B107)*(OFFSET(ListeB,,4)='recap S1'!AX$3)*(OFFSET(ListeB,,1)='recap S1'!AX$2)),"")</f>
        <v/>
      </c>
      <c r="AY107" s="34"/>
      <c r="AZ107" s="32">
        <f t="shared" ca="1" si="3"/>
        <v>0</v>
      </c>
    </row>
    <row r="108" spans="1:52">
      <c r="A108" s="41" t="str">
        <f>IF('SEANCE 1'!$B106&lt;&gt;"",'SEANCE 1'!$A106,"")</f>
        <v/>
      </c>
      <c r="B108" s="41" t="str">
        <f t="array" aca="1" ref="B108" ca="1">IF(ISNA(INDEX(ListeB,MATCH(0,COUNTIF($B$3:B107,ListeB),0))),"",INDEX(ListeB,MATCH(0,COUNTIF($B$3:B107,ListeB),0)))</f>
        <v/>
      </c>
      <c r="C108" s="32" t="str">
        <f ca="1">IF(SUMPRODUCT((ListeB='recap S1'!$B108)*(OFFSET(ListeB,,4)='recap S1'!C$3)*(OFFSET(ListeB,,1)='recap S1'!C$2))&gt;0,SUMPRODUCT((ListeB='recap S1'!$B108)*(OFFSET(ListeB,,4)='recap S1'!C$3)*(OFFSET(ListeB,,1)='recap S1'!C$2)),"")</f>
        <v/>
      </c>
      <c r="D108" s="32" t="str">
        <f ca="1">IF(SUMPRODUCT((ListeB='recap S1'!$B108)*(OFFSET(ListeB,,4)='recap S1'!D$3)*(OFFSET(ListeB,,1)='recap S1'!D$2))&gt;0,SUMPRODUCT((ListeB='recap S1'!$B108)*(OFFSET(ListeB,,4)='recap S1'!D$3)*(OFFSET(ListeB,,1)='recap S1'!D$2)),"")</f>
        <v/>
      </c>
      <c r="E108" s="32"/>
      <c r="F108" s="32" t="str">
        <f ca="1">IF(SUMPRODUCT((ListeB='recap S1'!$B108)*(OFFSET(ListeB,,4)='recap S1'!F$3)*(OFFSET(ListeB,,1)='recap S1'!F$2))&gt;0,SUMPRODUCT((ListeB='recap S1'!$B108)*(OFFSET(ListeB,,4)='recap S1'!F$3)*(OFFSET(ListeB,,1)='recap S1'!F$2)),"")</f>
        <v/>
      </c>
      <c r="G108" s="32" t="str">
        <f ca="1">IF(SUMPRODUCT((ListeB='recap S1'!$B108)*(OFFSET(ListeB,,4)='recap S1'!G$3)*(OFFSET(ListeB,,1)='recap S1'!G$2))&gt;0,SUMPRODUCT((ListeB='recap S1'!$B108)*(OFFSET(ListeB,,4)='recap S1'!G$3)*(OFFSET(ListeB,,1)='recap S1'!G$2)),"")</f>
        <v/>
      </c>
      <c r="H108" s="32"/>
      <c r="I108" s="32" t="str">
        <f ca="1">IF(SUMPRODUCT((ListeB='recap S1'!$B108)*(OFFSET(ListeB,,4)='recap S1'!I$3)*(OFFSET(ListeB,,1)='recap S1'!I$2))&gt;0,SUMPRODUCT((ListeB='recap S1'!$B108)*(OFFSET(ListeB,,4)='recap S1'!I$3)*(OFFSET(ListeB,,1)='recap S1'!I$2)),"")</f>
        <v/>
      </c>
      <c r="J108" s="32" t="str">
        <f ca="1">IF(SUMPRODUCT((ListeB='recap S1'!$B108)*(OFFSET(ListeB,,4)='recap S1'!J$3)*(OFFSET(ListeB,,1)='recap S1'!J$2))&gt;0,SUMPRODUCT((ListeB='recap S1'!$B108)*(OFFSET(ListeB,,4)='recap S1'!J$3)*(OFFSET(ListeB,,1)='recap S1'!J$2)),"")</f>
        <v/>
      </c>
      <c r="K108" s="32" t="str">
        <f ca="1">IF(SUMPRODUCT((ListeB='recap S1'!$B108)*(OFFSET(ListeB,,4)='recap S1'!K$3)*(OFFSET(ListeB,,1)='recap S1'!K$2))&gt;0,SUMPRODUCT((ListeB='recap S1'!$B108)*(OFFSET(ListeB,,4)='recap S1'!K$3)*(OFFSET(ListeB,,1)='recap S1'!K$2)),"")</f>
        <v/>
      </c>
      <c r="L108" s="32"/>
      <c r="M108" s="32" t="str">
        <f ca="1">IF(SUMPRODUCT((ListeB='recap S1'!$B108)*(OFFSET(ListeB,,4)='recap S1'!M$3)*(OFFSET(ListeB,,1)='recap S1'!M$2))&gt;0,SUMPRODUCT((ListeB='recap S1'!$B108)*(OFFSET(ListeB,,4)='recap S1'!M$3)*(OFFSET(ListeB,,1)='recap S1'!M$2)),"")</f>
        <v/>
      </c>
      <c r="N108" s="32" t="str">
        <f ca="1">IF(SUMPRODUCT((ListeB='recap S1'!$B108)*(OFFSET(ListeB,,4)='recap S1'!N$3)*(OFFSET(ListeB,,1)='recap S1'!N$2))&gt;0,SUMPRODUCT((ListeB='recap S1'!$B108)*(OFFSET(ListeB,,4)='recap S1'!N$3)*(OFFSET(ListeB,,1)='recap S1'!N$2)),"")</f>
        <v/>
      </c>
      <c r="O108" s="32"/>
      <c r="P108" s="32" t="str">
        <f ca="1">IF(SUMPRODUCT((ListeB='recap S1'!$B108)*(OFFSET(ListeB,,4)='recap S1'!P$3)*(OFFSET(ListeB,,1)='recap S1'!P$2))&gt;0,SUMPRODUCT((ListeB='recap S1'!$B108)*(OFFSET(ListeB,,4)='recap S1'!P$3)*(OFFSET(ListeB,,1)='recap S1'!P$2)),"")</f>
        <v/>
      </c>
      <c r="Q108" s="32" t="str">
        <f ca="1">IF(SUMPRODUCT((ListeB='recap S1'!$B108)*(OFFSET(ListeB,,4)='recap S1'!Q$3)*(OFFSET(ListeB,,1)='recap S1'!Q$2))&gt;0,SUMPRODUCT((ListeB='recap S1'!$B108)*(OFFSET(ListeB,,4)='recap S1'!Q$3)*(OFFSET(ListeB,,1)='recap S1'!Q$2)),"")</f>
        <v/>
      </c>
      <c r="R108" s="32"/>
      <c r="S108" s="32" t="str">
        <f ca="1">IF(SUMPRODUCT((ListeB='recap S1'!$B108)*(OFFSET(ListeB,,4)='recap S1'!S$3)*(OFFSET(ListeB,,1)='recap S1'!S$2))&gt;0,SUMPRODUCT((ListeB='recap S1'!$B108)*(OFFSET(ListeB,,4)='recap S1'!S$3)*(OFFSET(ListeB,,1)='recap S1'!S$2)),"")</f>
        <v/>
      </c>
      <c r="T108" s="32" t="str">
        <f ca="1">IF(SUMPRODUCT((ListeB='recap S1'!$B108)*(OFFSET(ListeB,,4)='recap S1'!T$3)*(OFFSET(ListeB,,1)='recap S1'!T$2))&gt;0,SUMPRODUCT((ListeB='recap S1'!$B108)*(OFFSET(ListeB,,4)='recap S1'!T$3)*(OFFSET(ListeB,,1)='recap S1'!T$2)),"")</f>
        <v/>
      </c>
      <c r="U108" s="32" t="str">
        <f ca="1">IF(SUMPRODUCT((ListeB='recap S1'!$B108)*(OFFSET(ListeB,,4)='recap S1'!U$3)*(OFFSET(ListeB,,1)='recap S1'!U$2))&gt;0,SUMPRODUCT((ListeB='recap S1'!$B108)*(OFFSET(ListeB,,4)='recap S1'!U$3)*(OFFSET(ListeB,,1)='recap S1'!U$2)),"")</f>
        <v/>
      </c>
      <c r="V108" s="32"/>
      <c r="W108" s="32" t="str">
        <f ca="1">IF(SUMPRODUCT((ListeB='recap S1'!$B108)*(OFFSET(ListeB,,4)='recap S1'!W$3)*(OFFSET(ListeB,,1)='recap S1'!W$2))&gt;0,SUMPRODUCT((ListeB='recap S1'!$B108)*(OFFSET(ListeB,,4)='recap S1'!W$3)*(OFFSET(ListeB,,1)='recap S1'!W$2)),"")</f>
        <v/>
      </c>
      <c r="X108" s="32"/>
      <c r="Y108" s="32" t="str">
        <f ca="1">IF(SUMPRODUCT((ListeB='recap S1'!$B108)*(OFFSET(ListeB,,4)='recap S1'!Y$3)*(OFFSET(ListeB,,1)='recap S1'!Y$2))&gt;0,SUMPRODUCT((ListeB='recap S1'!$B108)*(OFFSET(ListeB,,4)='recap S1'!Y$3)*(OFFSET(ListeB,,1)='recap S1'!Y$2)),"")</f>
        <v/>
      </c>
      <c r="Z108" s="32" t="str">
        <f ca="1">IF(SUMPRODUCT((ListeB='recap S1'!$B108)*(OFFSET(ListeB,,4)='recap S1'!Z$3)*(OFFSET(ListeB,,1)='recap S1'!Z$2))&gt;0,SUMPRODUCT((ListeB='recap S1'!$B108)*(OFFSET(ListeB,,4)='recap S1'!Z$3)*(OFFSET(ListeB,,1)='recap S1'!Z$2)),"")</f>
        <v/>
      </c>
      <c r="AA108" s="32" t="str">
        <f ca="1">IF(SUMPRODUCT((ListeB='recap S1'!$B108)*(OFFSET(ListeB,,4)='recap S1'!AA$3)*(OFFSET(ListeB,,1)='recap S1'!AA$2))&gt;0,SUMPRODUCT((ListeB='recap S1'!$B108)*(OFFSET(ListeB,,4)='recap S1'!AA$3)*(OFFSET(ListeB,,1)='recap S1'!AA$2)),"")</f>
        <v/>
      </c>
      <c r="AB108" s="32"/>
      <c r="AC108" s="32" t="str">
        <f ca="1">IF(SUMPRODUCT((ListeB='recap S1'!$B108)*(OFFSET(ListeB,,4)='recap S1'!AC$3)*(OFFSET(ListeB,,1)='recap S1'!AC$2))&gt;0,SUMPRODUCT((ListeB='recap S1'!$B108)*(OFFSET(ListeB,,4)='recap S1'!AC$3)*(OFFSET(ListeB,,1)='recap S1'!AC$2)),"")</f>
        <v/>
      </c>
      <c r="AD108" s="32"/>
      <c r="AE108" s="32" t="str">
        <f ca="1">IF(SUMPRODUCT((ListeB='recap S1'!$B108)*(OFFSET(ListeB,,4)='recap S1'!AE$3)*(OFFSET(ListeB,,1)='recap S1'!AE$2))&gt;0,SUMPRODUCT((ListeB='recap S1'!$B108)*(OFFSET(ListeB,,4)='recap S1'!AE$3)*(OFFSET(ListeB,,1)='recap S1'!AE$2)),"")</f>
        <v/>
      </c>
      <c r="AF108" s="32" t="str">
        <f ca="1">IF(SUMPRODUCT((ListeB='recap S1'!$B108)*(OFFSET(ListeB,,4)='recap S1'!AF$3)*(OFFSET(ListeB,,1)='recap S1'!AF$2))&gt;0,SUMPRODUCT((ListeB='recap S1'!$B108)*(OFFSET(ListeB,,4)='recap S1'!AF$3)*(OFFSET(ListeB,,1)='recap S1'!AF$2)),"")</f>
        <v/>
      </c>
      <c r="AG108" s="32"/>
      <c r="AH108" s="32" t="str">
        <f ca="1">IF(SUMPRODUCT((ListeB='recap S1'!$B108)*(OFFSET(ListeB,,4)='recap S1'!AH$3)*(OFFSET(ListeB,,1)='recap S1'!AH$2))&gt;0,SUMPRODUCT((ListeB='recap S1'!$B108)*(OFFSET(ListeB,,4)='recap S1'!AH$3)*(OFFSET(ListeB,,1)='recap S1'!AH$2)),"")</f>
        <v/>
      </c>
      <c r="AI108" s="32" t="str">
        <f ca="1">IF(SUMPRODUCT((ListeB='recap S1'!$B108)*(OFFSET(ListeB,,4)='recap S1'!AI$3)*(OFFSET(ListeB,,1)='recap S1'!AI$2))&gt;0,SUMPRODUCT((ListeB='recap S1'!$B108)*(OFFSET(ListeB,,4)='recap S1'!AI$3)*(OFFSET(ListeB,,1)='recap S1'!AI$2)),"")</f>
        <v/>
      </c>
      <c r="AJ108" s="32" t="str">
        <f ca="1">IF(SUMPRODUCT((ListeB='recap S1'!$B108)*(OFFSET(ListeB,,4)='recap S1'!AJ$3)*(OFFSET(ListeB,,1)='recap S1'!AJ$2))&gt;0,SUMPRODUCT((ListeB='recap S1'!$B108)*(OFFSET(ListeB,,4)='recap S1'!AJ$3)*(OFFSET(ListeB,,1)='recap S1'!AJ$2)),"")</f>
        <v/>
      </c>
      <c r="AK108" s="32"/>
      <c r="AL108" s="32" t="str">
        <f ca="1">IF(SUMPRODUCT((ListeB='recap S1'!$B108)*(OFFSET(ListeB,,4)='recap S1'!AL$3)*(OFFSET(ListeB,,1)='recap S1'!AL$2))&gt;0,SUMPRODUCT((ListeB='recap S1'!$B108)*(OFFSET(ListeB,,4)='recap S1'!AL$3)*(OFFSET(ListeB,,1)='recap S1'!AL$2)),"")</f>
        <v/>
      </c>
      <c r="AM108" s="32"/>
      <c r="AN108" s="32" t="str">
        <f ca="1">IF(SUMPRODUCT((ListeB='recap S1'!$B108)*(OFFSET(ListeB,,4)='recap S1'!AN$3)*(OFFSET(ListeB,,1)='recap S1'!AN$2))&gt;0,SUMPRODUCT((ListeB='recap S1'!$B108)*(OFFSET(ListeB,,4)='recap S1'!AN$3)*(OFFSET(ListeB,,1)='recap S1'!AN$2)),"")</f>
        <v/>
      </c>
      <c r="AO108" s="32" t="str">
        <f ca="1">IF(SUMPRODUCT((ListeB='recap S1'!$B108)*(OFFSET(ListeB,,4)='recap S1'!AO$3)*(OFFSET(ListeB,,1)='recap S1'!AO$2))&gt;0,SUMPRODUCT((ListeB='recap S1'!$B108)*(OFFSET(ListeB,,4)='recap S1'!AO$3)*(OFFSET(ListeB,,1)='recap S1'!AO$2)),"")</f>
        <v/>
      </c>
      <c r="AP108" s="32"/>
      <c r="AQ108" s="32"/>
      <c r="AR108" s="32"/>
      <c r="AS108" s="32" t="str">
        <f ca="1">IF(SUMPRODUCT((ListeB='recap S1'!$B108)*(OFFSET(ListeB,,4)='recap S1'!AS$3)*(OFFSET(ListeB,,1)='recap S1'!AS$2))&gt;0,SUMPRODUCT((ListeB='recap S1'!$B108)*(OFFSET(ListeB,,4)='recap S1'!AS$3)*(OFFSET(ListeB,,1)='recap S1'!AS$2)),"")</f>
        <v/>
      </c>
      <c r="AT108" s="32" t="str">
        <f ca="1">IF(SUMPRODUCT((ListeB='recap S1'!$B108)*(OFFSET(ListeB,,4)='recap S1'!AT$3)*(OFFSET(ListeB,,1)='recap S1'!AT$2))&gt;0,SUMPRODUCT((ListeB='recap S1'!$B108)*(OFFSET(ListeB,,4)='recap S1'!AT$3)*(OFFSET(ListeB,,1)='recap S1'!AT$2)),"")</f>
        <v/>
      </c>
      <c r="AU108" s="32"/>
      <c r="AV108" s="32" t="str">
        <f ca="1">IF(SUMPRODUCT((ListeB='recap S1'!$B108)*(OFFSET(ListeB,,4)='recap S1'!AV$3)*(OFFSET(ListeB,,1)='recap S1'!AV$2))&gt;0,SUMPRODUCT((ListeB='recap S1'!$B108)*(OFFSET(ListeB,,4)='recap S1'!AV$3)*(OFFSET(ListeB,,1)='recap S1'!AV$2)),"")</f>
        <v/>
      </c>
      <c r="AW108" s="32" t="str">
        <f ca="1">IF(SUMPRODUCT((ListeB='recap S1'!$B108)*(OFFSET(ListeB,,4)='recap S1'!AW$3)*(OFFSET(ListeB,,1)='recap S1'!AW$2))&gt;0,SUMPRODUCT((ListeB='recap S1'!$B108)*(OFFSET(ListeB,,4)='recap S1'!AW$3)*(OFFSET(ListeB,,1)='recap S1'!AW$2)),"")</f>
        <v/>
      </c>
      <c r="AX108" s="32" t="str">
        <f ca="1">IF(SUMPRODUCT((ListeB='recap S1'!$B108)*(OFFSET(ListeB,,4)='recap S1'!AX$3)*(OFFSET(ListeB,,1)='recap S1'!AX$2))&gt;0,SUMPRODUCT((ListeB='recap S1'!$B108)*(OFFSET(ListeB,,4)='recap S1'!AX$3)*(OFFSET(ListeB,,1)='recap S1'!AX$2)),"")</f>
        <v/>
      </c>
      <c r="AY108" s="34"/>
      <c r="AZ108" s="32">
        <f t="shared" ca="1" si="3"/>
        <v>0</v>
      </c>
    </row>
    <row r="109" spans="1:52">
      <c r="A109" s="41" t="str">
        <f>IF('SEANCE 1'!$B107&lt;&gt;"",'SEANCE 1'!$A107,"")</f>
        <v/>
      </c>
      <c r="B109" s="41" t="str">
        <f t="array" aca="1" ref="B109" ca="1">IF(ISNA(INDEX(ListeB,MATCH(0,COUNTIF($B$3:B108,ListeB),0))),"",INDEX(ListeB,MATCH(0,COUNTIF($B$3:B108,ListeB),0)))</f>
        <v/>
      </c>
      <c r="C109" s="32" t="str">
        <f ca="1">IF(SUMPRODUCT((ListeB='recap S1'!$B109)*(OFFSET(ListeB,,4)='recap S1'!C$3)*(OFFSET(ListeB,,1)='recap S1'!C$2))&gt;0,SUMPRODUCT((ListeB='recap S1'!$B109)*(OFFSET(ListeB,,4)='recap S1'!C$3)*(OFFSET(ListeB,,1)='recap S1'!C$2)),"")</f>
        <v/>
      </c>
      <c r="D109" s="32" t="str">
        <f ca="1">IF(SUMPRODUCT((ListeB='recap S1'!$B109)*(OFFSET(ListeB,,4)='recap S1'!D$3)*(OFFSET(ListeB,,1)='recap S1'!D$2))&gt;0,SUMPRODUCT((ListeB='recap S1'!$B109)*(OFFSET(ListeB,,4)='recap S1'!D$3)*(OFFSET(ListeB,,1)='recap S1'!D$2)),"")</f>
        <v/>
      </c>
      <c r="E109" s="32"/>
      <c r="F109" s="32" t="str">
        <f ca="1">IF(SUMPRODUCT((ListeB='recap S1'!$B109)*(OFFSET(ListeB,,4)='recap S1'!F$3)*(OFFSET(ListeB,,1)='recap S1'!F$2))&gt;0,SUMPRODUCT((ListeB='recap S1'!$B109)*(OFFSET(ListeB,,4)='recap S1'!F$3)*(OFFSET(ListeB,,1)='recap S1'!F$2)),"")</f>
        <v/>
      </c>
      <c r="G109" s="32" t="str">
        <f ca="1">IF(SUMPRODUCT((ListeB='recap S1'!$B109)*(OFFSET(ListeB,,4)='recap S1'!G$3)*(OFFSET(ListeB,,1)='recap S1'!G$2))&gt;0,SUMPRODUCT((ListeB='recap S1'!$B109)*(OFFSET(ListeB,,4)='recap S1'!G$3)*(OFFSET(ListeB,,1)='recap S1'!G$2)),"")</f>
        <v/>
      </c>
      <c r="H109" s="32"/>
      <c r="I109" s="32" t="str">
        <f ca="1">IF(SUMPRODUCT((ListeB='recap S1'!$B109)*(OFFSET(ListeB,,4)='recap S1'!I$3)*(OFFSET(ListeB,,1)='recap S1'!I$2))&gt;0,SUMPRODUCT((ListeB='recap S1'!$B109)*(OFFSET(ListeB,,4)='recap S1'!I$3)*(OFFSET(ListeB,,1)='recap S1'!I$2)),"")</f>
        <v/>
      </c>
      <c r="J109" s="32" t="str">
        <f ca="1">IF(SUMPRODUCT((ListeB='recap S1'!$B109)*(OFFSET(ListeB,,4)='recap S1'!J$3)*(OFFSET(ListeB,,1)='recap S1'!J$2))&gt;0,SUMPRODUCT((ListeB='recap S1'!$B109)*(OFFSET(ListeB,,4)='recap S1'!J$3)*(OFFSET(ListeB,,1)='recap S1'!J$2)),"")</f>
        <v/>
      </c>
      <c r="K109" s="32" t="str">
        <f ca="1">IF(SUMPRODUCT((ListeB='recap S1'!$B109)*(OFFSET(ListeB,,4)='recap S1'!K$3)*(OFFSET(ListeB,,1)='recap S1'!K$2))&gt;0,SUMPRODUCT((ListeB='recap S1'!$B109)*(OFFSET(ListeB,,4)='recap S1'!K$3)*(OFFSET(ListeB,,1)='recap S1'!K$2)),"")</f>
        <v/>
      </c>
      <c r="L109" s="32"/>
      <c r="M109" s="32" t="str">
        <f ca="1">IF(SUMPRODUCT((ListeB='recap S1'!$B109)*(OFFSET(ListeB,,4)='recap S1'!M$3)*(OFFSET(ListeB,,1)='recap S1'!M$2))&gt;0,SUMPRODUCT((ListeB='recap S1'!$B109)*(OFFSET(ListeB,,4)='recap S1'!M$3)*(OFFSET(ListeB,,1)='recap S1'!M$2)),"")</f>
        <v/>
      </c>
      <c r="N109" s="32" t="str">
        <f ca="1">IF(SUMPRODUCT((ListeB='recap S1'!$B109)*(OFFSET(ListeB,,4)='recap S1'!N$3)*(OFFSET(ListeB,,1)='recap S1'!N$2))&gt;0,SUMPRODUCT((ListeB='recap S1'!$B109)*(OFFSET(ListeB,,4)='recap S1'!N$3)*(OFFSET(ListeB,,1)='recap S1'!N$2)),"")</f>
        <v/>
      </c>
      <c r="O109" s="32"/>
      <c r="P109" s="32" t="str">
        <f ca="1">IF(SUMPRODUCT((ListeB='recap S1'!$B109)*(OFFSET(ListeB,,4)='recap S1'!P$3)*(OFFSET(ListeB,,1)='recap S1'!P$2))&gt;0,SUMPRODUCT((ListeB='recap S1'!$B109)*(OFFSET(ListeB,,4)='recap S1'!P$3)*(OFFSET(ListeB,,1)='recap S1'!P$2)),"")</f>
        <v/>
      </c>
      <c r="Q109" s="32" t="str">
        <f ca="1">IF(SUMPRODUCT((ListeB='recap S1'!$B109)*(OFFSET(ListeB,,4)='recap S1'!Q$3)*(OFFSET(ListeB,,1)='recap S1'!Q$2))&gt;0,SUMPRODUCT((ListeB='recap S1'!$B109)*(OFFSET(ListeB,,4)='recap S1'!Q$3)*(OFFSET(ListeB,,1)='recap S1'!Q$2)),"")</f>
        <v/>
      </c>
      <c r="R109" s="32"/>
      <c r="S109" s="32" t="str">
        <f ca="1">IF(SUMPRODUCT((ListeB='recap S1'!$B109)*(OFFSET(ListeB,,4)='recap S1'!S$3)*(OFFSET(ListeB,,1)='recap S1'!S$2))&gt;0,SUMPRODUCT((ListeB='recap S1'!$B109)*(OFFSET(ListeB,,4)='recap S1'!S$3)*(OFFSET(ListeB,,1)='recap S1'!S$2)),"")</f>
        <v/>
      </c>
      <c r="T109" s="32" t="str">
        <f ca="1">IF(SUMPRODUCT((ListeB='recap S1'!$B109)*(OFFSET(ListeB,,4)='recap S1'!T$3)*(OFFSET(ListeB,,1)='recap S1'!T$2))&gt;0,SUMPRODUCT((ListeB='recap S1'!$B109)*(OFFSET(ListeB,,4)='recap S1'!T$3)*(OFFSET(ListeB,,1)='recap S1'!T$2)),"")</f>
        <v/>
      </c>
      <c r="U109" s="32" t="str">
        <f ca="1">IF(SUMPRODUCT((ListeB='recap S1'!$B109)*(OFFSET(ListeB,,4)='recap S1'!U$3)*(OFFSET(ListeB,,1)='recap S1'!U$2))&gt;0,SUMPRODUCT((ListeB='recap S1'!$B109)*(OFFSET(ListeB,,4)='recap S1'!U$3)*(OFFSET(ListeB,,1)='recap S1'!U$2)),"")</f>
        <v/>
      </c>
      <c r="V109" s="32"/>
      <c r="W109" s="32" t="str">
        <f ca="1">IF(SUMPRODUCT((ListeB='recap S1'!$B109)*(OFFSET(ListeB,,4)='recap S1'!W$3)*(OFFSET(ListeB,,1)='recap S1'!W$2))&gt;0,SUMPRODUCT((ListeB='recap S1'!$B109)*(OFFSET(ListeB,,4)='recap S1'!W$3)*(OFFSET(ListeB,,1)='recap S1'!W$2)),"")</f>
        <v/>
      </c>
      <c r="X109" s="32"/>
      <c r="Y109" s="32" t="str">
        <f ca="1">IF(SUMPRODUCT((ListeB='recap S1'!$B109)*(OFFSET(ListeB,,4)='recap S1'!Y$3)*(OFFSET(ListeB,,1)='recap S1'!Y$2))&gt;0,SUMPRODUCT((ListeB='recap S1'!$B109)*(OFFSET(ListeB,,4)='recap S1'!Y$3)*(OFFSET(ListeB,,1)='recap S1'!Y$2)),"")</f>
        <v/>
      </c>
      <c r="Z109" s="32" t="str">
        <f ca="1">IF(SUMPRODUCT((ListeB='recap S1'!$B109)*(OFFSET(ListeB,,4)='recap S1'!Z$3)*(OFFSET(ListeB,,1)='recap S1'!Z$2))&gt;0,SUMPRODUCT((ListeB='recap S1'!$B109)*(OFFSET(ListeB,,4)='recap S1'!Z$3)*(OFFSET(ListeB,,1)='recap S1'!Z$2)),"")</f>
        <v/>
      </c>
      <c r="AA109" s="32" t="str">
        <f ca="1">IF(SUMPRODUCT((ListeB='recap S1'!$B109)*(OFFSET(ListeB,,4)='recap S1'!AA$3)*(OFFSET(ListeB,,1)='recap S1'!AA$2))&gt;0,SUMPRODUCT((ListeB='recap S1'!$B109)*(OFFSET(ListeB,,4)='recap S1'!AA$3)*(OFFSET(ListeB,,1)='recap S1'!AA$2)),"")</f>
        <v/>
      </c>
      <c r="AB109" s="32"/>
      <c r="AC109" s="32" t="str">
        <f ca="1">IF(SUMPRODUCT((ListeB='recap S1'!$B109)*(OFFSET(ListeB,,4)='recap S1'!AC$3)*(OFFSET(ListeB,,1)='recap S1'!AC$2))&gt;0,SUMPRODUCT((ListeB='recap S1'!$B109)*(OFFSET(ListeB,,4)='recap S1'!AC$3)*(OFFSET(ListeB,,1)='recap S1'!AC$2)),"")</f>
        <v/>
      </c>
      <c r="AD109" s="32"/>
      <c r="AE109" s="32" t="str">
        <f ca="1">IF(SUMPRODUCT((ListeB='recap S1'!$B109)*(OFFSET(ListeB,,4)='recap S1'!AE$3)*(OFFSET(ListeB,,1)='recap S1'!AE$2))&gt;0,SUMPRODUCT((ListeB='recap S1'!$B109)*(OFFSET(ListeB,,4)='recap S1'!AE$3)*(OFFSET(ListeB,,1)='recap S1'!AE$2)),"")</f>
        <v/>
      </c>
      <c r="AF109" s="32" t="str">
        <f ca="1">IF(SUMPRODUCT((ListeB='recap S1'!$B109)*(OFFSET(ListeB,,4)='recap S1'!AF$3)*(OFFSET(ListeB,,1)='recap S1'!AF$2))&gt;0,SUMPRODUCT((ListeB='recap S1'!$B109)*(OFFSET(ListeB,,4)='recap S1'!AF$3)*(OFFSET(ListeB,,1)='recap S1'!AF$2)),"")</f>
        <v/>
      </c>
      <c r="AG109" s="32"/>
      <c r="AH109" s="32" t="str">
        <f ca="1">IF(SUMPRODUCT((ListeB='recap S1'!$B109)*(OFFSET(ListeB,,4)='recap S1'!AH$3)*(OFFSET(ListeB,,1)='recap S1'!AH$2))&gt;0,SUMPRODUCT((ListeB='recap S1'!$B109)*(OFFSET(ListeB,,4)='recap S1'!AH$3)*(OFFSET(ListeB,,1)='recap S1'!AH$2)),"")</f>
        <v/>
      </c>
      <c r="AI109" s="32" t="str">
        <f ca="1">IF(SUMPRODUCT((ListeB='recap S1'!$B109)*(OFFSET(ListeB,,4)='recap S1'!AI$3)*(OFFSET(ListeB,,1)='recap S1'!AI$2))&gt;0,SUMPRODUCT((ListeB='recap S1'!$B109)*(OFFSET(ListeB,,4)='recap S1'!AI$3)*(OFFSET(ListeB,,1)='recap S1'!AI$2)),"")</f>
        <v/>
      </c>
      <c r="AJ109" s="32" t="str">
        <f ca="1">IF(SUMPRODUCT((ListeB='recap S1'!$B109)*(OFFSET(ListeB,,4)='recap S1'!AJ$3)*(OFFSET(ListeB,,1)='recap S1'!AJ$2))&gt;0,SUMPRODUCT((ListeB='recap S1'!$B109)*(OFFSET(ListeB,,4)='recap S1'!AJ$3)*(OFFSET(ListeB,,1)='recap S1'!AJ$2)),"")</f>
        <v/>
      </c>
      <c r="AK109" s="32"/>
      <c r="AL109" s="32" t="str">
        <f ca="1">IF(SUMPRODUCT((ListeB='recap S1'!$B109)*(OFFSET(ListeB,,4)='recap S1'!AL$3)*(OFFSET(ListeB,,1)='recap S1'!AL$2))&gt;0,SUMPRODUCT((ListeB='recap S1'!$B109)*(OFFSET(ListeB,,4)='recap S1'!AL$3)*(OFFSET(ListeB,,1)='recap S1'!AL$2)),"")</f>
        <v/>
      </c>
      <c r="AM109" s="32"/>
      <c r="AN109" s="32" t="str">
        <f ca="1">IF(SUMPRODUCT((ListeB='recap S1'!$B109)*(OFFSET(ListeB,,4)='recap S1'!AN$3)*(OFFSET(ListeB,,1)='recap S1'!AN$2))&gt;0,SUMPRODUCT((ListeB='recap S1'!$B109)*(OFFSET(ListeB,,4)='recap S1'!AN$3)*(OFFSET(ListeB,,1)='recap S1'!AN$2)),"")</f>
        <v/>
      </c>
      <c r="AO109" s="32" t="str">
        <f ca="1">IF(SUMPRODUCT((ListeB='recap S1'!$B109)*(OFFSET(ListeB,,4)='recap S1'!AO$3)*(OFFSET(ListeB,,1)='recap S1'!AO$2))&gt;0,SUMPRODUCT((ListeB='recap S1'!$B109)*(OFFSET(ListeB,,4)='recap S1'!AO$3)*(OFFSET(ListeB,,1)='recap S1'!AO$2)),"")</f>
        <v/>
      </c>
      <c r="AP109" s="32"/>
      <c r="AQ109" s="32"/>
      <c r="AR109" s="32"/>
      <c r="AS109" s="32" t="str">
        <f ca="1">IF(SUMPRODUCT((ListeB='recap S1'!$B109)*(OFFSET(ListeB,,4)='recap S1'!AS$3)*(OFFSET(ListeB,,1)='recap S1'!AS$2))&gt;0,SUMPRODUCT((ListeB='recap S1'!$B109)*(OFFSET(ListeB,,4)='recap S1'!AS$3)*(OFFSET(ListeB,,1)='recap S1'!AS$2)),"")</f>
        <v/>
      </c>
      <c r="AT109" s="32" t="str">
        <f ca="1">IF(SUMPRODUCT((ListeB='recap S1'!$B109)*(OFFSET(ListeB,,4)='recap S1'!AT$3)*(OFFSET(ListeB,,1)='recap S1'!AT$2))&gt;0,SUMPRODUCT((ListeB='recap S1'!$B109)*(OFFSET(ListeB,,4)='recap S1'!AT$3)*(OFFSET(ListeB,,1)='recap S1'!AT$2)),"")</f>
        <v/>
      </c>
      <c r="AU109" s="32"/>
      <c r="AV109" s="32" t="str">
        <f ca="1">IF(SUMPRODUCT((ListeB='recap S1'!$B109)*(OFFSET(ListeB,,4)='recap S1'!AV$3)*(OFFSET(ListeB,,1)='recap S1'!AV$2))&gt;0,SUMPRODUCT((ListeB='recap S1'!$B109)*(OFFSET(ListeB,,4)='recap S1'!AV$3)*(OFFSET(ListeB,,1)='recap S1'!AV$2)),"")</f>
        <v/>
      </c>
      <c r="AW109" s="32" t="str">
        <f ca="1">IF(SUMPRODUCT((ListeB='recap S1'!$B109)*(OFFSET(ListeB,,4)='recap S1'!AW$3)*(OFFSET(ListeB,,1)='recap S1'!AW$2))&gt;0,SUMPRODUCT((ListeB='recap S1'!$B109)*(OFFSET(ListeB,,4)='recap S1'!AW$3)*(OFFSET(ListeB,,1)='recap S1'!AW$2)),"")</f>
        <v/>
      </c>
      <c r="AX109" s="32" t="str">
        <f ca="1">IF(SUMPRODUCT((ListeB='recap S1'!$B109)*(OFFSET(ListeB,,4)='recap S1'!AX$3)*(OFFSET(ListeB,,1)='recap S1'!AX$2))&gt;0,SUMPRODUCT((ListeB='recap S1'!$B109)*(OFFSET(ListeB,,4)='recap S1'!AX$3)*(OFFSET(ListeB,,1)='recap S1'!AX$2)),"")</f>
        <v/>
      </c>
      <c r="AY109" s="34"/>
      <c r="AZ109" s="32">
        <f t="shared" ca="1" si="3"/>
        <v>0</v>
      </c>
    </row>
    <row r="110" spans="1:52">
      <c r="A110" s="41" t="str">
        <f>IF('SEANCE 1'!$B108&lt;&gt;"",'SEANCE 1'!$A108,"")</f>
        <v/>
      </c>
      <c r="B110" s="41" t="str">
        <f t="array" aca="1" ref="B110" ca="1">IF(ISNA(INDEX(ListeB,MATCH(0,COUNTIF($B$3:B109,ListeB),0))),"",INDEX(ListeB,MATCH(0,COUNTIF($B$3:B109,ListeB),0)))</f>
        <v/>
      </c>
      <c r="C110" s="32" t="str">
        <f ca="1">IF(SUMPRODUCT((ListeB='recap S1'!$B110)*(OFFSET(ListeB,,4)='recap S1'!C$3)*(OFFSET(ListeB,,1)='recap S1'!C$2))&gt;0,SUMPRODUCT((ListeB='recap S1'!$B110)*(OFFSET(ListeB,,4)='recap S1'!C$3)*(OFFSET(ListeB,,1)='recap S1'!C$2)),"")</f>
        <v/>
      </c>
      <c r="D110" s="32" t="str">
        <f ca="1">IF(SUMPRODUCT((ListeB='recap S1'!$B110)*(OFFSET(ListeB,,4)='recap S1'!D$3)*(OFFSET(ListeB,,1)='recap S1'!D$2))&gt;0,SUMPRODUCT((ListeB='recap S1'!$B110)*(OFFSET(ListeB,,4)='recap S1'!D$3)*(OFFSET(ListeB,,1)='recap S1'!D$2)),"")</f>
        <v/>
      </c>
      <c r="E110" s="32"/>
      <c r="F110" s="32" t="str">
        <f ca="1">IF(SUMPRODUCT((ListeB='recap S1'!$B110)*(OFFSET(ListeB,,4)='recap S1'!F$3)*(OFFSET(ListeB,,1)='recap S1'!F$2))&gt;0,SUMPRODUCT((ListeB='recap S1'!$B110)*(OFFSET(ListeB,,4)='recap S1'!F$3)*(OFFSET(ListeB,,1)='recap S1'!F$2)),"")</f>
        <v/>
      </c>
      <c r="G110" s="32" t="str">
        <f ca="1">IF(SUMPRODUCT((ListeB='recap S1'!$B110)*(OFFSET(ListeB,,4)='recap S1'!G$3)*(OFFSET(ListeB,,1)='recap S1'!G$2))&gt;0,SUMPRODUCT((ListeB='recap S1'!$B110)*(OFFSET(ListeB,,4)='recap S1'!G$3)*(OFFSET(ListeB,,1)='recap S1'!G$2)),"")</f>
        <v/>
      </c>
      <c r="H110" s="32"/>
      <c r="I110" s="32" t="str">
        <f ca="1">IF(SUMPRODUCT((ListeB='recap S1'!$B110)*(OFFSET(ListeB,,4)='recap S1'!I$3)*(OFFSET(ListeB,,1)='recap S1'!I$2))&gt;0,SUMPRODUCT((ListeB='recap S1'!$B110)*(OFFSET(ListeB,,4)='recap S1'!I$3)*(OFFSET(ListeB,,1)='recap S1'!I$2)),"")</f>
        <v/>
      </c>
      <c r="J110" s="32" t="str">
        <f ca="1">IF(SUMPRODUCT((ListeB='recap S1'!$B110)*(OFFSET(ListeB,,4)='recap S1'!J$3)*(OFFSET(ListeB,,1)='recap S1'!J$2))&gt;0,SUMPRODUCT((ListeB='recap S1'!$B110)*(OFFSET(ListeB,,4)='recap S1'!J$3)*(OFFSET(ListeB,,1)='recap S1'!J$2)),"")</f>
        <v/>
      </c>
      <c r="K110" s="32" t="str">
        <f ca="1">IF(SUMPRODUCT((ListeB='recap S1'!$B110)*(OFFSET(ListeB,,4)='recap S1'!K$3)*(OFFSET(ListeB,,1)='recap S1'!K$2))&gt;0,SUMPRODUCT((ListeB='recap S1'!$B110)*(OFFSET(ListeB,,4)='recap S1'!K$3)*(OFFSET(ListeB,,1)='recap S1'!K$2)),"")</f>
        <v/>
      </c>
      <c r="L110" s="32"/>
      <c r="M110" s="32" t="str">
        <f ca="1">IF(SUMPRODUCT((ListeB='recap S1'!$B110)*(OFFSET(ListeB,,4)='recap S1'!M$3)*(OFFSET(ListeB,,1)='recap S1'!M$2))&gt;0,SUMPRODUCT((ListeB='recap S1'!$B110)*(OFFSET(ListeB,,4)='recap S1'!M$3)*(OFFSET(ListeB,,1)='recap S1'!M$2)),"")</f>
        <v/>
      </c>
      <c r="N110" s="32" t="str">
        <f ca="1">IF(SUMPRODUCT((ListeB='recap S1'!$B110)*(OFFSET(ListeB,,4)='recap S1'!N$3)*(OFFSET(ListeB,,1)='recap S1'!N$2))&gt;0,SUMPRODUCT((ListeB='recap S1'!$B110)*(OFFSET(ListeB,,4)='recap S1'!N$3)*(OFFSET(ListeB,,1)='recap S1'!N$2)),"")</f>
        <v/>
      </c>
      <c r="O110" s="32"/>
      <c r="P110" s="32" t="str">
        <f ca="1">IF(SUMPRODUCT((ListeB='recap S1'!$B110)*(OFFSET(ListeB,,4)='recap S1'!P$3)*(OFFSET(ListeB,,1)='recap S1'!P$2))&gt;0,SUMPRODUCT((ListeB='recap S1'!$B110)*(OFFSET(ListeB,,4)='recap S1'!P$3)*(OFFSET(ListeB,,1)='recap S1'!P$2)),"")</f>
        <v/>
      </c>
      <c r="Q110" s="32" t="str">
        <f ca="1">IF(SUMPRODUCT((ListeB='recap S1'!$B110)*(OFFSET(ListeB,,4)='recap S1'!Q$3)*(OFFSET(ListeB,,1)='recap S1'!Q$2))&gt;0,SUMPRODUCT((ListeB='recap S1'!$B110)*(OFFSET(ListeB,,4)='recap S1'!Q$3)*(OFFSET(ListeB,,1)='recap S1'!Q$2)),"")</f>
        <v/>
      </c>
      <c r="R110" s="32"/>
      <c r="S110" s="32" t="str">
        <f ca="1">IF(SUMPRODUCT((ListeB='recap S1'!$B110)*(OFFSET(ListeB,,4)='recap S1'!S$3)*(OFFSET(ListeB,,1)='recap S1'!S$2))&gt;0,SUMPRODUCT((ListeB='recap S1'!$B110)*(OFFSET(ListeB,,4)='recap S1'!S$3)*(OFFSET(ListeB,,1)='recap S1'!S$2)),"")</f>
        <v/>
      </c>
      <c r="T110" s="32" t="str">
        <f ca="1">IF(SUMPRODUCT((ListeB='recap S1'!$B110)*(OFFSET(ListeB,,4)='recap S1'!T$3)*(OFFSET(ListeB,,1)='recap S1'!T$2))&gt;0,SUMPRODUCT((ListeB='recap S1'!$B110)*(OFFSET(ListeB,,4)='recap S1'!T$3)*(OFFSET(ListeB,,1)='recap S1'!T$2)),"")</f>
        <v/>
      </c>
      <c r="U110" s="32" t="str">
        <f ca="1">IF(SUMPRODUCT((ListeB='recap S1'!$B110)*(OFFSET(ListeB,,4)='recap S1'!U$3)*(OFFSET(ListeB,,1)='recap S1'!U$2))&gt;0,SUMPRODUCT((ListeB='recap S1'!$B110)*(OFFSET(ListeB,,4)='recap S1'!U$3)*(OFFSET(ListeB,,1)='recap S1'!U$2)),"")</f>
        <v/>
      </c>
      <c r="V110" s="32"/>
      <c r="W110" s="32" t="str">
        <f ca="1">IF(SUMPRODUCT((ListeB='recap S1'!$B110)*(OFFSET(ListeB,,4)='recap S1'!W$3)*(OFFSET(ListeB,,1)='recap S1'!W$2))&gt;0,SUMPRODUCT((ListeB='recap S1'!$B110)*(OFFSET(ListeB,,4)='recap S1'!W$3)*(OFFSET(ListeB,,1)='recap S1'!W$2)),"")</f>
        <v/>
      </c>
      <c r="X110" s="32"/>
      <c r="Y110" s="32" t="str">
        <f ca="1">IF(SUMPRODUCT((ListeB='recap S1'!$B110)*(OFFSET(ListeB,,4)='recap S1'!Y$3)*(OFFSET(ListeB,,1)='recap S1'!Y$2))&gt;0,SUMPRODUCT((ListeB='recap S1'!$B110)*(OFFSET(ListeB,,4)='recap S1'!Y$3)*(OFFSET(ListeB,,1)='recap S1'!Y$2)),"")</f>
        <v/>
      </c>
      <c r="Z110" s="32" t="str">
        <f ca="1">IF(SUMPRODUCT((ListeB='recap S1'!$B110)*(OFFSET(ListeB,,4)='recap S1'!Z$3)*(OFFSET(ListeB,,1)='recap S1'!Z$2))&gt;0,SUMPRODUCT((ListeB='recap S1'!$B110)*(OFFSET(ListeB,,4)='recap S1'!Z$3)*(OFFSET(ListeB,,1)='recap S1'!Z$2)),"")</f>
        <v/>
      </c>
      <c r="AA110" s="32" t="str">
        <f ca="1">IF(SUMPRODUCT((ListeB='recap S1'!$B110)*(OFFSET(ListeB,,4)='recap S1'!AA$3)*(OFFSET(ListeB,,1)='recap S1'!AA$2))&gt;0,SUMPRODUCT((ListeB='recap S1'!$B110)*(OFFSET(ListeB,,4)='recap S1'!AA$3)*(OFFSET(ListeB,,1)='recap S1'!AA$2)),"")</f>
        <v/>
      </c>
      <c r="AB110" s="32"/>
      <c r="AC110" s="32" t="str">
        <f ca="1">IF(SUMPRODUCT((ListeB='recap S1'!$B110)*(OFFSET(ListeB,,4)='recap S1'!AC$3)*(OFFSET(ListeB,,1)='recap S1'!AC$2))&gt;0,SUMPRODUCT((ListeB='recap S1'!$B110)*(OFFSET(ListeB,,4)='recap S1'!AC$3)*(OFFSET(ListeB,,1)='recap S1'!AC$2)),"")</f>
        <v/>
      </c>
      <c r="AD110" s="32"/>
      <c r="AE110" s="32" t="str">
        <f ca="1">IF(SUMPRODUCT((ListeB='recap S1'!$B110)*(OFFSET(ListeB,,4)='recap S1'!AE$3)*(OFFSET(ListeB,,1)='recap S1'!AE$2))&gt;0,SUMPRODUCT((ListeB='recap S1'!$B110)*(OFFSET(ListeB,,4)='recap S1'!AE$3)*(OFFSET(ListeB,,1)='recap S1'!AE$2)),"")</f>
        <v/>
      </c>
      <c r="AF110" s="32" t="str">
        <f ca="1">IF(SUMPRODUCT((ListeB='recap S1'!$B110)*(OFFSET(ListeB,,4)='recap S1'!AF$3)*(OFFSET(ListeB,,1)='recap S1'!AF$2))&gt;0,SUMPRODUCT((ListeB='recap S1'!$B110)*(OFFSET(ListeB,,4)='recap S1'!AF$3)*(OFFSET(ListeB,,1)='recap S1'!AF$2)),"")</f>
        <v/>
      </c>
      <c r="AG110" s="32"/>
      <c r="AH110" s="32" t="str">
        <f ca="1">IF(SUMPRODUCT((ListeB='recap S1'!$B110)*(OFFSET(ListeB,,4)='recap S1'!AH$3)*(OFFSET(ListeB,,1)='recap S1'!AH$2))&gt;0,SUMPRODUCT((ListeB='recap S1'!$B110)*(OFFSET(ListeB,,4)='recap S1'!AH$3)*(OFFSET(ListeB,,1)='recap S1'!AH$2)),"")</f>
        <v/>
      </c>
      <c r="AI110" s="32" t="str">
        <f ca="1">IF(SUMPRODUCT((ListeB='recap S1'!$B110)*(OFFSET(ListeB,,4)='recap S1'!AI$3)*(OFFSET(ListeB,,1)='recap S1'!AI$2))&gt;0,SUMPRODUCT((ListeB='recap S1'!$B110)*(OFFSET(ListeB,,4)='recap S1'!AI$3)*(OFFSET(ListeB,,1)='recap S1'!AI$2)),"")</f>
        <v/>
      </c>
      <c r="AJ110" s="32" t="str">
        <f ca="1">IF(SUMPRODUCT((ListeB='recap S1'!$B110)*(OFFSET(ListeB,,4)='recap S1'!AJ$3)*(OFFSET(ListeB,,1)='recap S1'!AJ$2))&gt;0,SUMPRODUCT((ListeB='recap S1'!$B110)*(OFFSET(ListeB,,4)='recap S1'!AJ$3)*(OFFSET(ListeB,,1)='recap S1'!AJ$2)),"")</f>
        <v/>
      </c>
      <c r="AK110" s="32"/>
      <c r="AL110" s="32" t="str">
        <f ca="1">IF(SUMPRODUCT((ListeB='recap S1'!$B110)*(OFFSET(ListeB,,4)='recap S1'!AL$3)*(OFFSET(ListeB,,1)='recap S1'!AL$2))&gt;0,SUMPRODUCT((ListeB='recap S1'!$B110)*(OFFSET(ListeB,,4)='recap S1'!AL$3)*(OFFSET(ListeB,,1)='recap S1'!AL$2)),"")</f>
        <v/>
      </c>
      <c r="AM110" s="32"/>
      <c r="AN110" s="32" t="str">
        <f ca="1">IF(SUMPRODUCT((ListeB='recap S1'!$B110)*(OFFSET(ListeB,,4)='recap S1'!AN$3)*(OFFSET(ListeB,,1)='recap S1'!AN$2))&gt;0,SUMPRODUCT((ListeB='recap S1'!$B110)*(OFFSET(ListeB,,4)='recap S1'!AN$3)*(OFFSET(ListeB,,1)='recap S1'!AN$2)),"")</f>
        <v/>
      </c>
      <c r="AO110" s="32" t="str">
        <f ca="1">IF(SUMPRODUCT((ListeB='recap S1'!$B110)*(OFFSET(ListeB,,4)='recap S1'!AO$3)*(OFFSET(ListeB,,1)='recap S1'!AO$2))&gt;0,SUMPRODUCT((ListeB='recap S1'!$B110)*(OFFSET(ListeB,,4)='recap S1'!AO$3)*(OFFSET(ListeB,,1)='recap S1'!AO$2)),"")</f>
        <v/>
      </c>
      <c r="AP110" s="32"/>
      <c r="AQ110" s="32"/>
      <c r="AR110" s="32"/>
      <c r="AS110" s="32" t="str">
        <f ca="1">IF(SUMPRODUCT((ListeB='recap S1'!$B110)*(OFFSET(ListeB,,4)='recap S1'!AS$3)*(OFFSET(ListeB,,1)='recap S1'!AS$2))&gt;0,SUMPRODUCT((ListeB='recap S1'!$B110)*(OFFSET(ListeB,,4)='recap S1'!AS$3)*(OFFSET(ListeB,,1)='recap S1'!AS$2)),"")</f>
        <v/>
      </c>
      <c r="AT110" s="32" t="str">
        <f ca="1">IF(SUMPRODUCT((ListeB='recap S1'!$B110)*(OFFSET(ListeB,,4)='recap S1'!AT$3)*(OFFSET(ListeB,,1)='recap S1'!AT$2))&gt;0,SUMPRODUCT((ListeB='recap S1'!$B110)*(OFFSET(ListeB,,4)='recap S1'!AT$3)*(OFFSET(ListeB,,1)='recap S1'!AT$2)),"")</f>
        <v/>
      </c>
      <c r="AU110" s="32"/>
      <c r="AV110" s="32" t="str">
        <f ca="1">IF(SUMPRODUCT((ListeB='recap S1'!$B110)*(OFFSET(ListeB,,4)='recap S1'!AV$3)*(OFFSET(ListeB,,1)='recap S1'!AV$2))&gt;0,SUMPRODUCT((ListeB='recap S1'!$B110)*(OFFSET(ListeB,,4)='recap S1'!AV$3)*(OFFSET(ListeB,,1)='recap S1'!AV$2)),"")</f>
        <v/>
      </c>
      <c r="AW110" s="32" t="str">
        <f ca="1">IF(SUMPRODUCT((ListeB='recap S1'!$B110)*(OFFSET(ListeB,,4)='recap S1'!AW$3)*(OFFSET(ListeB,,1)='recap S1'!AW$2))&gt;0,SUMPRODUCT((ListeB='recap S1'!$B110)*(OFFSET(ListeB,,4)='recap S1'!AW$3)*(OFFSET(ListeB,,1)='recap S1'!AW$2)),"")</f>
        <v/>
      </c>
      <c r="AX110" s="32" t="str">
        <f ca="1">IF(SUMPRODUCT((ListeB='recap S1'!$B110)*(OFFSET(ListeB,,4)='recap S1'!AX$3)*(OFFSET(ListeB,,1)='recap S1'!AX$2))&gt;0,SUMPRODUCT((ListeB='recap S1'!$B110)*(OFFSET(ListeB,,4)='recap S1'!AX$3)*(OFFSET(ListeB,,1)='recap S1'!AX$2)),"")</f>
        <v/>
      </c>
      <c r="AY110" s="34"/>
      <c r="AZ110" s="32">
        <f t="shared" ca="1" si="3"/>
        <v>0</v>
      </c>
    </row>
    <row r="111" spans="1:52">
      <c r="A111" s="41" t="str">
        <f>IF('SEANCE 1'!$B109&lt;&gt;"",'SEANCE 1'!$A109,"")</f>
        <v/>
      </c>
      <c r="B111" s="41" t="str">
        <f t="array" aca="1" ref="B111" ca="1">IF(ISNA(INDEX(ListeB,MATCH(0,COUNTIF($B$3:B110,ListeB),0))),"",INDEX(ListeB,MATCH(0,COUNTIF($B$3:B110,ListeB),0)))</f>
        <v/>
      </c>
      <c r="C111" s="32" t="str">
        <f ca="1">IF(SUMPRODUCT((ListeB='recap S1'!$B111)*(OFFSET(ListeB,,4)='recap S1'!C$3)*(OFFSET(ListeB,,1)='recap S1'!C$2))&gt;0,SUMPRODUCT((ListeB='recap S1'!$B111)*(OFFSET(ListeB,,4)='recap S1'!C$3)*(OFFSET(ListeB,,1)='recap S1'!C$2)),"")</f>
        <v/>
      </c>
      <c r="D111" s="32" t="str">
        <f ca="1">IF(SUMPRODUCT((ListeB='recap S1'!$B111)*(OFFSET(ListeB,,4)='recap S1'!D$3)*(OFFSET(ListeB,,1)='recap S1'!D$2))&gt;0,SUMPRODUCT((ListeB='recap S1'!$B111)*(OFFSET(ListeB,,4)='recap S1'!D$3)*(OFFSET(ListeB,,1)='recap S1'!D$2)),"")</f>
        <v/>
      </c>
      <c r="E111" s="32"/>
      <c r="F111" s="32" t="str">
        <f ca="1">IF(SUMPRODUCT((ListeB='recap S1'!$B111)*(OFFSET(ListeB,,4)='recap S1'!F$3)*(OFFSET(ListeB,,1)='recap S1'!F$2))&gt;0,SUMPRODUCT((ListeB='recap S1'!$B111)*(OFFSET(ListeB,,4)='recap S1'!F$3)*(OFFSET(ListeB,,1)='recap S1'!F$2)),"")</f>
        <v/>
      </c>
      <c r="G111" s="32" t="str">
        <f ca="1">IF(SUMPRODUCT((ListeB='recap S1'!$B111)*(OFFSET(ListeB,,4)='recap S1'!G$3)*(OFFSET(ListeB,,1)='recap S1'!G$2))&gt;0,SUMPRODUCT((ListeB='recap S1'!$B111)*(OFFSET(ListeB,,4)='recap S1'!G$3)*(OFFSET(ListeB,,1)='recap S1'!G$2)),"")</f>
        <v/>
      </c>
      <c r="H111" s="32"/>
      <c r="I111" s="32" t="str">
        <f ca="1">IF(SUMPRODUCT((ListeB='recap S1'!$B111)*(OFFSET(ListeB,,4)='recap S1'!I$3)*(OFFSET(ListeB,,1)='recap S1'!I$2))&gt;0,SUMPRODUCT((ListeB='recap S1'!$B111)*(OFFSET(ListeB,,4)='recap S1'!I$3)*(OFFSET(ListeB,,1)='recap S1'!I$2)),"")</f>
        <v/>
      </c>
      <c r="J111" s="32" t="str">
        <f ca="1">IF(SUMPRODUCT((ListeB='recap S1'!$B111)*(OFFSET(ListeB,,4)='recap S1'!J$3)*(OFFSET(ListeB,,1)='recap S1'!J$2))&gt;0,SUMPRODUCT((ListeB='recap S1'!$B111)*(OFFSET(ListeB,,4)='recap S1'!J$3)*(OFFSET(ListeB,,1)='recap S1'!J$2)),"")</f>
        <v/>
      </c>
      <c r="K111" s="32" t="str">
        <f ca="1">IF(SUMPRODUCT((ListeB='recap S1'!$B111)*(OFFSET(ListeB,,4)='recap S1'!K$3)*(OFFSET(ListeB,,1)='recap S1'!K$2))&gt;0,SUMPRODUCT((ListeB='recap S1'!$B111)*(OFFSET(ListeB,,4)='recap S1'!K$3)*(OFFSET(ListeB,,1)='recap S1'!K$2)),"")</f>
        <v/>
      </c>
      <c r="L111" s="32"/>
      <c r="M111" s="32" t="str">
        <f ca="1">IF(SUMPRODUCT((ListeB='recap S1'!$B111)*(OFFSET(ListeB,,4)='recap S1'!M$3)*(OFFSET(ListeB,,1)='recap S1'!M$2))&gt;0,SUMPRODUCT((ListeB='recap S1'!$B111)*(OFFSET(ListeB,,4)='recap S1'!M$3)*(OFFSET(ListeB,,1)='recap S1'!M$2)),"")</f>
        <v/>
      </c>
      <c r="N111" s="32" t="str">
        <f ca="1">IF(SUMPRODUCT((ListeB='recap S1'!$B111)*(OFFSET(ListeB,,4)='recap S1'!N$3)*(OFFSET(ListeB,,1)='recap S1'!N$2))&gt;0,SUMPRODUCT((ListeB='recap S1'!$B111)*(OFFSET(ListeB,,4)='recap S1'!N$3)*(OFFSET(ListeB,,1)='recap S1'!N$2)),"")</f>
        <v/>
      </c>
      <c r="O111" s="32"/>
      <c r="P111" s="32" t="str">
        <f ca="1">IF(SUMPRODUCT((ListeB='recap S1'!$B111)*(OFFSET(ListeB,,4)='recap S1'!P$3)*(OFFSET(ListeB,,1)='recap S1'!P$2))&gt;0,SUMPRODUCT((ListeB='recap S1'!$B111)*(OFFSET(ListeB,,4)='recap S1'!P$3)*(OFFSET(ListeB,,1)='recap S1'!P$2)),"")</f>
        <v/>
      </c>
      <c r="Q111" s="32" t="str">
        <f ca="1">IF(SUMPRODUCT((ListeB='recap S1'!$B111)*(OFFSET(ListeB,,4)='recap S1'!Q$3)*(OFFSET(ListeB,,1)='recap S1'!Q$2))&gt;0,SUMPRODUCT((ListeB='recap S1'!$B111)*(OFFSET(ListeB,,4)='recap S1'!Q$3)*(OFFSET(ListeB,,1)='recap S1'!Q$2)),"")</f>
        <v/>
      </c>
      <c r="R111" s="32"/>
      <c r="S111" s="32" t="str">
        <f ca="1">IF(SUMPRODUCT((ListeB='recap S1'!$B111)*(OFFSET(ListeB,,4)='recap S1'!S$3)*(OFFSET(ListeB,,1)='recap S1'!S$2))&gt;0,SUMPRODUCT((ListeB='recap S1'!$B111)*(OFFSET(ListeB,,4)='recap S1'!S$3)*(OFFSET(ListeB,,1)='recap S1'!S$2)),"")</f>
        <v/>
      </c>
      <c r="T111" s="32" t="str">
        <f ca="1">IF(SUMPRODUCT((ListeB='recap S1'!$B111)*(OFFSET(ListeB,,4)='recap S1'!T$3)*(OFFSET(ListeB,,1)='recap S1'!T$2))&gt;0,SUMPRODUCT((ListeB='recap S1'!$B111)*(OFFSET(ListeB,,4)='recap S1'!T$3)*(OFFSET(ListeB,,1)='recap S1'!T$2)),"")</f>
        <v/>
      </c>
      <c r="U111" s="32" t="str">
        <f ca="1">IF(SUMPRODUCT((ListeB='recap S1'!$B111)*(OFFSET(ListeB,,4)='recap S1'!U$3)*(OFFSET(ListeB,,1)='recap S1'!U$2))&gt;0,SUMPRODUCT((ListeB='recap S1'!$B111)*(OFFSET(ListeB,,4)='recap S1'!U$3)*(OFFSET(ListeB,,1)='recap S1'!U$2)),"")</f>
        <v/>
      </c>
      <c r="V111" s="32"/>
      <c r="W111" s="32" t="str">
        <f ca="1">IF(SUMPRODUCT((ListeB='recap S1'!$B111)*(OFFSET(ListeB,,4)='recap S1'!W$3)*(OFFSET(ListeB,,1)='recap S1'!W$2))&gt;0,SUMPRODUCT((ListeB='recap S1'!$B111)*(OFFSET(ListeB,,4)='recap S1'!W$3)*(OFFSET(ListeB,,1)='recap S1'!W$2)),"")</f>
        <v/>
      </c>
      <c r="X111" s="32"/>
      <c r="Y111" s="32" t="str">
        <f ca="1">IF(SUMPRODUCT((ListeB='recap S1'!$B111)*(OFFSET(ListeB,,4)='recap S1'!Y$3)*(OFFSET(ListeB,,1)='recap S1'!Y$2))&gt;0,SUMPRODUCT((ListeB='recap S1'!$B111)*(OFFSET(ListeB,,4)='recap S1'!Y$3)*(OFFSET(ListeB,,1)='recap S1'!Y$2)),"")</f>
        <v/>
      </c>
      <c r="Z111" s="32" t="str">
        <f ca="1">IF(SUMPRODUCT((ListeB='recap S1'!$B111)*(OFFSET(ListeB,,4)='recap S1'!Z$3)*(OFFSET(ListeB,,1)='recap S1'!Z$2))&gt;0,SUMPRODUCT((ListeB='recap S1'!$B111)*(OFFSET(ListeB,,4)='recap S1'!Z$3)*(OFFSET(ListeB,,1)='recap S1'!Z$2)),"")</f>
        <v/>
      </c>
      <c r="AA111" s="32" t="str">
        <f ca="1">IF(SUMPRODUCT((ListeB='recap S1'!$B111)*(OFFSET(ListeB,,4)='recap S1'!AA$3)*(OFFSET(ListeB,,1)='recap S1'!AA$2))&gt;0,SUMPRODUCT((ListeB='recap S1'!$B111)*(OFFSET(ListeB,,4)='recap S1'!AA$3)*(OFFSET(ListeB,,1)='recap S1'!AA$2)),"")</f>
        <v/>
      </c>
      <c r="AB111" s="32"/>
      <c r="AC111" s="32" t="str">
        <f ca="1">IF(SUMPRODUCT((ListeB='recap S1'!$B111)*(OFFSET(ListeB,,4)='recap S1'!AC$3)*(OFFSET(ListeB,,1)='recap S1'!AC$2))&gt;0,SUMPRODUCT((ListeB='recap S1'!$B111)*(OFFSET(ListeB,,4)='recap S1'!AC$3)*(OFFSET(ListeB,,1)='recap S1'!AC$2)),"")</f>
        <v/>
      </c>
      <c r="AD111" s="32"/>
      <c r="AE111" s="32" t="str">
        <f ca="1">IF(SUMPRODUCT((ListeB='recap S1'!$B111)*(OFFSET(ListeB,,4)='recap S1'!AE$3)*(OFFSET(ListeB,,1)='recap S1'!AE$2))&gt;0,SUMPRODUCT((ListeB='recap S1'!$B111)*(OFFSET(ListeB,,4)='recap S1'!AE$3)*(OFFSET(ListeB,,1)='recap S1'!AE$2)),"")</f>
        <v/>
      </c>
      <c r="AF111" s="32" t="str">
        <f ca="1">IF(SUMPRODUCT((ListeB='recap S1'!$B111)*(OFFSET(ListeB,,4)='recap S1'!AF$3)*(OFFSET(ListeB,,1)='recap S1'!AF$2))&gt;0,SUMPRODUCT((ListeB='recap S1'!$B111)*(OFFSET(ListeB,,4)='recap S1'!AF$3)*(OFFSET(ListeB,,1)='recap S1'!AF$2)),"")</f>
        <v/>
      </c>
      <c r="AG111" s="32"/>
      <c r="AH111" s="32" t="str">
        <f ca="1">IF(SUMPRODUCT((ListeB='recap S1'!$B111)*(OFFSET(ListeB,,4)='recap S1'!AH$3)*(OFFSET(ListeB,,1)='recap S1'!AH$2))&gt;0,SUMPRODUCT((ListeB='recap S1'!$B111)*(OFFSET(ListeB,,4)='recap S1'!AH$3)*(OFFSET(ListeB,,1)='recap S1'!AH$2)),"")</f>
        <v/>
      </c>
      <c r="AI111" s="32" t="str">
        <f ca="1">IF(SUMPRODUCT((ListeB='recap S1'!$B111)*(OFFSET(ListeB,,4)='recap S1'!AI$3)*(OFFSET(ListeB,,1)='recap S1'!AI$2))&gt;0,SUMPRODUCT((ListeB='recap S1'!$B111)*(OFFSET(ListeB,,4)='recap S1'!AI$3)*(OFFSET(ListeB,,1)='recap S1'!AI$2)),"")</f>
        <v/>
      </c>
      <c r="AJ111" s="32" t="str">
        <f ca="1">IF(SUMPRODUCT((ListeB='recap S1'!$B111)*(OFFSET(ListeB,,4)='recap S1'!AJ$3)*(OFFSET(ListeB,,1)='recap S1'!AJ$2))&gt;0,SUMPRODUCT((ListeB='recap S1'!$B111)*(OFFSET(ListeB,,4)='recap S1'!AJ$3)*(OFFSET(ListeB,,1)='recap S1'!AJ$2)),"")</f>
        <v/>
      </c>
      <c r="AK111" s="32"/>
      <c r="AL111" s="32" t="str">
        <f ca="1">IF(SUMPRODUCT((ListeB='recap S1'!$B111)*(OFFSET(ListeB,,4)='recap S1'!AL$3)*(OFFSET(ListeB,,1)='recap S1'!AL$2))&gt;0,SUMPRODUCT((ListeB='recap S1'!$B111)*(OFFSET(ListeB,,4)='recap S1'!AL$3)*(OFFSET(ListeB,,1)='recap S1'!AL$2)),"")</f>
        <v/>
      </c>
      <c r="AM111" s="32"/>
      <c r="AN111" s="32" t="str">
        <f ca="1">IF(SUMPRODUCT((ListeB='recap S1'!$B111)*(OFFSET(ListeB,,4)='recap S1'!AN$3)*(OFFSET(ListeB,,1)='recap S1'!AN$2))&gt;0,SUMPRODUCT((ListeB='recap S1'!$B111)*(OFFSET(ListeB,,4)='recap S1'!AN$3)*(OFFSET(ListeB,,1)='recap S1'!AN$2)),"")</f>
        <v/>
      </c>
      <c r="AO111" s="32" t="str">
        <f ca="1">IF(SUMPRODUCT((ListeB='recap S1'!$B111)*(OFFSET(ListeB,,4)='recap S1'!AO$3)*(OFFSET(ListeB,,1)='recap S1'!AO$2))&gt;0,SUMPRODUCT((ListeB='recap S1'!$B111)*(OFFSET(ListeB,,4)='recap S1'!AO$3)*(OFFSET(ListeB,,1)='recap S1'!AO$2)),"")</f>
        <v/>
      </c>
      <c r="AP111" s="32"/>
      <c r="AQ111" s="32"/>
      <c r="AR111" s="32"/>
      <c r="AS111" s="32" t="str">
        <f ca="1">IF(SUMPRODUCT((ListeB='recap S1'!$B111)*(OFFSET(ListeB,,4)='recap S1'!AS$3)*(OFFSET(ListeB,,1)='recap S1'!AS$2))&gt;0,SUMPRODUCT((ListeB='recap S1'!$B111)*(OFFSET(ListeB,,4)='recap S1'!AS$3)*(OFFSET(ListeB,,1)='recap S1'!AS$2)),"")</f>
        <v/>
      </c>
      <c r="AT111" s="32" t="str">
        <f ca="1">IF(SUMPRODUCT((ListeB='recap S1'!$B111)*(OFFSET(ListeB,,4)='recap S1'!AT$3)*(OFFSET(ListeB,,1)='recap S1'!AT$2))&gt;0,SUMPRODUCT((ListeB='recap S1'!$B111)*(OFFSET(ListeB,,4)='recap S1'!AT$3)*(OFFSET(ListeB,,1)='recap S1'!AT$2)),"")</f>
        <v/>
      </c>
      <c r="AU111" s="32"/>
      <c r="AV111" s="32" t="str">
        <f ca="1">IF(SUMPRODUCT((ListeB='recap S1'!$B111)*(OFFSET(ListeB,,4)='recap S1'!AV$3)*(OFFSET(ListeB,,1)='recap S1'!AV$2))&gt;0,SUMPRODUCT((ListeB='recap S1'!$B111)*(OFFSET(ListeB,,4)='recap S1'!AV$3)*(OFFSET(ListeB,,1)='recap S1'!AV$2)),"")</f>
        <v/>
      </c>
      <c r="AW111" s="32" t="str">
        <f ca="1">IF(SUMPRODUCT((ListeB='recap S1'!$B111)*(OFFSET(ListeB,,4)='recap S1'!AW$3)*(OFFSET(ListeB,,1)='recap S1'!AW$2))&gt;0,SUMPRODUCT((ListeB='recap S1'!$B111)*(OFFSET(ListeB,,4)='recap S1'!AW$3)*(OFFSET(ListeB,,1)='recap S1'!AW$2)),"")</f>
        <v/>
      </c>
      <c r="AX111" s="32" t="str">
        <f ca="1">IF(SUMPRODUCT((ListeB='recap S1'!$B111)*(OFFSET(ListeB,,4)='recap S1'!AX$3)*(OFFSET(ListeB,,1)='recap S1'!AX$2))&gt;0,SUMPRODUCT((ListeB='recap S1'!$B111)*(OFFSET(ListeB,,4)='recap S1'!AX$3)*(OFFSET(ListeB,,1)='recap S1'!AX$2)),"")</f>
        <v/>
      </c>
      <c r="AY111" s="34"/>
      <c r="AZ111" s="32">
        <f t="shared" ca="1" si="3"/>
        <v>0</v>
      </c>
    </row>
    <row r="112" spans="1:52">
      <c r="A112" s="41" t="str">
        <f>IF('SEANCE 1'!$B110&lt;&gt;"",'SEANCE 1'!$A110,"")</f>
        <v/>
      </c>
      <c r="B112" s="41" t="str">
        <f t="array" aca="1" ref="B112" ca="1">IF(ISNA(INDEX(ListeB,MATCH(0,COUNTIF($B$3:B111,ListeB),0))),"",INDEX(ListeB,MATCH(0,COUNTIF($B$3:B111,ListeB),0)))</f>
        <v/>
      </c>
      <c r="C112" s="32" t="str">
        <f ca="1">IF(SUMPRODUCT((ListeB='recap S1'!$B112)*(OFFSET(ListeB,,4)='recap S1'!C$3)*(OFFSET(ListeB,,1)='recap S1'!C$2))&gt;0,SUMPRODUCT((ListeB='recap S1'!$B112)*(OFFSET(ListeB,,4)='recap S1'!C$3)*(OFFSET(ListeB,,1)='recap S1'!C$2)),"")</f>
        <v/>
      </c>
      <c r="D112" s="32" t="str">
        <f ca="1">IF(SUMPRODUCT((ListeB='recap S1'!$B112)*(OFFSET(ListeB,,4)='recap S1'!D$3)*(OFFSET(ListeB,,1)='recap S1'!D$2))&gt;0,SUMPRODUCT((ListeB='recap S1'!$B112)*(OFFSET(ListeB,,4)='recap S1'!D$3)*(OFFSET(ListeB,,1)='recap S1'!D$2)),"")</f>
        <v/>
      </c>
      <c r="E112" s="32"/>
      <c r="F112" s="32" t="str">
        <f ca="1">IF(SUMPRODUCT((ListeB='recap S1'!$B112)*(OFFSET(ListeB,,4)='recap S1'!F$3)*(OFFSET(ListeB,,1)='recap S1'!F$2))&gt;0,SUMPRODUCT((ListeB='recap S1'!$B112)*(OFFSET(ListeB,,4)='recap S1'!F$3)*(OFFSET(ListeB,,1)='recap S1'!F$2)),"")</f>
        <v/>
      </c>
      <c r="G112" s="32" t="str">
        <f ca="1">IF(SUMPRODUCT((ListeB='recap S1'!$B112)*(OFFSET(ListeB,,4)='recap S1'!G$3)*(OFFSET(ListeB,,1)='recap S1'!G$2))&gt;0,SUMPRODUCT((ListeB='recap S1'!$B112)*(OFFSET(ListeB,,4)='recap S1'!G$3)*(OFFSET(ListeB,,1)='recap S1'!G$2)),"")</f>
        <v/>
      </c>
      <c r="H112" s="32"/>
      <c r="I112" s="32" t="str">
        <f ca="1">IF(SUMPRODUCT((ListeB='recap S1'!$B112)*(OFFSET(ListeB,,4)='recap S1'!I$3)*(OFFSET(ListeB,,1)='recap S1'!I$2))&gt;0,SUMPRODUCT((ListeB='recap S1'!$B112)*(OFFSET(ListeB,,4)='recap S1'!I$3)*(OFFSET(ListeB,,1)='recap S1'!I$2)),"")</f>
        <v/>
      </c>
      <c r="J112" s="32" t="str">
        <f ca="1">IF(SUMPRODUCT((ListeB='recap S1'!$B112)*(OFFSET(ListeB,,4)='recap S1'!J$3)*(OFFSET(ListeB,,1)='recap S1'!J$2))&gt;0,SUMPRODUCT((ListeB='recap S1'!$B112)*(OFFSET(ListeB,,4)='recap S1'!J$3)*(OFFSET(ListeB,,1)='recap S1'!J$2)),"")</f>
        <v/>
      </c>
      <c r="K112" s="32" t="str">
        <f ca="1">IF(SUMPRODUCT((ListeB='recap S1'!$B112)*(OFFSET(ListeB,,4)='recap S1'!K$3)*(OFFSET(ListeB,,1)='recap S1'!K$2))&gt;0,SUMPRODUCT((ListeB='recap S1'!$B112)*(OFFSET(ListeB,,4)='recap S1'!K$3)*(OFFSET(ListeB,,1)='recap S1'!K$2)),"")</f>
        <v/>
      </c>
      <c r="L112" s="32"/>
      <c r="M112" s="32" t="str">
        <f ca="1">IF(SUMPRODUCT((ListeB='recap S1'!$B112)*(OFFSET(ListeB,,4)='recap S1'!M$3)*(OFFSET(ListeB,,1)='recap S1'!M$2))&gt;0,SUMPRODUCT((ListeB='recap S1'!$B112)*(OFFSET(ListeB,,4)='recap S1'!M$3)*(OFFSET(ListeB,,1)='recap S1'!M$2)),"")</f>
        <v/>
      </c>
      <c r="N112" s="32" t="str">
        <f ca="1">IF(SUMPRODUCT((ListeB='recap S1'!$B112)*(OFFSET(ListeB,,4)='recap S1'!N$3)*(OFFSET(ListeB,,1)='recap S1'!N$2))&gt;0,SUMPRODUCT((ListeB='recap S1'!$B112)*(OFFSET(ListeB,,4)='recap S1'!N$3)*(OFFSET(ListeB,,1)='recap S1'!N$2)),"")</f>
        <v/>
      </c>
      <c r="O112" s="32"/>
      <c r="P112" s="32" t="str">
        <f ca="1">IF(SUMPRODUCT((ListeB='recap S1'!$B112)*(OFFSET(ListeB,,4)='recap S1'!P$3)*(OFFSET(ListeB,,1)='recap S1'!P$2))&gt;0,SUMPRODUCT((ListeB='recap S1'!$B112)*(OFFSET(ListeB,,4)='recap S1'!P$3)*(OFFSET(ListeB,,1)='recap S1'!P$2)),"")</f>
        <v/>
      </c>
      <c r="Q112" s="32" t="str">
        <f ca="1">IF(SUMPRODUCT((ListeB='recap S1'!$B112)*(OFFSET(ListeB,,4)='recap S1'!Q$3)*(OFFSET(ListeB,,1)='recap S1'!Q$2))&gt;0,SUMPRODUCT((ListeB='recap S1'!$B112)*(OFFSET(ListeB,,4)='recap S1'!Q$3)*(OFFSET(ListeB,,1)='recap S1'!Q$2)),"")</f>
        <v/>
      </c>
      <c r="R112" s="32"/>
      <c r="S112" s="32" t="str">
        <f ca="1">IF(SUMPRODUCT((ListeB='recap S1'!$B112)*(OFFSET(ListeB,,4)='recap S1'!S$3)*(OFFSET(ListeB,,1)='recap S1'!S$2))&gt;0,SUMPRODUCT((ListeB='recap S1'!$B112)*(OFFSET(ListeB,,4)='recap S1'!S$3)*(OFFSET(ListeB,,1)='recap S1'!S$2)),"")</f>
        <v/>
      </c>
      <c r="T112" s="32" t="str">
        <f ca="1">IF(SUMPRODUCT((ListeB='recap S1'!$B112)*(OFFSET(ListeB,,4)='recap S1'!T$3)*(OFFSET(ListeB,,1)='recap S1'!T$2))&gt;0,SUMPRODUCT((ListeB='recap S1'!$B112)*(OFFSET(ListeB,,4)='recap S1'!T$3)*(OFFSET(ListeB,,1)='recap S1'!T$2)),"")</f>
        <v/>
      </c>
      <c r="U112" s="32" t="str">
        <f ca="1">IF(SUMPRODUCT((ListeB='recap S1'!$B112)*(OFFSET(ListeB,,4)='recap S1'!U$3)*(OFFSET(ListeB,,1)='recap S1'!U$2))&gt;0,SUMPRODUCT((ListeB='recap S1'!$B112)*(OFFSET(ListeB,,4)='recap S1'!U$3)*(OFFSET(ListeB,,1)='recap S1'!U$2)),"")</f>
        <v/>
      </c>
      <c r="V112" s="32"/>
      <c r="W112" s="32" t="str">
        <f ca="1">IF(SUMPRODUCT((ListeB='recap S1'!$B112)*(OFFSET(ListeB,,4)='recap S1'!W$3)*(OFFSET(ListeB,,1)='recap S1'!W$2))&gt;0,SUMPRODUCT((ListeB='recap S1'!$B112)*(OFFSET(ListeB,,4)='recap S1'!W$3)*(OFFSET(ListeB,,1)='recap S1'!W$2)),"")</f>
        <v/>
      </c>
      <c r="X112" s="32"/>
      <c r="Y112" s="32" t="str">
        <f ca="1">IF(SUMPRODUCT((ListeB='recap S1'!$B112)*(OFFSET(ListeB,,4)='recap S1'!Y$3)*(OFFSET(ListeB,,1)='recap S1'!Y$2))&gt;0,SUMPRODUCT((ListeB='recap S1'!$B112)*(OFFSET(ListeB,,4)='recap S1'!Y$3)*(OFFSET(ListeB,,1)='recap S1'!Y$2)),"")</f>
        <v/>
      </c>
      <c r="Z112" s="32" t="str">
        <f ca="1">IF(SUMPRODUCT((ListeB='recap S1'!$B112)*(OFFSET(ListeB,,4)='recap S1'!Z$3)*(OFFSET(ListeB,,1)='recap S1'!Z$2))&gt;0,SUMPRODUCT((ListeB='recap S1'!$B112)*(OFFSET(ListeB,,4)='recap S1'!Z$3)*(OFFSET(ListeB,,1)='recap S1'!Z$2)),"")</f>
        <v/>
      </c>
      <c r="AA112" s="32" t="str">
        <f ca="1">IF(SUMPRODUCT((ListeB='recap S1'!$B112)*(OFFSET(ListeB,,4)='recap S1'!AA$3)*(OFFSET(ListeB,,1)='recap S1'!AA$2))&gt;0,SUMPRODUCT((ListeB='recap S1'!$B112)*(OFFSET(ListeB,,4)='recap S1'!AA$3)*(OFFSET(ListeB,,1)='recap S1'!AA$2)),"")</f>
        <v/>
      </c>
      <c r="AB112" s="32"/>
      <c r="AC112" s="32" t="str">
        <f ca="1">IF(SUMPRODUCT((ListeB='recap S1'!$B112)*(OFFSET(ListeB,,4)='recap S1'!AC$3)*(OFFSET(ListeB,,1)='recap S1'!AC$2))&gt;0,SUMPRODUCT((ListeB='recap S1'!$B112)*(OFFSET(ListeB,,4)='recap S1'!AC$3)*(OFFSET(ListeB,,1)='recap S1'!AC$2)),"")</f>
        <v/>
      </c>
      <c r="AD112" s="32"/>
      <c r="AE112" s="32" t="str">
        <f ca="1">IF(SUMPRODUCT((ListeB='recap S1'!$B112)*(OFFSET(ListeB,,4)='recap S1'!AE$3)*(OFFSET(ListeB,,1)='recap S1'!AE$2))&gt;0,SUMPRODUCT((ListeB='recap S1'!$B112)*(OFFSET(ListeB,,4)='recap S1'!AE$3)*(OFFSET(ListeB,,1)='recap S1'!AE$2)),"")</f>
        <v/>
      </c>
      <c r="AF112" s="32" t="str">
        <f ca="1">IF(SUMPRODUCT((ListeB='recap S1'!$B112)*(OFFSET(ListeB,,4)='recap S1'!AF$3)*(OFFSET(ListeB,,1)='recap S1'!AF$2))&gt;0,SUMPRODUCT((ListeB='recap S1'!$B112)*(OFFSET(ListeB,,4)='recap S1'!AF$3)*(OFFSET(ListeB,,1)='recap S1'!AF$2)),"")</f>
        <v/>
      </c>
      <c r="AG112" s="32"/>
      <c r="AH112" s="32" t="str">
        <f ca="1">IF(SUMPRODUCT((ListeB='recap S1'!$B112)*(OFFSET(ListeB,,4)='recap S1'!AH$3)*(OFFSET(ListeB,,1)='recap S1'!AH$2))&gt;0,SUMPRODUCT((ListeB='recap S1'!$B112)*(OFFSET(ListeB,,4)='recap S1'!AH$3)*(OFFSET(ListeB,,1)='recap S1'!AH$2)),"")</f>
        <v/>
      </c>
      <c r="AI112" s="32" t="str">
        <f ca="1">IF(SUMPRODUCT((ListeB='recap S1'!$B112)*(OFFSET(ListeB,,4)='recap S1'!AI$3)*(OFFSET(ListeB,,1)='recap S1'!AI$2))&gt;0,SUMPRODUCT((ListeB='recap S1'!$B112)*(OFFSET(ListeB,,4)='recap S1'!AI$3)*(OFFSET(ListeB,,1)='recap S1'!AI$2)),"")</f>
        <v/>
      </c>
      <c r="AJ112" s="32" t="str">
        <f ca="1">IF(SUMPRODUCT((ListeB='recap S1'!$B112)*(OFFSET(ListeB,,4)='recap S1'!AJ$3)*(OFFSET(ListeB,,1)='recap S1'!AJ$2))&gt;0,SUMPRODUCT((ListeB='recap S1'!$B112)*(OFFSET(ListeB,,4)='recap S1'!AJ$3)*(OFFSET(ListeB,,1)='recap S1'!AJ$2)),"")</f>
        <v/>
      </c>
      <c r="AK112" s="32"/>
      <c r="AL112" s="32" t="str">
        <f ca="1">IF(SUMPRODUCT((ListeB='recap S1'!$B112)*(OFFSET(ListeB,,4)='recap S1'!AL$3)*(OFFSET(ListeB,,1)='recap S1'!AL$2))&gt;0,SUMPRODUCT((ListeB='recap S1'!$B112)*(OFFSET(ListeB,,4)='recap S1'!AL$3)*(OFFSET(ListeB,,1)='recap S1'!AL$2)),"")</f>
        <v/>
      </c>
      <c r="AM112" s="32"/>
      <c r="AN112" s="32" t="str">
        <f ca="1">IF(SUMPRODUCT((ListeB='recap S1'!$B112)*(OFFSET(ListeB,,4)='recap S1'!AN$3)*(OFFSET(ListeB,,1)='recap S1'!AN$2))&gt;0,SUMPRODUCT((ListeB='recap S1'!$B112)*(OFFSET(ListeB,,4)='recap S1'!AN$3)*(OFFSET(ListeB,,1)='recap S1'!AN$2)),"")</f>
        <v/>
      </c>
      <c r="AO112" s="32" t="str">
        <f ca="1">IF(SUMPRODUCT((ListeB='recap S1'!$B112)*(OFFSET(ListeB,,4)='recap S1'!AO$3)*(OFFSET(ListeB,,1)='recap S1'!AO$2))&gt;0,SUMPRODUCT((ListeB='recap S1'!$B112)*(OFFSET(ListeB,,4)='recap S1'!AO$3)*(OFFSET(ListeB,,1)='recap S1'!AO$2)),"")</f>
        <v/>
      </c>
      <c r="AP112" s="32"/>
      <c r="AQ112" s="32"/>
      <c r="AR112" s="32"/>
      <c r="AS112" s="32" t="str">
        <f ca="1">IF(SUMPRODUCT((ListeB='recap S1'!$B112)*(OFFSET(ListeB,,4)='recap S1'!AS$3)*(OFFSET(ListeB,,1)='recap S1'!AS$2))&gt;0,SUMPRODUCT((ListeB='recap S1'!$B112)*(OFFSET(ListeB,,4)='recap S1'!AS$3)*(OFFSET(ListeB,,1)='recap S1'!AS$2)),"")</f>
        <v/>
      </c>
      <c r="AT112" s="32" t="str">
        <f ca="1">IF(SUMPRODUCT((ListeB='recap S1'!$B112)*(OFFSET(ListeB,,4)='recap S1'!AT$3)*(OFFSET(ListeB,,1)='recap S1'!AT$2))&gt;0,SUMPRODUCT((ListeB='recap S1'!$B112)*(OFFSET(ListeB,,4)='recap S1'!AT$3)*(OFFSET(ListeB,,1)='recap S1'!AT$2)),"")</f>
        <v/>
      </c>
      <c r="AU112" s="32"/>
      <c r="AV112" s="32" t="str">
        <f ca="1">IF(SUMPRODUCT((ListeB='recap S1'!$B112)*(OFFSET(ListeB,,4)='recap S1'!AV$3)*(OFFSET(ListeB,,1)='recap S1'!AV$2))&gt;0,SUMPRODUCT((ListeB='recap S1'!$B112)*(OFFSET(ListeB,,4)='recap S1'!AV$3)*(OFFSET(ListeB,,1)='recap S1'!AV$2)),"")</f>
        <v/>
      </c>
      <c r="AW112" s="32" t="str">
        <f ca="1">IF(SUMPRODUCT((ListeB='recap S1'!$B112)*(OFFSET(ListeB,,4)='recap S1'!AW$3)*(OFFSET(ListeB,,1)='recap S1'!AW$2))&gt;0,SUMPRODUCT((ListeB='recap S1'!$B112)*(OFFSET(ListeB,,4)='recap S1'!AW$3)*(OFFSET(ListeB,,1)='recap S1'!AW$2)),"")</f>
        <v/>
      </c>
      <c r="AX112" s="32" t="str">
        <f ca="1">IF(SUMPRODUCT((ListeB='recap S1'!$B112)*(OFFSET(ListeB,,4)='recap S1'!AX$3)*(OFFSET(ListeB,,1)='recap S1'!AX$2))&gt;0,SUMPRODUCT((ListeB='recap S1'!$B112)*(OFFSET(ListeB,,4)='recap S1'!AX$3)*(OFFSET(ListeB,,1)='recap S1'!AX$2)),"")</f>
        <v/>
      </c>
      <c r="AY112" s="34"/>
      <c r="AZ112" s="32">
        <f t="shared" ca="1" si="3"/>
        <v>0</v>
      </c>
    </row>
    <row r="113" spans="1:52">
      <c r="A113" s="41" t="str">
        <f>IF('SEANCE 1'!$B111&lt;&gt;"",'SEANCE 1'!$A111,"")</f>
        <v/>
      </c>
      <c r="B113" s="41" t="str">
        <f t="array" aca="1" ref="B113" ca="1">IF(ISNA(INDEX(ListeB,MATCH(0,COUNTIF($B$3:B112,ListeB),0))),"",INDEX(ListeB,MATCH(0,COUNTIF($B$3:B112,ListeB),0)))</f>
        <v/>
      </c>
      <c r="C113" s="32" t="str">
        <f ca="1">IF(SUMPRODUCT((ListeB='recap S1'!$B113)*(OFFSET(ListeB,,4)='recap S1'!C$3)*(OFFSET(ListeB,,1)='recap S1'!C$2))&gt;0,SUMPRODUCT((ListeB='recap S1'!$B113)*(OFFSET(ListeB,,4)='recap S1'!C$3)*(OFFSET(ListeB,,1)='recap S1'!C$2)),"")</f>
        <v/>
      </c>
      <c r="D113" s="32" t="str">
        <f ca="1">IF(SUMPRODUCT((ListeB='recap S1'!$B113)*(OFFSET(ListeB,,4)='recap S1'!D$3)*(OFFSET(ListeB,,1)='recap S1'!D$2))&gt;0,SUMPRODUCT((ListeB='recap S1'!$B113)*(OFFSET(ListeB,,4)='recap S1'!D$3)*(OFFSET(ListeB,,1)='recap S1'!D$2)),"")</f>
        <v/>
      </c>
      <c r="E113" s="32"/>
      <c r="F113" s="32" t="str">
        <f ca="1">IF(SUMPRODUCT((ListeB='recap S1'!$B113)*(OFFSET(ListeB,,4)='recap S1'!F$3)*(OFFSET(ListeB,,1)='recap S1'!F$2))&gt;0,SUMPRODUCT((ListeB='recap S1'!$B113)*(OFFSET(ListeB,,4)='recap S1'!F$3)*(OFFSET(ListeB,,1)='recap S1'!F$2)),"")</f>
        <v/>
      </c>
      <c r="G113" s="32" t="str">
        <f ca="1">IF(SUMPRODUCT((ListeB='recap S1'!$B113)*(OFFSET(ListeB,,4)='recap S1'!G$3)*(OFFSET(ListeB,,1)='recap S1'!G$2))&gt;0,SUMPRODUCT((ListeB='recap S1'!$B113)*(OFFSET(ListeB,,4)='recap S1'!G$3)*(OFFSET(ListeB,,1)='recap S1'!G$2)),"")</f>
        <v/>
      </c>
      <c r="H113" s="32"/>
      <c r="I113" s="32" t="str">
        <f ca="1">IF(SUMPRODUCT((ListeB='recap S1'!$B113)*(OFFSET(ListeB,,4)='recap S1'!I$3)*(OFFSET(ListeB,,1)='recap S1'!I$2))&gt;0,SUMPRODUCT((ListeB='recap S1'!$B113)*(OFFSET(ListeB,,4)='recap S1'!I$3)*(OFFSET(ListeB,,1)='recap S1'!I$2)),"")</f>
        <v/>
      </c>
      <c r="J113" s="32" t="str">
        <f ca="1">IF(SUMPRODUCT((ListeB='recap S1'!$B113)*(OFFSET(ListeB,,4)='recap S1'!J$3)*(OFFSET(ListeB,,1)='recap S1'!J$2))&gt;0,SUMPRODUCT((ListeB='recap S1'!$B113)*(OFFSET(ListeB,,4)='recap S1'!J$3)*(OFFSET(ListeB,,1)='recap S1'!J$2)),"")</f>
        <v/>
      </c>
      <c r="K113" s="32" t="str">
        <f ca="1">IF(SUMPRODUCT((ListeB='recap S1'!$B113)*(OFFSET(ListeB,,4)='recap S1'!K$3)*(OFFSET(ListeB,,1)='recap S1'!K$2))&gt;0,SUMPRODUCT((ListeB='recap S1'!$B113)*(OFFSET(ListeB,,4)='recap S1'!K$3)*(OFFSET(ListeB,,1)='recap S1'!K$2)),"")</f>
        <v/>
      </c>
      <c r="L113" s="32"/>
      <c r="M113" s="32" t="str">
        <f ca="1">IF(SUMPRODUCT((ListeB='recap S1'!$B113)*(OFFSET(ListeB,,4)='recap S1'!M$3)*(OFFSET(ListeB,,1)='recap S1'!M$2))&gt;0,SUMPRODUCT((ListeB='recap S1'!$B113)*(OFFSET(ListeB,,4)='recap S1'!M$3)*(OFFSET(ListeB,,1)='recap S1'!M$2)),"")</f>
        <v/>
      </c>
      <c r="N113" s="32" t="str">
        <f ca="1">IF(SUMPRODUCT((ListeB='recap S1'!$B113)*(OFFSET(ListeB,,4)='recap S1'!N$3)*(OFFSET(ListeB,,1)='recap S1'!N$2))&gt;0,SUMPRODUCT((ListeB='recap S1'!$B113)*(OFFSET(ListeB,,4)='recap S1'!N$3)*(OFFSET(ListeB,,1)='recap S1'!N$2)),"")</f>
        <v/>
      </c>
      <c r="O113" s="32"/>
      <c r="P113" s="32" t="str">
        <f ca="1">IF(SUMPRODUCT((ListeB='recap S1'!$B113)*(OFFSET(ListeB,,4)='recap S1'!P$3)*(OFFSET(ListeB,,1)='recap S1'!P$2))&gt;0,SUMPRODUCT((ListeB='recap S1'!$B113)*(OFFSET(ListeB,,4)='recap S1'!P$3)*(OFFSET(ListeB,,1)='recap S1'!P$2)),"")</f>
        <v/>
      </c>
      <c r="Q113" s="32" t="str">
        <f ca="1">IF(SUMPRODUCT((ListeB='recap S1'!$B113)*(OFFSET(ListeB,,4)='recap S1'!Q$3)*(OFFSET(ListeB,,1)='recap S1'!Q$2))&gt;0,SUMPRODUCT((ListeB='recap S1'!$B113)*(OFFSET(ListeB,,4)='recap S1'!Q$3)*(OFFSET(ListeB,,1)='recap S1'!Q$2)),"")</f>
        <v/>
      </c>
      <c r="R113" s="32"/>
      <c r="S113" s="32" t="str">
        <f ca="1">IF(SUMPRODUCT((ListeB='recap S1'!$B113)*(OFFSET(ListeB,,4)='recap S1'!S$3)*(OFFSET(ListeB,,1)='recap S1'!S$2))&gt;0,SUMPRODUCT((ListeB='recap S1'!$B113)*(OFFSET(ListeB,,4)='recap S1'!S$3)*(OFFSET(ListeB,,1)='recap S1'!S$2)),"")</f>
        <v/>
      </c>
      <c r="T113" s="32" t="str">
        <f ca="1">IF(SUMPRODUCT((ListeB='recap S1'!$B113)*(OFFSET(ListeB,,4)='recap S1'!T$3)*(OFFSET(ListeB,,1)='recap S1'!T$2))&gt;0,SUMPRODUCT((ListeB='recap S1'!$B113)*(OFFSET(ListeB,,4)='recap S1'!T$3)*(OFFSET(ListeB,,1)='recap S1'!T$2)),"")</f>
        <v/>
      </c>
      <c r="U113" s="32" t="str">
        <f ca="1">IF(SUMPRODUCT((ListeB='recap S1'!$B113)*(OFFSET(ListeB,,4)='recap S1'!U$3)*(OFFSET(ListeB,,1)='recap S1'!U$2))&gt;0,SUMPRODUCT((ListeB='recap S1'!$B113)*(OFFSET(ListeB,,4)='recap S1'!U$3)*(OFFSET(ListeB,,1)='recap S1'!U$2)),"")</f>
        <v/>
      </c>
      <c r="V113" s="32"/>
      <c r="W113" s="32" t="str">
        <f ca="1">IF(SUMPRODUCT((ListeB='recap S1'!$B113)*(OFFSET(ListeB,,4)='recap S1'!W$3)*(OFFSET(ListeB,,1)='recap S1'!W$2))&gt;0,SUMPRODUCT((ListeB='recap S1'!$B113)*(OFFSET(ListeB,,4)='recap S1'!W$3)*(OFFSET(ListeB,,1)='recap S1'!W$2)),"")</f>
        <v/>
      </c>
      <c r="X113" s="32"/>
      <c r="Y113" s="32" t="str">
        <f ca="1">IF(SUMPRODUCT((ListeB='recap S1'!$B113)*(OFFSET(ListeB,,4)='recap S1'!Y$3)*(OFFSET(ListeB,,1)='recap S1'!Y$2))&gt;0,SUMPRODUCT((ListeB='recap S1'!$B113)*(OFFSET(ListeB,,4)='recap S1'!Y$3)*(OFFSET(ListeB,,1)='recap S1'!Y$2)),"")</f>
        <v/>
      </c>
      <c r="Z113" s="32" t="str">
        <f ca="1">IF(SUMPRODUCT((ListeB='recap S1'!$B113)*(OFFSET(ListeB,,4)='recap S1'!Z$3)*(OFFSET(ListeB,,1)='recap S1'!Z$2))&gt;0,SUMPRODUCT((ListeB='recap S1'!$B113)*(OFFSET(ListeB,,4)='recap S1'!Z$3)*(OFFSET(ListeB,,1)='recap S1'!Z$2)),"")</f>
        <v/>
      </c>
      <c r="AA113" s="32" t="str">
        <f ca="1">IF(SUMPRODUCT((ListeB='recap S1'!$B113)*(OFFSET(ListeB,,4)='recap S1'!AA$3)*(OFFSET(ListeB,,1)='recap S1'!AA$2))&gt;0,SUMPRODUCT((ListeB='recap S1'!$B113)*(OFFSET(ListeB,,4)='recap S1'!AA$3)*(OFFSET(ListeB,,1)='recap S1'!AA$2)),"")</f>
        <v/>
      </c>
      <c r="AB113" s="32"/>
      <c r="AC113" s="32" t="str">
        <f ca="1">IF(SUMPRODUCT((ListeB='recap S1'!$B113)*(OFFSET(ListeB,,4)='recap S1'!AC$3)*(OFFSET(ListeB,,1)='recap S1'!AC$2))&gt;0,SUMPRODUCT((ListeB='recap S1'!$B113)*(OFFSET(ListeB,,4)='recap S1'!AC$3)*(OFFSET(ListeB,,1)='recap S1'!AC$2)),"")</f>
        <v/>
      </c>
      <c r="AD113" s="32"/>
      <c r="AE113" s="32" t="str">
        <f ca="1">IF(SUMPRODUCT((ListeB='recap S1'!$B113)*(OFFSET(ListeB,,4)='recap S1'!AE$3)*(OFFSET(ListeB,,1)='recap S1'!AE$2))&gt;0,SUMPRODUCT((ListeB='recap S1'!$B113)*(OFFSET(ListeB,,4)='recap S1'!AE$3)*(OFFSET(ListeB,,1)='recap S1'!AE$2)),"")</f>
        <v/>
      </c>
      <c r="AF113" s="32" t="str">
        <f ca="1">IF(SUMPRODUCT((ListeB='recap S1'!$B113)*(OFFSET(ListeB,,4)='recap S1'!AF$3)*(OFFSET(ListeB,,1)='recap S1'!AF$2))&gt;0,SUMPRODUCT((ListeB='recap S1'!$B113)*(OFFSET(ListeB,,4)='recap S1'!AF$3)*(OFFSET(ListeB,,1)='recap S1'!AF$2)),"")</f>
        <v/>
      </c>
      <c r="AG113" s="32"/>
      <c r="AH113" s="32" t="str">
        <f ca="1">IF(SUMPRODUCT((ListeB='recap S1'!$B113)*(OFFSET(ListeB,,4)='recap S1'!AH$3)*(OFFSET(ListeB,,1)='recap S1'!AH$2))&gt;0,SUMPRODUCT((ListeB='recap S1'!$B113)*(OFFSET(ListeB,,4)='recap S1'!AH$3)*(OFFSET(ListeB,,1)='recap S1'!AH$2)),"")</f>
        <v/>
      </c>
      <c r="AI113" s="32" t="str">
        <f ca="1">IF(SUMPRODUCT((ListeB='recap S1'!$B113)*(OFFSET(ListeB,,4)='recap S1'!AI$3)*(OFFSET(ListeB,,1)='recap S1'!AI$2))&gt;0,SUMPRODUCT((ListeB='recap S1'!$B113)*(OFFSET(ListeB,,4)='recap S1'!AI$3)*(OFFSET(ListeB,,1)='recap S1'!AI$2)),"")</f>
        <v/>
      </c>
      <c r="AJ113" s="32" t="str">
        <f ca="1">IF(SUMPRODUCT((ListeB='recap S1'!$B113)*(OFFSET(ListeB,,4)='recap S1'!AJ$3)*(OFFSET(ListeB,,1)='recap S1'!AJ$2))&gt;0,SUMPRODUCT((ListeB='recap S1'!$B113)*(OFFSET(ListeB,,4)='recap S1'!AJ$3)*(OFFSET(ListeB,,1)='recap S1'!AJ$2)),"")</f>
        <v/>
      </c>
      <c r="AK113" s="32"/>
      <c r="AL113" s="32" t="str">
        <f ca="1">IF(SUMPRODUCT((ListeB='recap S1'!$B113)*(OFFSET(ListeB,,4)='recap S1'!AL$3)*(OFFSET(ListeB,,1)='recap S1'!AL$2))&gt;0,SUMPRODUCT((ListeB='recap S1'!$B113)*(OFFSET(ListeB,,4)='recap S1'!AL$3)*(OFFSET(ListeB,,1)='recap S1'!AL$2)),"")</f>
        <v/>
      </c>
      <c r="AM113" s="32"/>
      <c r="AN113" s="32" t="str">
        <f ca="1">IF(SUMPRODUCT((ListeB='recap S1'!$B113)*(OFFSET(ListeB,,4)='recap S1'!AN$3)*(OFFSET(ListeB,,1)='recap S1'!AN$2))&gt;0,SUMPRODUCT((ListeB='recap S1'!$B113)*(OFFSET(ListeB,,4)='recap S1'!AN$3)*(OFFSET(ListeB,,1)='recap S1'!AN$2)),"")</f>
        <v/>
      </c>
      <c r="AO113" s="32" t="str">
        <f ca="1">IF(SUMPRODUCT((ListeB='recap S1'!$B113)*(OFFSET(ListeB,,4)='recap S1'!AO$3)*(OFFSET(ListeB,,1)='recap S1'!AO$2))&gt;0,SUMPRODUCT((ListeB='recap S1'!$B113)*(OFFSET(ListeB,,4)='recap S1'!AO$3)*(OFFSET(ListeB,,1)='recap S1'!AO$2)),"")</f>
        <v/>
      </c>
      <c r="AP113" s="32"/>
      <c r="AQ113" s="32"/>
      <c r="AR113" s="32"/>
      <c r="AS113" s="32" t="str">
        <f ca="1">IF(SUMPRODUCT((ListeB='recap S1'!$B113)*(OFFSET(ListeB,,4)='recap S1'!AS$3)*(OFFSET(ListeB,,1)='recap S1'!AS$2))&gt;0,SUMPRODUCT((ListeB='recap S1'!$B113)*(OFFSET(ListeB,,4)='recap S1'!AS$3)*(OFFSET(ListeB,,1)='recap S1'!AS$2)),"")</f>
        <v/>
      </c>
      <c r="AT113" s="32" t="str">
        <f ca="1">IF(SUMPRODUCT((ListeB='recap S1'!$B113)*(OFFSET(ListeB,,4)='recap S1'!AT$3)*(OFFSET(ListeB,,1)='recap S1'!AT$2))&gt;0,SUMPRODUCT((ListeB='recap S1'!$B113)*(OFFSET(ListeB,,4)='recap S1'!AT$3)*(OFFSET(ListeB,,1)='recap S1'!AT$2)),"")</f>
        <v/>
      </c>
      <c r="AU113" s="32"/>
      <c r="AV113" s="32" t="str">
        <f ca="1">IF(SUMPRODUCT((ListeB='recap S1'!$B113)*(OFFSET(ListeB,,4)='recap S1'!AV$3)*(OFFSET(ListeB,,1)='recap S1'!AV$2))&gt;0,SUMPRODUCT((ListeB='recap S1'!$B113)*(OFFSET(ListeB,,4)='recap S1'!AV$3)*(OFFSET(ListeB,,1)='recap S1'!AV$2)),"")</f>
        <v/>
      </c>
      <c r="AW113" s="32" t="str">
        <f ca="1">IF(SUMPRODUCT((ListeB='recap S1'!$B113)*(OFFSET(ListeB,,4)='recap S1'!AW$3)*(OFFSET(ListeB,,1)='recap S1'!AW$2))&gt;0,SUMPRODUCT((ListeB='recap S1'!$B113)*(OFFSET(ListeB,,4)='recap S1'!AW$3)*(OFFSET(ListeB,,1)='recap S1'!AW$2)),"")</f>
        <v/>
      </c>
      <c r="AX113" s="32" t="str">
        <f ca="1">IF(SUMPRODUCT((ListeB='recap S1'!$B113)*(OFFSET(ListeB,,4)='recap S1'!AX$3)*(OFFSET(ListeB,,1)='recap S1'!AX$2))&gt;0,SUMPRODUCT((ListeB='recap S1'!$B113)*(OFFSET(ListeB,,4)='recap S1'!AX$3)*(OFFSET(ListeB,,1)='recap S1'!AX$2)),"")</f>
        <v/>
      </c>
      <c r="AY113" s="34"/>
      <c r="AZ113" s="32">
        <f t="shared" ca="1" si="3"/>
        <v>0</v>
      </c>
    </row>
    <row r="114" spans="1:52">
      <c r="A114" s="41" t="str">
        <f>IF('SEANCE 1'!$B112&lt;&gt;"",'SEANCE 1'!$A112,"")</f>
        <v/>
      </c>
      <c r="B114" s="41" t="str">
        <f t="array" aca="1" ref="B114" ca="1">IF(ISNA(INDEX(ListeB,MATCH(0,COUNTIF($B$3:B113,ListeB),0))),"",INDEX(ListeB,MATCH(0,COUNTIF($B$3:B113,ListeB),0)))</f>
        <v/>
      </c>
      <c r="C114" s="32" t="str">
        <f ca="1">IF(SUMPRODUCT((ListeB='recap S1'!$B114)*(OFFSET(ListeB,,4)='recap S1'!C$3)*(OFFSET(ListeB,,1)='recap S1'!C$2))&gt;0,SUMPRODUCT((ListeB='recap S1'!$B114)*(OFFSET(ListeB,,4)='recap S1'!C$3)*(OFFSET(ListeB,,1)='recap S1'!C$2)),"")</f>
        <v/>
      </c>
      <c r="D114" s="32" t="str">
        <f ca="1">IF(SUMPRODUCT((ListeB='recap S1'!$B114)*(OFFSET(ListeB,,4)='recap S1'!D$3)*(OFFSET(ListeB,,1)='recap S1'!D$2))&gt;0,SUMPRODUCT((ListeB='recap S1'!$B114)*(OFFSET(ListeB,,4)='recap S1'!D$3)*(OFFSET(ListeB,,1)='recap S1'!D$2)),"")</f>
        <v/>
      </c>
      <c r="E114" s="32"/>
      <c r="F114" s="32" t="str">
        <f ca="1">IF(SUMPRODUCT((ListeB='recap S1'!$B114)*(OFFSET(ListeB,,4)='recap S1'!F$3)*(OFFSET(ListeB,,1)='recap S1'!F$2))&gt;0,SUMPRODUCT((ListeB='recap S1'!$B114)*(OFFSET(ListeB,,4)='recap S1'!F$3)*(OFFSET(ListeB,,1)='recap S1'!F$2)),"")</f>
        <v/>
      </c>
      <c r="G114" s="32" t="str">
        <f ca="1">IF(SUMPRODUCT((ListeB='recap S1'!$B114)*(OFFSET(ListeB,,4)='recap S1'!G$3)*(OFFSET(ListeB,,1)='recap S1'!G$2))&gt;0,SUMPRODUCT((ListeB='recap S1'!$B114)*(OFFSET(ListeB,,4)='recap S1'!G$3)*(OFFSET(ListeB,,1)='recap S1'!G$2)),"")</f>
        <v/>
      </c>
      <c r="H114" s="32"/>
      <c r="I114" s="32" t="str">
        <f ca="1">IF(SUMPRODUCT((ListeB='recap S1'!$B114)*(OFFSET(ListeB,,4)='recap S1'!I$3)*(OFFSET(ListeB,,1)='recap S1'!I$2))&gt;0,SUMPRODUCT((ListeB='recap S1'!$B114)*(OFFSET(ListeB,,4)='recap S1'!I$3)*(OFFSET(ListeB,,1)='recap S1'!I$2)),"")</f>
        <v/>
      </c>
      <c r="J114" s="32" t="str">
        <f ca="1">IF(SUMPRODUCT((ListeB='recap S1'!$B114)*(OFFSET(ListeB,,4)='recap S1'!J$3)*(OFFSET(ListeB,,1)='recap S1'!J$2))&gt;0,SUMPRODUCT((ListeB='recap S1'!$B114)*(OFFSET(ListeB,,4)='recap S1'!J$3)*(OFFSET(ListeB,,1)='recap S1'!J$2)),"")</f>
        <v/>
      </c>
      <c r="K114" s="32" t="str">
        <f ca="1">IF(SUMPRODUCT((ListeB='recap S1'!$B114)*(OFFSET(ListeB,,4)='recap S1'!K$3)*(OFFSET(ListeB,,1)='recap S1'!K$2))&gt;0,SUMPRODUCT((ListeB='recap S1'!$B114)*(OFFSET(ListeB,,4)='recap S1'!K$3)*(OFFSET(ListeB,,1)='recap S1'!K$2)),"")</f>
        <v/>
      </c>
      <c r="L114" s="32"/>
      <c r="M114" s="32" t="str">
        <f ca="1">IF(SUMPRODUCT((ListeB='recap S1'!$B114)*(OFFSET(ListeB,,4)='recap S1'!M$3)*(OFFSET(ListeB,,1)='recap S1'!M$2))&gt;0,SUMPRODUCT((ListeB='recap S1'!$B114)*(OFFSET(ListeB,,4)='recap S1'!M$3)*(OFFSET(ListeB,,1)='recap S1'!M$2)),"")</f>
        <v/>
      </c>
      <c r="N114" s="32" t="str">
        <f ca="1">IF(SUMPRODUCT((ListeB='recap S1'!$B114)*(OFFSET(ListeB,,4)='recap S1'!N$3)*(OFFSET(ListeB,,1)='recap S1'!N$2))&gt;0,SUMPRODUCT((ListeB='recap S1'!$B114)*(OFFSET(ListeB,,4)='recap S1'!N$3)*(OFFSET(ListeB,,1)='recap S1'!N$2)),"")</f>
        <v/>
      </c>
      <c r="O114" s="32"/>
      <c r="P114" s="32" t="str">
        <f ca="1">IF(SUMPRODUCT((ListeB='recap S1'!$B114)*(OFFSET(ListeB,,4)='recap S1'!P$3)*(OFFSET(ListeB,,1)='recap S1'!P$2))&gt;0,SUMPRODUCT((ListeB='recap S1'!$B114)*(OFFSET(ListeB,,4)='recap S1'!P$3)*(OFFSET(ListeB,,1)='recap S1'!P$2)),"")</f>
        <v/>
      </c>
      <c r="Q114" s="32" t="str">
        <f ca="1">IF(SUMPRODUCT((ListeB='recap S1'!$B114)*(OFFSET(ListeB,,4)='recap S1'!Q$3)*(OFFSET(ListeB,,1)='recap S1'!Q$2))&gt;0,SUMPRODUCT((ListeB='recap S1'!$B114)*(OFFSET(ListeB,,4)='recap S1'!Q$3)*(OFFSET(ListeB,,1)='recap S1'!Q$2)),"")</f>
        <v/>
      </c>
      <c r="R114" s="32"/>
      <c r="S114" s="32" t="str">
        <f ca="1">IF(SUMPRODUCT((ListeB='recap S1'!$B114)*(OFFSET(ListeB,,4)='recap S1'!S$3)*(OFFSET(ListeB,,1)='recap S1'!S$2))&gt;0,SUMPRODUCT((ListeB='recap S1'!$B114)*(OFFSET(ListeB,,4)='recap S1'!S$3)*(OFFSET(ListeB,,1)='recap S1'!S$2)),"")</f>
        <v/>
      </c>
      <c r="T114" s="32" t="str">
        <f ca="1">IF(SUMPRODUCT((ListeB='recap S1'!$B114)*(OFFSET(ListeB,,4)='recap S1'!T$3)*(OFFSET(ListeB,,1)='recap S1'!T$2))&gt;0,SUMPRODUCT((ListeB='recap S1'!$B114)*(OFFSET(ListeB,,4)='recap S1'!T$3)*(OFFSET(ListeB,,1)='recap S1'!T$2)),"")</f>
        <v/>
      </c>
      <c r="U114" s="32" t="str">
        <f ca="1">IF(SUMPRODUCT((ListeB='recap S1'!$B114)*(OFFSET(ListeB,,4)='recap S1'!U$3)*(OFFSET(ListeB,,1)='recap S1'!U$2))&gt;0,SUMPRODUCT((ListeB='recap S1'!$B114)*(OFFSET(ListeB,,4)='recap S1'!U$3)*(OFFSET(ListeB,,1)='recap S1'!U$2)),"")</f>
        <v/>
      </c>
      <c r="V114" s="32"/>
      <c r="W114" s="32" t="str">
        <f ca="1">IF(SUMPRODUCT((ListeB='recap S1'!$B114)*(OFFSET(ListeB,,4)='recap S1'!W$3)*(OFFSET(ListeB,,1)='recap S1'!W$2))&gt;0,SUMPRODUCT((ListeB='recap S1'!$B114)*(OFFSET(ListeB,,4)='recap S1'!W$3)*(OFFSET(ListeB,,1)='recap S1'!W$2)),"")</f>
        <v/>
      </c>
      <c r="X114" s="32"/>
      <c r="Y114" s="32" t="str">
        <f ca="1">IF(SUMPRODUCT((ListeB='recap S1'!$B114)*(OFFSET(ListeB,,4)='recap S1'!Y$3)*(OFFSET(ListeB,,1)='recap S1'!Y$2))&gt;0,SUMPRODUCT((ListeB='recap S1'!$B114)*(OFFSET(ListeB,,4)='recap S1'!Y$3)*(OFFSET(ListeB,,1)='recap S1'!Y$2)),"")</f>
        <v/>
      </c>
      <c r="Z114" s="32" t="str">
        <f ca="1">IF(SUMPRODUCT((ListeB='recap S1'!$B114)*(OFFSET(ListeB,,4)='recap S1'!Z$3)*(OFFSET(ListeB,,1)='recap S1'!Z$2))&gt;0,SUMPRODUCT((ListeB='recap S1'!$B114)*(OFFSET(ListeB,,4)='recap S1'!Z$3)*(OFFSET(ListeB,,1)='recap S1'!Z$2)),"")</f>
        <v/>
      </c>
      <c r="AA114" s="32" t="str">
        <f ca="1">IF(SUMPRODUCT((ListeB='recap S1'!$B114)*(OFFSET(ListeB,,4)='recap S1'!AA$3)*(OFFSET(ListeB,,1)='recap S1'!AA$2))&gt;0,SUMPRODUCT((ListeB='recap S1'!$B114)*(OFFSET(ListeB,,4)='recap S1'!AA$3)*(OFFSET(ListeB,,1)='recap S1'!AA$2)),"")</f>
        <v/>
      </c>
      <c r="AB114" s="32"/>
      <c r="AC114" s="32" t="str">
        <f ca="1">IF(SUMPRODUCT((ListeB='recap S1'!$B114)*(OFFSET(ListeB,,4)='recap S1'!AC$3)*(OFFSET(ListeB,,1)='recap S1'!AC$2))&gt;0,SUMPRODUCT((ListeB='recap S1'!$B114)*(OFFSET(ListeB,,4)='recap S1'!AC$3)*(OFFSET(ListeB,,1)='recap S1'!AC$2)),"")</f>
        <v/>
      </c>
      <c r="AD114" s="32"/>
      <c r="AE114" s="32" t="str">
        <f ca="1">IF(SUMPRODUCT((ListeB='recap S1'!$B114)*(OFFSET(ListeB,,4)='recap S1'!AE$3)*(OFFSET(ListeB,,1)='recap S1'!AE$2))&gt;0,SUMPRODUCT((ListeB='recap S1'!$B114)*(OFFSET(ListeB,,4)='recap S1'!AE$3)*(OFFSET(ListeB,,1)='recap S1'!AE$2)),"")</f>
        <v/>
      </c>
      <c r="AF114" s="32" t="str">
        <f ca="1">IF(SUMPRODUCT((ListeB='recap S1'!$B114)*(OFFSET(ListeB,,4)='recap S1'!AF$3)*(OFFSET(ListeB,,1)='recap S1'!AF$2))&gt;0,SUMPRODUCT((ListeB='recap S1'!$B114)*(OFFSET(ListeB,,4)='recap S1'!AF$3)*(OFFSET(ListeB,,1)='recap S1'!AF$2)),"")</f>
        <v/>
      </c>
      <c r="AG114" s="32"/>
      <c r="AH114" s="32" t="str">
        <f ca="1">IF(SUMPRODUCT((ListeB='recap S1'!$B114)*(OFFSET(ListeB,,4)='recap S1'!AH$3)*(OFFSET(ListeB,,1)='recap S1'!AH$2))&gt;0,SUMPRODUCT((ListeB='recap S1'!$B114)*(OFFSET(ListeB,,4)='recap S1'!AH$3)*(OFFSET(ListeB,,1)='recap S1'!AH$2)),"")</f>
        <v/>
      </c>
      <c r="AI114" s="32" t="str">
        <f ca="1">IF(SUMPRODUCT((ListeB='recap S1'!$B114)*(OFFSET(ListeB,,4)='recap S1'!AI$3)*(OFFSET(ListeB,,1)='recap S1'!AI$2))&gt;0,SUMPRODUCT((ListeB='recap S1'!$B114)*(OFFSET(ListeB,,4)='recap S1'!AI$3)*(OFFSET(ListeB,,1)='recap S1'!AI$2)),"")</f>
        <v/>
      </c>
      <c r="AJ114" s="32" t="str">
        <f ca="1">IF(SUMPRODUCT((ListeB='recap S1'!$B114)*(OFFSET(ListeB,,4)='recap S1'!AJ$3)*(OFFSET(ListeB,,1)='recap S1'!AJ$2))&gt;0,SUMPRODUCT((ListeB='recap S1'!$B114)*(OFFSET(ListeB,,4)='recap S1'!AJ$3)*(OFFSET(ListeB,,1)='recap S1'!AJ$2)),"")</f>
        <v/>
      </c>
      <c r="AK114" s="32"/>
      <c r="AL114" s="32" t="str">
        <f ca="1">IF(SUMPRODUCT((ListeB='recap S1'!$B114)*(OFFSET(ListeB,,4)='recap S1'!AL$3)*(OFFSET(ListeB,,1)='recap S1'!AL$2))&gt;0,SUMPRODUCT((ListeB='recap S1'!$B114)*(OFFSET(ListeB,,4)='recap S1'!AL$3)*(OFFSET(ListeB,,1)='recap S1'!AL$2)),"")</f>
        <v/>
      </c>
      <c r="AM114" s="32"/>
      <c r="AN114" s="32" t="str">
        <f ca="1">IF(SUMPRODUCT((ListeB='recap S1'!$B114)*(OFFSET(ListeB,,4)='recap S1'!AN$3)*(OFFSET(ListeB,,1)='recap S1'!AN$2))&gt;0,SUMPRODUCT((ListeB='recap S1'!$B114)*(OFFSET(ListeB,,4)='recap S1'!AN$3)*(OFFSET(ListeB,,1)='recap S1'!AN$2)),"")</f>
        <v/>
      </c>
      <c r="AO114" s="32" t="str">
        <f ca="1">IF(SUMPRODUCT((ListeB='recap S1'!$B114)*(OFFSET(ListeB,,4)='recap S1'!AO$3)*(OFFSET(ListeB,,1)='recap S1'!AO$2))&gt;0,SUMPRODUCT((ListeB='recap S1'!$B114)*(OFFSET(ListeB,,4)='recap S1'!AO$3)*(OFFSET(ListeB,,1)='recap S1'!AO$2)),"")</f>
        <v/>
      </c>
      <c r="AP114" s="32"/>
      <c r="AQ114" s="32"/>
      <c r="AR114" s="32"/>
      <c r="AS114" s="32" t="str">
        <f ca="1">IF(SUMPRODUCT((ListeB='recap S1'!$B114)*(OFFSET(ListeB,,4)='recap S1'!AS$3)*(OFFSET(ListeB,,1)='recap S1'!AS$2))&gt;0,SUMPRODUCT((ListeB='recap S1'!$B114)*(OFFSET(ListeB,,4)='recap S1'!AS$3)*(OFFSET(ListeB,,1)='recap S1'!AS$2)),"")</f>
        <v/>
      </c>
      <c r="AT114" s="32" t="str">
        <f ca="1">IF(SUMPRODUCT((ListeB='recap S1'!$B114)*(OFFSET(ListeB,,4)='recap S1'!AT$3)*(OFFSET(ListeB,,1)='recap S1'!AT$2))&gt;0,SUMPRODUCT((ListeB='recap S1'!$B114)*(OFFSET(ListeB,,4)='recap S1'!AT$3)*(OFFSET(ListeB,,1)='recap S1'!AT$2)),"")</f>
        <v/>
      </c>
      <c r="AU114" s="32"/>
      <c r="AV114" s="32" t="str">
        <f ca="1">IF(SUMPRODUCT((ListeB='recap S1'!$B114)*(OFFSET(ListeB,,4)='recap S1'!AV$3)*(OFFSET(ListeB,,1)='recap S1'!AV$2))&gt;0,SUMPRODUCT((ListeB='recap S1'!$B114)*(OFFSET(ListeB,,4)='recap S1'!AV$3)*(OFFSET(ListeB,,1)='recap S1'!AV$2)),"")</f>
        <v/>
      </c>
      <c r="AW114" s="32" t="str">
        <f ca="1">IF(SUMPRODUCT((ListeB='recap S1'!$B114)*(OFFSET(ListeB,,4)='recap S1'!AW$3)*(OFFSET(ListeB,,1)='recap S1'!AW$2))&gt;0,SUMPRODUCT((ListeB='recap S1'!$B114)*(OFFSET(ListeB,,4)='recap S1'!AW$3)*(OFFSET(ListeB,,1)='recap S1'!AW$2)),"")</f>
        <v/>
      </c>
      <c r="AX114" s="32" t="str">
        <f ca="1">IF(SUMPRODUCT((ListeB='recap S1'!$B114)*(OFFSET(ListeB,,4)='recap S1'!AX$3)*(OFFSET(ListeB,,1)='recap S1'!AX$2))&gt;0,SUMPRODUCT((ListeB='recap S1'!$B114)*(OFFSET(ListeB,,4)='recap S1'!AX$3)*(OFFSET(ListeB,,1)='recap S1'!AX$2)),"")</f>
        <v/>
      </c>
      <c r="AY114" s="34"/>
      <c r="AZ114" s="32">
        <f t="shared" ca="1" si="3"/>
        <v>0</v>
      </c>
    </row>
    <row r="115" spans="1:52">
      <c r="A115" s="41" t="str">
        <f>IF('SEANCE 1'!$B113&lt;&gt;"",'SEANCE 1'!$A113,"")</f>
        <v/>
      </c>
      <c r="B115" s="41" t="str">
        <f t="array" aca="1" ref="B115" ca="1">IF(ISNA(INDEX(ListeB,MATCH(0,COUNTIF($B$3:B114,ListeB),0))),"",INDEX(ListeB,MATCH(0,COUNTIF($B$3:B114,ListeB),0)))</f>
        <v/>
      </c>
      <c r="C115" s="32" t="str">
        <f ca="1">IF(SUMPRODUCT((ListeB='recap S1'!$B115)*(OFFSET(ListeB,,4)='recap S1'!C$3)*(OFFSET(ListeB,,1)='recap S1'!C$2))&gt;0,SUMPRODUCT((ListeB='recap S1'!$B115)*(OFFSET(ListeB,,4)='recap S1'!C$3)*(OFFSET(ListeB,,1)='recap S1'!C$2)),"")</f>
        <v/>
      </c>
      <c r="D115" s="32" t="str">
        <f ca="1">IF(SUMPRODUCT((ListeB='recap S1'!$B115)*(OFFSET(ListeB,,4)='recap S1'!D$3)*(OFFSET(ListeB,,1)='recap S1'!D$2))&gt;0,SUMPRODUCT((ListeB='recap S1'!$B115)*(OFFSET(ListeB,,4)='recap S1'!D$3)*(OFFSET(ListeB,,1)='recap S1'!D$2)),"")</f>
        <v/>
      </c>
      <c r="E115" s="32"/>
      <c r="F115" s="32" t="str">
        <f ca="1">IF(SUMPRODUCT((ListeB='recap S1'!$B115)*(OFFSET(ListeB,,4)='recap S1'!F$3)*(OFFSET(ListeB,,1)='recap S1'!F$2))&gt;0,SUMPRODUCT((ListeB='recap S1'!$B115)*(OFFSET(ListeB,,4)='recap S1'!F$3)*(OFFSET(ListeB,,1)='recap S1'!F$2)),"")</f>
        <v/>
      </c>
      <c r="G115" s="32" t="str">
        <f ca="1">IF(SUMPRODUCT((ListeB='recap S1'!$B115)*(OFFSET(ListeB,,4)='recap S1'!G$3)*(OFFSET(ListeB,,1)='recap S1'!G$2))&gt;0,SUMPRODUCT((ListeB='recap S1'!$B115)*(OFFSET(ListeB,,4)='recap S1'!G$3)*(OFFSET(ListeB,,1)='recap S1'!G$2)),"")</f>
        <v/>
      </c>
      <c r="H115" s="32"/>
      <c r="I115" s="32" t="str">
        <f ca="1">IF(SUMPRODUCT((ListeB='recap S1'!$B115)*(OFFSET(ListeB,,4)='recap S1'!I$3)*(OFFSET(ListeB,,1)='recap S1'!I$2))&gt;0,SUMPRODUCT((ListeB='recap S1'!$B115)*(OFFSET(ListeB,,4)='recap S1'!I$3)*(OFFSET(ListeB,,1)='recap S1'!I$2)),"")</f>
        <v/>
      </c>
      <c r="J115" s="32" t="str">
        <f ca="1">IF(SUMPRODUCT((ListeB='recap S1'!$B115)*(OFFSET(ListeB,,4)='recap S1'!J$3)*(OFFSET(ListeB,,1)='recap S1'!J$2))&gt;0,SUMPRODUCT((ListeB='recap S1'!$B115)*(OFFSET(ListeB,,4)='recap S1'!J$3)*(OFFSET(ListeB,,1)='recap S1'!J$2)),"")</f>
        <v/>
      </c>
      <c r="K115" s="32" t="str">
        <f ca="1">IF(SUMPRODUCT((ListeB='recap S1'!$B115)*(OFFSET(ListeB,,4)='recap S1'!K$3)*(OFFSET(ListeB,,1)='recap S1'!K$2))&gt;0,SUMPRODUCT((ListeB='recap S1'!$B115)*(OFFSET(ListeB,,4)='recap S1'!K$3)*(OFFSET(ListeB,,1)='recap S1'!K$2)),"")</f>
        <v/>
      </c>
      <c r="L115" s="32"/>
      <c r="M115" s="32" t="str">
        <f ca="1">IF(SUMPRODUCT((ListeB='recap S1'!$B115)*(OFFSET(ListeB,,4)='recap S1'!M$3)*(OFFSET(ListeB,,1)='recap S1'!M$2))&gt;0,SUMPRODUCT((ListeB='recap S1'!$B115)*(OFFSET(ListeB,,4)='recap S1'!M$3)*(OFFSET(ListeB,,1)='recap S1'!M$2)),"")</f>
        <v/>
      </c>
      <c r="N115" s="32" t="str">
        <f ca="1">IF(SUMPRODUCT((ListeB='recap S1'!$B115)*(OFFSET(ListeB,,4)='recap S1'!N$3)*(OFFSET(ListeB,,1)='recap S1'!N$2))&gt;0,SUMPRODUCT((ListeB='recap S1'!$B115)*(OFFSET(ListeB,,4)='recap S1'!N$3)*(OFFSET(ListeB,,1)='recap S1'!N$2)),"")</f>
        <v/>
      </c>
      <c r="O115" s="32"/>
      <c r="P115" s="32" t="str">
        <f ca="1">IF(SUMPRODUCT((ListeB='recap S1'!$B115)*(OFFSET(ListeB,,4)='recap S1'!P$3)*(OFFSET(ListeB,,1)='recap S1'!P$2))&gt;0,SUMPRODUCT((ListeB='recap S1'!$B115)*(OFFSET(ListeB,,4)='recap S1'!P$3)*(OFFSET(ListeB,,1)='recap S1'!P$2)),"")</f>
        <v/>
      </c>
      <c r="Q115" s="32" t="str">
        <f ca="1">IF(SUMPRODUCT((ListeB='recap S1'!$B115)*(OFFSET(ListeB,,4)='recap S1'!Q$3)*(OFFSET(ListeB,,1)='recap S1'!Q$2))&gt;0,SUMPRODUCT((ListeB='recap S1'!$B115)*(OFFSET(ListeB,,4)='recap S1'!Q$3)*(OFFSET(ListeB,,1)='recap S1'!Q$2)),"")</f>
        <v/>
      </c>
      <c r="R115" s="32"/>
      <c r="S115" s="32" t="str">
        <f ca="1">IF(SUMPRODUCT((ListeB='recap S1'!$B115)*(OFFSET(ListeB,,4)='recap S1'!S$3)*(OFFSET(ListeB,,1)='recap S1'!S$2))&gt;0,SUMPRODUCT((ListeB='recap S1'!$B115)*(OFFSET(ListeB,,4)='recap S1'!S$3)*(OFFSET(ListeB,,1)='recap S1'!S$2)),"")</f>
        <v/>
      </c>
      <c r="T115" s="32" t="str">
        <f ca="1">IF(SUMPRODUCT((ListeB='recap S1'!$B115)*(OFFSET(ListeB,,4)='recap S1'!T$3)*(OFFSET(ListeB,,1)='recap S1'!T$2))&gt;0,SUMPRODUCT((ListeB='recap S1'!$B115)*(OFFSET(ListeB,,4)='recap S1'!T$3)*(OFFSET(ListeB,,1)='recap S1'!T$2)),"")</f>
        <v/>
      </c>
      <c r="U115" s="32" t="str">
        <f ca="1">IF(SUMPRODUCT((ListeB='recap S1'!$B115)*(OFFSET(ListeB,,4)='recap S1'!U$3)*(OFFSET(ListeB,,1)='recap S1'!U$2))&gt;0,SUMPRODUCT((ListeB='recap S1'!$B115)*(OFFSET(ListeB,,4)='recap S1'!U$3)*(OFFSET(ListeB,,1)='recap S1'!U$2)),"")</f>
        <v/>
      </c>
      <c r="V115" s="32"/>
      <c r="W115" s="32" t="str">
        <f ca="1">IF(SUMPRODUCT((ListeB='recap S1'!$B115)*(OFFSET(ListeB,,4)='recap S1'!W$3)*(OFFSET(ListeB,,1)='recap S1'!W$2))&gt;0,SUMPRODUCT((ListeB='recap S1'!$B115)*(OFFSET(ListeB,,4)='recap S1'!W$3)*(OFFSET(ListeB,,1)='recap S1'!W$2)),"")</f>
        <v/>
      </c>
      <c r="X115" s="32"/>
      <c r="Y115" s="32" t="str">
        <f ca="1">IF(SUMPRODUCT((ListeB='recap S1'!$B115)*(OFFSET(ListeB,,4)='recap S1'!Y$3)*(OFFSET(ListeB,,1)='recap S1'!Y$2))&gt;0,SUMPRODUCT((ListeB='recap S1'!$B115)*(OFFSET(ListeB,,4)='recap S1'!Y$3)*(OFFSET(ListeB,,1)='recap S1'!Y$2)),"")</f>
        <v/>
      </c>
      <c r="Z115" s="32" t="str">
        <f ca="1">IF(SUMPRODUCT((ListeB='recap S1'!$B115)*(OFFSET(ListeB,,4)='recap S1'!Z$3)*(OFFSET(ListeB,,1)='recap S1'!Z$2))&gt;0,SUMPRODUCT((ListeB='recap S1'!$B115)*(OFFSET(ListeB,,4)='recap S1'!Z$3)*(OFFSET(ListeB,,1)='recap S1'!Z$2)),"")</f>
        <v/>
      </c>
      <c r="AA115" s="32" t="str">
        <f ca="1">IF(SUMPRODUCT((ListeB='recap S1'!$B115)*(OFFSET(ListeB,,4)='recap S1'!AA$3)*(OFFSET(ListeB,,1)='recap S1'!AA$2))&gt;0,SUMPRODUCT((ListeB='recap S1'!$B115)*(OFFSET(ListeB,,4)='recap S1'!AA$3)*(OFFSET(ListeB,,1)='recap S1'!AA$2)),"")</f>
        <v/>
      </c>
      <c r="AB115" s="32"/>
      <c r="AC115" s="32" t="str">
        <f ca="1">IF(SUMPRODUCT((ListeB='recap S1'!$B115)*(OFFSET(ListeB,,4)='recap S1'!AC$3)*(OFFSET(ListeB,,1)='recap S1'!AC$2))&gt;0,SUMPRODUCT((ListeB='recap S1'!$B115)*(OFFSET(ListeB,,4)='recap S1'!AC$3)*(OFFSET(ListeB,,1)='recap S1'!AC$2)),"")</f>
        <v/>
      </c>
      <c r="AD115" s="32"/>
      <c r="AE115" s="32" t="str">
        <f ca="1">IF(SUMPRODUCT((ListeB='recap S1'!$B115)*(OFFSET(ListeB,,4)='recap S1'!AE$3)*(OFFSET(ListeB,,1)='recap S1'!AE$2))&gt;0,SUMPRODUCT((ListeB='recap S1'!$B115)*(OFFSET(ListeB,,4)='recap S1'!AE$3)*(OFFSET(ListeB,,1)='recap S1'!AE$2)),"")</f>
        <v/>
      </c>
      <c r="AF115" s="32" t="str">
        <f ca="1">IF(SUMPRODUCT((ListeB='recap S1'!$B115)*(OFFSET(ListeB,,4)='recap S1'!AF$3)*(OFFSET(ListeB,,1)='recap S1'!AF$2))&gt;0,SUMPRODUCT((ListeB='recap S1'!$B115)*(OFFSET(ListeB,,4)='recap S1'!AF$3)*(OFFSET(ListeB,,1)='recap S1'!AF$2)),"")</f>
        <v/>
      </c>
      <c r="AG115" s="32"/>
      <c r="AH115" s="32" t="str">
        <f ca="1">IF(SUMPRODUCT((ListeB='recap S1'!$B115)*(OFFSET(ListeB,,4)='recap S1'!AH$3)*(OFFSET(ListeB,,1)='recap S1'!AH$2))&gt;0,SUMPRODUCT((ListeB='recap S1'!$B115)*(OFFSET(ListeB,,4)='recap S1'!AH$3)*(OFFSET(ListeB,,1)='recap S1'!AH$2)),"")</f>
        <v/>
      </c>
      <c r="AI115" s="32" t="str">
        <f ca="1">IF(SUMPRODUCT((ListeB='recap S1'!$B115)*(OFFSET(ListeB,,4)='recap S1'!AI$3)*(OFFSET(ListeB,,1)='recap S1'!AI$2))&gt;0,SUMPRODUCT((ListeB='recap S1'!$B115)*(OFFSET(ListeB,,4)='recap S1'!AI$3)*(OFFSET(ListeB,,1)='recap S1'!AI$2)),"")</f>
        <v/>
      </c>
      <c r="AJ115" s="32" t="str">
        <f ca="1">IF(SUMPRODUCT((ListeB='recap S1'!$B115)*(OFFSET(ListeB,,4)='recap S1'!AJ$3)*(OFFSET(ListeB,,1)='recap S1'!AJ$2))&gt;0,SUMPRODUCT((ListeB='recap S1'!$B115)*(OFFSET(ListeB,,4)='recap S1'!AJ$3)*(OFFSET(ListeB,,1)='recap S1'!AJ$2)),"")</f>
        <v/>
      </c>
      <c r="AK115" s="32"/>
      <c r="AL115" s="32" t="str">
        <f ca="1">IF(SUMPRODUCT((ListeB='recap S1'!$B115)*(OFFSET(ListeB,,4)='recap S1'!AL$3)*(OFFSET(ListeB,,1)='recap S1'!AL$2))&gt;0,SUMPRODUCT((ListeB='recap S1'!$B115)*(OFFSET(ListeB,,4)='recap S1'!AL$3)*(OFFSET(ListeB,,1)='recap S1'!AL$2)),"")</f>
        <v/>
      </c>
      <c r="AM115" s="32"/>
      <c r="AN115" s="32" t="str">
        <f ca="1">IF(SUMPRODUCT((ListeB='recap S1'!$B115)*(OFFSET(ListeB,,4)='recap S1'!AN$3)*(OFFSET(ListeB,,1)='recap S1'!AN$2))&gt;0,SUMPRODUCT((ListeB='recap S1'!$B115)*(OFFSET(ListeB,,4)='recap S1'!AN$3)*(OFFSET(ListeB,,1)='recap S1'!AN$2)),"")</f>
        <v/>
      </c>
      <c r="AO115" s="32" t="str">
        <f ca="1">IF(SUMPRODUCT((ListeB='recap S1'!$B115)*(OFFSET(ListeB,,4)='recap S1'!AO$3)*(OFFSET(ListeB,,1)='recap S1'!AO$2))&gt;0,SUMPRODUCT((ListeB='recap S1'!$B115)*(OFFSET(ListeB,,4)='recap S1'!AO$3)*(OFFSET(ListeB,,1)='recap S1'!AO$2)),"")</f>
        <v/>
      </c>
      <c r="AP115" s="32"/>
      <c r="AQ115" s="32"/>
      <c r="AR115" s="32"/>
      <c r="AS115" s="32" t="str">
        <f ca="1">IF(SUMPRODUCT((ListeB='recap S1'!$B115)*(OFFSET(ListeB,,4)='recap S1'!AS$3)*(OFFSET(ListeB,,1)='recap S1'!AS$2))&gt;0,SUMPRODUCT((ListeB='recap S1'!$B115)*(OFFSET(ListeB,,4)='recap S1'!AS$3)*(OFFSET(ListeB,,1)='recap S1'!AS$2)),"")</f>
        <v/>
      </c>
      <c r="AT115" s="32" t="str">
        <f ca="1">IF(SUMPRODUCT((ListeB='recap S1'!$B115)*(OFFSET(ListeB,,4)='recap S1'!AT$3)*(OFFSET(ListeB,,1)='recap S1'!AT$2))&gt;0,SUMPRODUCT((ListeB='recap S1'!$B115)*(OFFSET(ListeB,,4)='recap S1'!AT$3)*(OFFSET(ListeB,,1)='recap S1'!AT$2)),"")</f>
        <v/>
      </c>
      <c r="AU115" s="32"/>
      <c r="AV115" s="32" t="str">
        <f ca="1">IF(SUMPRODUCT((ListeB='recap S1'!$B115)*(OFFSET(ListeB,,4)='recap S1'!AV$3)*(OFFSET(ListeB,,1)='recap S1'!AV$2))&gt;0,SUMPRODUCT((ListeB='recap S1'!$B115)*(OFFSET(ListeB,,4)='recap S1'!AV$3)*(OFFSET(ListeB,,1)='recap S1'!AV$2)),"")</f>
        <v/>
      </c>
      <c r="AW115" s="32" t="str">
        <f ca="1">IF(SUMPRODUCT((ListeB='recap S1'!$B115)*(OFFSET(ListeB,,4)='recap S1'!AW$3)*(OFFSET(ListeB,,1)='recap S1'!AW$2))&gt;0,SUMPRODUCT((ListeB='recap S1'!$B115)*(OFFSET(ListeB,,4)='recap S1'!AW$3)*(OFFSET(ListeB,,1)='recap S1'!AW$2)),"")</f>
        <v/>
      </c>
      <c r="AX115" s="32" t="str">
        <f ca="1">IF(SUMPRODUCT((ListeB='recap S1'!$B115)*(OFFSET(ListeB,,4)='recap S1'!AX$3)*(OFFSET(ListeB,,1)='recap S1'!AX$2))&gt;0,SUMPRODUCT((ListeB='recap S1'!$B115)*(OFFSET(ListeB,,4)='recap S1'!AX$3)*(OFFSET(ListeB,,1)='recap S1'!AX$2)),"")</f>
        <v/>
      </c>
      <c r="AY115" s="34"/>
      <c r="AZ115" s="32">
        <f t="shared" ca="1" si="3"/>
        <v>0</v>
      </c>
    </row>
    <row r="116" spans="1:52">
      <c r="A116" s="41" t="str">
        <f>IF('SEANCE 1'!$B114&lt;&gt;"",'SEANCE 1'!$A114,"")</f>
        <v/>
      </c>
      <c r="B116" s="41" t="str">
        <f t="array" aca="1" ref="B116" ca="1">IF(ISNA(INDEX(ListeB,MATCH(0,COUNTIF($B$3:B115,ListeB),0))),"",INDEX(ListeB,MATCH(0,COUNTIF($B$3:B115,ListeB),0)))</f>
        <v/>
      </c>
      <c r="C116" s="32" t="str">
        <f ca="1">IF(SUMPRODUCT((ListeB='recap S1'!$B116)*(OFFSET(ListeB,,4)='recap S1'!C$3)*(OFFSET(ListeB,,1)='recap S1'!C$2))&gt;0,SUMPRODUCT((ListeB='recap S1'!$B116)*(OFFSET(ListeB,,4)='recap S1'!C$3)*(OFFSET(ListeB,,1)='recap S1'!C$2)),"")</f>
        <v/>
      </c>
      <c r="D116" s="32" t="str">
        <f ca="1">IF(SUMPRODUCT((ListeB='recap S1'!$B116)*(OFFSET(ListeB,,4)='recap S1'!D$3)*(OFFSET(ListeB,,1)='recap S1'!D$2))&gt;0,SUMPRODUCT((ListeB='recap S1'!$B116)*(OFFSET(ListeB,,4)='recap S1'!D$3)*(OFFSET(ListeB,,1)='recap S1'!D$2)),"")</f>
        <v/>
      </c>
      <c r="E116" s="32"/>
      <c r="F116" s="32" t="str">
        <f ca="1">IF(SUMPRODUCT((ListeB='recap S1'!$B116)*(OFFSET(ListeB,,4)='recap S1'!F$3)*(OFFSET(ListeB,,1)='recap S1'!F$2))&gt;0,SUMPRODUCT((ListeB='recap S1'!$B116)*(OFFSET(ListeB,,4)='recap S1'!F$3)*(OFFSET(ListeB,,1)='recap S1'!F$2)),"")</f>
        <v/>
      </c>
      <c r="G116" s="32" t="str">
        <f ca="1">IF(SUMPRODUCT((ListeB='recap S1'!$B116)*(OFFSET(ListeB,,4)='recap S1'!G$3)*(OFFSET(ListeB,,1)='recap S1'!G$2))&gt;0,SUMPRODUCT((ListeB='recap S1'!$B116)*(OFFSET(ListeB,,4)='recap S1'!G$3)*(OFFSET(ListeB,,1)='recap S1'!G$2)),"")</f>
        <v/>
      </c>
      <c r="H116" s="32"/>
      <c r="I116" s="32" t="str">
        <f ca="1">IF(SUMPRODUCT((ListeB='recap S1'!$B116)*(OFFSET(ListeB,,4)='recap S1'!I$3)*(OFFSET(ListeB,,1)='recap S1'!I$2))&gt;0,SUMPRODUCT((ListeB='recap S1'!$B116)*(OFFSET(ListeB,,4)='recap S1'!I$3)*(OFFSET(ListeB,,1)='recap S1'!I$2)),"")</f>
        <v/>
      </c>
      <c r="J116" s="32" t="str">
        <f ca="1">IF(SUMPRODUCT((ListeB='recap S1'!$B116)*(OFFSET(ListeB,,4)='recap S1'!J$3)*(OFFSET(ListeB,,1)='recap S1'!J$2))&gt;0,SUMPRODUCT((ListeB='recap S1'!$B116)*(OFFSET(ListeB,,4)='recap S1'!J$3)*(OFFSET(ListeB,,1)='recap S1'!J$2)),"")</f>
        <v/>
      </c>
      <c r="K116" s="32" t="str">
        <f ca="1">IF(SUMPRODUCT((ListeB='recap S1'!$B116)*(OFFSET(ListeB,,4)='recap S1'!K$3)*(OFFSET(ListeB,,1)='recap S1'!K$2))&gt;0,SUMPRODUCT((ListeB='recap S1'!$B116)*(OFFSET(ListeB,,4)='recap S1'!K$3)*(OFFSET(ListeB,,1)='recap S1'!K$2)),"")</f>
        <v/>
      </c>
      <c r="L116" s="32"/>
      <c r="M116" s="32" t="str">
        <f ca="1">IF(SUMPRODUCT((ListeB='recap S1'!$B116)*(OFFSET(ListeB,,4)='recap S1'!M$3)*(OFFSET(ListeB,,1)='recap S1'!M$2))&gt;0,SUMPRODUCT((ListeB='recap S1'!$B116)*(OFFSET(ListeB,,4)='recap S1'!M$3)*(OFFSET(ListeB,,1)='recap S1'!M$2)),"")</f>
        <v/>
      </c>
      <c r="N116" s="32" t="str">
        <f ca="1">IF(SUMPRODUCT((ListeB='recap S1'!$B116)*(OFFSET(ListeB,,4)='recap S1'!N$3)*(OFFSET(ListeB,,1)='recap S1'!N$2))&gt;0,SUMPRODUCT((ListeB='recap S1'!$B116)*(OFFSET(ListeB,,4)='recap S1'!N$3)*(OFFSET(ListeB,,1)='recap S1'!N$2)),"")</f>
        <v/>
      </c>
      <c r="O116" s="32"/>
      <c r="P116" s="32" t="str">
        <f ca="1">IF(SUMPRODUCT((ListeB='recap S1'!$B116)*(OFFSET(ListeB,,4)='recap S1'!P$3)*(OFFSET(ListeB,,1)='recap S1'!P$2))&gt;0,SUMPRODUCT((ListeB='recap S1'!$B116)*(OFFSET(ListeB,,4)='recap S1'!P$3)*(OFFSET(ListeB,,1)='recap S1'!P$2)),"")</f>
        <v/>
      </c>
      <c r="Q116" s="32" t="str">
        <f ca="1">IF(SUMPRODUCT((ListeB='recap S1'!$B116)*(OFFSET(ListeB,,4)='recap S1'!Q$3)*(OFFSET(ListeB,,1)='recap S1'!Q$2))&gt;0,SUMPRODUCT((ListeB='recap S1'!$B116)*(OFFSET(ListeB,,4)='recap S1'!Q$3)*(OFFSET(ListeB,,1)='recap S1'!Q$2)),"")</f>
        <v/>
      </c>
      <c r="R116" s="32"/>
      <c r="S116" s="32" t="str">
        <f ca="1">IF(SUMPRODUCT((ListeB='recap S1'!$B116)*(OFFSET(ListeB,,4)='recap S1'!S$3)*(OFFSET(ListeB,,1)='recap S1'!S$2))&gt;0,SUMPRODUCT((ListeB='recap S1'!$B116)*(OFFSET(ListeB,,4)='recap S1'!S$3)*(OFFSET(ListeB,,1)='recap S1'!S$2)),"")</f>
        <v/>
      </c>
      <c r="T116" s="32" t="str">
        <f ca="1">IF(SUMPRODUCT((ListeB='recap S1'!$B116)*(OFFSET(ListeB,,4)='recap S1'!T$3)*(OFFSET(ListeB,,1)='recap S1'!T$2))&gt;0,SUMPRODUCT((ListeB='recap S1'!$B116)*(OFFSET(ListeB,,4)='recap S1'!T$3)*(OFFSET(ListeB,,1)='recap S1'!T$2)),"")</f>
        <v/>
      </c>
      <c r="U116" s="32" t="str">
        <f ca="1">IF(SUMPRODUCT((ListeB='recap S1'!$B116)*(OFFSET(ListeB,,4)='recap S1'!U$3)*(OFFSET(ListeB,,1)='recap S1'!U$2))&gt;0,SUMPRODUCT((ListeB='recap S1'!$B116)*(OFFSET(ListeB,,4)='recap S1'!U$3)*(OFFSET(ListeB,,1)='recap S1'!U$2)),"")</f>
        <v/>
      </c>
      <c r="V116" s="32"/>
      <c r="W116" s="32" t="str">
        <f ca="1">IF(SUMPRODUCT((ListeB='recap S1'!$B116)*(OFFSET(ListeB,,4)='recap S1'!W$3)*(OFFSET(ListeB,,1)='recap S1'!W$2))&gt;0,SUMPRODUCT((ListeB='recap S1'!$B116)*(OFFSET(ListeB,,4)='recap S1'!W$3)*(OFFSET(ListeB,,1)='recap S1'!W$2)),"")</f>
        <v/>
      </c>
      <c r="X116" s="32"/>
      <c r="Y116" s="32" t="str">
        <f ca="1">IF(SUMPRODUCT((ListeB='recap S1'!$B116)*(OFFSET(ListeB,,4)='recap S1'!Y$3)*(OFFSET(ListeB,,1)='recap S1'!Y$2))&gt;0,SUMPRODUCT((ListeB='recap S1'!$B116)*(OFFSET(ListeB,,4)='recap S1'!Y$3)*(OFFSET(ListeB,,1)='recap S1'!Y$2)),"")</f>
        <v/>
      </c>
      <c r="Z116" s="32" t="str">
        <f ca="1">IF(SUMPRODUCT((ListeB='recap S1'!$B116)*(OFFSET(ListeB,,4)='recap S1'!Z$3)*(OFFSET(ListeB,,1)='recap S1'!Z$2))&gt;0,SUMPRODUCT((ListeB='recap S1'!$B116)*(OFFSET(ListeB,,4)='recap S1'!Z$3)*(OFFSET(ListeB,,1)='recap S1'!Z$2)),"")</f>
        <v/>
      </c>
      <c r="AA116" s="32" t="str">
        <f ca="1">IF(SUMPRODUCT((ListeB='recap S1'!$B116)*(OFFSET(ListeB,,4)='recap S1'!AA$3)*(OFFSET(ListeB,,1)='recap S1'!AA$2))&gt;0,SUMPRODUCT((ListeB='recap S1'!$B116)*(OFFSET(ListeB,,4)='recap S1'!AA$3)*(OFFSET(ListeB,,1)='recap S1'!AA$2)),"")</f>
        <v/>
      </c>
      <c r="AB116" s="32"/>
      <c r="AC116" s="32" t="str">
        <f ca="1">IF(SUMPRODUCT((ListeB='recap S1'!$B116)*(OFFSET(ListeB,,4)='recap S1'!AC$3)*(OFFSET(ListeB,,1)='recap S1'!AC$2))&gt;0,SUMPRODUCT((ListeB='recap S1'!$B116)*(OFFSET(ListeB,,4)='recap S1'!AC$3)*(OFFSET(ListeB,,1)='recap S1'!AC$2)),"")</f>
        <v/>
      </c>
      <c r="AD116" s="32"/>
      <c r="AE116" s="32" t="str">
        <f ca="1">IF(SUMPRODUCT((ListeB='recap S1'!$B116)*(OFFSET(ListeB,,4)='recap S1'!AE$3)*(OFFSET(ListeB,,1)='recap S1'!AE$2))&gt;0,SUMPRODUCT((ListeB='recap S1'!$B116)*(OFFSET(ListeB,,4)='recap S1'!AE$3)*(OFFSET(ListeB,,1)='recap S1'!AE$2)),"")</f>
        <v/>
      </c>
      <c r="AF116" s="32" t="str">
        <f ca="1">IF(SUMPRODUCT((ListeB='recap S1'!$B116)*(OFFSET(ListeB,,4)='recap S1'!AF$3)*(OFFSET(ListeB,,1)='recap S1'!AF$2))&gt;0,SUMPRODUCT((ListeB='recap S1'!$B116)*(OFFSET(ListeB,,4)='recap S1'!AF$3)*(OFFSET(ListeB,,1)='recap S1'!AF$2)),"")</f>
        <v/>
      </c>
      <c r="AG116" s="32"/>
      <c r="AH116" s="32" t="str">
        <f ca="1">IF(SUMPRODUCT((ListeB='recap S1'!$B116)*(OFFSET(ListeB,,4)='recap S1'!AH$3)*(OFFSET(ListeB,,1)='recap S1'!AH$2))&gt;0,SUMPRODUCT((ListeB='recap S1'!$B116)*(OFFSET(ListeB,,4)='recap S1'!AH$3)*(OFFSET(ListeB,,1)='recap S1'!AH$2)),"")</f>
        <v/>
      </c>
      <c r="AI116" s="32" t="str">
        <f ca="1">IF(SUMPRODUCT((ListeB='recap S1'!$B116)*(OFFSET(ListeB,,4)='recap S1'!AI$3)*(OFFSET(ListeB,,1)='recap S1'!AI$2))&gt;0,SUMPRODUCT((ListeB='recap S1'!$B116)*(OFFSET(ListeB,,4)='recap S1'!AI$3)*(OFFSET(ListeB,,1)='recap S1'!AI$2)),"")</f>
        <v/>
      </c>
      <c r="AJ116" s="32" t="str">
        <f ca="1">IF(SUMPRODUCT((ListeB='recap S1'!$B116)*(OFFSET(ListeB,,4)='recap S1'!AJ$3)*(OFFSET(ListeB,,1)='recap S1'!AJ$2))&gt;0,SUMPRODUCT((ListeB='recap S1'!$B116)*(OFFSET(ListeB,,4)='recap S1'!AJ$3)*(OFFSET(ListeB,,1)='recap S1'!AJ$2)),"")</f>
        <v/>
      </c>
      <c r="AK116" s="32"/>
      <c r="AL116" s="32" t="str">
        <f ca="1">IF(SUMPRODUCT((ListeB='recap S1'!$B116)*(OFFSET(ListeB,,4)='recap S1'!AL$3)*(OFFSET(ListeB,,1)='recap S1'!AL$2))&gt;0,SUMPRODUCT((ListeB='recap S1'!$B116)*(OFFSET(ListeB,,4)='recap S1'!AL$3)*(OFFSET(ListeB,,1)='recap S1'!AL$2)),"")</f>
        <v/>
      </c>
      <c r="AM116" s="32"/>
      <c r="AN116" s="32" t="str">
        <f ca="1">IF(SUMPRODUCT((ListeB='recap S1'!$B116)*(OFFSET(ListeB,,4)='recap S1'!AN$3)*(OFFSET(ListeB,,1)='recap S1'!AN$2))&gt;0,SUMPRODUCT((ListeB='recap S1'!$B116)*(OFFSET(ListeB,,4)='recap S1'!AN$3)*(OFFSET(ListeB,,1)='recap S1'!AN$2)),"")</f>
        <v/>
      </c>
      <c r="AO116" s="32" t="str">
        <f ca="1">IF(SUMPRODUCT((ListeB='recap S1'!$B116)*(OFFSET(ListeB,,4)='recap S1'!AO$3)*(OFFSET(ListeB,,1)='recap S1'!AO$2))&gt;0,SUMPRODUCT((ListeB='recap S1'!$B116)*(OFFSET(ListeB,,4)='recap S1'!AO$3)*(OFFSET(ListeB,,1)='recap S1'!AO$2)),"")</f>
        <v/>
      </c>
      <c r="AP116" s="32"/>
      <c r="AQ116" s="32"/>
      <c r="AR116" s="32"/>
      <c r="AS116" s="32" t="str">
        <f ca="1">IF(SUMPRODUCT((ListeB='recap S1'!$B116)*(OFFSET(ListeB,,4)='recap S1'!AS$3)*(OFFSET(ListeB,,1)='recap S1'!AS$2))&gt;0,SUMPRODUCT((ListeB='recap S1'!$B116)*(OFFSET(ListeB,,4)='recap S1'!AS$3)*(OFFSET(ListeB,,1)='recap S1'!AS$2)),"")</f>
        <v/>
      </c>
      <c r="AT116" s="32" t="str">
        <f ca="1">IF(SUMPRODUCT((ListeB='recap S1'!$B116)*(OFFSET(ListeB,,4)='recap S1'!AT$3)*(OFFSET(ListeB,,1)='recap S1'!AT$2))&gt;0,SUMPRODUCT((ListeB='recap S1'!$B116)*(OFFSET(ListeB,,4)='recap S1'!AT$3)*(OFFSET(ListeB,,1)='recap S1'!AT$2)),"")</f>
        <v/>
      </c>
      <c r="AU116" s="32"/>
      <c r="AV116" s="32" t="str">
        <f ca="1">IF(SUMPRODUCT((ListeB='recap S1'!$B116)*(OFFSET(ListeB,,4)='recap S1'!AV$3)*(OFFSET(ListeB,,1)='recap S1'!AV$2))&gt;0,SUMPRODUCT((ListeB='recap S1'!$B116)*(OFFSET(ListeB,,4)='recap S1'!AV$3)*(OFFSET(ListeB,,1)='recap S1'!AV$2)),"")</f>
        <v/>
      </c>
      <c r="AW116" s="32" t="str">
        <f ca="1">IF(SUMPRODUCT((ListeB='recap S1'!$B116)*(OFFSET(ListeB,,4)='recap S1'!AW$3)*(OFFSET(ListeB,,1)='recap S1'!AW$2))&gt;0,SUMPRODUCT((ListeB='recap S1'!$B116)*(OFFSET(ListeB,,4)='recap S1'!AW$3)*(OFFSET(ListeB,,1)='recap S1'!AW$2)),"")</f>
        <v/>
      </c>
      <c r="AX116" s="32" t="str">
        <f ca="1">IF(SUMPRODUCT((ListeB='recap S1'!$B116)*(OFFSET(ListeB,,4)='recap S1'!AX$3)*(OFFSET(ListeB,,1)='recap S1'!AX$2))&gt;0,SUMPRODUCT((ListeB='recap S1'!$B116)*(OFFSET(ListeB,,4)='recap S1'!AX$3)*(OFFSET(ListeB,,1)='recap S1'!AX$2)),"")</f>
        <v/>
      </c>
      <c r="AY116" s="34"/>
      <c r="AZ116" s="32">
        <f t="shared" ca="1" si="3"/>
        <v>0</v>
      </c>
    </row>
    <row r="117" spans="1:52">
      <c r="A117" s="41" t="str">
        <f>IF('SEANCE 1'!$B115&lt;&gt;"",'SEANCE 1'!$A115,"")</f>
        <v/>
      </c>
      <c r="B117" s="41" t="str">
        <f t="array" aca="1" ref="B117" ca="1">IF(ISNA(INDEX(ListeB,MATCH(0,COUNTIF($B$3:B116,ListeB),0))),"",INDEX(ListeB,MATCH(0,COUNTIF($B$3:B116,ListeB),0)))</f>
        <v/>
      </c>
      <c r="C117" s="32" t="str">
        <f ca="1">IF(SUMPRODUCT((ListeB='recap S1'!$B117)*(OFFSET(ListeB,,4)='recap S1'!C$3)*(OFFSET(ListeB,,1)='recap S1'!C$2))&gt;0,SUMPRODUCT((ListeB='recap S1'!$B117)*(OFFSET(ListeB,,4)='recap S1'!C$3)*(OFFSET(ListeB,,1)='recap S1'!C$2)),"")</f>
        <v/>
      </c>
      <c r="D117" s="32" t="str">
        <f ca="1">IF(SUMPRODUCT((ListeB='recap S1'!$B117)*(OFFSET(ListeB,,4)='recap S1'!D$3)*(OFFSET(ListeB,,1)='recap S1'!D$2))&gt;0,SUMPRODUCT((ListeB='recap S1'!$B117)*(OFFSET(ListeB,,4)='recap S1'!D$3)*(OFFSET(ListeB,,1)='recap S1'!D$2)),"")</f>
        <v/>
      </c>
      <c r="E117" s="32"/>
      <c r="F117" s="32" t="str">
        <f ca="1">IF(SUMPRODUCT((ListeB='recap S1'!$B117)*(OFFSET(ListeB,,4)='recap S1'!F$3)*(OFFSET(ListeB,,1)='recap S1'!F$2))&gt;0,SUMPRODUCT((ListeB='recap S1'!$B117)*(OFFSET(ListeB,,4)='recap S1'!F$3)*(OFFSET(ListeB,,1)='recap S1'!F$2)),"")</f>
        <v/>
      </c>
      <c r="G117" s="32" t="str">
        <f ca="1">IF(SUMPRODUCT((ListeB='recap S1'!$B117)*(OFFSET(ListeB,,4)='recap S1'!G$3)*(OFFSET(ListeB,,1)='recap S1'!G$2))&gt;0,SUMPRODUCT((ListeB='recap S1'!$B117)*(OFFSET(ListeB,,4)='recap S1'!G$3)*(OFFSET(ListeB,,1)='recap S1'!G$2)),"")</f>
        <v/>
      </c>
      <c r="H117" s="32"/>
      <c r="I117" s="32" t="str">
        <f ca="1">IF(SUMPRODUCT((ListeB='recap S1'!$B117)*(OFFSET(ListeB,,4)='recap S1'!I$3)*(OFFSET(ListeB,,1)='recap S1'!I$2))&gt;0,SUMPRODUCT((ListeB='recap S1'!$B117)*(OFFSET(ListeB,,4)='recap S1'!I$3)*(OFFSET(ListeB,,1)='recap S1'!I$2)),"")</f>
        <v/>
      </c>
      <c r="J117" s="32" t="str">
        <f ca="1">IF(SUMPRODUCT((ListeB='recap S1'!$B117)*(OFFSET(ListeB,,4)='recap S1'!J$3)*(OFFSET(ListeB,,1)='recap S1'!J$2))&gt;0,SUMPRODUCT((ListeB='recap S1'!$B117)*(OFFSET(ListeB,,4)='recap S1'!J$3)*(OFFSET(ListeB,,1)='recap S1'!J$2)),"")</f>
        <v/>
      </c>
      <c r="K117" s="32" t="str">
        <f ca="1">IF(SUMPRODUCT((ListeB='recap S1'!$B117)*(OFFSET(ListeB,,4)='recap S1'!K$3)*(OFFSET(ListeB,,1)='recap S1'!K$2))&gt;0,SUMPRODUCT((ListeB='recap S1'!$B117)*(OFFSET(ListeB,,4)='recap S1'!K$3)*(OFFSET(ListeB,,1)='recap S1'!K$2)),"")</f>
        <v/>
      </c>
      <c r="L117" s="32"/>
      <c r="M117" s="32" t="str">
        <f ca="1">IF(SUMPRODUCT((ListeB='recap S1'!$B117)*(OFFSET(ListeB,,4)='recap S1'!M$3)*(OFFSET(ListeB,,1)='recap S1'!M$2))&gt;0,SUMPRODUCT((ListeB='recap S1'!$B117)*(OFFSET(ListeB,,4)='recap S1'!M$3)*(OFFSET(ListeB,,1)='recap S1'!M$2)),"")</f>
        <v/>
      </c>
      <c r="N117" s="32" t="str">
        <f ca="1">IF(SUMPRODUCT((ListeB='recap S1'!$B117)*(OFFSET(ListeB,,4)='recap S1'!N$3)*(OFFSET(ListeB,,1)='recap S1'!N$2))&gt;0,SUMPRODUCT((ListeB='recap S1'!$B117)*(OFFSET(ListeB,,4)='recap S1'!N$3)*(OFFSET(ListeB,,1)='recap S1'!N$2)),"")</f>
        <v/>
      </c>
      <c r="O117" s="32"/>
      <c r="P117" s="32" t="str">
        <f ca="1">IF(SUMPRODUCT((ListeB='recap S1'!$B117)*(OFFSET(ListeB,,4)='recap S1'!P$3)*(OFFSET(ListeB,,1)='recap S1'!P$2))&gt;0,SUMPRODUCT((ListeB='recap S1'!$B117)*(OFFSET(ListeB,,4)='recap S1'!P$3)*(OFFSET(ListeB,,1)='recap S1'!P$2)),"")</f>
        <v/>
      </c>
      <c r="Q117" s="32" t="str">
        <f ca="1">IF(SUMPRODUCT((ListeB='recap S1'!$B117)*(OFFSET(ListeB,,4)='recap S1'!Q$3)*(OFFSET(ListeB,,1)='recap S1'!Q$2))&gt;0,SUMPRODUCT((ListeB='recap S1'!$B117)*(OFFSET(ListeB,,4)='recap S1'!Q$3)*(OFFSET(ListeB,,1)='recap S1'!Q$2)),"")</f>
        <v/>
      </c>
      <c r="R117" s="32"/>
      <c r="S117" s="32" t="str">
        <f ca="1">IF(SUMPRODUCT((ListeB='recap S1'!$B117)*(OFFSET(ListeB,,4)='recap S1'!S$3)*(OFFSET(ListeB,,1)='recap S1'!S$2))&gt;0,SUMPRODUCT((ListeB='recap S1'!$B117)*(OFFSET(ListeB,,4)='recap S1'!S$3)*(OFFSET(ListeB,,1)='recap S1'!S$2)),"")</f>
        <v/>
      </c>
      <c r="T117" s="32" t="str">
        <f ca="1">IF(SUMPRODUCT((ListeB='recap S1'!$B117)*(OFFSET(ListeB,,4)='recap S1'!T$3)*(OFFSET(ListeB,,1)='recap S1'!T$2))&gt;0,SUMPRODUCT((ListeB='recap S1'!$B117)*(OFFSET(ListeB,,4)='recap S1'!T$3)*(OFFSET(ListeB,,1)='recap S1'!T$2)),"")</f>
        <v/>
      </c>
      <c r="U117" s="32" t="str">
        <f ca="1">IF(SUMPRODUCT((ListeB='recap S1'!$B117)*(OFFSET(ListeB,,4)='recap S1'!U$3)*(OFFSET(ListeB,,1)='recap S1'!U$2))&gt;0,SUMPRODUCT((ListeB='recap S1'!$B117)*(OFFSET(ListeB,,4)='recap S1'!U$3)*(OFFSET(ListeB,,1)='recap S1'!U$2)),"")</f>
        <v/>
      </c>
      <c r="V117" s="32"/>
      <c r="W117" s="32" t="str">
        <f ca="1">IF(SUMPRODUCT((ListeB='recap S1'!$B117)*(OFFSET(ListeB,,4)='recap S1'!W$3)*(OFFSET(ListeB,,1)='recap S1'!W$2))&gt;0,SUMPRODUCT((ListeB='recap S1'!$B117)*(OFFSET(ListeB,,4)='recap S1'!W$3)*(OFFSET(ListeB,,1)='recap S1'!W$2)),"")</f>
        <v/>
      </c>
      <c r="X117" s="32"/>
      <c r="Y117" s="32" t="str">
        <f ca="1">IF(SUMPRODUCT((ListeB='recap S1'!$B117)*(OFFSET(ListeB,,4)='recap S1'!Y$3)*(OFFSET(ListeB,,1)='recap S1'!Y$2))&gt;0,SUMPRODUCT((ListeB='recap S1'!$B117)*(OFFSET(ListeB,,4)='recap S1'!Y$3)*(OFFSET(ListeB,,1)='recap S1'!Y$2)),"")</f>
        <v/>
      </c>
      <c r="Z117" s="32" t="str">
        <f ca="1">IF(SUMPRODUCT((ListeB='recap S1'!$B117)*(OFFSET(ListeB,,4)='recap S1'!Z$3)*(OFFSET(ListeB,,1)='recap S1'!Z$2))&gt;0,SUMPRODUCT((ListeB='recap S1'!$B117)*(OFFSET(ListeB,,4)='recap S1'!Z$3)*(OFFSET(ListeB,,1)='recap S1'!Z$2)),"")</f>
        <v/>
      </c>
      <c r="AA117" s="32" t="str">
        <f ca="1">IF(SUMPRODUCT((ListeB='recap S1'!$B117)*(OFFSET(ListeB,,4)='recap S1'!AA$3)*(OFFSET(ListeB,,1)='recap S1'!AA$2))&gt;0,SUMPRODUCT((ListeB='recap S1'!$B117)*(OFFSET(ListeB,,4)='recap S1'!AA$3)*(OFFSET(ListeB,,1)='recap S1'!AA$2)),"")</f>
        <v/>
      </c>
      <c r="AB117" s="32"/>
      <c r="AC117" s="32" t="str">
        <f ca="1">IF(SUMPRODUCT((ListeB='recap S1'!$B117)*(OFFSET(ListeB,,4)='recap S1'!AC$3)*(OFFSET(ListeB,,1)='recap S1'!AC$2))&gt;0,SUMPRODUCT((ListeB='recap S1'!$B117)*(OFFSET(ListeB,,4)='recap S1'!AC$3)*(OFFSET(ListeB,,1)='recap S1'!AC$2)),"")</f>
        <v/>
      </c>
      <c r="AD117" s="32"/>
      <c r="AE117" s="32" t="str">
        <f ca="1">IF(SUMPRODUCT((ListeB='recap S1'!$B117)*(OFFSET(ListeB,,4)='recap S1'!AE$3)*(OFFSET(ListeB,,1)='recap S1'!AE$2))&gt;0,SUMPRODUCT((ListeB='recap S1'!$B117)*(OFFSET(ListeB,,4)='recap S1'!AE$3)*(OFFSET(ListeB,,1)='recap S1'!AE$2)),"")</f>
        <v/>
      </c>
      <c r="AF117" s="32" t="str">
        <f ca="1">IF(SUMPRODUCT((ListeB='recap S1'!$B117)*(OFFSET(ListeB,,4)='recap S1'!AF$3)*(OFFSET(ListeB,,1)='recap S1'!AF$2))&gt;0,SUMPRODUCT((ListeB='recap S1'!$B117)*(OFFSET(ListeB,,4)='recap S1'!AF$3)*(OFFSET(ListeB,,1)='recap S1'!AF$2)),"")</f>
        <v/>
      </c>
      <c r="AG117" s="32"/>
      <c r="AH117" s="32" t="str">
        <f ca="1">IF(SUMPRODUCT((ListeB='recap S1'!$B117)*(OFFSET(ListeB,,4)='recap S1'!AH$3)*(OFFSET(ListeB,,1)='recap S1'!AH$2))&gt;0,SUMPRODUCT((ListeB='recap S1'!$B117)*(OFFSET(ListeB,,4)='recap S1'!AH$3)*(OFFSET(ListeB,,1)='recap S1'!AH$2)),"")</f>
        <v/>
      </c>
      <c r="AI117" s="32" t="str">
        <f ca="1">IF(SUMPRODUCT((ListeB='recap S1'!$B117)*(OFFSET(ListeB,,4)='recap S1'!AI$3)*(OFFSET(ListeB,,1)='recap S1'!AI$2))&gt;0,SUMPRODUCT((ListeB='recap S1'!$B117)*(OFFSET(ListeB,,4)='recap S1'!AI$3)*(OFFSET(ListeB,,1)='recap S1'!AI$2)),"")</f>
        <v/>
      </c>
      <c r="AJ117" s="32" t="str">
        <f ca="1">IF(SUMPRODUCT((ListeB='recap S1'!$B117)*(OFFSET(ListeB,,4)='recap S1'!AJ$3)*(OFFSET(ListeB,,1)='recap S1'!AJ$2))&gt;0,SUMPRODUCT((ListeB='recap S1'!$B117)*(OFFSET(ListeB,,4)='recap S1'!AJ$3)*(OFFSET(ListeB,,1)='recap S1'!AJ$2)),"")</f>
        <v/>
      </c>
      <c r="AK117" s="32"/>
      <c r="AL117" s="32" t="str">
        <f ca="1">IF(SUMPRODUCT((ListeB='recap S1'!$B117)*(OFFSET(ListeB,,4)='recap S1'!AL$3)*(OFFSET(ListeB,,1)='recap S1'!AL$2))&gt;0,SUMPRODUCT((ListeB='recap S1'!$B117)*(OFFSET(ListeB,,4)='recap S1'!AL$3)*(OFFSET(ListeB,,1)='recap S1'!AL$2)),"")</f>
        <v/>
      </c>
      <c r="AM117" s="32"/>
      <c r="AN117" s="32" t="str">
        <f ca="1">IF(SUMPRODUCT((ListeB='recap S1'!$B117)*(OFFSET(ListeB,,4)='recap S1'!AN$3)*(OFFSET(ListeB,,1)='recap S1'!AN$2))&gt;0,SUMPRODUCT((ListeB='recap S1'!$B117)*(OFFSET(ListeB,,4)='recap S1'!AN$3)*(OFFSET(ListeB,,1)='recap S1'!AN$2)),"")</f>
        <v/>
      </c>
      <c r="AO117" s="32" t="str">
        <f ca="1">IF(SUMPRODUCT((ListeB='recap S1'!$B117)*(OFFSET(ListeB,,4)='recap S1'!AO$3)*(OFFSET(ListeB,,1)='recap S1'!AO$2))&gt;0,SUMPRODUCT((ListeB='recap S1'!$B117)*(OFFSET(ListeB,,4)='recap S1'!AO$3)*(OFFSET(ListeB,,1)='recap S1'!AO$2)),"")</f>
        <v/>
      </c>
      <c r="AP117" s="32"/>
      <c r="AQ117" s="32"/>
      <c r="AR117" s="32"/>
      <c r="AS117" s="32" t="str">
        <f ca="1">IF(SUMPRODUCT((ListeB='recap S1'!$B117)*(OFFSET(ListeB,,4)='recap S1'!AS$3)*(OFFSET(ListeB,,1)='recap S1'!AS$2))&gt;0,SUMPRODUCT((ListeB='recap S1'!$B117)*(OFFSET(ListeB,,4)='recap S1'!AS$3)*(OFFSET(ListeB,,1)='recap S1'!AS$2)),"")</f>
        <v/>
      </c>
      <c r="AT117" s="32" t="str">
        <f ca="1">IF(SUMPRODUCT((ListeB='recap S1'!$B117)*(OFFSET(ListeB,,4)='recap S1'!AT$3)*(OFFSET(ListeB,,1)='recap S1'!AT$2))&gt;0,SUMPRODUCT((ListeB='recap S1'!$B117)*(OFFSET(ListeB,,4)='recap S1'!AT$3)*(OFFSET(ListeB,,1)='recap S1'!AT$2)),"")</f>
        <v/>
      </c>
      <c r="AU117" s="32"/>
      <c r="AV117" s="32" t="str">
        <f ca="1">IF(SUMPRODUCT((ListeB='recap S1'!$B117)*(OFFSET(ListeB,,4)='recap S1'!AV$3)*(OFFSET(ListeB,,1)='recap S1'!AV$2))&gt;0,SUMPRODUCT((ListeB='recap S1'!$B117)*(OFFSET(ListeB,,4)='recap S1'!AV$3)*(OFFSET(ListeB,,1)='recap S1'!AV$2)),"")</f>
        <v/>
      </c>
      <c r="AW117" s="32" t="str">
        <f ca="1">IF(SUMPRODUCT((ListeB='recap S1'!$B117)*(OFFSET(ListeB,,4)='recap S1'!AW$3)*(OFFSET(ListeB,,1)='recap S1'!AW$2))&gt;0,SUMPRODUCT((ListeB='recap S1'!$B117)*(OFFSET(ListeB,,4)='recap S1'!AW$3)*(OFFSET(ListeB,,1)='recap S1'!AW$2)),"")</f>
        <v/>
      </c>
      <c r="AX117" s="32" t="str">
        <f ca="1">IF(SUMPRODUCT((ListeB='recap S1'!$B117)*(OFFSET(ListeB,,4)='recap S1'!AX$3)*(OFFSET(ListeB,,1)='recap S1'!AX$2))&gt;0,SUMPRODUCT((ListeB='recap S1'!$B117)*(OFFSET(ListeB,,4)='recap S1'!AX$3)*(OFFSET(ListeB,,1)='recap S1'!AX$2)),"")</f>
        <v/>
      </c>
      <c r="AY117" s="34"/>
      <c r="AZ117" s="32">
        <f t="shared" ca="1" si="3"/>
        <v>0</v>
      </c>
    </row>
    <row r="118" spans="1:52">
      <c r="A118" s="41" t="str">
        <f>IF('SEANCE 1'!$B116&lt;&gt;"",'SEANCE 1'!$A116,"")</f>
        <v/>
      </c>
      <c r="B118" s="41" t="str">
        <f t="array" aca="1" ref="B118" ca="1">IF(ISNA(INDEX(ListeB,MATCH(0,COUNTIF($B$3:B117,ListeB),0))),"",INDEX(ListeB,MATCH(0,COUNTIF($B$3:B117,ListeB),0)))</f>
        <v/>
      </c>
      <c r="C118" s="32" t="str">
        <f ca="1">IF(SUMPRODUCT((ListeB='recap S1'!$B118)*(OFFSET(ListeB,,4)='recap S1'!C$3)*(OFFSET(ListeB,,1)='recap S1'!C$2))&gt;0,SUMPRODUCT((ListeB='recap S1'!$B118)*(OFFSET(ListeB,,4)='recap S1'!C$3)*(OFFSET(ListeB,,1)='recap S1'!C$2)),"")</f>
        <v/>
      </c>
      <c r="D118" s="32" t="str">
        <f ca="1">IF(SUMPRODUCT((ListeB='recap S1'!$B118)*(OFFSET(ListeB,,4)='recap S1'!D$3)*(OFFSET(ListeB,,1)='recap S1'!D$2))&gt;0,SUMPRODUCT((ListeB='recap S1'!$B118)*(OFFSET(ListeB,,4)='recap S1'!D$3)*(OFFSET(ListeB,,1)='recap S1'!D$2)),"")</f>
        <v/>
      </c>
      <c r="E118" s="32"/>
      <c r="F118" s="32" t="str">
        <f ca="1">IF(SUMPRODUCT((ListeB='recap S1'!$B118)*(OFFSET(ListeB,,4)='recap S1'!F$3)*(OFFSET(ListeB,,1)='recap S1'!F$2))&gt;0,SUMPRODUCT((ListeB='recap S1'!$B118)*(OFFSET(ListeB,,4)='recap S1'!F$3)*(OFFSET(ListeB,,1)='recap S1'!F$2)),"")</f>
        <v/>
      </c>
      <c r="G118" s="32" t="str">
        <f ca="1">IF(SUMPRODUCT((ListeB='recap S1'!$B118)*(OFFSET(ListeB,,4)='recap S1'!G$3)*(OFFSET(ListeB,,1)='recap S1'!G$2))&gt;0,SUMPRODUCT((ListeB='recap S1'!$B118)*(OFFSET(ListeB,,4)='recap S1'!G$3)*(OFFSET(ListeB,,1)='recap S1'!G$2)),"")</f>
        <v/>
      </c>
      <c r="H118" s="32"/>
      <c r="I118" s="32" t="str">
        <f ca="1">IF(SUMPRODUCT((ListeB='recap S1'!$B118)*(OFFSET(ListeB,,4)='recap S1'!I$3)*(OFFSET(ListeB,,1)='recap S1'!I$2))&gt;0,SUMPRODUCT((ListeB='recap S1'!$B118)*(OFFSET(ListeB,,4)='recap S1'!I$3)*(OFFSET(ListeB,,1)='recap S1'!I$2)),"")</f>
        <v/>
      </c>
      <c r="J118" s="32" t="str">
        <f ca="1">IF(SUMPRODUCT((ListeB='recap S1'!$B118)*(OFFSET(ListeB,,4)='recap S1'!J$3)*(OFFSET(ListeB,,1)='recap S1'!J$2))&gt;0,SUMPRODUCT((ListeB='recap S1'!$B118)*(OFFSET(ListeB,,4)='recap S1'!J$3)*(OFFSET(ListeB,,1)='recap S1'!J$2)),"")</f>
        <v/>
      </c>
      <c r="K118" s="32" t="str">
        <f ca="1">IF(SUMPRODUCT((ListeB='recap S1'!$B118)*(OFFSET(ListeB,,4)='recap S1'!K$3)*(OFFSET(ListeB,,1)='recap S1'!K$2))&gt;0,SUMPRODUCT((ListeB='recap S1'!$B118)*(OFFSET(ListeB,,4)='recap S1'!K$3)*(OFFSET(ListeB,,1)='recap S1'!K$2)),"")</f>
        <v/>
      </c>
      <c r="L118" s="32"/>
      <c r="M118" s="32" t="str">
        <f ca="1">IF(SUMPRODUCT((ListeB='recap S1'!$B118)*(OFFSET(ListeB,,4)='recap S1'!M$3)*(OFFSET(ListeB,,1)='recap S1'!M$2))&gt;0,SUMPRODUCT((ListeB='recap S1'!$B118)*(OFFSET(ListeB,,4)='recap S1'!M$3)*(OFFSET(ListeB,,1)='recap S1'!M$2)),"")</f>
        <v/>
      </c>
      <c r="N118" s="32" t="str">
        <f ca="1">IF(SUMPRODUCT((ListeB='recap S1'!$B118)*(OFFSET(ListeB,,4)='recap S1'!N$3)*(OFFSET(ListeB,,1)='recap S1'!N$2))&gt;0,SUMPRODUCT((ListeB='recap S1'!$B118)*(OFFSET(ListeB,,4)='recap S1'!N$3)*(OFFSET(ListeB,,1)='recap S1'!N$2)),"")</f>
        <v/>
      </c>
      <c r="O118" s="32"/>
      <c r="P118" s="32" t="str">
        <f ca="1">IF(SUMPRODUCT((ListeB='recap S1'!$B118)*(OFFSET(ListeB,,4)='recap S1'!P$3)*(OFFSET(ListeB,,1)='recap S1'!P$2))&gt;0,SUMPRODUCT((ListeB='recap S1'!$B118)*(OFFSET(ListeB,,4)='recap S1'!P$3)*(OFFSET(ListeB,,1)='recap S1'!P$2)),"")</f>
        <v/>
      </c>
      <c r="Q118" s="32" t="str">
        <f ca="1">IF(SUMPRODUCT((ListeB='recap S1'!$B118)*(OFFSET(ListeB,,4)='recap S1'!Q$3)*(OFFSET(ListeB,,1)='recap S1'!Q$2))&gt;0,SUMPRODUCT((ListeB='recap S1'!$B118)*(OFFSET(ListeB,,4)='recap S1'!Q$3)*(OFFSET(ListeB,,1)='recap S1'!Q$2)),"")</f>
        <v/>
      </c>
      <c r="R118" s="32"/>
      <c r="S118" s="32" t="str">
        <f ca="1">IF(SUMPRODUCT((ListeB='recap S1'!$B118)*(OFFSET(ListeB,,4)='recap S1'!S$3)*(OFFSET(ListeB,,1)='recap S1'!S$2))&gt;0,SUMPRODUCT((ListeB='recap S1'!$B118)*(OFFSET(ListeB,,4)='recap S1'!S$3)*(OFFSET(ListeB,,1)='recap S1'!S$2)),"")</f>
        <v/>
      </c>
      <c r="T118" s="32" t="str">
        <f ca="1">IF(SUMPRODUCT((ListeB='recap S1'!$B118)*(OFFSET(ListeB,,4)='recap S1'!T$3)*(OFFSET(ListeB,,1)='recap S1'!T$2))&gt;0,SUMPRODUCT((ListeB='recap S1'!$B118)*(OFFSET(ListeB,,4)='recap S1'!T$3)*(OFFSET(ListeB,,1)='recap S1'!T$2)),"")</f>
        <v/>
      </c>
      <c r="U118" s="32" t="str">
        <f ca="1">IF(SUMPRODUCT((ListeB='recap S1'!$B118)*(OFFSET(ListeB,,4)='recap S1'!U$3)*(OFFSET(ListeB,,1)='recap S1'!U$2))&gt;0,SUMPRODUCT((ListeB='recap S1'!$B118)*(OFFSET(ListeB,,4)='recap S1'!U$3)*(OFFSET(ListeB,,1)='recap S1'!U$2)),"")</f>
        <v/>
      </c>
      <c r="V118" s="32"/>
      <c r="W118" s="32" t="str">
        <f ca="1">IF(SUMPRODUCT((ListeB='recap S1'!$B118)*(OFFSET(ListeB,,4)='recap S1'!W$3)*(OFFSET(ListeB,,1)='recap S1'!W$2))&gt;0,SUMPRODUCT((ListeB='recap S1'!$B118)*(OFFSET(ListeB,,4)='recap S1'!W$3)*(OFFSET(ListeB,,1)='recap S1'!W$2)),"")</f>
        <v/>
      </c>
      <c r="X118" s="32"/>
      <c r="Y118" s="32" t="str">
        <f ca="1">IF(SUMPRODUCT((ListeB='recap S1'!$B118)*(OFFSET(ListeB,,4)='recap S1'!Y$3)*(OFFSET(ListeB,,1)='recap S1'!Y$2))&gt;0,SUMPRODUCT((ListeB='recap S1'!$B118)*(OFFSET(ListeB,,4)='recap S1'!Y$3)*(OFFSET(ListeB,,1)='recap S1'!Y$2)),"")</f>
        <v/>
      </c>
      <c r="Z118" s="32" t="str">
        <f ca="1">IF(SUMPRODUCT((ListeB='recap S1'!$B118)*(OFFSET(ListeB,,4)='recap S1'!Z$3)*(OFFSET(ListeB,,1)='recap S1'!Z$2))&gt;0,SUMPRODUCT((ListeB='recap S1'!$B118)*(OFFSET(ListeB,,4)='recap S1'!Z$3)*(OFFSET(ListeB,,1)='recap S1'!Z$2)),"")</f>
        <v/>
      </c>
      <c r="AA118" s="32" t="str">
        <f ca="1">IF(SUMPRODUCT((ListeB='recap S1'!$B118)*(OFFSET(ListeB,,4)='recap S1'!AA$3)*(OFFSET(ListeB,,1)='recap S1'!AA$2))&gt;0,SUMPRODUCT((ListeB='recap S1'!$B118)*(OFFSET(ListeB,,4)='recap S1'!AA$3)*(OFFSET(ListeB,,1)='recap S1'!AA$2)),"")</f>
        <v/>
      </c>
      <c r="AB118" s="32"/>
      <c r="AC118" s="32" t="str">
        <f ca="1">IF(SUMPRODUCT((ListeB='recap S1'!$B118)*(OFFSET(ListeB,,4)='recap S1'!AC$3)*(OFFSET(ListeB,,1)='recap S1'!AC$2))&gt;0,SUMPRODUCT((ListeB='recap S1'!$B118)*(OFFSET(ListeB,,4)='recap S1'!AC$3)*(OFFSET(ListeB,,1)='recap S1'!AC$2)),"")</f>
        <v/>
      </c>
      <c r="AD118" s="32"/>
      <c r="AE118" s="32" t="str">
        <f ca="1">IF(SUMPRODUCT((ListeB='recap S1'!$B118)*(OFFSET(ListeB,,4)='recap S1'!AE$3)*(OFFSET(ListeB,,1)='recap S1'!AE$2))&gt;0,SUMPRODUCT((ListeB='recap S1'!$B118)*(OFFSET(ListeB,,4)='recap S1'!AE$3)*(OFFSET(ListeB,,1)='recap S1'!AE$2)),"")</f>
        <v/>
      </c>
      <c r="AF118" s="32" t="str">
        <f ca="1">IF(SUMPRODUCT((ListeB='recap S1'!$B118)*(OFFSET(ListeB,,4)='recap S1'!AF$3)*(OFFSET(ListeB,,1)='recap S1'!AF$2))&gt;0,SUMPRODUCT((ListeB='recap S1'!$B118)*(OFFSET(ListeB,,4)='recap S1'!AF$3)*(OFFSET(ListeB,,1)='recap S1'!AF$2)),"")</f>
        <v/>
      </c>
      <c r="AG118" s="32"/>
      <c r="AH118" s="32" t="str">
        <f ca="1">IF(SUMPRODUCT((ListeB='recap S1'!$B118)*(OFFSET(ListeB,,4)='recap S1'!AH$3)*(OFFSET(ListeB,,1)='recap S1'!AH$2))&gt;0,SUMPRODUCT((ListeB='recap S1'!$B118)*(OFFSET(ListeB,,4)='recap S1'!AH$3)*(OFFSET(ListeB,,1)='recap S1'!AH$2)),"")</f>
        <v/>
      </c>
      <c r="AI118" s="32" t="str">
        <f ca="1">IF(SUMPRODUCT((ListeB='recap S1'!$B118)*(OFFSET(ListeB,,4)='recap S1'!AI$3)*(OFFSET(ListeB,,1)='recap S1'!AI$2))&gt;0,SUMPRODUCT((ListeB='recap S1'!$B118)*(OFFSET(ListeB,,4)='recap S1'!AI$3)*(OFFSET(ListeB,,1)='recap S1'!AI$2)),"")</f>
        <v/>
      </c>
      <c r="AJ118" s="32" t="str">
        <f ca="1">IF(SUMPRODUCT((ListeB='recap S1'!$B118)*(OFFSET(ListeB,,4)='recap S1'!AJ$3)*(OFFSET(ListeB,,1)='recap S1'!AJ$2))&gt;0,SUMPRODUCT((ListeB='recap S1'!$B118)*(OFFSET(ListeB,,4)='recap S1'!AJ$3)*(OFFSET(ListeB,,1)='recap S1'!AJ$2)),"")</f>
        <v/>
      </c>
      <c r="AK118" s="32"/>
      <c r="AL118" s="32" t="str">
        <f ca="1">IF(SUMPRODUCT((ListeB='recap S1'!$B118)*(OFFSET(ListeB,,4)='recap S1'!AL$3)*(OFFSET(ListeB,,1)='recap S1'!AL$2))&gt;0,SUMPRODUCT((ListeB='recap S1'!$B118)*(OFFSET(ListeB,,4)='recap S1'!AL$3)*(OFFSET(ListeB,,1)='recap S1'!AL$2)),"")</f>
        <v/>
      </c>
      <c r="AM118" s="32"/>
      <c r="AN118" s="32" t="str">
        <f ca="1">IF(SUMPRODUCT((ListeB='recap S1'!$B118)*(OFFSET(ListeB,,4)='recap S1'!AN$3)*(OFFSET(ListeB,,1)='recap S1'!AN$2))&gt;0,SUMPRODUCT((ListeB='recap S1'!$B118)*(OFFSET(ListeB,,4)='recap S1'!AN$3)*(OFFSET(ListeB,,1)='recap S1'!AN$2)),"")</f>
        <v/>
      </c>
      <c r="AO118" s="32" t="str">
        <f ca="1">IF(SUMPRODUCT((ListeB='recap S1'!$B118)*(OFFSET(ListeB,,4)='recap S1'!AO$3)*(OFFSET(ListeB,,1)='recap S1'!AO$2))&gt;0,SUMPRODUCT((ListeB='recap S1'!$B118)*(OFFSET(ListeB,,4)='recap S1'!AO$3)*(OFFSET(ListeB,,1)='recap S1'!AO$2)),"")</f>
        <v/>
      </c>
      <c r="AP118" s="32"/>
      <c r="AQ118" s="32"/>
      <c r="AR118" s="32"/>
      <c r="AS118" s="32" t="str">
        <f ca="1">IF(SUMPRODUCT((ListeB='recap S1'!$B118)*(OFFSET(ListeB,,4)='recap S1'!AS$3)*(OFFSET(ListeB,,1)='recap S1'!AS$2))&gt;0,SUMPRODUCT((ListeB='recap S1'!$B118)*(OFFSET(ListeB,,4)='recap S1'!AS$3)*(OFFSET(ListeB,,1)='recap S1'!AS$2)),"")</f>
        <v/>
      </c>
      <c r="AT118" s="32" t="str">
        <f ca="1">IF(SUMPRODUCT((ListeB='recap S1'!$B118)*(OFFSET(ListeB,,4)='recap S1'!AT$3)*(OFFSET(ListeB,,1)='recap S1'!AT$2))&gt;0,SUMPRODUCT((ListeB='recap S1'!$B118)*(OFFSET(ListeB,,4)='recap S1'!AT$3)*(OFFSET(ListeB,,1)='recap S1'!AT$2)),"")</f>
        <v/>
      </c>
      <c r="AU118" s="32"/>
      <c r="AV118" s="32" t="str">
        <f ca="1">IF(SUMPRODUCT((ListeB='recap S1'!$B118)*(OFFSET(ListeB,,4)='recap S1'!AV$3)*(OFFSET(ListeB,,1)='recap S1'!AV$2))&gt;0,SUMPRODUCT((ListeB='recap S1'!$B118)*(OFFSET(ListeB,,4)='recap S1'!AV$3)*(OFFSET(ListeB,,1)='recap S1'!AV$2)),"")</f>
        <v/>
      </c>
      <c r="AW118" s="32" t="str">
        <f ca="1">IF(SUMPRODUCT((ListeB='recap S1'!$B118)*(OFFSET(ListeB,,4)='recap S1'!AW$3)*(OFFSET(ListeB,,1)='recap S1'!AW$2))&gt;0,SUMPRODUCT((ListeB='recap S1'!$B118)*(OFFSET(ListeB,,4)='recap S1'!AW$3)*(OFFSET(ListeB,,1)='recap S1'!AW$2)),"")</f>
        <v/>
      </c>
      <c r="AX118" s="32" t="str">
        <f ca="1">IF(SUMPRODUCT((ListeB='recap S1'!$B118)*(OFFSET(ListeB,,4)='recap S1'!AX$3)*(OFFSET(ListeB,,1)='recap S1'!AX$2))&gt;0,SUMPRODUCT((ListeB='recap S1'!$B118)*(OFFSET(ListeB,,4)='recap S1'!AX$3)*(OFFSET(ListeB,,1)='recap S1'!AX$2)),"")</f>
        <v/>
      </c>
      <c r="AY118" s="34"/>
      <c r="AZ118" s="32">
        <f t="shared" ca="1" si="3"/>
        <v>0</v>
      </c>
    </row>
    <row r="119" spans="1:52">
      <c r="A119" s="41" t="str">
        <f>IF('SEANCE 1'!$B117&lt;&gt;"",'SEANCE 1'!$A117,"")</f>
        <v/>
      </c>
      <c r="B119" s="41" t="str">
        <f t="array" aca="1" ref="B119" ca="1">IF(ISNA(INDEX(ListeB,MATCH(0,COUNTIF($B$3:B118,ListeB),0))),"",INDEX(ListeB,MATCH(0,COUNTIF($B$3:B118,ListeB),0)))</f>
        <v/>
      </c>
      <c r="C119" s="32" t="str">
        <f ca="1">IF(SUMPRODUCT((ListeB='recap S1'!$B119)*(OFFSET(ListeB,,4)='recap S1'!C$3)*(OFFSET(ListeB,,1)='recap S1'!C$2))&gt;0,SUMPRODUCT((ListeB='recap S1'!$B119)*(OFFSET(ListeB,,4)='recap S1'!C$3)*(OFFSET(ListeB,,1)='recap S1'!C$2)),"")</f>
        <v/>
      </c>
      <c r="D119" s="32" t="str">
        <f ca="1">IF(SUMPRODUCT((ListeB='recap S1'!$B119)*(OFFSET(ListeB,,4)='recap S1'!D$3)*(OFFSET(ListeB,,1)='recap S1'!D$2))&gt;0,SUMPRODUCT((ListeB='recap S1'!$B119)*(OFFSET(ListeB,,4)='recap S1'!D$3)*(OFFSET(ListeB,,1)='recap S1'!D$2)),"")</f>
        <v/>
      </c>
      <c r="E119" s="32"/>
      <c r="F119" s="32" t="str">
        <f ca="1">IF(SUMPRODUCT((ListeB='recap S1'!$B119)*(OFFSET(ListeB,,4)='recap S1'!F$3)*(OFFSET(ListeB,,1)='recap S1'!F$2))&gt;0,SUMPRODUCT((ListeB='recap S1'!$B119)*(OFFSET(ListeB,,4)='recap S1'!F$3)*(OFFSET(ListeB,,1)='recap S1'!F$2)),"")</f>
        <v/>
      </c>
      <c r="G119" s="32" t="str">
        <f ca="1">IF(SUMPRODUCT((ListeB='recap S1'!$B119)*(OFFSET(ListeB,,4)='recap S1'!G$3)*(OFFSET(ListeB,,1)='recap S1'!G$2))&gt;0,SUMPRODUCT((ListeB='recap S1'!$B119)*(OFFSET(ListeB,,4)='recap S1'!G$3)*(OFFSET(ListeB,,1)='recap S1'!G$2)),"")</f>
        <v/>
      </c>
      <c r="H119" s="32"/>
      <c r="I119" s="32" t="str">
        <f ca="1">IF(SUMPRODUCT((ListeB='recap S1'!$B119)*(OFFSET(ListeB,,4)='recap S1'!I$3)*(OFFSET(ListeB,,1)='recap S1'!I$2))&gt;0,SUMPRODUCT((ListeB='recap S1'!$B119)*(OFFSET(ListeB,,4)='recap S1'!I$3)*(OFFSET(ListeB,,1)='recap S1'!I$2)),"")</f>
        <v/>
      </c>
      <c r="J119" s="32" t="str">
        <f ca="1">IF(SUMPRODUCT((ListeB='recap S1'!$B119)*(OFFSET(ListeB,,4)='recap S1'!J$3)*(OFFSET(ListeB,,1)='recap S1'!J$2))&gt;0,SUMPRODUCT((ListeB='recap S1'!$B119)*(OFFSET(ListeB,,4)='recap S1'!J$3)*(OFFSET(ListeB,,1)='recap S1'!J$2)),"")</f>
        <v/>
      </c>
      <c r="K119" s="32" t="str">
        <f ca="1">IF(SUMPRODUCT((ListeB='recap S1'!$B119)*(OFFSET(ListeB,,4)='recap S1'!K$3)*(OFFSET(ListeB,,1)='recap S1'!K$2))&gt;0,SUMPRODUCT((ListeB='recap S1'!$B119)*(OFFSET(ListeB,,4)='recap S1'!K$3)*(OFFSET(ListeB,,1)='recap S1'!K$2)),"")</f>
        <v/>
      </c>
      <c r="L119" s="32"/>
      <c r="M119" s="32" t="str">
        <f ca="1">IF(SUMPRODUCT((ListeB='recap S1'!$B119)*(OFFSET(ListeB,,4)='recap S1'!M$3)*(OFFSET(ListeB,,1)='recap S1'!M$2))&gt;0,SUMPRODUCT((ListeB='recap S1'!$B119)*(OFFSET(ListeB,,4)='recap S1'!M$3)*(OFFSET(ListeB,,1)='recap S1'!M$2)),"")</f>
        <v/>
      </c>
      <c r="N119" s="32" t="str">
        <f ca="1">IF(SUMPRODUCT((ListeB='recap S1'!$B119)*(OFFSET(ListeB,,4)='recap S1'!N$3)*(OFFSET(ListeB,,1)='recap S1'!N$2))&gt;0,SUMPRODUCT((ListeB='recap S1'!$B119)*(OFFSET(ListeB,,4)='recap S1'!N$3)*(OFFSET(ListeB,,1)='recap S1'!N$2)),"")</f>
        <v/>
      </c>
      <c r="O119" s="32"/>
      <c r="P119" s="32" t="str">
        <f ca="1">IF(SUMPRODUCT((ListeB='recap S1'!$B119)*(OFFSET(ListeB,,4)='recap S1'!P$3)*(OFFSET(ListeB,,1)='recap S1'!P$2))&gt;0,SUMPRODUCT((ListeB='recap S1'!$B119)*(OFFSET(ListeB,,4)='recap S1'!P$3)*(OFFSET(ListeB,,1)='recap S1'!P$2)),"")</f>
        <v/>
      </c>
      <c r="Q119" s="32" t="str">
        <f ca="1">IF(SUMPRODUCT((ListeB='recap S1'!$B119)*(OFFSET(ListeB,,4)='recap S1'!Q$3)*(OFFSET(ListeB,,1)='recap S1'!Q$2))&gt;0,SUMPRODUCT((ListeB='recap S1'!$B119)*(OFFSET(ListeB,,4)='recap S1'!Q$3)*(OFFSET(ListeB,,1)='recap S1'!Q$2)),"")</f>
        <v/>
      </c>
      <c r="R119" s="32"/>
      <c r="S119" s="32" t="str">
        <f ca="1">IF(SUMPRODUCT((ListeB='recap S1'!$B119)*(OFFSET(ListeB,,4)='recap S1'!S$3)*(OFFSET(ListeB,,1)='recap S1'!S$2))&gt;0,SUMPRODUCT((ListeB='recap S1'!$B119)*(OFFSET(ListeB,,4)='recap S1'!S$3)*(OFFSET(ListeB,,1)='recap S1'!S$2)),"")</f>
        <v/>
      </c>
      <c r="T119" s="32" t="str">
        <f ca="1">IF(SUMPRODUCT((ListeB='recap S1'!$B119)*(OFFSET(ListeB,,4)='recap S1'!T$3)*(OFFSET(ListeB,,1)='recap S1'!T$2))&gt;0,SUMPRODUCT((ListeB='recap S1'!$B119)*(OFFSET(ListeB,,4)='recap S1'!T$3)*(OFFSET(ListeB,,1)='recap S1'!T$2)),"")</f>
        <v/>
      </c>
      <c r="U119" s="32" t="str">
        <f ca="1">IF(SUMPRODUCT((ListeB='recap S1'!$B119)*(OFFSET(ListeB,,4)='recap S1'!U$3)*(OFFSET(ListeB,,1)='recap S1'!U$2))&gt;0,SUMPRODUCT((ListeB='recap S1'!$B119)*(OFFSET(ListeB,,4)='recap S1'!U$3)*(OFFSET(ListeB,,1)='recap S1'!U$2)),"")</f>
        <v/>
      </c>
      <c r="V119" s="32"/>
      <c r="W119" s="32" t="str">
        <f ca="1">IF(SUMPRODUCT((ListeB='recap S1'!$B119)*(OFFSET(ListeB,,4)='recap S1'!W$3)*(OFFSET(ListeB,,1)='recap S1'!W$2))&gt;0,SUMPRODUCT((ListeB='recap S1'!$B119)*(OFFSET(ListeB,,4)='recap S1'!W$3)*(OFFSET(ListeB,,1)='recap S1'!W$2)),"")</f>
        <v/>
      </c>
      <c r="X119" s="32"/>
      <c r="Y119" s="32" t="str">
        <f ca="1">IF(SUMPRODUCT((ListeB='recap S1'!$B119)*(OFFSET(ListeB,,4)='recap S1'!Y$3)*(OFFSET(ListeB,,1)='recap S1'!Y$2))&gt;0,SUMPRODUCT((ListeB='recap S1'!$B119)*(OFFSET(ListeB,,4)='recap S1'!Y$3)*(OFFSET(ListeB,,1)='recap S1'!Y$2)),"")</f>
        <v/>
      </c>
      <c r="Z119" s="32" t="str">
        <f ca="1">IF(SUMPRODUCT((ListeB='recap S1'!$B119)*(OFFSET(ListeB,,4)='recap S1'!Z$3)*(OFFSET(ListeB,,1)='recap S1'!Z$2))&gt;0,SUMPRODUCT((ListeB='recap S1'!$B119)*(OFFSET(ListeB,,4)='recap S1'!Z$3)*(OFFSET(ListeB,,1)='recap S1'!Z$2)),"")</f>
        <v/>
      </c>
      <c r="AA119" s="32" t="str">
        <f ca="1">IF(SUMPRODUCT((ListeB='recap S1'!$B119)*(OFFSET(ListeB,,4)='recap S1'!AA$3)*(OFFSET(ListeB,,1)='recap S1'!AA$2))&gt;0,SUMPRODUCT((ListeB='recap S1'!$B119)*(OFFSET(ListeB,,4)='recap S1'!AA$3)*(OFFSET(ListeB,,1)='recap S1'!AA$2)),"")</f>
        <v/>
      </c>
      <c r="AB119" s="32"/>
      <c r="AC119" s="32" t="str">
        <f ca="1">IF(SUMPRODUCT((ListeB='recap S1'!$B119)*(OFFSET(ListeB,,4)='recap S1'!AC$3)*(OFFSET(ListeB,,1)='recap S1'!AC$2))&gt;0,SUMPRODUCT((ListeB='recap S1'!$B119)*(OFFSET(ListeB,,4)='recap S1'!AC$3)*(OFFSET(ListeB,,1)='recap S1'!AC$2)),"")</f>
        <v/>
      </c>
      <c r="AD119" s="32"/>
      <c r="AE119" s="32" t="str">
        <f ca="1">IF(SUMPRODUCT((ListeB='recap S1'!$B119)*(OFFSET(ListeB,,4)='recap S1'!AE$3)*(OFFSET(ListeB,,1)='recap S1'!AE$2))&gt;0,SUMPRODUCT((ListeB='recap S1'!$B119)*(OFFSET(ListeB,,4)='recap S1'!AE$3)*(OFFSET(ListeB,,1)='recap S1'!AE$2)),"")</f>
        <v/>
      </c>
      <c r="AF119" s="32" t="str">
        <f ca="1">IF(SUMPRODUCT((ListeB='recap S1'!$B119)*(OFFSET(ListeB,,4)='recap S1'!AF$3)*(OFFSET(ListeB,,1)='recap S1'!AF$2))&gt;0,SUMPRODUCT((ListeB='recap S1'!$B119)*(OFFSET(ListeB,,4)='recap S1'!AF$3)*(OFFSET(ListeB,,1)='recap S1'!AF$2)),"")</f>
        <v/>
      </c>
      <c r="AG119" s="32"/>
      <c r="AH119" s="32" t="str">
        <f ca="1">IF(SUMPRODUCT((ListeB='recap S1'!$B119)*(OFFSET(ListeB,,4)='recap S1'!AH$3)*(OFFSET(ListeB,,1)='recap S1'!AH$2))&gt;0,SUMPRODUCT((ListeB='recap S1'!$B119)*(OFFSET(ListeB,,4)='recap S1'!AH$3)*(OFFSET(ListeB,,1)='recap S1'!AH$2)),"")</f>
        <v/>
      </c>
      <c r="AI119" s="32" t="str">
        <f ca="1">IF(SUMPRODUCT((ListeB='recap S1'!$B119)*(OFFSET(ListeB,,4)='recap S1'!AI$3)*(OFFSET(ListeB,,1)='recap S1'!AI$2))&gt;0,SUMPRODUCT((ListeB='recap S1'!$B119)*(OFFSET(ListeB,,4)='recap S1'!AI$3)*(OFFSET(ListeB,,1)='recap S1'!AI$2)),"")</f>
        <v/>
      </c>
      <c r="AJ119" s="32" t="str">
        <f ca="1">IF(SUMPRODUCT((ListeB='recap S1'!$B119)*(OFFSET(ListeB,,4)='recap S1'!AJ$3)*(OFFSET(ListeB,,1)='recap S1'!AJ$2))&gt;0,SUMPRODUCT((ListeB='recap S1'!$B119)*(OFFSET(ListeB,,4)='recap S1'!AJ$3)*(OFFSET(ListeB,,1)='recap S1'!AJ$2)),"")</f>
        <v/>
      </c>
      <c r="AK119" s="32"/>
      <c r="AL119" s="32" t="str">
        <f ca="1">IF(SUMPRODUCT((ListeB='recap S1'!$B119)*(OFFSET(ListeB,,4)='recap S1'!AL$3)*(OFFSET(ListeB,,1)='recap S1'!AL$2))&gt;0,SUMPRODUCT((ListeB='recap S1'!$B119)*(OFFSET(ListeB,,4)='recap S1'!AL$3)*(OFFSET(ListeB,,1)='recap S1'!AL$2)),"")</f>
        <v/>
      </c>
      <c r="AM119" s="32"/>
      <c r="AN119" s="32" t="str">
        <f ca="1">IF(SUMPRODUCT((ListeB='recap S1'!$B119)*(OFFSET(ListeB,,4)='recap S1'!AN$3)*(OFFSET(ListeB,,1)='recap S1'!AN$2))&gt;0,SUMPRODUCT((ListeB='recap S1'!$B119)*(OFFSET(ListeB,,4)='recap S1'!AN$3)*(OFFSET(ListeB,,1)='recap S1'!AN$2)),"")</f>
        <v/>
      </c>
      <c r="AO119" s="32" t="str">
        <f ca="1">IF(SUMPRODUCT((ListeB='recap S1'!$B119)*(OFFSET(ListeB,,4)='recap S1'!AO$3)*(OFFSET(ListeB,,1)='recap S1'!AO$2))&gt;0,SUMPRODUCT((ListeB='recap S1'!$B119)*(OFFSET(ListeB,,4)='recap S1'!AO$3)*(OFFSET(ListeB,,1)='recap S1'!AO$2)),"")</f>
        <v/>
      </c>
      <c r="AP119" s="32"/>
      <c r="AQ119" s="32"/>
      <c r="AR119" s="32"/>
      <c r="AS119" s="32" t="str">
        <f ca="1">IF(SUMPRODUCT((ListeB='recap S1'!$B119)*(OFFSET(ListeB,,4)='recap S1'!AS$3)*(OFFSET(ListeB,,1)='recap S1'!AS$2))&gt;0,SUMPRODUCT((ListeB='recap S1'!$B119)*(OFFSET(ListeB,,4)='recap S1'!AS$3)*(OFFSET(ListeB,,1)='recap S1'!AS$2)),"")</f>
        <v/>
      </c>
      <c r="AT119" s="32" t="str">
        <f ca="1">IF(SUMPRODUCT((ListeB='recap S1'!$B119)*(OFFSET(ListeB,,4)='recap S1'!AT$3)*(OFFSET(ListeB,,1)='recap S1'!AT$2))&gt;0,SUMPRODUCT((ListeB='recap S1'!$B119)*(OFFSET(ListeB,,4)='recap S1'!AT$3)*(OFFSET(ListeB,,1)='recap S1'!AT$2)),"")</f>
        <v/>
      </c>
      <c r="AU119" s="32"/>
      <c r="AV119" s="32" t="str">
        <f ca="1">IF(SUMPRODUCT((ListeB='recap S1'!$B119)*(OFFSET(ListeB,,4)='recap S1'!AV$3)*(OFFSET(ListeB,,1)='recap S1'!AV$2))&gt;0,SUMPRODUCT((ListeB='recap S1'!$B119)*(OFFSET(ListeB,,4)='recap S1'!AV$3)*(OFFSET(ListeB,,1)='recap S1'!AV$2)),"")</f>
        <v/>
      </c>
      <c r="AW119" s="32" t="str">
        <f ca="1">IF(SUMPRODUCT((ListeB='recap S1'!$B119)*(OFFSET(ListeB,,4)='recap S1'!AW$3)*(OFFSET(ListeB,,1)='recap S1'!AW$2))&gt;0,SUMPRODUCT((ListeB='recap S1'!$B119)*(OFFSET(ListeB,,4)='recap S1'!AW$3)*(OFFSET(ListeB,,1)='recap S1'!AW$2)),"")</f>
        <v/>
      </c>
      <c r="AX119" s="32" t="str">
        <f ca="1">IF(SUMPRODUCT((ListeB='recap S1'!$B119)*(OFFSET(ListeB,,4)='recap S1'!AX$3)*(OFFSET(ListeB,,1)='recap S1'!AX$2))&gt;0,SUMPRODUCT((ListeB='recap S1'!$B119)*(OFFSET(ListeB,,4)='recap S1'!AX$3)*(OFFSET(ListeB,,1)='recap S1'!AX$2)),"")</f>
        <v/>
      </c>
      <c r="AY119" s="34"/>
      <c r="AZ119" s="32">
        <f t="shared" ca="1" si="3"/>
        <v>0</v>
      </c>
    </row>
    <row r="120" spans="1:52">
      <c r="A120" s="41" t="str">
        <f>IF('SEANCE 1'!$B118&lt;&gt;"",'SEANCE 1'!$A118,"")</f>
        <v/>
      </c>
      <c r="B120" s="41" t="str">
        <f t="array" aca="1" ref="B120" ca="1">IF(ISNA(INDEX(ListeB,MATCH(0,COUNTIF($B$3:B119,ListeB),0))),"",INDEX(ListeB,MATCH(0,COUNTIF($B$3:B119,ListeB),0)))</f>
        <v/>
      </c>
      <c r="C120" s="32" t="str">
        <f ca="1">IF(SUMPRODUCT((ListeB='recap S1'!$B120)*(OFFSET(ListeB,,4)='recap S1'!C$3)*(OFFSET(ListeB,,1)='recap S1'!C$2))&gt;0,SUMPRODUCT((ListeB='recap S1'!$B120)*(OFFSET(ListeB,,4)='recap S1'!C$3)*(OFFSET(ListeB,,1)='recap S1'!C$2)),"")</f>
        <v/>
      </c>
      <c r="D120" s="32" t="str">
        <f ca="1">IF(SUMPRODUCT((ListeB='recap S1'!$B120)*(OFFSET(ListeB,,4)='recap S1'!D$3)*(OFFSET(ListeB,,1)='recap S1'!D$2))&gt;0,SUMPRODUCT((ListeB='recap S1'!$B120)*(OFFSET(ListeB,,4)='recap S1'!D$3)*(OFFSET(ListeB,,1)='recap S1'!D$2)),"")</f>
        <v/>
      </c>
      <c r="E120" s="32"/>
      <c r="F120" s="32" t="str">
        <f ca="1">IF(SUMPRODUCT((ListeB='recap S1'!$B120)*(OFFSET(ListeB,,4)='recap S1'!F$3)*(OFFSET(ListeB,,1)='recap S1'!F$2))&gt;0,SUMPRODUCT((ListeB='recap S1'!$B120)*(OFFSET(ListeB,,4)='recap S1'!F$3)*(OFFSET(ListeB,,1)='recap S1'!F$2)),"")</f>
        <v/>
      </c>
      <c r="G120" s="32" t="str">
        <f ca="1">IF(SUMPRODUCT((ListeB='recap S1'!$B120)*(OFFSET(ListeB,,4)='recap S1'!G$3)*(OFFSET(ListeB,,1)='recap S1'!G$2))&gt;0,SUMPRODUCT((ListeB='recap S1'!$B120)*(OFFSET(ListeB,,4)='recap S1'!G$3)*(OFFSET(ListeB,,1)='recap S1'!G$2)),"")</f>
        <v/>
      </c>
      <c r="H120" s="32"/>
      <c r="I120" s="32" t="str">
        <f ca="1">IF(SUMPRODUCT((ListeB='recap S1'!$B120)*(OFFSET(ListeB,,4)='recap S1'!I$3)*(OFFSET(ListeB,,1)='recap S1'!I$2))&gt;0,SUMPRODUCT((ListeB='recap S1'!$B120)*(OFFSET(ListeB,,4)='recap S1'!I$3)*(OFFSET(ListeB,,1)='recap S1'!I$2)),"")</f>
        <v/>
      </c>
      <c r="J120" s="32" t="str">
        <f ca="1">IF(SUMPRODUCT((ListeB='recap S1'!$B120)*(OFFSET(ListeB,,4)='recap S1'!J$3)*(OFFSET(ListeB,,1)='recap S1'!J$2))&gt;0,SUMPRODUCT((ListeB='recap S1'!$B120)*(OFFSET(ListeB,,4)='recap S1'!J$3)*(OFFSET(ListeB,,1)='recap S1'!J$2)),"")</f>
        <v/>
      </c>
      <c r="K120" s="32" t="str">
        <f ca="1">IF(SUMPRODUCT((ListeB='recap S1'!$B120)*(OFFSET(ListeB,,4)='recap S1'!K$3)*(OFFSET(ListeB,,1)='recap S1'!K$2))&gt;0,SUMPRODUCT((ListeB='recap S1'!$B120)*(OFFSET(ListeB,,4)='recap S1'!K$3)*(OFFSET(ListeB,,1)='recap S1'!K$2)),"")</f>
        <v/>
      </c>
      <c r="L120" s="32"/>
      <c r="M120" s="32" t="str">
        <f ca="1">IF(SUMPRODUCT((ListeB='recap S1'!$B120)*(OFFSET(ListeB,,4)='recap S1'!M$3)*(OFFSET(ListeB,,1)='recap S1'!M$2))&gt;0,SUMPRODUCT((ListeB='recap S1'!$B120)*(OFFSET(ListeB,,4)='recap S1'!M$3)*(OFFSET(ListeB,,1)='recap S1'!M$2)),"")</f>
        <v/>
      </c>
      <c r="N120" s="32" t="str">
        <f ca="1">IF(SUMPRODUCT((ListeB='recap S1'!$B120)*(OFFSET(ListeB,,4)='recap S1'!N$3)*(OFFSET(ListeB,,1)='recap S1'!N$2))&gt;0,SUMPRODUCT((ListeB='recap S1'!$B120)*(OFFSET(ListeB,,4)='recap S1'!N$3)*(OFFSET(ListeB,,1)='recap S1'!N$2)),"")</f>
        <v/>
      </c>
      <c r="O120" s="32"/>
      <c r="P120" s="32" t="str">
        <f ca="1">IF(SUMPRODUCT((ListeB='recap S1'!$B120)*(OFFSET(ListeB,,4)='recap S1'!P$3)*(OFFSET(ListeB,,1)='recap S1'!P$2))&gt;0,SUMPRODUCT((ListeB='recap S1'!$B120)*(OFFSET(ListeB,,4)='recap S1'!P$3)*(OFFSET(ListeB,,1)='recap S1'!P$2)),"")</f>
        <v/>
      </c>
      <c r="Q120" s="32" t="str">
        <f ca="1">IF(SUMPRODUCT((ListeB='recap S1'!$B120)*(OFFSET(ListeB,,4)='recap S1'!Q$3)*(OFFSET(ListeB,,1)='recap S1'!Q$2))&gt;0,SUMPRODUCT((ListeB='recap S1'!$B120)*(OFFSET(ListeB,,4)='recap S1'!Q$3)*(OFFSET(ListeB,,1)='recap S1'!Q$2)),"")</f>
        <v/>
      </c>
      <c r="R120" s="32"/>
      <c r="S120" s="32" t="str">
        <f ca="1">IF(SUMPRODUCT((ListeB='recap S1'!$B120)*(OFFSET(ListeB,,4)='recap S1'!S$3)*(OFFSET(ListeB,,1)='recap S1'!S$2))&gt;0,SUMPRODUCT((ListeB='recap S1'!$B120)*(OFFSET(ListeB,,4)='recap S1'!S$3)*(OFFSET(ListeB,,1)='recap S1'!S$2)),"")</f>
        <v/>
      </c>
      <c r="T120" s="32" t="str">
        <f ca="1">IF(SUMPRODUCT((ListeB='recap S1'!$B120)*(OFFSET(ListeB,,4)='recap S1'!T$3)*(OFFSET(ListeB,,1)='recap S1'!T$2))&gt;0,SUMPRODUCT((ListeB='recap S1'!$B120)*(OFFSET(ListeB,,4)='recap S1'!T$3)*(OFFSET(ListeB,,1)='recap S1'!T$2)),"")</f>
        <v/>
      </c>
      <c r="U120" s="32" t="str">
        <f ca="1">IF(SUMPRODUCT((ListeB='recap S1'!$B120)*(OFFSET(ListeB,,4)='recap S1'!U$3)*(OFFSET(ListeB,,1)='recap S1'!U$2))&gt;0,SUMPRODUCT((ListeB='recap S1'!$B120)*(OFFSET(ListeB,,4)='recap S1'!U$3)*(OFFSET(ListeB,,1)='recap S1'!U$2)),"")</f>
        <v/>
      </c>
      <c r="V120" s="32"/>
      <c r="W120" s="32" t="str">
        <f ca="1">IF(SUMPRODUCT((ListeB='recap S1'!$B120)*(OFFSET(ListeB,,4)='recap S1'!W$3)*(OFFSET(ListeB,,1)='recap S1'!W$2))&gt;0,SUMPRODUCT((ListeB='recap S1'!$B120)*(OFFSET(ListeB,,4)='recap S1'!W$3)*(OFFSET(ListeB,,1)='recap S1'!W$2)),"")</f>
        <v/>
      </c>
      <c r="X120" s="32"/>
      <c r="Y120" s="32" t="str">
        <f ca="1">IF(SUMPRODUCT((ListeB='recap S1'!$B120)*(OFFSET(ListeB,,4)='recap S1'!Y$3)*(OFFSET(ListeB,,1)='recap S1'!Y$2))&gt;0,SUMPRODUCT((ListeB='recap S1'!$B120)*(OFFSET(ListeB,,4)='recap S1'!Y$3)*(OFFSET(ListeB,,1)='recap S1'!Y$2)),"")</f>
        <v/>
      </c>
      <c r="Z120" s="32" t="str">
        <f ca="1">IF(SUMPRODUCT((ListeB='recap S1'!$B120)*(OFFSET(ListeB,,4)='recap S1'!Z$3)*(OFFSET(ListeB,,1)='recap S1'!Z$2))&gt;0,SUMPRODUCT((ListeB='recap S1'!$B120)*(OFFSET(ListeB,,4)='recap S1'!Z$3)*(OFFSET(ListeB,,1)='recap S1'!Z$2)),"")</f>
        <v/>
      </c>
      <c r="AA120" s="32" t="str">
        <f ca="1">IF(SUMPRODUCT((ListeB='recap S1'!$B120)*(OFFSET(ListeB,,4)='recap S1'!AA$3)*(OFFSET(ListeB,,1)='recap S1'!AA$2))&gt;0,SUMPRODUCT((ListeB='recap S1'!$B120)*(OFFSET(ListeB,,4)='recap S1'!AA$3)*(OFFSET(ListeB,,1)='recap S1'!AA$2)),"")</f>
        <v/>
      </c>
      <c r="AB120" s="32"/>
      <c r="AC120" s="32" t="str">
        <f ca="1">IF(SUMPRODUCT((ListeB='recap S1'!$B120)*(OFFSET(ListeB,,4)='recap S1'!AC$3)*(OFFSET(ListeB,,1)='recap S1'!AC$2))&gt;0,SUMPRODUCT((ListeB='recap S1'!$B120)*(OFFSET(ListeB,,4)='recap S1'!AC$3)*(OFFSET(ListeB,,1)='recap S1'!AC$2)),"")</f>
        <v/>
      </c>
      <c r="AD120" s="32"/>
      <c r="AE120" s="32" t="str">
        <f ca="1">IF(SUMPRODUCT((ListeB='recap S1'!$B120)*(OFFSET(ListeB,,4)='recap S1'!AE$3)*(OFFSET(ListeB,,1)='recap S1'!AE$2))&gt;0,SUMPRODUCT((ListeB='recap S1'!$B120)*(OFFSET(ListeB,,4)='recap S1'!AE$3)*(OFFSET(ListeB,,1)='recap S1'!AE$2)),"")</f>
        <v/>
      </c>
      <c r="AF120" s="32" t="str">
        <f ca="1">IF(SUMPRODUCT((ListeB='recap S1'!$B120)*(OFFSET(ListeB,,4)='recap S1'!AF$3)*(OFFSET(ListeB,,1)='recap S1'!AF$2))&gt;0,SUMPRODUCT((ListeB='recap S1'!$B120)*(OFFSET(ListeB,,4)='recap S1'!AF$3)*(OFFSET(ListeB,,1)='recap S1'!AF$2)),"")</f>
        <v/>
      </c>
      <c r="AG120" s="32"/>
      <c r="AH120" s="32" t="str">
        <f ca="1">IF(SUMPRODUCT((ListeB='recap S1'!$B120)*(OFFSET(ListeB,,4)='recap S1'!AH$3)*(OFFSET(ListeB,,1)='recap S1'!AH$2))&gt;0,SUMPRODUCT((ListeB='recap S1'!$B120)*(OFFSET(ListeB,,4)='recap S1'!AH$3)*(OFFSET(ListeB,,1)='recap S1'!AH$2)),"")</f>
        <v/>
      </c>
      <c r="AI120" s="32" t="str">
        <f ca="1">IF(SUMPRODUCT((ListeB='recap S1'!$B120)*(OFFSET(ListeB,,4)='recap S1'!AI$3)*(OFFSET(ListeB,,1)='recap S1'!AI$2))&gt;0,SUMPRODUCT((ListeB='recap S1'!$B120)*(OFFSET(ListeB,,4)='recap S1'!AI$3)*(OFFSET(ListeB,,1)='recap S1'!AI$2)),"")</f>
        <v/>
      </c>
      <c r="AJ120" s="32" t="str">
        <f ca="1">IF(SUMPRODUCT((ListeB='recap S1'!$B120)*(OFFSET(ListeB,,4)='recap S1'!AJ$3)*(OFFSET(ListeB,,1)='recap S1'!AJ$2))&gt;0,SUMPRODUCT((ListeB='recap S1'!$B120)*(OFFSET(ListeB,,4)='recap S1'!AJ$3)*(OFFSET(ListeB,,1)='recap S1'!AJ$2)),"")</f>
        <v/>
      </c>
      <c r="AK120" s="32"/>
      <c r="AL120" s="32" t="str">
        <f ca="1">IF(SUMPRODUCT((ListeB='recap S1'!$B120)*(OFFSET(ListeB,,4)='recap S1'!AL$3)*(OFFSET(ListeB,,1)='recap S1'!AL$2))&gt;0,SUMPRODUCT((ListeB='recap S1'!$B120)*(OFFSET(ListeB,,4)='recap S1'!AL$3)*(OFFSET(ListeB,,1)='recap S1'!AL$2)),"")</f>
        <v/>
      </c>
      <c r="AM120" s="32"/>
      <c r="AN120" s="32" t="str">
        <f ca="1">IF(SUMPRODUCT((ListeB='recap S1'!$B120)*(OFFSET(ListeB,,4)='recap S1'!AN$3)*(OFFSET(ListeB,,1)='recap S1'!AN$2))&gt;0,SUMPRODUCT((ListeB='recap S1'!$B120)*(OFFSET(ListeB,,4)='recap S1'!AN$3)*(OFFSET(ListeB,,1)='recap S1'!AN$2)),"")</f>
        <v/>
      </c>
      <c r="AO120" s="32" t="str">
        <f ca="1">IF(SUMPRODUCT((ListeB='recap S1'!$B120)*(OFFSET(ListeB,,4)='recap S1'!AO$3)*(OFFSET(ListeB,,1)='recap S1'!AO$2))&gt;0,SUMPRODUCT((ListeB='recap S1'!$B120)*(OFFSET(ListeB,,4)='recap S1'!AO$3)*(OFFSET(ListeB,,1)='recap S1'!AO$2)),"")</f>
        <v/>
      </c>
      <c r="AP120" s="32"/>
      <c r="AQ120" s="32"/>
      <c r="AR120" s="32"/>
      <c r="AS120" s="32" t="str">
        <f ca="1">IF(SUMPRODUCT((ListeB='recap S1'!$B120)*(OFFSET(ListeB,,4)='recap S1'!AS$3)*(OFFSET(ListeB,,1)='recap S1'!AS$2))&gt;0,SUMPRODUCT((ListeB='recap S1'!$B120)*(OFFSET(ListeB,,4)='recap S1'!AS$3)*(OFFSET(ListeB,,1)='recap S1'!AS$2)),"")</f>
        <v/>
      </c>
      <c r="AT120" s="32" t="str">
        <f ca="1">IF(SUMPRODUCT((ListeB='recap S1'!$B120)*(OFFSET(ListeB,,4)='recap S1'!AT$3)*(OFFSET(ListeB,,1)='recap S1'!AT$2))&gt;0,SUMPRODUCT((ListeB='recap S1'!$B120)*(OFFSET(ListeB,,4)='recap S1'!AT$3)*(OFFSET(ListeB,,1)='recap S1'!AT$2)),"")</f>
        <v/>
      </c>
      <c r="AU120" s="32"/>
      <c r="AV120" s="32" t="str">
        <f ca="1">IF(SUMPRODUCT((ListeB='recap S1'!$B120)*(OFFSET(ListeB,,4)='recap S1'!AV$3)*(OFFSET(ListeB,,1)='recap S1'!AV$2))&gt;0,SUMPRODUCT((ListeB='recap S1'!$B120)*(OFFSET(ListeB,,4)='recap S1'!AV$3)*(OFFSET(ListeB,,1)='recap S1'!AV$2)),"")</f>
        <v/>
      </c>
      <c r="AW120" s="32" t="str">
        <f ca="1">IF(SUMPRODUCT((ListeB='recap S1'!$B120)*(OFFSET(ListeB,,4)='recap S1'!AW$3)*(OFFSET(ListeB,,1)='recap S1'!AW$2))&gt;0,SUMPRODUCT((ListeB='recap S1'!$B120)*(OFFSET(ListeB,,4)='recap S1'!AW$3)*(OFFSET(ListeB,,1)='recap S1'!AW$2)),"")</f>
        <v/>
      </c>
      <c r="AX120" s="32" t="str">
        <f ca="1">IF(SUMPRODUCT((ListeB='recap S1'!$B120)*(OFFSET(ListeB,,4)='recap S1'!AX$3)*(OFFSET(ListeB,,1)='recap S1'!AX$2))&gt;0,SUMPRODUCT((ListeB='recap S1'!$B120)*(OFFSET(ListeB,,4)='recap S1'!AX$3)*(OFFSET(ListeB,,1)='recap S1'!AX$2)),"")</f>
        <v/>
      </c>
      <c r="AY120" s="34"/>
      <c r="AZ120" s="32">
        <f t="shared" ca="1" si="3"/>
        <v>0</v>
      </c>
    </row>
    <row r="121" spans="1:52">
      <c r="A121" s="41" t="str">
        <f>IF('SEANCE 1'!$B119&lt;&gt;"",'SEANCE 1'!$A119,"")</f>
        <v/>
      </c>
      <c r="B121" s="41" t="str">
        <f t="array" aca="1" ref="B121" ca="1">IF(ISNA(INDEX(ListeB,MATCH(0,COUNTIF($B$3:B120,ListeB),0))),"",INDEX(ListeB,MATCH(0,COUNTIF($B$3:B120,ListeB),0)))</f>
        <v/>
      </c>
      <c r="C121" s="32" t="str">
        <f ca="1">IF(SUMPRODUCT((ListeB='recap S1'!$B121)*(OFFSET(ListeB,,4)='recap S1'!C$3)*(OFFSET(ListeB,,1)='recap S1'!C$2))&gt;0,SUMPRODUCT((ListeB='recap S1'!$B121)*(OFFSET(ListeB,,4)='recap S1'!C$3)*(OFFSET(ListeB,,1)='recap S1'!C$2)),"")</f>
        <v/>
      </c>
      <c r="D121" s="32" t="str">
        <f ca="1">IF(SUMPRODUCT((ListeB='recap S1'!$B121)*(OFFSET(ListeB,,4)='recap S1'!D$3)*(OFFSET(ListeB,,1)='recap S1'!D$2))&gt;0,SUMPRODUCT((ListeB='recap S1'!$B121)*(OFFSET(ListeB,,4)='recap S1'!D$3)*(OFFSET(ListeB,,1)='recap S1'!D$2)),"")</f>
        <v/>
      </c>
      <c r="E121" s="32"/>
      <c r="F121" s="32" t="str">
        <f ca="1">IF(SUMPRODUCT((ListeB='recap S1'!$B121)*(OFFSET(ListeB,,4)='recap S1'!F$3)*(OFFSET(ListeB,,1)='recap S1'!F$2))&gt;0,SUMPRODUCT((ListeB='recap S1'!$B121)*(OFFSET(ListeB,,4)='recap S1'!F$3)*(OFFSET(ListeB,,1)='recap S1'!F$2)),"")</f>
        <v/>
      </c>
      <c r="G121" s="32" t="str">
        <f ca="1">IF(SUMPRODUCT((ListeB='recap S1'!$B121)*(OFFSET(ListeB,,4)='recap S1'!G$3)*(OFFSET(ListeB,,1)='recap S1'!G$2))&gt;0,SUMPRODUCT((ListeB='recap S1'!$B121)*(OFFSET(ListeB,,4)='recap S1'!G$3)*(OFFSET(ListeB,,1)='recap S1'!G$2)),"")</f>
        <v/>
      </c>
      <c r="H121" s="32"/>
      <c r="I121" s="32" t="str">
        <f ca="1">IF(SUMPRODUCT((ListeB='recap S1'!$B121)*(OFFSET(ListeB,,4)='recap S1'!I$3)*(OFFSET(ListeB,,1)='recap S1'!I$2))&gt;0,SUMPRODUCT((ListeB='recap S1'!$B121)*(OFFSET(ListeB,,4)='recap S1'!I$3)*(OFFSET(ListeB,,1)='recap S1'!I$2)),"")</f>
        <v/>
      </c>
      <c r="J121" s="32" t="str">
        <f ca="1">IF(SUMPRODUCT((ListeB='recap S1'!$B121)*(OFFSET(ListeB,,4)='recap S1'!J$3)*(OFFSET(ListeB,,1)='recap S1'!J$2))&gt;0,SUMPRODUCT((ListeB='recap S1'!$B121)*(OFFSET(ListeB,,4)='recap S1'!J$3)*(OFFSET(ListeB,,1)='recap S1'!J$2)),"")</f>
        <v/>
      </c>
      <c r="K121" s="32" t="str">
        <f ca="1">IF(SUMPRODUCT((ListeB='recap S1'!$B121)*(OFFSET(ListeB,,4)='recap S1'!K$3)*(OFFSET(ListeB,,1)='recap S1'!K$2))&gt;0,SUMPRODUCT((ListeB='recap S1'!$B121)*(OFFSET(ListeB,,4)='recap S1'!K$3)*(OFFSET(ListeB,,1)='recap S1'!K$2)),"")</f>
        <v/>
      </c>
      <c r="L121" s="32"/>
      <c r="M121" s="32" t="str">
        <f ca="1">IF(SUMPRODUCT((ListeB='recap S1'!$B121)*(OFFSET(ListeB,,4)='recap S1'!M$3)*(OFFSET(ListeB,,1)='recap S1'!M$2))&gt;0,SUMPRODUCT((ListeB='recap S1'!$B121)*(OFFSET(ListeB,,4)='recap S1'!M$3)*(OFFSET(ListeB,,1)='recap S1'!M$2)),"")</f>
        <v/>
      </c>
      <c r="N121" s="32" t="str">
        <f ca="1">IF(SUMPRODUCT((ListeB='recap S1'!$B121)*(OFFSET(ListeB,,4)='recap S1'!N$3)*(OFFSET(ListeB,,1)='recap S1'!N$2))&gt;0,SUMPRODUCT((ListeB='recap S1'!$B121)*(OFFSET(ListeB,,4)='recap S1'!N$3)*(OFFSET(ListeB,,1)='recap S1'!N$2)),"")</f>
        <v/>
      </c>
      <c r="O121" s="32"/>
      <c r="P121" s="32" t="str">
        <f ca="1">IF(SUMPRODUCT((ListeB='recap S1'!$B121)*(OFFSET(ListeB,,4)='recap S1'!P$3)*(OFFSET(ListeB,,1)='recap S1'!P$2))&gt;0,SUMPRODUCT((ListeB='recap S1'!$B121)*(OFFSET(ListeB,,4)='recap S1'!P$3)*(OFFSET(ListeB,,1)='recap S1'!P$2)),"")</f>
        <v/>
      </c>
      <c r="Q121" s="32" t="str">
        <f ca="1">IF(SUMPRODUCT((ListeB='recap S1'!$B121)*(OFFSET(ListeB,,4)='recap S1'!Q$3)*(OFFSET(ListeB,,1)='recap S1'!Q$2))&gt;0,SUMPRODUCT((ListeB='recap S1'!$B121)*(OFFSET(ListeB,,4)='recap S1'!Q$3)*(OFFSET(ListeB,,1)='recap S1'!Q$2)),"")</f>
        <v/>
      </c>
      <c r="R121" s="32"/>
      <c r="S121" s="32" t="str">
        <f ca="1">IF(SUMPRODUCT((ListeB='recap S1'!$B121)*(OFFSET(ListeB,,4)='recap S1'!S$3)*(OFFSET(ListeB,,1)='recap S1'!S$2))&gt;0,SUMPRODUCT((ListeB='recap S1'!$B121)*(OFFSET(ListeB,,4)='recap S1'!S$3)*(OFFSET(ListeB,,1)='recap S1'!S$2)),"")</f>
        <v/>
      </c>
      <c r="T121" s="32" t="str">
        <f ca="1">IF(SUMPRODUCT((ListeB='recap S1'!$B121)*(OFFSET(ListeB,,4)='recap S1'!T$3)*(OFFSET(ListeB,,1)='recap S1'!T$2))&gt;0,SUMPRODUCT((ListeB='recap S1'!$B121)*(OFFSET(ListeB,,4)='recap S1'!T$3)*(OFFSET(ListeB,,1)='recap S1'!T$2)),"")</f>
        <v/>
      </c>
      <c r="U121" s="32" t="str">
        <f ca="1">IF(SUMPRODUCT((ListeB='recap S1'!$B121)*(OFFSET(ListeB,,4)='recap S1'!U$3)*(OFFSET(ListeB,,1)='recap S1'!U$2))&gt;0,SUMPRODUCT((ListeB='recap S1'!$B121)*(OFFSET(ListeB,,4)='recap S1'!U$3)*(OFFSET(ListeB,,1)='recap S1'!U$2)),"")</f>
        <v/>
      </c>
      <c r="V121" s="32"/>
      <c r="W121" s="32" t="str">
        <f ca="1">IF(SUMPRODUCT((ListeB='recap S1'!$B121)*(OFFSET(ListeB,,4)='recap S1'!W$3)*(OFFSET(ListeB,,1)='recap S1'!W$2))&gt;0,SUMPRODUCT((ListeB='recap S1'!$B121)*(OFFSET(ListeB,,4)='recap S1'!W$3)*(OFFSET(ListeB,,1)='recap S1'!W$2)),"")</f>
        <v/>
      </c>
      <c r="X121" s="32"/>
      <c r="Y121" s="32" t="str">
        <f ca="1">IF(SUMPRODUCT((ListeB='recap S1'!$B121)*(OFFSET(ListeB,,4)='recap S1'!Y$3)*(OFFSET(ListeB,,1)='recap S1'!Y$2))&gt;0,SUMPRODUCT((ListeB='recap S1'!$B121)*(OFFSET(ListeB,,4)='recap S1'!Y$3)*(OFFSET(ListeB,,1)='recap S1'!Y$2)),"")</f>
        <v/>
      </c>
      <c r="Z121" s="32" t="str">
        <f ca="1">IF(SUMPRODUCT((ListeB='recap S1'!$B121)*(OFFSET(ListeB,,4)='recap S1'!Z$3)*(OFFSET(ListeB,,1)='recap S1'!Z$2))&gt;0,SUMPRODUCT((ListeB='recap S1'!$B121)*(OFFSET(ListeB,,4)='recap S1'!Z$3)*(OFFSET(ListeB,,1)='recap S1'!Z$2)),"")</f>
        <v/>
      </c>
      <c r="AA121" s="32" t="str">
        <f ca="1">IF(SUMPRODUCT((ListeB='recap S1'!$B121)*(OFFSET(ListeB,,4)='recap S1'!AA$3)*(OFFSET(ListeB,,1)='recap S1'!AA$2))&gt;0,SUMPRODUCT((ListeB='recap S1'!$B121)*(OFFSET(ListeB,,4)='recap S1'!AA$3)*(OFFSET(ListeB,,1)='recap S1'!AA$2)),"")</f>
        <v/>
      </c>
      <c r="AB121" s="32"/>
      <c r="AC121" s="32" t="str">
        <f ca="1">IF(SUMPRODUCT((ListeB='recap S1'!$B121)*(OFFSET(ListeB,,4)='recap S1'!AC$3)*(OFFSET(ListeB,,1)='recap S1'!AC$2))&gt;0,SUMPRODUCT((ListeB='recap S1'!$B121)*(OFFSET(ListeB,,4)='recap S1'!AC$3)*(OFFSET(ListeB,,1)='recap S1'!AC$2)),"")</f>
        <v/>
      </c>
      <c r="AD121" s="32"/>
      <c r="AE121" s="32" t="str">
        <f ca="1">IF(SUMPRODUCT((ListeB='recap S1'!$B121)*(OFFSET(ListeB,,4)='recap S1'!AE$3)*(OFFSET(ListeB,,1)='recap S1'!AE$2))&gt;0,SUMPRODUCT((ListeB='recap S1'!$B121)*(OFFSET(ListeB,,4)='recap S1'!AE$3)*(OFFSET(ListeB,,1)='recap S1'!AE$2)),"")</f>
        <v/>
      </c>
      <c r="AF121" s="32" t="str">
        <f ca="1">IF(SUMPRODUCT((ListeB='recap S1'!$B121)*(OFFSET(ListeB,,4)='recap S1'!AF$3)*(OFFSET(ListeB,,1)='recap S1'!AF$2))&gt;0,SUMPRODUCT((ListeB='recap S1'!$B121)*(OFFSET(ListeB,,4)='recap S1'!AF$3)*(OFFSET(ListeB,,1)='recap S1'!AF$2)),"")</f>
        <v/>
      </c>
      <c r="AG121" s="32"/>
      <c r="AH121" s="32" t="str">
        <f ca="1">IF(SUMPRODUCT((ListeB='recap S1'!$B121)*(OFFSET(ListeB,,4)='recap S1'!AH$3)*(OFFSET(ListeB,,1)='recap S1'!AH$2))&gt;0,SUMPRODUCT((ListeB='recap S1'!$B121)*(OFFSET(ListeB,,4)='recap S1'!AH$3)*(OFFSET(ListeB,,1)='recap S1'!AH$2)),"")</f>
        <v/>
      </c>
      <c r="AI121" s="32" t="str">
        <f ca="1">IF(SUMPRODUCT((ListeB='recap S1'!$B121)*(OFFSET(ListeB,,4)='recap S1'!AI$3)*(OFFSET(ListeB,,1)='recap S1'!AI$2))&gt;0,SUMPRODUCT((ListeB='recap S1'!$B121)*(OFFSET(ListeB,,4)='recap S1'!AI$3)*(OFFSET(ListeB,,1)='recap S1'!AI$2)),"")</f>
        <v/>
      </c>
      <c r="AJ121" s="32" t="str">
        <f ca="1">IF(SUMPRODUCT((ListeB='recap S1'!$B121)*(OFFSET(ListeB,,4)='recap S1'!AJ$3)*(OFFSET(ListeB,,1)='recap S1'!AJ$2))&gt;0,SUMPRODUCT((ListeB='recap S1'!$B121)*(OFFSET(ListeB,,4)='recap S1'!AJ$3)*(OFFSET(ListeB,,1)='recap S1'!AJ$2)),"")</f>
        <v/>
      </c>
      <c r="AK121" s="32"/>
      <c r="AL121" s="32" t="str">
        <f ca="1">IF(SUMPRODUCT((ListeB='recap S1'!$B121)*(OFFSET(ListeB,,4)='recap S1'!AL$3)*(OFFSET(ListeB,,1)='recap S1'!AL$2))&gt;0,SUMPRODUCT((ListeB='recap S1'!$B121)*(OFFSET(ListeB,,4)='recap S1'!AL$3)*(OFFSET(ListeB,,1)='recap S1'!AL$2)),"")</f>
        <v/>
      </c>
      <c r="AM121" s="32"/>
      <c r="AN121" s="32" t="str">
        <f ca="1">IF(SUMPRODUCT((ListeB='recap S1'!$B121)*(OFFSET(ListeB,,4)='recap S1'!AN$3)*(OFFSET(ListeB,,1)='recap S1'!AN$2))&gt;0,SUMPRODUCT((ListeB='recap S1'!$B121)*(OFFSET(ListeB,,4)='recap S1'!AN$3)*(OFFSET(ListeB,,1)='recap S1'!AN$2)),"")</f>
        <v/>
      </c>
      <c r="AO121" s="32" t="str">
        <f ca="1">IF(SUMPRODUCT((ListeB='recap S1'!$B121)*(OFFSET(ListeB,,4)='recap S1'!AO$3)*(OFFSET(ListeB,,1)='recap S1'!AO$2))&gt;0,SUMPRODUCT((ListeB='recap S1'!$B121)*(OFFSET(ListeB,,4)='recap S1'!AO$3)*(OFFSET(ListeB,,1)='recap S1'!AO$2)),"")</f>
        <v/>
      </c>
      <c r="AP121" s="32"/>
      <c r="AQ121" s="32"/>
      <c r="AR121" s="32"/>
      <c r="AS121" s="32" t="str">
        <f ca="1">IF(SUMPRODUCT((ListeB='recap S1'!$B121)*(OFFSET(ListeB,,4)='recap S1'!AS$3)*(OFFSET(ListeB,,1)='recap S1'!AS$2))&gt;0,SUMPRODUCT((ListeB='recap S1'!$B121)*(OFFSET(ListeB,,4)='recap S1'!AS$3)*(OFFSET(ListeB,,1)='recap S1'!AS$2)),"")</f>
        <v/>
      </c>
      <c r="AT121" s="32" t="str">
        <f ca="1">IF(SUMPRODUCT((ListeB='recap S1'!$B121)*(OFFSET(ListeB,,4)='recap S1'!AT$3)*(OFFSET(ListeB,,1)='recap S1'!AT$2))&gt;0,SUMPRODUCT((ListeB='recap S1'!$B121)*(OFFSET(ListeB,,4)='recap S1'!AT$3)*(OFFSET(ListeB,,1)='recap S1'!AT$2)),"")</f>
        <v/>
      </c>
      <c r="AU121" s="32"/>
      <c r="AV121" s="32" t="str">
        <f ca="1">IF(SUMPRODUCT((ListeB='recap S1'!$B121)*(OFFSET(ListeB,,4)='recap S1'!AV$3)*(OFFSET(ListeB,,1)='recap S1'!AV$2))&gt;0,SUMPRODUCT((ListeB='recap S1'!$B121)*(OFFSET(ListeB,,4)='recap S1'!AV$3)*(OFFSET(ListeB,,1)='recap S1'!AV$2)),"")</f>
        <v/>
      </c>
      <c r="AW121" s="32" t="str">
        <f ca="1">IF(SUMPRODUCT((ListeB='recap S1'!$B121)*(OFFSET(ListeB,,4)='recap S1'!AW$3)*(OFFSET(ListeB,,1)='recap S1'!AW$2))&gt;0,SUMPRODUCT((ListeB='recap S1'!$B121)*(OFFSET(ListeB,,4)='recap S1'!AW$3)*(OFFSET(ListeB,,1)='recap S1'!AW$2)),"")</f>
        <v/>
      </c>
      <c r="AX121" s="32" t="str">
        <f ca="1">IF(SUMPRODUCT((ListeB='recap S1'!$B121)*(OFFSET(ListeB,,4)='recap S1'!AX$3)*(OFFSET(ListeB,,1)='recap S1'!AX$2))&gt;0,SUMPRODUCT((ListeB='recap S1'!$B121)*(OFFSET(ListeB,,4)='recap S1'!AX$3)*(OFFSET(ListeB,,1)='recap S1'!AX$2)),"")</f>
        <v/>
      </c>
      <c r="AY121" s="34"/>
      <c r="AZ121" s="32">
        <f t="shared" ca="1" si="3"/>
        <v>0</v>
      </c>
    </row>
    <row r="122" spans="1:52">
      <c r="A122" s="41" t="str">
        <f>IF('SEANCE 1'!$B120&lt;&gt;"",'SEANCE 1'!$A120,"")</f>
        <v/>
      </c>
      <c r="B122" s="41" t="str">
        <f t="array" aca="1" ref="B122" ca="1">IF(ISNA(INDEX(ListeB,MATCH(0,COUNTIF($B$3:B121,ListeB),0))),"",INDEX(ListeB,MATCH(0,COUNTIF($B$3:B121,ListeB),0)))</f>
        <v/>
      </c>
      <c r="C122" s="32" t="str">
        <f ca="1">IF(SUMPRODUCT((ListeB='recap S1'!$B122)*(OFFSET(ListeB,,4)='recap S1'!C$3)*(OFFSET(ListeB,,1)='recap S1'!C$2))&gt;0,SUMPRODUCT((ListeB='recap S1'!$B122)*(OFFSET(ListeB,,4)='recap S1'!C$3)*(OFFSET(ListeB,,1)='recap S1'!C$2)),"")</f>
        <v/>
      </c>
      <c r="D122" s="32" t="str">
        <f ca="1">IF(SUMPRODUCT((ListeB='recap S1'!$B122)*(OFFSET(ListeB,,4)='recap S1'!D$3)*(OFFSET(ListeB,,1)='recap S1'!D$2))&gt;0,SUMPRODUCT((ListeB='recap S1'!$B122)*(OFFSET(ListeB,,4)='recap S1'!D$3)*(OFFSET(ListeB,,1)='recap S1'!D$2)),"")</f>
        <v/>
      </c>
      <c r="E122" s="32"/>
      <c r="F122" s="32" t="str">
        <f ca="1">IF(SUMPRODUCT((ListeB='recap S1'!$B122)*(OFFSET(ListeB,,4)='recap S1'!F$3)*(OFFSET(ListeB,,1)='recap S1'!F$2))&gt;0,SUMPRODUCT((ListeB='recap S1'!$B122)*(OFFSET(ListeB,,4)='recap S1'!F$3)*(OFFSET(ListeB,,1)='recap S1'!F$2)),"")</f>
        <v/>
      </c>
      <c r="G122" s="32" t="str">
        <f ca="1">IF(SUMPRODUCT((ListeB='recap S1'!$B122)*(OFFSET(ListeB,,4)='recap S1'!G$3)*(OFFSET(ListeB,,1)='recap S1'!G$2))&gt;0,SUMPRODUCT((ListeB='recap S1'!$B122)*(OFFSET(ListeB,,4)='recap S1'!G$3)*(OFFSET(ListeB,,1)='recap S1'!G$2)),"")</f>
        <v/>
      </c>
      <c r="H122" s="32"/>
      <c r="I122" s="32" t="str">
        <f ca="1">IF(SUMPRODUCT((ListeB='recap S1'!$B122)*(OFFSET(ListeB,,4)='recap S1'!I$3)*(OFFSET(ListeB,,1)='recap S1'!I$2))&gt;0,SUMPRODUCT((ListeB='recap S1'!$B122)*(OFFSET(ListeB,,4)='recap S1'!I$3)*(OFFSET(ListeB,,1)='recap S1'!I$2)),"")</f>
        <v/>
      </c>
      <c r="J122" s="32" t="str">
        <f ca="1">IF(SUMPRODUCT((ListeB='recap S1'!$B122)*(OFFSET(ListeB,,4)='recap S1'!J$3)*(OFFSET(ListeB,,1)='recap S1'!J$2))&gt;0,SUMPRODUCT((ListeB='recap S1'!$B122)*(OFFSET(ListeB,,4)='recap S1'!J$3)*(OFFSET(ListeB,,1)='recap S1'!J$2)),"")</f>
        <v/>
      </c>
      <c r="K122" s="32" t="str">
        <f ca="1">IF(SUMPRODUCT((ListeB='recap S1'!$B122)*(OFFSET(ListeB,,4)='recap S1'!K$3)*(OFFSET(ListeB,,1)='recap S1'!K$2))&gt;0,SUMPRODUCT((ListeB='recap S1'!$B122)*(OFFSET(ListeB,,4)='recap S1'!K$3)*(OFFSET(ListeB,,1)='recap S1'!K$2)),"")</f>
        <v/>
      </c>
      <c r="L122" s="32"/>
      <c r="M122" s="32" t="str">
        <f ca="1">IF(SUMPRODUCT((ListeB='recap S1'!$B122)*(OFFSET(ListeB,,4)='recap S1'!M$3)*(OFFSET(ListeB,,1)='recap S1'!M$2))&gt;0,SUMPRODUCT((ListeB='recap S1'!$B122)*(OFFSET(ListeB,,4)='recap S1'!M$3)*(OFFSET(ListeB,,1)='recap S1'!M$2)),"")</f>
        <v/>
      </c>
      <c r="N122" s="32" t="str">
        <f ca="1">IF(SUMPRODUCT((ListeB='recap S1'!$B122)*(OFFSET(ListeB,,4)='recap S1'!N$3)*(OFFSET(ListeB,,1)='recap S1'!N$2))&gt;0,SUMPRODUCT((ListeB='recap S1'!$B122)*(OFFSET(ListeB,,4)='recap S1'!N$3)*(OFFSET(ListeB,,1)='recap S1'!N$2)),"")</f>
        <v/>
      </c>
      <c r="O122" s="32"/>
      <c r="P122" s="32" t="str">
        <f ca="1">IF(SUMPRODUCT((ListeB='recap S1'!$B122)*(OFFSET(ListeB,,4)='recap S1'!P$3)*(OFFSET(ListeB,,1)='recap S1'!P$2))&gt;0,SUMPRODUCT((ListeB='recap S1'!$B122)*(OFFSET(ListeB,,4)='recap S1'!P$3)*(OFFSET(ListeB,,1)='recap S1'!P$2)),"")</f>
        <v/>
      </c>
      <c r="Q122" s="32" t="str">
        <f ca="1">IF(SUMPRODUCT((ListeB='recap S1'!$B122)*(OFFSET(ListeB,,4)='recap S1'!Q$3)*(OFFSET(ListeB,,1)='recap S1'!Q$2))&gt;0,SUMPRODUCT((ListeB='recap S1'!$B122)*(OFFSET(ListeB,,4)='recap S1'!Q$3)*(OFFSET(ListeB,,1)='recap S1'!Q$2)),"")</f>
        <v/>
      </c>
      <c r="R122" s="32"/>
      <c r="S122" s="32" t="str">
        <f ca="1">IF(SUMPRODUCT((ListeB='recap S1'!$B122)*(OFFSET(ListeB,,4)='recap S1'!S$3)*(OFFSET(ListeB,,1)='recap S1'!S$2))&gt;0,SUMPRODUCT((ListeB='recap S1'!$B122)*(OFFSET(ListeB,,4)='recap S1'!S$3)*(OFFSET(ListeB,,1)='recap S1'!S$2)),"")</f>
        <v/>
      </c>
      <c r="T122" s="32" t="str">
        <f ca="1">IF(SUMPRODUCT((ListeB='recap S1'!$B122)*(OFFSET(ListeB,,4)='recap S1'!T$3)*(OFFSET(ListeB,,1)='recap S1'!T$2))&gt;0,SUMPRODUCT((ListeB='recap S1'!$B122)*(OFFSET(ListeB,,4)='recap S1'!T$3)*(OFFSET(ListeB,,1)='recap S1'!T$2)),"")</f>
        <v/>
      </c>
      <c r="U122" s="32" t="str">
        <f ca="1">IF(SUMPRODUCT((ListeB='recap S1'!$B122)*(OFFSET(ListeB,,4)='recap S1'!U$3)*(OFFSET(ListeB,,1)='recap S1'!U$2))&gt;0,SUMPRODUCT((ListeB='recap S1'!$B122)*(OFFSET(ListeB,,4)='recap S1'!U$3)*(OFFSET(ListeB,,1)='recap S1'!U$2)),"")</f>
        <v/>
      </c>
      <c r="V122" s="32"/>
      <c r="W122" s="32" t="str">
        <f ca="1">IF(SUMPRODUCT((ListeB='recap S1'!$B122)*(OFFSET(ListeB,,4)='recap S1'!W$3)*(OFFSET(ListeB,,1)='recap S1'!W$2))&gt;0,SUMPRODUCT((ListeB='recap S1'!$B122)*(OFFSET(ListeB,,4)='recap S1'!W$3)*(OFFSET(ListeB,,1)='recap S1'!W$2)),"")</f>
        <v/>
      </c>
      <c r="X122" s="32"/>
      <c r="Y122" s="32" t="str">
        <f ca="1">IF(SUMPRODUCT((ListeB='recap S1'!$B122)*(OFFSET(ListeB,,4)='recap S1'!Y$3)*(OFFSET(ListeB,,1)='recap S1'!Y$2))&gt;0,SUMPRODUCT((ListeB='recap S1'!$B122)*(OFFSET(ListeB,,4)='recap S1'!Y$3)*(OFFSET(ListeB,,1)='recap S1'!Y$2)),"")</f>
        <v/>
      </c>
      <c r="Z122" s="32" t="str">
        <f ca="1">IF(SUMPRODUCT((ListeB='recap S1'!$B122)*(OFFSET(ListeB,,4)='recap S1'!Z$3)*(OFFSET(ListeB,,1)='recap S1'!Z$2))&gt;0,SUMPRODUCT((ListeB='recap S1'!$B122)*(OFFSET(ListeB,,4)='recap S1'!Z$3)*(OFFSET(ListeB,,1)='recap S1'!Z$2)),"")</f>
        <v/>
      </c>
      <c r="AA122" s="32" t="str">
        <f ca="1">IF(SUMPRODUCT((ListeB='recap S1'!$B122)*(OFFSET(ListeB,,4)='recap S1'!AA$3)*(OFFSET(ListeB,,1)='recap S1'!AA$2))&gt;0,SUMPRODUCT((ListeB='recap S1'!$B122)*(OFFSET(ListeB,,4)='recap S1'!AA$3)*(OFFSET(ListeB,,1)='recap S1'!AA$2)),"")</f>
        <v/>
      </c>
      <c r="AB122" s="32"/>
      <c r="AC122" s="32" t="str">
        <f ca="1">IF(SUMPRODUCT((ListeB='recap S1'!$B122)*(OFFSET(ListeB,,4)='recap S1'!AC$3)*(OFFSET(ListeB,,1)='recap S1'!AC$2))&gt;0,SUMPRODUCT((ListeB='recap S1'!$B122)*(OFFSET(ListeB,,4)='recap S1'!AC$3)*(OFFSET(ListeB,,1)='recap S1'!AC$2)),"")</f>
        <v/>
      </c>
      <c r="AD122" s="32"/>
      <c r="AE122" s="32" t="str">
        <f ca="1">IF(SUMPRODUCT((ListeB='recap S1'!$B122)*(OFFSET(ListeB,,4)='recap S1'!AE$3)*(OFFSET(ListeB,,1)='recap S1'!AE$2))&gt;0,SUMPRODUCT((ListeB='recap S1'!$B122)*(OFFSET(ListeB,,4)='recap S1'!AE$3)*(OFFSET(ListeB,,1)='recap S1'!AE$2)),"")</f>
        <v/>
      </c>
      <c r="AF122" s="32" t="str">
        <f ca="1">IF(SUMPRODUCT((ListeB='recap S1'!$B122)*(OFFSET(ListeB,,4)='recap S1'!AF$3)*(OFFSET(ListeB,,1)='recap S1'!AF$2))&gt;0,SUMPRODUCT((ListeB='recap S1'!$B122)*(OFFSET(ListeB,,4)='recap S1'!AF$3)*(OFFSET(ListeB,,1)='recap S1'!AF$2)),"")</f>
        <v/>
      </c>
      <c r="AG122" s="32"/>
      <c r="AH122" s="32" t="str">
        <f ca="1">IF(SUMPRODUCT((ListeB='recap S1'!$B122)*(OFFSET(ListeB,,4)='recap S1'!AH$3)*(OFFSET(ListeB,,1)='recap S1'!AH$2))&gt;0,SUMPRODUCT((ListeB='recap S1'!$B122)*(OFFSET(ListeB,,4)='recap S1'!AH$3)*(OFFSET(ListeB,,1)='recap S1'!AH$2)),"")</f>
        <v/>
      </c>
      <c r="AI122" s="32" t="str">
        <f ca="1">IF(SUMPRODUCT((ListeB='recap S1'!$B122)*(OFFSET(ListeB,,4)='recap S1'!AI$3)*(OFFSET(ListeB,,1)='recap S1'!AI$2))&gt;0,SUMPRODUCT((ListeB='recap S1'!$B122)*(OFFSET(ListeB,,4)='recap S1'!AI$3)*(OFFSET(ListeB,,1)='recap S1'!AI$2)),"")</f>
        <v/>
      </c>
      <c r="AJ122" s="32" t="str">
        <f ca="1">IF(SUMPRODUCT((ListeB='recap S1'!$B122)*(OFFSET(ListeB,,4)='recap S1'!AJ$3)*(OFFSET(ListeB,,1)='recap S1'!AJ$2))&gt;0,SUMPRODUCT((ListeB='recap S1'!$B122)*(OFFSET(ListeB,,4)='recap S1'!AJ$3)*(OFFSET(ListeB,,1)='recap S1'!AJ$2)),"")</f>
        <v/>
      </c>
      <c r="AK122" s="32"/>
      <c r="AL122" s="32" t="str">
        <f ca="1">IF(SUMPRODUCT((ListeB='recap S1'!$B122)*(OFFSET(ListeB,,4)='recap S1'!AL$3)*(OFFSET(ListeB,,1)='recap S1'!AL$2))&gt;0,SUMPRODUCT((ListeB='recap S1'!$B122)*(OFFSET(ListeB,,4)='recap S1'!AL$3)*(OFFSET(ListeB,,1)='recap S1'!AL$2)),"")</f>
        <v/>
      </c>
      <c r="AM122" s="32"/>
      <c r="AN122" s="32" t="str">
        <f ca="1">IF(SUMPRODUCT((ListeB='recap S1'!$B122)*(OFFSET(ListeB,,4)='recap S1'!AN$3)*(OFFSET(ListeB,,1)='recap S1'!AN$2))&gt;0,SUMPRODUCT((ListeB='recap S1'!$B122)*(OFFSET(ListeB,,4)='recap S1'!AN$3)*(OFFSET(ListeB,,1)='recap S1'!AN$2)),"")</f>
        <v/>
      </c>
      <c r="AO122" s="32" t="str">
        <f ca="1">IF(SUMPRODUCT((ListeB='recap S1'!$B122)*(OFFSET(ListeB,,4)='recap S1'!AO$3)*(OFFSET(ListeB,,1)='recap S1'!AO$2))&gt;0,SUMPRODUCT((ListeB='recap S1'!$B122)*(OFFSET(ListeB,,4)='recap S1'!AO$3)*(OFFSET(ListeB,,1)='recap S1'!AO$2)),"")</f>
        <v/>
      </c>
      <c r="AP122" s="32"/>
      <c r="AQ122" s="32"/>
      <c r="AR122" s="32"/>
      <c r="AS122" s="32" t="str">
        <f ca="1">IF(SUMPRODUCT((ListeB='recap S1'!$B122)*(OFFSET(ListeB,,4)='recap S1'!AS$3)*(OFFSET(ListeB,,1)='recap S1'!AS$2))&gt;0,SUMPRODUCT((ListeB='recap S1'!$B122)*(OFFSET(ListeB,,4)='recap S1'!AS$3)*(OFFSET(ListeB,,1)='recap S1'!AS$2)),"")</f>
        <v/>
      </c>
      <c r="AT122" s="32" t="str">
        <f ca="1">IF(SUMPRODUCT((ListeB='recap S1'!$B122)*(OFFSET(ListeB,,4)='recap S1'!AT$3)*(OFFSET(ListeB,,1)='recap S1'!AT$2))&gt;0,SUMPRODUCT((ListeB='recap S1'!$B122)*(OFFSET(ListeB,,4)='recap S1'!AT$3)*(OFFSET(ListeB,,1)='recap S1'!AT$2)),"")</f>
        <v/>
      </c>
      <c r="AU122" s="32"/>
      <c r="AV122" s="32" t="str">
        <f ca="1">IF(SUMPRODUCT((ListeB='recap S1'!$B122)*(OFFSET(ListeB,,4)='recap S1'!AV$3)*(OFFSET(ListeB,,1)='recap S1'!AV$2))&gt;0,SUMPRODUCT((ListeB='recap S1'!$B122)*(OFFSET(ListeB,,4)='recap S1'!AV$3)*(OFFSET(ListeB,,1)='recap S1'!AV$2)),"")</f>
        <v/>
      </c>
      <c r="AW122" s="32" t="str">
        <f ca="1">IF(SUMPRODUCT((ListeB='recap S1'!$B122)*(OFFSET(ListeB,,4)='recap S1'!AW$3)*(OFFSET(ListeB,,1)='recap S1'!AW$2))&gt;0,SUMPRODUCT((ListeB='recap S1'!$B122)*(OFFSET(ListeB,,4)='recap S1'!AW$3)*(OFFSET(ListeB,,1)='recap S1'!AW$2)),"")</f>
        <v/>
      </c>
      <c r="AX122" s="32" t="str">
        <f ca="1">IF(SUMPRODUCT((ListeB='recap S1'!$B122)*(OFFSET(ListeB,,4)='recap S1'!AX$3)*(OFFSET(ListeB,,1)='recap S1'!AX$2))&gt;0,SUMPRODUCT((ListeB='recap S1'!$B122)*(OFFSET(ListeB,,4)='recap S1'!AX$3)*(OFFSET(ListeB,,1)='recap S1'!AX$2)),"")</f>
        <v/>
      </c>
      <c r="AY122" s="34"/>
      <c r="AZ122" s="32">
        <f t="shared" ca="1" si="3"/>
        <v>0</v>
      </c>
    </row>
    <row r="123" spans="1:52">
      <c r="A123" s="41" t="str">
        <f>IF('SEANCE 1'!$B121&lt;&gt;"",'SEANCE 1'!$A121,"")</f>
        <v/>
      </c>
      <c r="B123" s="41" t="str">
        <f t="array" aca="1" ref="B123" ca="1">IF(ISNA(INDEX(ListeB,MATCH(0,COUNTIF($B$3:B122,ListeB),0))),"",INDEX(ListeB,MATCH(0,COUNTIF($B$3:B122,ListeB),0)))</f>
        <v/>
      </c>
      <c r="C123" s="32" t="str">
        <f ca="1">IF(SUMPRODUCT((ListeB='recap S1'!$B123)*(OFFSET(ListeB,,4)='recap S1'!C$3)*(OFFSET(ListeB,,1)='recap S1'!C$2))&gt;0,SUMPRODUCT((ListeB='recap S1'!$B123)*(OFFSET(ListeB,,4)='recap S1'!C$3)*(OFFSET(ListeB,,1)='recap S1'!C$2)),"")</f>
        <v/>
      </c>
      <c r="D123" s="32" t="str">
        <f ca="1">IF(SUMPRODUCT((ListeB='recap S1'!$B123)*(OFFSET(ListeB,,4)='recap S1'!D$3)*(OFFSET(ListeB,,1)='recap S1'!D$2))&gt;0,SUMPRODUCT((ListeB='recap S1'!$B123)*(OFFSET(ListeB,,4)='recap S1'!D$3)*(OFFSET(ListeB,,1)='recap S1'!D$2)),"")</f>
        <v/>
      </c>
      <c r="E123" s="32"/>
      <c r="F123" s="32" t="str">
        <f ca="1">IF(SUMPRODUCT((ListeB='recap S1'!$B123)*(OFFSET(ListeB,,4)='recap S1'!F$3)*(OFFSET(ListeB,,1)='recap S1'!F$2))&gt;0,SUMPRODUCT((ListeB='recap S1'!$B123)*(OFFSET(ListeB,,4)='recap S1'!F$3)*(OFFSET(ListeB,,1)='recap S1'!F$2)),"")</f>
        <v/>
      </c>
      <c r="G123" s="32" t="str">
        <f ca="1">IF(SUMPRODUCT((ListeB='recap S1'!$B123)*(OFFSET(ListeB,,4)='recap S1'!G$3)*(OFFSET(ListeB,,1)='recap S1'!G$2))&gt;0,SUMPRODUCT((ListeB='recap S1'!$B123)*(OFFSET(ListeB,,4)='recap S1'!G$3)*(OFFSET(ListeB,,1)='recap S1'!G$2)),"")</f>
        <v/>
      </c>
      <c r="H123" s="32"/>
      <c r="I123" s="32" t="str">
        <f ca="1">IF(SUMPRODUCT((ListeB='recap S1'!$B123)*(OFFSET(ListeB,,4)='recap S1'!I$3)*(OFFSET(ListeB,,1)='recap S1'!I$2))&gt;0,SUMPRODUCT((ListeB='recap S1'!$B123)*(OFFSET(ListeB,,4)='recap S1'!I$3)*(OFFSET(ListeB,,1)='recap S1'!I$2)),"")</f>
        <v/>
      </c>
      <c r="J123" s="32" t="str">
        <f ca="1">IF(SUMPRODUCT((ListeB='recap S1'!$B123)*(OFFSET(ListeB,,4)='recap S1'!J$3)*(OFFSET(ListeB,,1)='recap S1'!J$2))&gt;0,SUMPRODUCT((ListeB='recap S1'!$B123)*(OFFSET(ListeB,,4)='recap S1'!J$3)*(OFFSET(ListeB,,1)='recap S1'!J$2)),"")</f>
        <v/>
      </c>
      <c r="K123" s="32" t="str">
        <f ca="1">IF(SUMPRODUCT((ListeB='recap S1'!$B123)*(OFFSET(ListeB,,4)='recap S1'!K$3)*(OFFSET(ListeB,,1)='recap S1'!K$2))&gt;0,SUMPRODUCT((ListeB='recap S1'!$B123)*(OFFSET(ListeB,,4)='recap S1'!K$3)*(OFFSET(ListeB,,1)='recap S1'!K$2)),"")</f>
        <v/>
      </c>
      <c r="L123" s="32"/>
      <c r="M123" s="32" t="str">
        <f ca="1">IF(SUMPRODUCT((ListeB='recap S1'!$B123)*(OFFSET(ListeB,,4)='recap S1'!M$3)*(OFFSET(ListeB,,1)='recap S1'!M$2))&gt;0,SUMPRODUCT((ListeB='recap S1'!$B123)*(OFFSET(ListeB,,4)='recap S1'!M$3)*(OFFSET(ListeB,,1)='recap S1'!M$2)),"")</f>
        <v/>
      </c>
      <c r="N123" s="32" t="str">
        <f ca="1">IF(SUMPRODUCT((ListeB='recap S1'!$B123)*(OFFSET(ListeB,,4)='recap S1'!N$3)*(OFFSET(ListeB,,1)='recap S1'!N$2))&gt;0,SUMPRODUCT((ListeB='recap S1'!$B123)*(OFFSET(ListeB,,4)='recap S1'!N$3)*(OFFSET(ListeB,,1)='recap S1'!N$2)),"")</f>
        <v/>
      </c>
      <c r="O123" s="32"/>
      <c r="P123" s="32" t="str">
        <f ca="1">IF(SUMPRODUCT((ListeB='recap S1'!$B123)*(OFFSET(ListeB,,4)='recap S1'!P$3)*(OFFSET(ListeB,,1)='recap S1'!P$2))&gt;0,SUMPRODUCT((ListeB='recap S1'!$B123)*(OFFSET(ListeB,,4)='recap S1'!P$3)*(OFFSET(ListeB,,1)='recap S1'!P$2)),"")</f>
        <v/>
      </c>
      <c r="Q123" s="32" t="str">
        <f ca="1">IF(SUMPRODUCT((ListeB='recap S1'!$B123)*(OFFSET(ListeB,,4)='recap S1'!Q$3)*(OFFSET(ListeB,,1)='recap S1'!Q$2))&gt;0,SUMPRODUCT((ListeB='recap S1'!$B123)*(OFFSET(ListeB,,4)='recap S1'!Q$3)*(OFFSET(ListeB,,1)='recap S1'!Q$2)),"")</f>
        <v/>
      </c>
      <c r="R123" s="32"/>
      <c r="S123" s="32" t="str">
        <f ca="1">IF(SUMPRODUCT((ListeB='recap S1'!$B123)*(OFFSET(ListeB,,4)='recap S1'!S$3)*(OFFSET(ListeB,,1)='recap S1'!S$2))&gt;0,SUMPRODUCT((ListeB='recap S1'!$B123)*(OFFSET(ListeB,,4)='recap S1'!S$3)*(OFFSET(ListeB,,1)='recap S1'!S$2)),"")</f>
        <v/>
      </c>
      <c r="T123" s="32" t="str">
        <f ca="1">IF(SUMPRODUCT((ListeB='recap S1'!$B123)*(OFFSET(ListeB,,4)='recap S1'!T$3)*(OFFSET(ListeB,,1)='recap S1'!T$2))&gt;0,SUMPRODUCT((ListeB='recap S1'!$B123)*(OFFSET(ListeB,,4)='recap S1'!T$3)*(OFFSET(ListeB,,1)='recap S1'!T$2)),"")</f>
        <v/>
      </c>
      <c r="U123" s="32" t="str">
        <f ca="1">IF(SUMPRODUCT((ListeB='recap S1'!$B123)*(OFFSET(ListeB,,4)='recap S1'!U$3)*(OFFSET(ListeB,,1)='recap S1'!U$2))&gt;0,SUMPRODUCT((ListeB='recap S1'!$B123)*(OFFSET(ListeB,,4)='recap S1'!U$3)*(OFFSET(ListeB,,1)='recap S1'!U$2)),"")</f>
        <v/>
      </c>
      <c r="V123" s="32"/>
      <c r="W123" s="32" t="str">
        <f ca="1">IF(SUMPRODUCT((ListeB='recap S1'!$B123)*(OFFSET(ListeB,,4)='recap S1'!W$3)*(OFFSET(ListeB,,1)='recap S1'!W$2))&gt;0,SUMPRODUCT((ListeB='recap S1'!$B123)*(OFFSET(ListeB,,4)='recap S1'!W$3)*(OFFSET(ListeB,,1)='recap S1'!W$2)),"")</f>
        <v/>
      </c>
      <c r="X123" s="32"/>
      <c r="Y123" s="32" t="str">
        <f ca="1">IF(SUMPRODUCT((ListeB='recap S1'!$B123)*(OFFSET(ListeB,,4)='recap S1'!Y$3)*(OFFSET(ListeB,,1)='recap S1'!Y$2))&gt;0,SUMPRODUCT((ListeB='recap S1'!$B123)*(OFFSET(ListeB,,4)='recap S1'!Y$3)*(OFFSET(ListeB,,1)='recap S1'!Y$2)),"")</f>
        <v/>
      </c>
      <c r="Z123" s="32" t="str">
        <f ca="1">IF(SUMPRODUCT((ListeB='recap S1'!$B123)*(OFFSET(ListeB,,4)='recap S1'!Z$3)*(OFFSET(ListeB,,1)='recap S1'!Z$2))&gt;0,SUMPRODUCT((ListeB='recap S1'!$B123)*(OFFSET(ListeB,,4)='recap S1'!Z$3)*(OFFSET(ListeB,,1)='recap S1'!Z$2)),"")</f>
        <v/>
      </c>
      <c r="AA123" s="32" t="str">
        <f ca="1">IF(SUMPRODUCT((ListeB='recap S1'!$B123)*(OFFSET(ListeB,,4)='recap S1'!AA$3)*(OFFSET(ListeB,,1)='recap S1'!AA$2))&gt;0,SUMPRODUCT((ListeB='recap S1'!$B123)*(OFFSET(ListeB,,4)='recap S1'!AA$3)*(OFFSET(ListeB,,1)='recap S1'!AA$2)),"")</f>
        <v/>
      </c>
      <c r="AB123" s="32"/>
      <c r="AC123" s="32" t="str">
        <f ca="1">IF(SUMPRODUCT((ListeB='recap S1'!$B123)*(OFFSET(ListeB,,4)='recap S1'!AC$3)*(OFFSET(ListeB,,1)='recap S1'!AC$2))&gt;0,SUMPRODUCT((ListeB='recap S1'!$B123)*(OFFSET(ListeB,,4)='recap S1'!AC$3)*(OFFSET(ListeB,,1)='recap S1'!AC$2)),"")</f>
        <v/>
      </c>
      <c r="AD123" s="32"/>
      <c r="AE123" s="32" t="str">
        <f ca="1">IF(SUMPRODUCT((ListeB='recap S1'!$B123)*(OFFSET(ListeB,,4)='recap S1'!AE$3)*(OFFSET(ListeB,,1)='recap S1'!AE$2))&gt;0,SUMPRODUCT((ListeB='recap S1'!$B123)*(OFFSET(ListeB,,4)='recap S1'!AE$3)*(OFFSET(ListeB,,1)='recap S1'!AE$2)),"")</f>
        <v/>
      </c>
      <c r="AF123" s="32" t="str">
        <f ca="1">IF(SUMPRODUCT((ListeB='recap S1'!$B123)*(OFFSET(ListeB,,4)='recap S1'!AF$3)*(OFFSET(ListeB,,1)='recap S1'!AF$2))&gt;0,SUMPRODUCT((ListeB='recap S1'!$B123)*(OFFSET(ListeB,,4)='recap S1'!AF$3)*(OFFSET(ListeB,,1)='recap S1'!AF$2)),"")</f>
        <v/>
      </c>
      <c r="AG123" s="32"/>
      <c r="AH123" s="32" t="str">
        <f ca="1">IF(SUMPRODUCT((ListeB='recap S1'!$B123)*(OFFSET(ListeB,,4)='recap S1'!AH$3)*(OFFSET(ListeB,,1)='recap S1'!AH$2))&gt;0,SUMPRODUCT((ListeB='recap S1'!$B123)*(OFFSET(ListeB,,4)='recap S1'!AH$3)*(OFFSET(ListeB,,1)='recap S1'!AH$2)),"")</f>
        <v/>
      </c>
      <c r="AI123" s="32" t="str">
        <f ca="1">IF(SUMPRODUCT((ListeB='recap S1'!$B123)*(OFFSET(ListeB,,4)='recap S1'!AI$3)*(OFFSET(ListeB,,1)='recap S1'!AI$2))&gt;0,SUMPRODUCT((ListeB='recap S1'!$B123)*(OFFSET(ListeB,,4)='recap S1'!AI$3)*(OFFSET(ListeB,,1)='recap S1'!AI$2)),"")</f>
        <v/>
      </c>
      <c r="AJ123" s="32" t="str">
        <f ca="1">IF(SUMPRODUCT((ListeB='recap S1'!$B123)*(OFFSET(ListeB,,4)='recap S1'!AJ$3)*(OFFSET(ListeB,,1)='recap S1'!AJ$2))&gt;0,SUMPRODUCT((ListeB='recap S1'!$B123)*(OFFSET(ListeB,,4)='recap S1'!AJ$3)*(OFFSET(ListeB,,1)='recap S1'!AJ$2)),"")</f>
        <v/>
      </c>
      <c r="AK123" s="32"/>
      <c r="AL123" s="32" t="str">
        <f ca="1">IF(SUMPRODUCT((ListeB='recap S1'!$B123)*(OFFSET(ListeB,,4)='recap S1'!AL$3)*(OFFSET(ListeB,,1)='recap S1'!AL$2))&gt;0,SUMPRODUCT((ListeB='recap S1'!$B123)*(OFFSET(ListeB,,4)='recap S1'!AL$3)*(OFFSET(ListeB,,1)='recap S1'!AL$2)),"")</f>
        <v/>
      </c>
      <c r="AM123" s="32"/>
      <c r="AN123" s="32" t="str">
        <f ca="1">IF(SUMPRODUCT((ListeB='recap S1'!$B123)*(OFFSET(ListeB,,4)='recap S1'!AN$3)*(OFFSET(ListeB,,1)='recap S1'!AN$2))&gt;0,SUMPRODUCT((ListeB='recap S1'!$B123)*(OFFSET(ListeB,,4)='recap S1'!AN$3)*(OFFSET(ListeB,,1)='recap S1'!AN$2)),"")</f>
        <v/>
      </c>
      <c r="AO123" s="32" t="str">
        <f ca="1">IF(SUMPRODUCT((ListeB='recap S1'!$B123)*(OFFSET(ListeB,,4)='recap S1'!AO$3)*(OFFSET(ListeB,,1)='recap S1'!AO$2))&gt;0,SUMPRODUCT((ListeB='recap S1'!$B123)*(OFFSET(ListeB,,4)='recap S1'!AO$3)*(OFFSET(ListeB,,1)='recap S1'!AO$2)),"")</f>
        <v/>
      </c>
      <c r="AP123" s="32"/>
      <c r="AQ123" s="32"/>
      <c r="AR123" s="32"/>
      <c r="AS123" s="32" t="str">
        <f ca="1">IF(SUMPRODUCT((ListeB='recap S1'!$B123)*(OFFSET(ListeB,,4)='recap S1'!AS$3)*(OFFSET(ListeB,,1)='recap S1'!AS$2))&gt;0,SUMPRODUCT((ListeB='recap S1'!$B123)*(OFFSET(ListeB,,4)='recap S1'!AS$3)*(OFFSET(ListeB,,1)='recap S1'!AS$2)),"")</f>
        <v/>
      </c>
      <c r="AT123" s="32" t="str">
        <f ca="1">IF(SUMPRODUCT((ListeB='recap S1'!$B123)*(OFFSET(ListeB,,4)='recap S1'!AT$3)*(OFFSET(ListeB,,1)='recap S1'!AT$2))&gt;0,SUMPRODUCT((ListeB='recap S1'!$B123)*(OFFSET(ListeB,,4)='recap S1'!AT$3)*(OFFSET(ListeB,,1)='recap S1'!AT$2)),"")</f>
        <v/>
      </c>
      <c r="AU123" s="32"/>
      <c r="AV123" s="32" t="str">
        <f ca="1">IF(SUMPRODUCT((ListeB='recap S1'!$B123)*(OFFSET(ListeB,,4)='recap S1'!AV$3)*(OFFSET(ListeB,,1)='recap S1'!AV$2))&gt;0,SUMPRODUCT((ListeB='recap S1'!$B123)*(OFFSET(ListeB,,4)='recap S1'!AV$3)*(OFFSET(ListeB,,1)='recap S1'!AV$2)),"")</f>
        <v/>
      </c>
      <c r="AW123" s="32" t="str">
        <f ca="1">IF(SUMPRODUCT((ListeB='recap S1'!$B123)*(OFFSET(ListeB,,4)='recap S1'!AW$3)*(OFFSET(ListeB,,1)='recap S1'!AW$2))&gt;0,SUMPRODUCT((ListeB='recap S1'!$B123)*(OFFSET(ListeB,,4)='recap S1'!AW$3)*(OFFSET(ListeB,,1)='recap S1'!AW$2)),"")</f>
        <v/>
      </c>
      <c r="AX123" s="32" t="str">
        <f ca="1">IF(SUMPRODUCT((ListeB='recap S1'!$B123)*(OFFSET(ListeB,,4)='recap S1'!AX$3)*(OFFSET(ListeB,,1)='recap S1'!AX$2))&gt;0,SUMPRODUCT((ListeB='recap S1'!$B123)*(OFFSET(ListeB,,4)='recap S1'!AX$3)*(OFFSET(ListeB,,1)='recap S1'!AX$2)),"")</f>
        <v/>
      </c>
      <c r="AY123" s="34"/>
      <c r="AZ123" s="32">
        <f t="shared" ca="1" si="3"/>
        <v>0</v>
      </c>
    </row>
    <row r="124" spans="1:52">
      <c r="A124" s="41" t="str">
        <f>IF('SEANCE 1'!$B122&lt;&gt;"",'SEANCE 1'!$A122,"")</f>
        <v/>
      </c>
      <c r="B124" s="41" t="str">
        <f t="array" aca="1" ref="B124" ca="1">IF(ISNA(INDEX(ListeB,MATCH(0,COUNTIF($B$3:B123,ListeB),0))),"",INDEX(ListeB,MATCH(0,COUNTIF($B$3:B123,ListeB),0)))</f>
        <v/>
      </c>
      <c r="C124" s="32" t="str">
        <f ca="1">IF(SUMPRODUCT((ListeB='recap S1'!$B124)*(OFFSET(ListeB,,4)='recap S1'!C$3)*(OFFSET(ListeB,,1)='recap S1'!C$2))&gt;0,SUMPRODUCT((ListeB='recap S1'!$B124)*(OFFSET(ListeB,,4)='recap S1'!C$3)*(OFFSET(ListeB,,1)='recap S1'!C$2)),"")</f>
        <v/>
      </c>
      <c r="D124" s="32" t="str">
        <f ca="1">IF(SUMPRODUCT((ListeB='recap S1'!$B124)*(OFFSET(ListeB,,4)='recap S1'!D$3)*(OFFSET(ListeB,,1)='recap S1'!D$2))&gt;0,SUMPRODUCT((ListeB='recap S1'!$B124)*(OFFSET(ListeB,,4)='recap S1'!D$3)*(OFFSET(ListeB,,1)='recap S1'!D$2)),"")</f>
        <v/>
      </c>
      <c r="E124" s="32"/>
      <c r="F124" s="32" t="str">
        <f ca="1">IF(SUMPRODUCT((ListeB='recap S1'!$B124)*(OFFSET(ListeB,,4)='recap S1'!F$3)*(OFFSET(ListeB,,1)='recap S1'!F$2))&gt;0,SUMPRODUCT((ListeB='recap S1'!$B124)*(OFFSET(ListeB,,4)='recap S1'!F$3)*(OFFSET(ListeB,,1)='recap S1'!F$2)),"")</f>
        <v/>
      </c>
      <c r="G124" s="32" t="str">
        <f ca="1">IF(SUMPRODUCT((ListeB='recap S1'!$B124)*(OFFSET(ListeB,,4)='recap S1'!G$3)*(OFFSET(ListeB,,1)='recap S1'!G$2))&gt;0,SUMPRODUCT((ListeB='recap S1'!$B124)*(OFFSET(ListeB,,4)='recap S1'!G$3)*(OFFSET(ListeB,,1)='recap S1'!G$2)),"")</f>
        <v/>
      </c>
      <c r="H124" s="32"/>
      <c r="I124" s="32" t="str">
        <f ca="1">IF(SUMPRODUCT((ListeB='recap S1'!$B124)*(OFFSET(ListeB,,4)='recap S1'!I$3)*(OFFSET(ListeB,,1)='recap S1'!I$2))&gt;0,SUMPRODUCT((ListeB='recap S1'!$B124)*(OFFSET(ListeB,,4)='recap S1'!I$3)*(OFFSET(ListeB,,1)='recap S1'!I$2)),"")</f>
        <v/>
      </c>
      <c r="J124" s="32" t="str">
        <f ca="1">IF(SUMPRODUCT((ListeB='recap S1'!$B124)*(OFFSET(ListeB,,4)='recap S1'!J$3)*(OFFSET(ListeB,,1)='recap S1'!J$2))&gt;0,SUMPRODUCT((ListeB='recap S1'!$B124)*(OFFSET(ListeB,,4)='recap S1'!J$3)*(OFFSET(ListeB,,1)='recap S1'!J$2)),"")</f>
        <v/>
      </c>
      <c r="K124" s="32" t="str">
        <f ca="1">IF(SUMPRODUCT((ListeB='recap S1'!$B124)*(OFFSET(ListeB,,4)='recap S1'!K$3)*(OFFSET(ListeB,,1)='recap S1'!K$2))&gt;0,SUMPRODUCT((ListeB='recap S1'!$B124)*(OFFSET(ListeB,,4)='recap S1'!K$3)*(OFFSET(ListeB,,1)='recap S1'!K$2)),"")</f>
        <v/>
      </c>
      <c r="L124" s="32"/>
      <c r="M124" s="32" t="str">
        <f ca="1">IF(SUMPRODUCT((ListeB='recap S1'!$B124)*(OFFSET(ListeB,,4)='recap S1'!M$3)*(OFFSET(ListeB,,1)='recap S1'!M$2))&gt;0,SUMPRODUCT((ListeB='recap S1'!$B124)*(OFFSET(ListeB,,4)='recap S1'!M$3)*(OFFSET(ListeB,,1)='recap S1'!M$2)),"")</f>
        <v/>
      </c>
      <c r="N124" s="32" t="str">
        <f ca="1">IF(SUMPRODUCT((ListeB='recap S1'!$B124)*(OFFSET(ListeB,,4)='recap S1'!N$3)*(OFFSET(ListeB,,1)='recap S1'!N$2))&gt;0,SUMPRODUCT((ListeB='recap S1'!$B124)*(OFFSET(ListeB,,4)='recap S1'!N$3)*(OFFSET(ListeB,,1)='recap S1'!N$2)),"")</f>
        <v/>
      </c>
      <c r="O124" s="32"/>
      <c r="P124" s="32" t="str">
        <f ca="1">IF(SUMPRODUCT((ListeB='recap S1'!$B124)*(OFFSET(ListeB,,4)='recap S1'!P$3)*(OFFSET(ListeB,,1)='recap S1'!P$2))&gt;0,SUMPRODUCT((ListeB='recap S1'!$B124)*(OFFSET(ListeB,,4)='recap S1'!P$3)*(OFFSET(ListeB,,1)='recap S1'!P$2)),"")</f>
        <v/>
      </c>
      <c r="Q124" s="32" t="str">
        <f ca="1">IF(SUMPRODUCT((ListeB='recap S1'!$B124)*(OFFSET(ListeB,,4)='recap S1'!Q$3)*(OFFSET(ListeB,,1)='recap S1'!Q$2))&gt;0,SUMPRODUCT((ListeB='recap S1'!$B124)*(OFFSET(ListeB,,4)='recap S1'!Q$3)*(OFFSET(ListeB,,1)='recap S1'!Q$2)),"")</f>
        <v/>
      </c>
      <c r="R124" s="32"/>
      <c r="S124" s="32" t="str">
        <f ca="1">IF(SUMPRODUCT((ListeB='recap S1'!$B124)*(OFFSET(ListeB,,4)='recap S1'!S$3)*(OFFSET(ListeB,,1)='recap S1'!S$2))&gt;0,SUMPRODUCT((ListeB='recap S1'!$B124)*(OFFSET(ListeB,,4)='recap S1'!S$3)*(OFFSET(ListeB,,1)='recap S1'!S$2)),"")</f>
        <v/>
      </c>
      <c r="T124" s="32" t="str">
        <f ca="1">IF(SUMPRODUCT((ListeB='recap S1'!$B124)*(OFFSET(ListeB,,4)='recap S1'!T$3)*(OFFSET(ListeB,,1)='recap S1'!T$2))&gt;0,SUMPRODUCT((ListeB='recap S1'!$B124)*(OFFSET(ListeB,,4)='recap S1'!T$3)*(OFFSET(ListeB,,1)='recap S1'!T$2)),"")</f>
        <v/>
      </c>
      <c r="U124" s="32" t="str">
        <f ca="1">IF(SUMPRODUCT((ListeB='recap S1'!$B124)*(OFFSET(ListeB,,4)='recap S1'!U$3)*(OFFSET(ListeB,,1)='recap S1'!U$2))&gt;0,SUMPRODUCT((ListeB='recap S1'!$B124)*(OFFSET(ListeB,,4)='recap S1'!U$3)*(OFFSET(ListeB,,1)='recap S1'!U$2)),"")</f>
        <v/>
      </c>
      <c r="V124" s="32"/>
      <c r="W124" s="32" t="str">
        <f ca="1">IF(SUMPRODUCT((ListeB='recap S1'!$B124)*(OFFSET(ListeB,,4)='recap S1'!W$3)*(OFFSET(ListeB,,1)='recap S1'!W$2))&gt;0,SUMPRODUCT((ListeB='recap S1'!$B124)*(OFFSET(ListeB,,4)='recap S1'!W$3)*(OFFSET(ListeB,,1)='recap S1'!W$2)),"")</f>
        <v/>
      </c>
      <c r="X124" s="32"/>
      <c r="Y124" s="32" t="str">
        <f ca="1">IF(SUMPRODUCT((ListeB='recap S1'!$B124)*(OFFSET(ListeB,,4)='recap S1'!Y$3)*(OFFSET(ListeB,,1)='recap S1'!Y$2))&gt;0,SUMPRODUCT((ListeB='recap S1'!$B124)*(OFFSET(ListeB,,4)='recap S1'!Y$3)*(OFFSET(ListeB,,1)='recap S1'!Y$2)),"")</f>
        <v/>
      </c>
      <c r="Z124" s="32" t="str">
        <f ca="1">IF(SUMPRODUCT((ListeB='recap S1'!$B124)*(OFFSET(ListeB,,4)='recap S1'!Z$3)*(OFFSET(ListeB,,1)='recap S1'!Z$2))&gt;0,SUMPRODUCT((ListeB='recap S1'!$B124)*(OFFSET(ListeB,,4)='recap S1'!Z$3)*(OFFSET(ListeB,,1)='recap S1'!Z$2)),"")</f>
        <v/>
      </c>
      <c r="AA124" s="32" t="str">
        <f ca="1">IF(SUMPRODUCT((ListeB='recap S1'!$B124)*(OFFSET(ListeB,,4)='recap S1'!AA$3)*(OFFSET(ListeB,,1)='recap S1'!AA$2))&gt;0,SUMPRODUCT((ListeB='recap S1'!$B124)*(OFFSET(ListeB,,4)='recap S1'!AA$3)*(OFFSET(ListeB,,1)='recap S1'!AA$2)),"")</f>
        <v/>
      </c>
      <c r="AB124" s="32"/>
      <c r="AC124" s="32" t="str">
        <f ca="1">IF(SUMPRODUCT((ListeB='recap S1'!$B124)*(OFFSET(ListeB,,4)='recap S1'!AC$3)*(OFFSET(ListeB,,1)='recap S1'!AC$2))&gt;0,SUMPRODUCT((ListeB='recap S1'!$B124)*(OFFSET(ListeB,,4)='recap S1'!AC$3)*(OFFSET(ListeB,,1)='recap S1'!AC$2)),"")</f>
        <v/>
      </c>
      <c r="AD124" s="32"/>
      <c r="AE124" s="32" t="str">
        <f ca="1">IF(SUMPRODUCT((ListeB='recap S1'!$B124)*(OFFSET(ListeB,,4)='recap S1'!AE$3)*(OFFSET(ListeB,,1)='recap S1'!AE$2))&gt;0,SUMPRODUCT((ListeB='recap S1'!$B124)*(OFFSET(ListeB,,4)='recap S1'!AE$3)*(OFFSET(ListeB,,1)='recap S1'!AE$2)),"")</f>
        <v/>
      </c>
      <c r="AF124" s="32" t="str">
        <f ca="1">IF(SUMPRODUCT((ListeB='recap S1'!$B124)*(OFFSET(ListeB,,4)='recap S1'!AF$3)*(OFFSET(ListeB,,1)='recap S1'!AF$2))&gt;0,SUMPRODUCT((ListeB='recap S1'!$B124)*(OFFSET(ListeB,,4)='recap S1'!AF$3)*(OFFSET(ListeB,,1)='recap S1'!AF$2)),"")</f>
        <v/>
      </c>
      <c r="AG124" s="32"/>
      <c r="AH124" s="32" t="str">
        <f ca="1">IF(SUMPRODUCT((ListeB='recap S1'!$B124)*(OFFSET(ListeB,,4)='recap S1'!AH$3)*(OFFSET(ListeB,,1)='recap S1'!AH$2))&gt;0,SUMPRODUCT((ListeB='recap S1'!$B124)*(OFFSET(ListeB,,4)='recap S1'!AH$3)*(OFFSET(ListeB,,1)='recap S1'!AH$2)),"")</f>
        <v/>
      </c>
      <c r="AI124" s="32" t="str">
        <f ca="1">IF(SUMPRODUCT((ListeB='recap S1'!$B124)*(OFFSET(ListeB,,4)='recap S1'!AI$3)*(OFFSET(ListeB,,1)='recap S1'!AI$2))&gt;0,SUMPRODUCT((ListeB='recap S1'!$B124)*(OFFSET(ListeB,,4)='recap S1'!AI$3)*(OFFSET(ListeB,,1)='recap S1'!AI$2)),"")</f>
        <v/>
      </c>
      <c r="AJ124" s="32" t="str">
        <f ca="1">IF(SUMPRODUCT((ListeB='recap S1'!$B124)*(OFFSET(ListeB,,4)='recap S1'!AJ$3)*(OFFSET(ListeB,,1)='recap S1'!AJ$2))&gt;0,SUMPRODUCT((ListeB='recap S1'!$B124)*(OFFSET(ListeB,,4)='recap S1'!AJ$3)*(OFFSET(ListeB,,1)='recap S1'!AJ$2)),"")</f>
        <v/>
      </c>
      <c r="AK124" s="32"/>
      <c r="AL124" s="32" t="str">
        <f ca="1">IF(SUMPRODUCT((ListeB='recap S1'!$B124)*(OFFSET(ListeB,,4)='recap S1'!AL$3)*(OFFSET(ListeB,,1)='recap S1'!AL$2))&gt;0,SUMPRODUCT((ListeB='recap S1'!$B124)*(OFFSET(ListeB,,4)='recap S1'!AL$3)*(OFFSET(ListeB,,1)='recap S1'!AL$2)),"")</f>
        <v/>
      </c>
      <c r="AM124" s="32"/>
      <c r="AN124" s="32" t="str">
        <f ca="1">IF(SUMPRODUCT((ListeB='recap S1'!$B124)*(OFFSET(ListeB,,4)='recap S1'!AN$3)*(OFFSET(ListeB,,1)='recap S1'!AN$2))&gt;0,SUMPRODUCT((ListeB='recap S1'!$B124)*(OFFSET(ListeB,,4)='recap S1'!AN$3)*(OFFSET(ListeB,,1)='recap S1'!AN$2)),"")</f>
        <v/>
      </c>
      <c r="AO124" s="32" t="str">
        <f ca="1">IF(SUMPRODUCT((ListeB='recap S1'!$B124)*(OFFSET(ListeB,,4)='recap S1'!AO$3)*(OFFSET(ListeB,,1)='recap S1'!AO$2))&gt;0,SUMPRODUCT((ListeB='recap S1'!$B124)*(OFFSET(ListeB,,4)='recap S1'!AO$3)*(OFFSET(ListeB,,1)='recap S1'!AO$2)),"")</f>
        <v/>
      </c>
      <c r="AP124" s="32"/>
      <c r="AQ124" s="32"/>
      <c r="AR124" s="32"/>
      <c r="AS124" s="32" t="str">
        <f ca="1">IF(SUMPRODUCT((ListeB='recap S1'!$B124)*(OFFSET(ListeB,,4)='recap S1'!AS$3)*(OFFSET(ListeB,,1)='recap S1'!AS$2))&gt;0,SUMPRODUCT((ListeB='recap S1'!$B124)*(OFFSET(ListeB,,4)='recap S1'!AS$3)*(OFFSET(ListeB,,1)='recap S1'!AS$2)),"")</f>
        <v/>
      </c>
      <c r="AT124" s="32" t="str">
        <f ca="1">IF(SUMPRODUCT((ListeB='recap S1'!$B124)*(OFFSET(ListeB,,4)='recap S1'!AT$3)*(OFFSET(ListeB,,1)='recap S1'!AT$2))&gt;0,SUMPRODUCT((ListeB='recap S1'!$B124)*(OFFSET(ListeB,,4)='recap S1'!AT$3)*(OFFSET(ListeB,,1)='recap S1'!AT$2)),"")</f>
        <v/>
      </c>
      <c r="AU124" s="32"/>
      <c r="AV124" s="32" t="str">
        <f ca="1">IF(SUMPRODUCT((ListeB='recap S1'!$B124)*(OFFSET(ListeB,,4)='recap S1'!AV$3)*(OFFSET(ListeB,,1)='recap S1'!AV$2))&gt;0,SUMPRODUCT((ListeB='recap S1'!$B124)*(OFFSET(ListeB,,4)='recap S1'!AV$3)*(OFFSET(ListeB,,1)='recap S1'!AV$2)),"")</f>
        <v/>
      </c>
      <c r="AW124" s="32" t="str">
        <f ca="1">IF(SUMPRODUCT((ListeB='recap S1'!$B124)*(OFFSET(ListeB,,4)='recap S1'!AW$3)*(OFFSET(ListeB,,1)='recap S1'!AW$2))&gt;0,SUMPRODUCT((ListeB='recap S1'!$B124)*(OFFSET(ListeB,,4)='recap S1'!AW$3)*(OFFSET(ListeB,,1)='recap S1'!AW$2)),"")</f>
        <v/>
      </c>
      <c r="AX124" s="32" t="str">
        <f ca="1">IF(SUMPRODUCT((ListeB='recap S1'!$B124)*(OFFSET(ListeB,,4)='recap S1'!AX$3)*(OFFSET(ListeB,,1)='recap S1'!AX$2))&gt;0,SUMPRODUCT((ListeB='recap S1'!$B124)*(OFFSET(ListeB,,4)='recap S1'!AX$3)*(OFFSET(ListeB,,1)='recap S1'!AX$2)),"")</f>
        <v/>
      </c>
      <c r="AY124" s="34"/>
      <c r="AZ124" s="32">
        <f t="shared" ca="1" si="3"/>
        <v>0</v>
      </c>
    </row>
    <row r="125" spans="1:52">
      <c r="A125" s="41" t="str">
        <f>IF('SEANCE 1'!$B123&lt;&gt;"",'SEANCE 1'!$A123,"")</f>
        <v/>
      </c>
      <c r="B125" s="41" t="str">
        <f t="array" aca="1" ref="B125" ca="1">IF(ISNA(INDEX(ListeB,MATCH(0,COUNTIF($B$3:B124,ListeB),0))),"",INDEX(ListeB,MATCH(0,COUNTIF($B$3:B124,ListeB),0)))</f>
        <v/>
      </c>
      <c r="C125" s="32" t="str">
        <f ca="1">IF(SUMPRODUCT((ListeB='recap S1'!$B125)*(OFFSET(ListeB,,4)='recap S1'!C$3)*(OFFSET(ListeB,,1)='recap S1'!C$2))&gt;0,SUMPRODUCT((ListeB='recap S1'!$B125)*(OFFSET(ListeB,,4)='recap S1'!C$3)*(OFFSET(ListeB,,1)='recap S1'!C$2)),"")</f>
        <v/>
      </c>
      <c r="D125" s="32" t="str">
        <f ca="1">IF(SUMPRODUCT((ListeB='recap S1'!$B125)*(OFFSET(ListeB,,4)='recap S1'!D$3)*(OFFSET(ListeB,,1)='recap S1'!D$2))&gt;0,SUMPRODUCT((ListeB='recap S1'!$B125)*(OFFSET(ListeB,,4)='recap S1'!D$3)*(OFFSET(ListeB,,1)='recap S1'!D$2)),"")</f>
        <v/>
      </c>
      <c r="E125" s="32"/>
      <c r="F125" s="32" t="str">
        <f ca="1">IF(SUMPRODUCT((ListeB='recap S1'!$B125)*(OFFSET(ListeB,,4)='recap S1'!F$3)*(OFFSET(ListeB,,1)='recap S1'!F$2))&gt;0,SUMPRODUCT((ListeB='recap S1'!$B125)*(OFFSET(ListeB,,4)='recap S1'!F$3)*(OFFSET(ListeB,,1)='recap S1'!F$2)),"")</f>
        <v/>
      </c>
      <c r="G125" s="32" t="str">
        <f ca="1">IF(SUMPRODUCT((ListeB='recap S1'!$B125)*(OFFSET(ListeB,,4)='recap S1'!G$3)*(OFFSET(ListeB,,1)='recap S1'!G$2))&gt;0,SUMPRODUCT((ListeB='recap S1'!$B125)*(OFFSET(ListeB,,4)='recap S1'!G$3)*(OFFSET(ListeB,,1)='recap S1'!G$2)),"")</f>
        <v/>
      </c>
      <c r="H125" s="32"/>
      <c r="I125" s="32" t="str">
        <f ca="1">IF(SUMPRODUCT((ListeB='recap S1'!$B125)*(OFFSET(ListeB,,4)='recap S1'!I$3)*(OFFSET(ListeB,,1)='recap S1'!I$2))&gt;0,SUMPRODUCT((ListeB='recap S1'!$B125)*(OFFSET(ListeB,,4)='recap S1'!I$3)*(OFFSET(ListeB,,1)='recap S1'!I$2)),"")</f>
        <v/>
      </c>
      <c r="J125" s="32" t="str">
        <f ca="1">IF(SUMPRODUCT((ListeB='recap S1'!$B125)*(OFFSET(ListeB,,4)='recap S1'!J$3)*(OFFSET(ListeB,,1)='recap S1'!J$2))&gt;0,SUMPRODUCT((ListeB='recap S1'!$B125)*(OFFSET(ListeB,,4)='recap S1'!J$3)*(OFFSET(ListeB,,1)='recap S1'!J$2)),"")</f>
        <v/>
      </c>
      <c r="K125" s="32" t="str">
        <f ca="1">IF(SUMPRODUCT((ListeB='recap S1'!$B125)*(OFFSET(ListeB,,4)='recap S1'!K$3)*(OFFSET(ListeB,,1)='recap S1'!K$2))&gt;0,SUMPRODUCT((ListeB='recap S1'!$B125)*(OFFSET(ListeB,,4)='recap S1'!K$3)*(OFFSET(ListeB,,1)='recap S1'!K$2)),"")</f>
        <v/>
      </c>
      <c r="L125" s="32"/>
      <c r="M125" s="32" t="str">
        <f ca="1">IF(SUMPRODUCT((ListeB='recap S1'!$B125)*(OFFSET(ListeB,,4)='recap S1'!M$3)*(OFFSET(ListeB,,1)='recap S1'!M$2))&gt;0,SUMPRODUCT((ListeB='recap S1'!$B125)*(OFFSET(ListeB,,4)='recap S1'!M$3)*(OFFSET(ListeB,,1)='recap S1'!M$2)),"")</f>
        <v/>
      </c>
      <c r="N125" s="32" t="str">
        <f ca="1">IF(SUMPRODUCT((ListeB='recap S1'!$B125)*(OFFSET(ListeB,,4)='recap S1'!N$3)*(OFFSET(ListeB,,1)='recap S1'!N$2))&gt;0,SUMPRODUCT((ListeB='recap S1'!$B125)*(OFFSET(ListeB,,4)='recap S1'!N$3)*(OFFSET(ListeB,,1)='recap S1'!N$2)),"")</f>
        <v/>
      </c>
      <c r="O125" s="32"/>
      <c r="P125" s="32" t="str">
        <f ca="1">IF(SUMPRODUCT((ListeB='recap S1'!$B125)*(OFFSET(ListeB,,4)='recap S1'!P$3)*(OFFSET(ListeB,,1)='recap S1'!P$2))&gt;0,SUMPRODUCT((ListeB='recap S1'!$B125)*(OFFSET(ListeB,,4)='recap S1'!P$3)*(OFFSET(ListeB,,1)='recap S1'!P$2)),"")</f>
        <v/>
      </c>
      <c r="Q125" s="32" t="str">
        <f ca="1">IF(SUMPRODUCT((ListeB='recap S1'!$B125)*(OFFSET(ListeB,,4)='recap S1'!Q$3)*(OFFSET(ListeB,,1)='recap S1'!Q$2))&gt;0,SUMPRODUCT((ListeB='recap S1'!$B125)*(OFFSET(ListeB,,4)='recap S1'!Q$3)*(OFFSET(ListeB,,1)='recap S1'!Q$2)),"")</f>
        <v/>
      </c>
      <c r="R125" s="32"/>
      <c r="S125" s="32" t="str">
        <f ca="1">IF(SUMPRODUCT((ListeB='recap S1'!$B125)*(OFFSET(ListeB,,4)='recap S1'!S$3)*(OFFSET(ListeB,,1)='recap S1'!S$2))&gt;0,SUMPRODUCT((ListeB='recap S1'!$B125)*(OFFSET(ListeB,,4)='recap S1'!S$3)*(OFFSET(ListeB,,1)='recap S1'!S$2)),"")</f>
        <v/>
      </c>
      <c r="T125" s="32" t="str">
        <f ca="1">IF(SUMPRODUCT((ListeB='recap S1'!$B125)*(OFFSET(ListeB,,4)='recap S1'!T$3)*(OFFSET(ListeB,,1)='recap S1'!T$2))&gt;0,SUMPRODUCT((ListeB='recap S1'!$B125)*(OFFSET(ListeB,,4)='recap S1'!T$3)*(OFFSET(ListeB,,1)='recap S1'!T$2)),"")</f>
        <v/>
      </c>
      <c r="U125" s="32" t="str">
        <f ca="1">IF(SUMPRODUCT((ListeB='recap S1'!$B125)*(OFFSET(ListeB,,4)='recap S1'!U$3)*(OFFSET(ListeB,,1)='recap S1'!U$2))&gt;0,SUMPRODUCT((ListeB='recap S1'!$B125)*(OFFSET(ListeB,,4)='recap S1'!U$3)*(OFFSET(ListeB,,1)='recap S1'!U$2)),"")</f>
        <v/>
      </c>
      <c r="V125" s="32"/>
      <c r="W125" s="32" t="str">
        <f ca="1">IF(SUMPRODUCT((ListeB='recap S1'!$B125)*(OFFSET(ListeB,,4)='recap S1'!W$3)*(OFFSET(ListeB,,1)='recap S1'!W$2))&gt;0,SUMPRODUCT((ListeB='recap S1'!$B125)*(OFFSET(ListeB,,4)='recap S1'!W$3)*(OFFSET(ListeB,,1)='recap S1'!W$2)),"")</f>
        <v/>
      </c>
      <c r="X125" s="32"/>
      <c r="Y125" s="32" t="str">
        <f ca="1">IF(SUMPRODUCT((ListeB='recap S1'!$B125)*(OFFSET(ListeB,,4)='recap S1'!Y$3)*(OFFSET(ListeB,,1)='recap S1'!Y$2))&gt;0,SUMPRODUCT((ListeB='recap S1'!$B125)*(OFFSET(ListeB,,4)='recap S1'!Y$3)*(OFFSET(ListeB,,1)='recap S1'!Y$2)),"")</f>
        <v/>
      </c>
      <c r="Z125" s="32" t="str">
        <f ca="1">IF(SUMPRODUCT((ListeB='recap S1'!$B125)*(OFFSET(ListeB,,4)='recap S1'!Z$3)*(OFFSET(ListeB,,1)='recap S1'!Z$2))&gt;0,SUMPRODUCT((ListeB='recap S1'!$B125)*(OFFSET(ListeB,,4)='recap S1'!Z$3)*(OFFSET(ListeB,,1)='recap S1'!Z$2)),"")</f>
        <v/>
      </c>
      <c r="AA125" s="32" t="str">
        <f ca="1">IF(SUMPRODUCT((ListeB='recap S1'!$B125)*(OFFSET(ListeB,,4)='recap S1'!AA$3)*(OFFSET(ListeB,,1)='recap S1'!AA$2))&gt;0,SUMPRODUCT((ListeB='recap S1'!$B125)*(OFFSET(ListeB,,4)='recap S1'!AA$3)*(OFFSET(ListeB,,1)='recap S1'!AA$2)),"")</f>
        <v/>
      </c>
      <c r="AB125" s="32"/>
      <c r="AC125" s="32" t="str">
        <f ca="1">IF(SUMPRODUCT((ListeB='recap S1'!$B125)*(OFFSET(ListeB,,4)='recap S1'!AC$3)*(OFFSET(ListeB,,1)='recap S1'!AC$2))&gt;0,SUMPRODUCT((ListeB='recap S1'!$B125)*(OFFSET(ListeB,,4)='recap S1'!AC$3)*(OFFSET(ListeB,,1)='recap S1'!AC$2)),"")</f>
        <v/>
      </c>
      <c r="AD125" s="32"/>
      <c r="AE125" s="32" t="str">
        <f ca="1">IF(SUMPRODUCT((ListeB='recap S1'!$B125)*(OFFSET(ListeB,,4)='recap S1'!AE$3)*(OFFSET(ListeB,,1)='recap S1'!AE$2))&gt;0,SUMPRODUCT((ListeB='recap S1'!$B125)*(OFFSET(ListeB,,4)='recap S1'!AE$3)*(OFFSET(ListeB,,1)='recap S1'!AE$2)),"")</f>
        <v/>
      </c>
      <c r="AF125" s="32" t="str">
        <f ca="1">IF(SUMPRODUCT((ListeB='recap S1'!$B125)*(OFFSET(ListeB,,4)='recap S1'!AF$3)*(OFFSET(ListeB,,1)='recap S1'!AF$2))&gt;0,SUMPRODUCT((ListeB='recap S1'!$B125)*(OFFSET(ListeB,,4)='recap S1'!AF$3)*(OFFSET(ListeB,,1)='recap S1'!AF$2)),"")</f>
        <v/>
      </c>
      <c r="AG125" s="32"/>
      <c r="AH125" s="32" t="str">
        <f ca="1">IF(SUMPRODUCT((ListeB='recap S1'!$B125)*(OFFSET(ListeB,,4)='recap S1'!AH$3)*(OFFSET(ListeB,,1)='recap S1'!AH$2))&gt;0,SUMPRODUCT((ListeB='recap S1'!$B125)*(OFFSET(ListeB,,4)='recap S1'!AH$3)*(OFFSET(ListeB,,1)='recap S1'!AH$2)),"")</f>
        <v/>
      </c>
      <c r="AI125" s="32" t="str">
        <f ca="1">IF(SUMPRODUCT((ListeB='recap S1'!$B125)*(OFFSET(ListeB,,4)='recap S1'!AI$3)*(OFFSET(ListeB,,1)='recap S1'!AI$2))&gt;0,SUMPRODUCT((ListeB='recap S1'!$B125)*(OFFSET(ListeB,,4)='recap S1'!AI$3)*(OFFSET(ListeB,,1)='recap S1'!AI$2)),"")</f>
        <v/>
      </c>
      <c r="AJ125" s="32" t="str">
        <f ca="1">IF(SUMPRODUCT((ListeB='recap S1'!$B125)*(OFFSET(ListeB,,4)='recap S1'!AJ$3)*(OFFSET(ListeB,,1)='recap S1'!AJ$2))&gt;0,SUMPRODUCT((ListeB='recap S1'!$B125)*(OFFSET(ListeB,,4)='recap S1'!AJ$3)*(OFFSET(ListeB,,1)='recap S1'!AJ$2)),"")</f>
        <v/>
      </c>
      <c r="AK125" s="32"/>
      <c r="AL125" s="32" t="str">
        <f ca="1">IF(SUMPRODUCT((ListeB='recap S1'!$B125)*(OFFSET(ListeB,,4)='recap S1'!AL$3)*(OFFSET(ListeB,,1)='recap S1'!AL$2))&gt;0,SUMPRODUCT((ListeB='recap S1'!$B125)*(OFFSET(ListeB,,4)='recap S1'!AL$3)*(OFFSET(ListeB,,1)='recap S1'!AL$2)),"")</f>
        <v/>
      </c>
      <c r="AM125" s="32"/>
      <c r="AN125" s="32" t="str">
        <f ca="1">IF(SUMPRODUCT((ListeB='recap S1'!$B125)*(OFFSET(ListeB,,4)='recap S1'!AN$3)*(OFFSET(ListeB,,1)='recap S1'!AN$2))&gt;0,SUMPRODUCT((ListeB='recap S1'!$B125)*(OFFSET(ListeB,,4)='recap S1'!AN$3)*(OFFSET(ListeB,,1)='recap S1'!AN$2)),"")</f>
        <v/>
      </c>
      <c r="AO125" s="32" t="str">
        <f ca="1">IF(SUMPRODUCT((ListeB='recap S1'!$B125)*(OFFSET(ListeB,,4)='recap S1'!AO$3)*(OFFSET(ListeB,,1)='recap S1'!AO$2))&gt;0,SUMPRODUCT((ListeB='recap S1'!$B125)*(OFFSET(ListeB,,4)='recap S1'!AO$3)*(OFFSET(ListeB,,1)='recap S1'!AO$2)),"")</f>
        <v/>
      </c>
      <c r="AP125" s="32"/>
      <c r="AQ125" s="32"/>
      <c r="AR125" s="32"/>
      <c r="AS125" s="32" t="str">
        <f ca="1">IF(SUMPRODUCT((ListeB='recap S1'!$B125)*(OFFSET(ListeB,,4)='recap S1'!AS$3)*(OFFSET(ListeB,,1)='recap S1'!AS$2))&gt;0,SUMPRODUCT((ListeB='recap S1'!$B125)*(OFFSET(ListeB,,4)='recap S1'!AS$3)*(OFFSET(ListeB,,1)='recap S1'!AS$2)),"")</f>
        <v/>
      </c>
      <c r="AT125" s="32" t="str">
        <f ca="1">IF(SUMPRODUCT((ListeB='recap S1'!$B125)*(OFFSET(ListeB,,4)='recap S1'!AT$3)*(OFFSET(ListeB,,1)='recap S1'!AT$2))&gt;0,SUMPRODUCT((ListeB='recap S1'!$B125)*(OFFSET(ListeB,,4)='recap S1'!AT$3)*(OFFSET(ListeB,,1)='recap S1'!AT$2)),"")</f>
        <v/>
      </c>
      <c r="AU125" s="32"/>
      <c r="AV125" s="32" t="str">
        <f ca="1">IF(SUMPRODUCT((ListeB='recap S1'!$B125)*(OFFSET(ListeB,,4)='recap S1'!AV$3)*(OFFSET(ListeB,,1)='recap S1'!AV$2))&gt;0,SUMPRODUCT((ListeB='recap S1'!$B125)*(OFFSET(ListeB,,4)='recap S1'!AV$3)*(OFFSET(ListeB,,1)='recap S1'!AV$2)),"")</f>
        <v/>
      </c>
      <c r="AW125" s="32" t="str">
        <f ca="1">IF(SUMPRODUCT((ListeB='recap S1'!$B125)*(OFFSET(ListeB,,4)='recap S1'!AW$3)*(OFFSET(ListeB,,1)='recap S1'!AW$2))&gt;0,SUMPRODUCT((ListeB='recap S1'!$B125)*(OFFSET(ListeB,,4)='recap S1'!AW$3)*(OFFSET(ListeB,,1)='recap S1'!AW$2)),"")</f>
        <v/>
      </c>
      <c r="AX125" s="32" t="str">
        <f ca="1">IF(SUMPRODUCT((ListeB='recap S1'!$B125)*(OFFSET(ListeB,,4)='recap S1'!AX$3)*(OFFSET(ListeB,,1)='recap S1'!AX$2))&gt;0,SUMPRODUCT((ListeB='recap S1'!$B125)*(OFFSET(ListeB,,4)='recap S1'!AX$3)*(OFFSET(ListeB,,1)='recap S1'!AX$2)),"")</f>
        <v/>
      </c>
      <c r="AY125" s="34"/>
      <c r="AZ125" s="32">
        <f t="shared" ca="1" si="3"/>
        <v>0</v>
      </c>
    </row>
    <row r="126" spans="1:52">
      <c r="A126" s="41" t="str">
        <f>IF('SEANCE 1'!$B124&lt;&gt;"",'SEANCE 1'!$A124,"")</f>
        <v/>
      </c>
      <c r="B126" s="41" t="str">
        <f t="array" aca="1" ref="B126" ca="1">IF(ISNA(INDEX(ListeB,MATCH(0,COUNTIF($B$3:B125,ListeB),0))),"",INDEX(ListeB,MATCH(0,COUNTIF($B$3:B125,ListeB),0)))</f>
        <v/>
      </c>
      <c r="C126" s="32" t="str">
        <f ca="1">IF(SUMPRODUCT((ListeB='recap S1'!$B126)*(OFFSET(ListeB,,4)='recap S1'!C$3)*(OFFSET(ListeB,,1)='recap S1'!C$2))&gt;0,SUMPRODUCT((ListeB='recap S1'!$B126)*(OFFSET(ListeB,,4)='recap S1'!C$3)*(OFFSET(ListeB,,1)='recap S1'!C$2)),"")</f>
        <v/>
      </c>
      <c r="D126" s="32" t="str">
        <f ca="1">IF(SUMPRODUCT((ListeB='recap S1'!$B126)*(OFFSET(ListeB,,4)='recap S1'!D$3)*(OFFSET(ListeB,,1)='recap S1'!D$2))&gt;0,SUMPRODUCT((ListeB='recap S1'!$B126)*(OFFSET(ListeB,,4)='recap S1'!D$3)*(OFFSET(ListeB,,1)='recap S1'!D$2)),"")</f>
        <v/>
      </c>
      <c r="E126" s="32"/>
      <c r="F126" s="32" t="str">
        <f ca="1">IF(SUMPRODUCT((ListeB='recap S1'!$B126)*(OFFSET(ListeB,,4)='recap S1'!F$3)*(OFFSET(ListeB,,1)='recap S1'!F$2))&gt;0,SUMPRODUCT((ListeB='recap S1'!$B126)*(OFFSET(ListeB,,4)='recap S1'!F$3)*(OFFSET(ListeB,,1)='recap S1'!F$2)),"")</f>
        <v/>
      </c>
      <c r="G126" s="32" t="str">
        <f ca="1">IF(SUMPRODUCT((ListeB='recap S1'!$B126)*(OFFSET(ListeB,,4)='recap S1'!G$3)*(OFFSET(ListeB,,1)='recap S1'!G$2))&gt;0,SUMPRODUCT((ListeB='recap S1'!$B126)*(OFFSET(ListeB,,4)='recap S1'!G$3)*(OFFSET(ListeB,,1)='recap S1'!G$2)),"")</f>
        <v/>
      </c>
      <c r="H126" s="32"/>
      <c r="I126" s="32" t="str">
        <f ca="1">IF(SUMPRODUCT((ListeB='recap S1'!$B126)*(OFFSET(ListeB,,4)='recap S1'!I$3)*(OFFSET(ListeB,,1)='recap S1'!I$2))&gt;0,SUMPRODUCT((ListeB='recap S1'!$B126)*(OFFSET(ListeB,,4)='recap S1'!I$3)*(OFFSET(ListeB,,1)='recap S1'!I$2)),"")</f>
        <v/>
      </c>
      <c r="J126" s="32" t="str">
        <f ca="1">IF(SUMPRODUCT((ListeB='recap S1'!$B126)*(OFFSET(ListeB,,4)='recap S1'!J$3)*(OFFSET(ListeB,,1)='recap S1'!J$2))&gt;0,SUMPRODUCT((ListeB='recap S1'!$B126)*(OFFSET(ListeB,,4)='recap S1'!J$3)*(OFFSET(ListeB,,1)='recap S1'!J$2)),"")</f>
        <v/>
      </c>
      <c r="K126" s="32" t="str">
        <f ca="1">IF(SUMPRODUCT((ListeB='recap S1'!$B126)*(OFFSET(ListeB,,4)='recap S1'!K$3)*(OFFSET(ListeB,,1)='recap S1'!K$2))&gt;0,SUMPRODUCT((ListeB='recap S1'!$B126)*(OFFSET(ListeB,,4)='recap S1'!K$3)*(OFFSET(ListeB,,1)='recap S1'!K$2)),"")</f>
        <v/>
      </c>
      <c r="L126" s="32"/>
      <c r="M126" s="32" t="str">
        <f ca="1">IF(SUMPRODUCT((ListeB='recap S1'!$B126)*(OFFSET(ListeB,,4)='recap S1'!M$3)*(OFFSET(ListeB,,1)='recap S1'!M$2))&gt;0,SUMPRODUCT((ListeB='recap S1'!$B126)*(OFFSET(ListeB,,4)='recap S1'!M$3)*(OFFSET(ListeB,,1)='recap S1'!M$2)),"")</f>
        <v/>
      </c>
      <c r="N126" s="32" t="str">
        <f ca="1">IF(SUMPRODUCT((ListeB='recap S1'!$B126)*(OFFSET(ListeB,,4)='recap S1'!N$3)*(OFFSET(ListeB,,1)='recap S1'!N$2))&gt;0,SUMPRODUCT((ListeB='recap S1'!$B126)*(OFFSET(ListeB,,4)='recap S1'!N$3)*(OFFSET(ListeB,,1)='recap S1'!N$2)),"")</f>
        <v/>
      </c>
      <c r="O126" s="32"/>
      <c r="P126" s="32" t="str">
        <f ca="1">IF(SUMPRODUCT((ListeB='recap S1'!$B126)*(OFFSET(ListeB,,4)='recap S1'!P$3)*(OFFSET(ListeB,,1)='recap S1'!P$2))&gt;0,SUMPRODUCT((ListeB='recap S1'!$B126)*(OFFSET(ListeB,,4)='recap S1'!P$3)*(OFFSET(ListeB,,1)='recap S1'!P$2)),"")</f>
        <v/>
      </c>
      <c r="Q126" s="32" t="str">
        <f ca="1">IF(SUMPRODUCT((ListeB='recap S1'!$B126)*(OFFSET(ListeB,,4)='recap S1'!Q$3)*(OFFSET(ListeB,,1)='recap S1'!Q$2))&gt;0,SUMPRODUCT((ListeB='recap S1'!$B126)*(OFFSET(ListeB,,4)='recap S1'!Q$3)*(OFFSET(ListeB,,1)='recap S1'!Q$2)),"")</f>
        <v/>
      </c>
      <c r="R126" s="32"/>
      <c r="S126" s="32" t="str">
        <f ca="1">IF(SUMPRODUCT((ListeB='recap S1'!$B126)*(OFFSET(ListeB,,4)='recap S1'!S$3)*(OFFSET(ListeB,,1)='recap S1'!S$2))&gt;0,SUMPRODUCT((ListeB='recap S1'!$B126)*(OFFSET(ListeB,,4)='recap S1'!S$3)*(OFFSET(ListeB,,1)='recap S1'!S$2)),"")</f>
        <v/>
      </c>
      <c r="T126" s="32" t="str">
        <f ca="1">IF(SUMPRODUCT((ListeB='recap S1'!$B126)*(OFFSET(ListeB,,4)='recap S1'!T$3)*(OFFSET(ListeB,,1)='recap S1'!T$2))&gt;0,SUMPRODUCT((ListeB='recap S1'!$B126)*(OFFSET(ListeB,,4)='recap S1'!T$3)*(OFFSET(ListeB,,1)='recap S1'!T$2)),"")</f>
        <v/>
      </c>
      <c r="U126" s="32" t="str">
        <f ca="1">IF(SUMPRODUCT((ListeB='recap S1'!$B126)*(OFFSET(ListeB,,4)='recap S1'!U$3)*(OFFSET(ListeB,,1)='recap S1'!U$2))&gt;0,SUMPRODUCT((ListeB='recap S1'!$B126)*(OFFSET(ListeB,,4)='recap S1'!U$3)*(OFFSET(ListeB,,1)='recap S1'!U$2)),"")</f>
        <v/>
      </c>
      <c r="V126" s="32"/>
      <c r="W126" s="32" t="str">
        <f ca="1">IF(SUMPRODUCT((ListeB='recap S1'!$B126)*(OFFSET(ListeB,,4)='recap S1'!W$3)*(OFFSET(ListeB,,1)='recap S1'!W$2))&gt;0,SUMPRODUCT((ListeB='recap S1'!$B126)*(OFFSET(ListeB,,4)='recap S1'!W$3)*(OFFSET(ListeB,,1)='recap S1'!W$2)),"")</f>
        <v/>
      </c>
      <c r="X126" s="32"/>
      <c r="Y126" s="32" t="str">
        <f ca="1">IF(SUMPRODUCT((ListeB='recap S1'!$B126)*(OFFSET(ListeB,,4)='recap S1'!Y$3)*(OFFSET(ListeB,,1)='recap S1'!Y$2))&gt;0,SUMPRODUCT((ListeB='recap S1'!$B126)*(OFFSET(ListeB,,4)='recap S1'!Y$3)*(OFFSET(ListeB,,1)='recap S1'!Y$2)),"")</f>
        <v/>
      </c>
      <c r="Z126" s="32" t="str">
        <f ca="1">IF(SUMPRODUCT((ListeB='recap S1'!$B126)*(OFFSET(ListeB,,4)='recap S1'!Z$3)*(OFFSET(ListeB,,1)='recap S1'!Z$2))&gt;0,SUMPRODUCT((ListeB='recap S1'!$B126)*(OFFSET(ListeB,,4)='recap S1'!Z$3)*(OFFSET(ListeB,,1)='recap S1'!Z$2)),"")</f>
        <v/>
      </c>
      <c r="AA126" s="32" t="str">
        <f ca="1">IF(SUMPRODUCT((ListeB='recap S1'!$B126)*(OFFSET(ListeB,,4)='recap S1'!AA$3)*(OFFSET(ListeB,,1)='recap S1'!AA$2))&gt;0,SUMPRODUCT((ListeB='recap S1'!$B126)*(OFFSET(ListeB,,4)='recap S1'!AA$3)*(OFFSET(ListeB,,1)='recap S1'!AA$2)),"")</f>
        <v/>
      </c>
      <c r="AB126" s="32"/>
      <c r="AC126" s="32" t="str">
        <f ca="1">IF(SUMPRODUCT((ListeB='recap S1'!$B126)*(OFFSET(ListeB,,4)='recap S1'!AC$3)*(OFFSET(ListeB,,1)='recap S1'!AC$2))&gt;0,SUMPRODUCT((ListeB='recap S1'!$B126)*(OFFSET(ListeB,,4)='recap S1'!AC$3)*(OFFSET(ListeB,,1)='recap S1'!AC$2)),"")</f>
        <v/>
      </c>
      <c r="AD126" s="32"/>
      <c r="AE126" s="32" t="str">
        <f ca="1">IF(SUMPRODUCT((ListeB='recap S1'!$B126)*(OFFSET(ListeB,,4)='recap S1'!AE$3)*(OFFSET(ListeB,,1)='recap S1'!AE$2))&gt;0,SUMPRODUCT((ListeB='recap S1'!$B126)*(OFFSET(ListeB,,4)='recap S1'!AE$3)*(OFFSET(ListeB,,1)='recap S1'!AE$2)),"")</f>
        <v/>
      </c>
      <c r="AF126" s="32" t="str">
        <f ca="1">IF(SUMPRODUCT((ListeB='recap S1'!$B126)*(OFFSET(ListeB,,4)='recap S1'!AF$3)*(OFFSET(ListeB,,1)='recap S1'!AF$2))&gt;0,SUMPRODUCT((ListeB='recap S1'!$B126)*(OFFSET(ListeB,,4)='recap S1'!AF$3)*(OFFSET(ListeB,,1)='recap S1'!AF$2)),"")</f>
        <v/>
      </c>
      <c r="AG126" s="32"/>
      <c r="AH126" s="32" t="str">
        <f ca="1">IF(SUMPRODUCT((ListeB='recap S1'!$B126)*(OFFSET(ListeB,,4)='recap S1'!AH$3)*(OFFSET(ListeB,,1)='recap S1'!AH$2))&gt;0,SUMPRODUCT((ListeB='recap S1'!$B126)*(OFFSET(ListeB,,4)='recap S1'!AH$3)*(OFFSET(ListeB,,1)='recap S1'!AH$2)),"")</f>
        <v/>
      </c>
      <c r="AI126" s="32" t="str">
        <f ca="1">IF(SUMPRODUCT((ListeB='recap S1'!$B126)*(OFFSET(ListeB,,4)='recap S1'!AI$3)*(OFFSET(ListeB,,1)='recap S1'!AI$2))&gt;0,SUMPRODUCT((ListeB='recap S1'!$B126)*(OFFSET(ListeB,,4)='recap S1'!AI$3)*(OFFSET(ListeB,,1)='recap S1'!AI$2)),"")</f>
        <v/>
      </c>
      <c r="AJ126" s="32" t="str">
        <f ca="1">IF(SUMPRODUCT((ListeB='recap S1'!$B126)*(OFFSET(ListeB,,4)='recap S1'!AJ$3)*(OFFSET(ListeB,,1)='recap S1'!AJ$2))&gt;0,SUMPRODUCT((ListeB='recap S1'!$B126)*(OFFSET(ListeB,,4)='recap S1'!AJ$3)*(OFFSET(ListeB,,1)='recap S1'!AJ$2)),"")</f>
        <v/>
      </c>
      <c r="AK126" s="32"/>
      <c r="AL126" s="32" t="str">
        <f ca="1">IF(SUMPRODUCT((ListeB='recap S1'!$B126)*(OFFSET(ListeB,,4)='recap S1'!AL$3)*(OFFSET(ListeB,,1)='recap S1'!AL$2))&gt;0,SUMPRODUCT((ListeB='recap S1'!$B126)*(OFFSET(ListeB,,4)='recap S1'!AL$3)*(OFFSET(ListeB,,1)='recap S1'!AL$2)),"")</f>
        <v/>
      </c>
      <c r="AM126" s="32"/>
      <c r="AN126" s="32" t="str">
        <f ca="1">IF(SUMPRODUCT((ListeB='recap S1'!$B126)*(OFFSET(ListeB,,4)='recap S1'!AN$3)*(OFFSET(ListeB,,1)='recap S1'!AN$2))&gt;0,SUMPRODUCT((ListeB='recap S1'!$B126)*(OFFSET(ListeB,,4)='recap S1'!AN$3)*(OFFSET(ListeB,,1)='recap S1'!AN$2)),"")</f>
        <v/>
      </c>
      <c r="AO126" s="32" t="str">
        <f ca="1">IF(SUMPRODUCT((ListeB='recap S1'!$B126)*(OFFSET(ListeB,,4)='recap S1'!AO$3)*(OFFSET(ListeB,,1)='recap S1'!AO$2))&gt;0,SUMPRODUCT((ListeB='recap S1'!$B126)*(OFFSET(ListeB,,4)='recap S1'!AO$3)*(OFFSET(ListeB,,1)='recap S1'!AO$2)),"")</f>
        <v/>
      </c>
      <c r="AP126" s="32"/>
      <c r="AQ126" s="32"/>
      <c r="AR126" s="32"/>
      <c r="AS126" s="32" t="str">
        <f ca="1">IF(SUMPRODUCT((ListeB='recap S1'!$B126)*(OFFSET(ListeB,,4)='recap S1'!AS$3)*(OFFSET(ListeB,,1)='recap S1'!AS$2))&gt;0,SUMPRODUCT((ListeB='recap S1'!$B126)*(OFFSET(ListeB,,4)='recap S1'!AS$3)*(OFFSET(ListeB,,1)='recap S1'!AS$2)),"")</f>
        <v/>
      </c>
      <c r="AT126" s="32" t="str">
        <f ca="1">IF(SUMPRODUCT((ListeB='recap S1'!$B126)*(OFFSET(ListeB,,4)='recap S1'!AT$3)*(OFFSET(ListeB,,1)='recap S1'!AT$2))&gt;0,SUMPRODUCT((ListeB='recap S1'!$B126)*(OFFSET(ListeB,,4)='recap S1'!AT$3)*(OFFSET(ListeB,,1)='recap S1'!AT$2)),"")</f>
        <v/>
      </c>
      <c r="AU126" s="32"/>
      <c r="AV126" s="32" t="str">
        <f ca="1">IF(SUMPRODUCT((ListeB='recap S1'!$B126)*(OFFSET(ListeB,,4)='recap S1'!AV$3)*(OFFSET(ListeB,,1)='recap S1'!AV$2))&gt;0,SUMPRODUCT((ListeB='recap S1'!$B126)*(OFFSET(ListeB,,4)='recap S1'!AV$3)*(OFFSET(ListeB,,1)='recap S1'!AV$2)),"")</f>
        <v/>
      </c>
      <c r="AW126" s="32" t="str">
        <f ca="1">IF(SUMPRODUCT((ListeB='recap S1'!$B126)*(OFFSET(ListeB,,4)='recap S1'!AW$3)*(OFFSET(ListeB,,1)='recap S1'!AW$2))&gt;0,SUMPRODUCT((ListeB='recap S1'!$B126)*(OFFSET(ListeB,,4)='recap S1'!AW$3)*(OFFSET(ListeB,,1)='recap S1'!AW$2)),"")</f>
        <v/>
      </c>
      <c r="AX126" s="32" t="str">
        <f ca="1">IF(SUMPRODUCT((ListeB='recap S1'!$B126)*(OFFSET(ListeB,,4)='recap S1'!AX$3)*(OFFSET(ListeB,,1)='recap S1'!AX$2))&gt;0,SUMPRODUCT((ListeB='recap S1'!$B126)*(OFFSET(ListeB,,4)='recap S1'!AX$3)*(OFFSET(ListeB,,1)='recap S1'!AX$2)),"")</f>
        <v/>
      </c>
      <c r="AY126" s="34"/>
      <c r="AZ126" s="32">
        <f t="shared" ca="1" si="3"/>
        <v>0</v>
      </c>
    </row>
    <row r="127" spans="1:52">
      <c r="A127" s="41" t="str">
        <f>IF('SEANCE 1'!$B125&lt;&gt;"",'SEANCE 1'!$A125,"")</f>
        <v/>
      </c>
      <c r="B127" s="41" t="str">
        <f t="array" aca="1" ref="B127" ca="1">IF(ISNA(INDEX(ListeB,MATCH(0,COUNTIF($B$3:B126,ListeB),0))),"",INDEX(ListeB,MATCH(0,COUNTIF($B$3:B126,ListeB),0)))</f>
        <v/>
      </c>
      <c r="C127" s="32" t="str">
        <f ca="1">IF(SUMPRODUCT((ListeB='recap S1'!$B127)*(OFFSET(ListeB,,4)='recap S1'!C$3)*(OFFSET(ListeB,,1)='recap S1'!C$2))&gt;0,SUMPRODUCT((ListeB='recap S1'!$B127)*(OFFSET(ListeB,,4)='recap S1'!C$3)*(OFFSET(ListeB,,1)='recap S1'!C$2)),"")</f>
        <v/>
      </c>
      <c r="D127" s="32" t="str">
        <f ca="1">IF(SUMPRODUCT((ListeB='recap S1'!$B127)*(OFFSET(ListeB,,4)='recap S1'!D$3)*(OFFSET(ListeB,,1)='recap S1'!D$2))&gt;0,SUMPRODUCT((ListeB='recap S1'!$B127)*(OFFSET(ListeB,,4)='recap S1'!D$3)*(OFFSET(ListeB,,1)='recap S1'!D$2)),"")</f>
        <v/>
      </c>
      <c r="E127" s="32"/>
      <c r="F127" s="32" t="str">
        <f ca="1">IF(SUMPRODUCT((ListeB='recap S1'!$B127)*(OFFSET(ListeB,,4)='recap S1'!F$3)*(OFFSET(ListeB,,1)='recap S1'!F$2))&gt;0,SUMPRODUCT((ListeB='recap S1'!$B127)*(OFFSET(ListeB,,4)='recap S1'!F$3)*(OFFSET(ListeB,,1)='recap S1'!F$2)),"")</f>
        <v/>
      </c>
      <c r="G127" s="32" t="str">
        <f ca="1">IF(SUMPRODUCT((ListeB='recap S1'!$B127)*(OFFSET(ListeB,,4)='recap S1'!G$3)*(OFFSET(ListeB,,1)='recap S1'!G$2))&gt;0,SUMPRODUCT((ListeB='recap S1'!$B127)*(OFFSET(ListeB,,4)='recap S1'!G$3)*(OFFSET(ListeB,,1)='recap S1'!G$2)),"")</f>
        <v/>
      </c>
      <c r="H127" s="32"/>
      <c r="I127" s="32" t="str">
        <f ca="1">IF(SUMPRODUCT((ListeB='recap S1'!$B127)*(OFFSET(ListeB,,4)='recap S1'!I$3)*(OFFSET(ListeB,,1)='recap S1'!I$2))&gt;0,SUMPRODUCT((ListeB='recap S1'!$B127)*(OFFSET(ListeB,,4)='recap S1'!I$3)*(OFFSET(ListeB,,1)='recap S1'!I$2)),"")</f>
        <v/>
      </c>
      <c r="J127" s="32" t="str">
        <f ca="1">IF(SUMPRODUCT((ListeB='recap S1'!$B127)*(OFFSET(ListeB,,4)='recap S1'!J$3)*(OFFSET(ListeB,,1)='recap S1'!J$2))&gt;0,SUMPRODUCT((ListeB='recap S1'!$B127)*(OFFSET(ListeB,,4)='recap S1'!J$3)*(OFFSET(ListeB,,1)='recap S1'!J$2)),"")</f>
        <v/>
      </c>
      <c r="K127" s="32" t="str">
        <f ca="1">IF(SUMPRODUCT((ListeB='recap S1'!$B127)*(OFFSET(ListeB,,4)='recap S1'!K$3)*(OFFSET(ListeB,,1)='recap S1'!K$2))&gt;0,SUMPRODUCT((ListeB='recap S1'!$B127)*(OFFSET(ListeB,,4)='recap S1'!K$3)*(OFFSET(ListeB,,1)='recap S1'!K$2)),"")</f>
        <v/>
      </c>
      <c r="L127" s="32"/>
      <c r="M127" s="32" t="str">
        <f ca="1">IF(SUMPRODUCT((ListeB='recap S1'!$B127)*(OFFSET(ListeB,,4)='recap S1'!M$3)*(OFFSET(ListeB,,1)='recap S1'!M$2))&gt;0,SUMPRODUCT((ListeB='recap S1'!$B127)*(OFFSET(ListeB,,4)='recap S1'!M$3)*(OFFSET(ListeB,,1)='recap S1'!M$2)),"")</f>
        <v/>
      </c>
      <c r="N127" s="32" t="str">
        <f ca="1">IF(SUMPRODUCT((ListeB='recap S1'!$B127)*(OFFSET(ListeB,,4)='recap S1'!N$3)*(OFFSET(ListeB,,1)='recap S1'!N$2))&gt;0,SUMPRODUCT((ListeB='recap S1'!$B127)*(OFFSET(ListeB,,4)='recap S1'!N$3)*(OFFSET(ListeB,,1)='recap S1'!N$2)),"")</f>
        <v/>
      </c>
      <c r="O127" s="32"/>
      <c r="P127" s="32" t="str">
        <f ca="1">IF(SUMPRODUCT((ListeB='recap S1'!$B127)*(OFFSET(ListeB,,4)='recap S1'!P$3)*(OFFSET(ListeB,,1)='recap S1'!P$2))&gt;0,SUMPRODUCT((ListeB='recap S1'!$B127)*(OFFSET(ListeB,,4)='recap S1'!P$3)*(OFFSET(ListeB,,1)='recap S1'!P$2)),"")</f>
        <v/>
      </c>
      <c r="Q127" s="32" t="str">
        <f ca="1">IF(SUMPRODUCT((ListeB='recap S1'!$B127)*(OFFSET(ListeB,,4)='recap S1'!Q$3)*(OFFSET(ListeB,,1)='recap S1'!Q$2))&gt;0,SUMPRODUCT((ListeB='recap S1'!$B127)*(OFFSET(ListeB,,4)='recap S1'!Q$3)*(OFFSET(ListeB,,1)='recap S1'!Q$2)),"")</f>
        <v/>
      </c>
      <c r="R127" s="32"/>
      <c r="S127" s="32" t="str">
        <f ca="1">IF(SUMPRODUCT((ListeB='recap S1'!$B127)*(OFFSET(ListeB,,4)='recap S1'!S$3)*(OFFSET(ListeB,,1)='recap S1'!S$2))&gt;0,SUMPRODUCT((ListeB='recap S1'!$B127)*(OFFSET(ListeB,,4)='recap S1'!S$3)*(OFFSET(ListeB,,1)='recap S1'!S$2)),"")</f>
        <v/>
      </c>
      <c r="T127" s="32" t="str">
        <f ca="1">IF(SUMPRODUCT((ListeB='recap S1'!$B127)*(OFFSET(ListeB,,4)='recap S1'!T$3)*(OFFSET(ListeB,,1)='recap S1'!T$2))&gt;0,SUMPRODUCT((ListeB='recap S1'!$B127)*(OFFSET(ListeB,,4)='recap S1'!T$3)*(OFFSET(ListeB,,1)='recap S1'!T$2)),"")</f>
        <v/>
      </c>
      <c r="U127" s="32" t="str">
        <f ca="1">IF(SUMPRODUCT((ListeB='recap S1'!$B127)*(OFFSET(ListeB,,4)='recap S1'!U$3)*(OFFSET(ListeB,,1)='recap S1'!U$2))&gt;0,SUMPRODUCT((ListeB='recap S1'!$B127)*(OFFSET(ListeB,,4)='recap S1'!U$3)*(OFFSET(ListeB,,1)='recap S1'!U$2)),"")</f>
        <v/>
      </c>
      <c r="V127" s="32"/>
      <c r="W127" s="32" t="str">
        <f ca="1">IF(SUMPRODUCT((ListeB='recap S1'!$B127)*(OFFSET(ListeB,,4)='recap S1'!W$3)*(OFFSET(ListeB,,1)='recap S1'!W$2))&gt;0,SUMPRODUCT((ListeB='recap S1'!$B127)*(OFFSET(ListeB,,4)='recap S1'!W$3)*(OFFSET(ListeB,,1)='recap S1'!W$2)),"")</f>
        <v/>
      </c>
      <c r="X127" s="32"/>
      <c r="Y127" s="32" t="str">
        <f ca="1">IF(SUMPRODUCT((ListeB='recap S1'!$B127)*(OFFSET(ListeB,,4)='recap S1'!Y$3)*(OFFSET(ListeB,,1)='recap S1'!Y$2))&gt;0,SUMPRODUCT((ListeB='recap S1'!$B127)*(OFFSET(ListeB,,4)='recap S1'!Y$3)*(OFFSET(ListeB,,1)='recap S1'!Y$2)),"")</f>
        <v/>
      </c>
      <c r="Z127" s="32" t="str">
        <f ca="1">IF(SUMPRODUCT((ListeB='recap S1'!$B127)*(OFFSET(ListeB,,4)='recap S1'!Z$3)*(OFFSET(ListeB,,1)='recap S1'!Z$2))&gt;0,SUMPRODUCT((ListeB='recap S1'!$B127)*(OFFSET(ListeB,,4)='recap S1'!Z$3)*(OFFSET(ListeB,,1)='recap S1'!Z$2)),"")</f>
        <v/>
      </c>
      <c r="AA127" s="32" t="str">
        <f ca="1">IF(SUMPRODUCT((ListeB='recap S1'!$B127)*(OFFSET(ListeB,,4)='recap S1'!AA$3)*(OFFSET(ListeB,,1)='recap S1'!AA$2))&gt;0,SUMPRODUCT((ListeB='recap S1'!$B127)*(OFFSET(ListeB,,4)='recap S1'!AA$3)*(OFFSET(ListeB,,1)='recap S1'!AA$2)),"")</f>
        <v/>
      </c>
      <c r="AB127" s="32"/>
      <c r="AC127" s="32" t="str">
        <f ca="1">IF(SUMPRODUCT((ListeB='recap S1'!$B127)*(OFFSET(ListeB,,4)='recap S1'!AC$3)*(OFFSET(ListeB,,1)='recap S1'!AC$2))&gt;0,SUMPRODUCT((ListeB='recap S1'!$B127)*(OFFSET(ListeB,,4)='recap S1'!AC$3)*(OFFSET(ListeB,,1)='recap S1'!AC$2)),"")</f>
        <v/>
      </c>
      <c r="AD127" s="32"/>
      <c r="AE127" s="32" t="str">
        <f ca="1">IF(SUMPRODUCT((ListeB='recap S1'!$B127)*(OFFSET(ListeB,,4)='recap S1'!AE$3)*(OFFSET(ListeB,,1)='recap S1'!AE$2))&gt;0,SUMPRODUCT((ListeB='recap S1'!$B127)*(OFFSET(ListeB,,4)='recap S1'!AE$3)*(OFFSET(ListeB,,1)='recap S1'!AE$2)),"")</f>
        <v/>
      </c>
      <c r="AF127" s="32" t="str">
        <f ca="1">IF(SUMPRODUCT((ListeB='recap S1'!$B127)*(OFFSET(ListeB,,4)='recap S1'!AF$3)*(OFFSET(ListeB,,1)='recap S1'!AF$2))&gt;0,SUMPRODUCT((ListeB='recap S1'!$B127)*(OFFSET(ListeB,,4)='recap S1'!AF$3)*(OFFSET(ListeB,,1)='recap S1'!AF$2)),"")</f>
        <v/>
      </c>
      <c r="AG127" s="32"/>
      <c r="AH127" s="32" t="str">
        <f ca="1">IF(SUMPRODUCT((ListeB='recap S1'!$B127)*(OFFSET(ListeB,,4)='recap S1'!AH$3)*(OFFSET(ListeB,,1)='recap S1'!AH$2))&gt;0,SUMPRODUCT((ListeB='recap S1'!$B127)*(OFFSET(ListeB,,4)='recap S1'!AH$3)*(OFFSET(ListeB,,1)='recap S1'!AH$2)),"")</f>
        <v/>
      </c>
      <c r="AI127" s="32" t="str">
        <f ca="1">IF(SUMPRODUCT((ListeB='recap S1'!$B127)*(OFFSET(ListeB,,4)='recap S1'!AI$3)*(OFFSET(ListeB,,1)='recap S1'!AI$2))&gt;0,SUMPRODUCT((ListeB='recap S1'!$B127)*(OFFSET(ListeB,,4)='recap S1'!AI$3)*(OFFSET(ListeB,,1)='recap S1'!AI$2)),"")</f>
        <v/>
      </c>
      <c r="AJ127" s="32" t="str">
        <f ca="1">IF(SUMPRODUCT((ListeB='recap S1'!$B127)*(OFFSET(ListeB,,4)='recap S1'!AJ$3)*(OFFSET(ListeB,,1)='recap S1'!AJ$2))&gt;0,SUMPRODUCT((ListeB='recap S1'!$B127)*(OFFSET(ListeB,,4)='recap S1'!AJ$3)*(OFFSET(ListeB,,1)='recap S1'!AJ$2)),"")</f>
        <v/>
      </c>
      <c r="AK127" s="32"/>
      <c r="AL127" s="32" t="str">
        <f ca="1">IF(SUMPRODUCT((ListeB='recap S1'!$B127)*(OFFSET(ListeB,,4)='recap S1'!AL$3)*(OFFSET(ListeB,,1)='recap S1'!AL$2))&gt;0,SUMPRODUCT((ListeB='recap S1'!$B127)*(OFFSET(ListeB,,4)='recap S1'!AL$3)*(OFFSET(ListeB,,1)='recap S1'!AL$2)),"")</f>
        <v/>
      </c>
      <c r="AM127" s="32"/>
      <c r="AN127" s="32" t="str">
        <f ca="1">IF(SUMPRODUCT((ListeB='recap S1'!$B127)*(OFFSET(ListeB,,4)='recap S1'!AN$3)*(OFFSET(ListeB,,1)='recap S1'!AN$2))&gt;0,SUMPRODUCT((ListeB='recap S1'!$B127)*(OFFSET(ListeB,,4)='recap S1'!AN$3)*(OFFSET(ListeB,,1)='recap S1'!AN$2)),"")</f>
        <v/>
      </c>
      <c r="AO127" s="32" t="str">
        <f ca="1">IF(SUMPRODUCT((ListeB='recap S1'!$B127)*(OFFSET(ListeB,,4)='recap S1'!AO$3)*(OFFSET(ListeB,,1)='recap S1'!AO$2))&gt;0,SUMPRODUCT((ListeB='recap S1'!$B127)*(OFFSET(ListeB,,4)='recap S1'!AO$3)*(OFFSET(ListeB,,1)='recap S1'!AO$2)),"")</f>
        <v/>
      </c>
      <c r="AP127" s="32"/>
      <c r="AQ127" s="32"/>
      <c r="AR127" s="32"/>
      <c r="AS127" s="32" t="str">
        <f ca="1">IF(SUMPRODUCT((ListeB='recap S1'!$B127)*(OFFSET(ListeB,,4)='recap S1'!AS$3)*(OFFSET(ListeB,,1)='recap S1'!AS$2))&gt;0,SUMPRODUCT((ListeB='recap S1'!$B127)*(OFFSET(ListeB,,4)='recap S1'!AS$3)*(OFFSET(ListeB,,1)='recap S1'!AS$2)),"")</f>
        <v/>
      </c>
      <c r="AT127" s="32" t="str">
        <f ca="1">IF(SUMPRODUCT((ListeB='recap S1'!$B127)*(OFFSET(ListeB,,4)='recap S1'!AT$3)*(OFFSET(ListeB,,1)='recap S1'!AT$2))&gt;0,SUMPRODUCT((ListeB='recap S1'!$B127)*(OFFSET(ListeB,,4)='recap S1'!AT$3)*(OFFSET(ListeB,,1)='recap S1'!AT$2)),"")</f>
        <v/>
      </c>
      <c r="AU127" s="32"/>
      <c r="AV127" s="32" t="str">
        <f ca="1">IF(SUMPRODUCT((ListeB='recap S1'!$B127)*(OFFSET(ListeB,,4)='recap S1'!AV$3)*(OFFSET(ListeB,,1)='recap S1'!AV$2))&gt;0,SUMPRODUCT((ListeB='recap S1'!$B127)*(OFFSET(ListeB,,4)='recap S1'!AV$3)*(OFFSET(ListeB,,1)='recap S1'!AV$2)),"")</f>
        <v/>
      </c>
      <c r="AW127" s="32" t="str">
        <f ca="1">IF(SUMPRODUCT((ListeB='recap S1'!$B127)*(OFFSET(ListeB,,4)='recap S1'!AW$3)*(OFFSET(ListeB,,1)='recap S1'!AW$2))&gt;0,SUMPRODUCT((ListeB='recap S1'!$B127)*(OFFSET(ListeB,,4)='recap S1'!AW$3)*(OFFSET(ListeB,,1)='recap S1'!AW$2)),"")</f>
        <v/>
      </c>
      <c r="AX127" s="32" t="str">
        <f ca="1">IF(SUMPRODUCT((ListeB='recap S1'!$B127)*(OFFSET(ListeB,,4)='recap S1'!AX$3)*(OFFSET(ListeB,,1)='recap S1'!AX$2))&gt;0,SUMPRODUCT((ListeB='recap S1'!$B127)*(OFFSET(ListeB,,4)='recap S1'!AX$3)*(OFFSET(ListeB,,1)='recap S1'!AX$2)),"")</f>
        <v/>
      </c>
      <c r="AY127" s="34"/>
      <c r="AZ127" s="32">
        <f t="shared" ca="1" si="3"/>
        <v>0</v>
      </c>
    </row>
    <row r="128" spans="1:52">
      <c r="A128" s="41" t="str">
        <f>IF('SEANCE 1'!$B126&lt;&gt;"",'SEANCE 1'!$A126,"")</f>
        <v/>
      </c>
      <c r="B128" s="41" t="str">
        <f t="array" aca="1" ref="B128" ca="1">IF(ISNA(INDEX(ListeB,MATCH(0,COUNTIF($B$3:B127,ListeB),0))),"",INDEX(ListeB,MATCH(0,COUNTIF($B$3:B127,ListeB),0)))</f>
        <v/>
      </c>
      <c r="C128" s="32" t="str">
        <f ca="1">IF(SUMPRODUCT((ListeB='recap S1'!$B128)*(OFFSET(ListeB,,4)='recap S1'!C$3)*(OFFSET(ListeB,,1)='recap S1'!C$2))&gt;0,SUMPRODUCT((ListeB='recap S1'!$B128)*(OFFSET(ListeB,,4)='recap S1'!C$3)*(OFFSET(ListeB,,1)='recap S1'!C$2)),"")</f>
        <v/>
      </c>
      <c r="D128" s="32" t="str">
        <f ca="1">IF(SUMPRODUCT((ListeB='recap S1'!$B128)*(OFFSET(ListeB,,4)='recap S1'!D$3)*(OFFSET(ListeB,,1)='recap S1'!D$2))&gt;0,SUMPRODUCT((ListeB='recap S1'!$B128)*(OFFSET(ListeB,,4)='recap S1'!D$3)*(OFFSET(ListeB,,1)='recap S1'!D$2)),"")</f>
        <v/>
      </c>
      <c r="E128" s="32"/>
      <c r="F128" s="32" t="str">
        <f ca="1">IF(SUMPRODUCT((ListeB='recap S1'!$B128)*(OFFSET(ListeB,,4)='recap S1'!F$3)*(OFFSET(ListeB,,1)='recap S1'!F$2))&gt;0,SUMPRODUCT((ListeB='recap S1'!$B128)*(OFFSET(ListeB,,4)='recap S1'!F$3)*(OFFSET(ListeB,,1)='recap S1'!F$2)),"")</f>
        <v/>
      </c>
      <c r="G128" s="32" t="str">
        <f ca="1">IF(SUMPRODUCT((ListeB='recap S1'!$B128)*(OFFSET(ListeB,,4)='recap S1'!G$3)*(OFFSET(ListeB,,1)='recap S1'!G$2))&gt;0,SUMPRODUCT((ListeB='recap S1'!$B128)*(OFFSET(ListeB,,4)='recap S1'!G$3)*(OFFSET(ListeB,,1)='recap S1'!G$2)),"")</f>
        <v/>
      </c>
      <c r="H128" s="32"/>
      <c r="I128" s="32" t="str">
        <f ca="1">IF(SUMPRODUCT((ListeB='recap S1'!$B128)*(OFFSET(ListeB,,4)='recap S1'!I$3)*(OFFSET(ListeB,,1)='recap S1'!I$2))&gt;0,SUMPRODUCT((ListeB='recap S1'!$B128)*(OFFSET(ListeB,,4)='recap S1'!I$3)*(OFFSET(ListeB,,1)='recap S1'!I$2)),"")</f>
        <v/>
      </c>
      <c r="J128" s="32" t="str">
        <f ca="1">IF(SUMPRODUCT((ListeB='recap S1'!$B128)*(OFFSET(ListeB,,4)='recap S1'!J$3)*(OFFSET(ListeB,,1)='recap S1'!J$2))&gt;0,SUMPRODUCT((ListeB='recap S1'!$B128)*(OFFSET(ListeB,,4)='recap S1'!J$3)*(OFFSET(ListeB,,1)='recap S1'!J$2)),"")</f>
        <v/>
      </c>
      <c r="K128" s="32" t="str">
        <f ca="1">IF(SUMPRODUCT((ListeB='recap S1'!$B128)*(OFFSET(ListeB,,4)='recap S1'!K$3)*(OFFSET(ListeB,,1)='recap S1'!K$2))&gt;0,SUMPRODUCT((ListeB='recap S1'!$B128)*(OFFSET(ListeB,,4)='recap S1'!K$3)*(OFFSET(ListeB,,1)='recap S1'!K$2)),"")</f>
        <v/>
      </c>
      <c r="L128" s="32"/>
      <c r="M128" s="32" t="str">
        <f ca="1">IF(SUMPRODUCT((ListeB='recap S1'!$B128)*(OFFSET(ListeB,,4)='recap S1'!M$3)*(OFFSET(ListeB,,1)='recap S1'!M$2))&gt;0,SUMPRODUCT((ListeB='recap S1'!$B128)*(OFFSET(ListeB,,4)='recap S1'!M$3)*(OFFSET(ListeB,,1)='recap S1'!M$2)),"")</f>
        <v/>
      </c>
      <c r="N128" s="32" t="str">
        <f ca="1">IF(SUMPRODUCT((ListeB='recap S1'!$B128)*(OFFSET(ListeB,,4)='recap S1'!N$3)*(OFFSET(ListeB,,1)='recap S1'!N$2))&gt;0,SUMPRODUCT((ListeB='recap S1'!$B128)*(OFFSET(ListeB,,4)='recap S1'!N$3)*(OFFSET(ListeB,,1)='recap S1'!N$2)),"")</f>
        <v/>
      </c>
      <c r="O128" s="32"/>
      <c r="P128" s="32" t="str">
        <f ca="1">IF(SUMPRODUCT((ListeB='recap S1'!$B128)*(OFFSET(ListeB,,4)='recap S1'!P$3)*(OFFSET(ListeB,,1)='recap S1'!P$2))&gt;0,SUMPRODUCT((ListeB='recap S1'!$B128)*(OFFSET(ListeB,,4)='recap S1'!P$3)*(OFFSET(ListeB,,1)='recap S1'!P$2)),"")</f>
        <v/>
      </c>
      <c r="Q128" s="32" t="str">
        <f ca="1">IF(SUMPRODUCT((ListeB='recap S1'!$B128)*(OFFSET(ListeB,,4)='recap S1'!Q$3)*(OFFSET(ListeB,,1)='recap S1'!Q$2))&gt;0,SUMPRODUCT((ListeB='recap S1'!$B128)*(OFFSET(ListeB,,4)='recap S1'!Q$3)*(OFFSET(ListeB,,1)='recap S1'!Q$2)),"")</f>
        <v/>
      </c>
      <c r="R128" s="32"/>
      <c r="S128" s="32" t="str">
        <f ca="1">IF(SUMPRODUCT((ListeB='recap S1'!$B128)*(OFFSET(ListeB,,4)='recap S1'!S$3)*(OFFSET(ListeB,,1)='recap S1'!S$2))&gt;0,SUMPRODUCT((ListeB='recap S1'!$B128)*(OFFSET(ListeB,,4)='recap S1'!S$3)*(OFFSET(ListeB,,1)='recap S1'!S$2)),"")</f>
        <v/>
      </c>
      <c r="T128" s="32" t="str">
        <f ca="1">IF(SUMPRODUCT((ListeB='recap S1'!$B128)*(OFFSET(ListeB,,4)='recap S1'!T$3)*(OFFSET(ListeB,,1)='recap S1'!T$2))&gt;0,SUMPRODUCT((ListeB='recap S1'!$B128)*(OFFSET(ListeB,,4)='recap S1'!T$3)*(OFFSET(ListeB,,1)='recap S1'!T$2)),"")</f>
        <v/>
      </c>
      <c r="U128" s="32" t="str">
        <f ca="1">IF(SUMPRODUCT((ListeB='recap S1'!$B128)*(OFFSET(ListeB,,4)='recap S1'!U$3)*(OFFSET(ListeB,,1)='recap S1'!U$2))&gt;0,SUMPRODUCT((ListeB='recap S1'!$B128)*(OFFSET(ListeB,,4)='recap S1'!U$3)*(OFFSET(ListeB,,1)='recap S1'!U$2)),"")</f>
        <v/>
      </c>
      <c r="V128" s="32"/>
      <c r="W128" s="32" t="str">
        <f ca="1">IF(SUMPRODUCT((ListeB='recap S1'!$B128)*(OFFSET(ListeB,,4)='recap S1'!W$3)*(OFFSET(ListeB,,1)='recap S1'!W$2))&gt;0,SUMPRODUCT((ListeB='recap S1'!$B128)*(OFFSET(ListeB,,4)='recap S1'!W$3)*(OFFSET(ListeB,,1)='recap S1'!W$2)),"")</f>
        <v/>
      </c>
      <c r="X128" s="32"/>
      <c r="Y128" s="32" t="str">
        <f ca="1">IF(SUMPRODUCT((ListeB='recap S1'!$B128)*(OFFSET(ListeB,,4)='recap S1'!Y$3)*(OFFSET(ListeB,,1)='recap S1'!Y$2))&gt;0,SUMPRODUCT((ListeB='recap S1'!$B128)*(OFFSET(ListeB,,4)='recap S1'!Y$3)*(OFFSET(ListeB,,1)='recap S1'!Y$2)),"")</f>
        <v/>
      </c>
      <c r="Z128" s="32" t="str">
        <f ca="1">IF(SUMPRODUCT((ListeB='recap S1'!$B128)*(OFFSET(ListeB,,4)='recap S1'!Z$3)*(OFFSET(ListeB,,1)='recap S1'!Z$2))&gt;0,SUMPRODUCT((ListeB='recap S1'!$B128)*(OFFSET(ListeB,,4)='recap S1'!Z$3)*(OFFSET(ListeB,,1)='recap S1'!Z$2)),"")</f>
        <v/>
      </c>
      <c r="AA128" s="32" t="str">
        <f ca="1">IF(SUMPRODUCT((ListeB='recap S1'!$B128)*(OFFSET(ListeB,,4)='recap S1'!AA$3)*(OFFSET(ListeB,,1)='recap S1'!AA$2))&gt;0,SUMPRODUCT((ListeB='recap S1'!$B128)*(OFFSET(ListeB,,4)='recap S1'!AA$3)*(OFFSET(ListeB,,1)='recap S1'!AA$2)),"")</f>
        <v/>
      </c>
      <c r="AB128" s="32"/>
      <c r="AC128" s="32" t="str">
        <f ca="1">IF(SUMPRODUCT((ListeB='recap S1'!$B128)*(OFFSET(ListeB,,4)='recap S1'!AC$3)*(OFFSET(ListeB,,1)='recap S1'!AC$2))&gt;0,SUMPRODUCT((ListeB='recap S1'!$B128)*(OFFSET(ListeB,,4)='recap S1'!AC$3)*(OFFSET(ListeB,,1)='recap S1'!AC$2)),"")</f>
        <v/>
      </c>
      <c r="AD128" s="32"/>
      <c r="AE128" s="32" t="str">
        <f ca="1">IF(SUMPRODUCT((ListeB='recap S1'!$B128)*(OFFSET(ListeB,,4)='recap S1'!AE$3)*(OFFSET(ListeB,,1)='recap S1'!AE$2))&gt;0,SUMPRODUCT((ListeB='recap S1'!$B128)*(OFFSET(ListeB,,4)='recap S1'!AE$3)*(OFFSET(ListeB,,1)='recap S1'!AE$2)),"")</f>
        <v/>
      </c>
      <c r="AF128" s="32" t="str">
        <f ca="1">IF(SUMPRODUCT((ListeB='recap S1'!$B128)*(OFFSET(ListeB,,4)='recap S1'!AF$3)*(OFFSET(ListeB,,1)='recap S1'!AF$2))&gt;0,SUMPRODUCT((ListeB='recap S1'!$B128)*(OFFSET(ListeB,,4)='recap S1'!AF$3)*(OFFSET(ListeB,,1)='recap S1'!AF$2)),"")</f>
        <v/>
      </c>
      <c r="AG128" s="32"/>
      <c r="AH128" s="32" t="str">
        <f ca="1">IF(SUMPRODUCT((ListeB='recap S1'!$B128)*(OFFSET(ListeB,,4)='recap S1'!AH$3)*(OFFSET(ListeB,,1)='recap S1'!AH$2))&gt;0,SUMPRODUCT((ListeB='recap S1'!$B128)*(OFFSET(ListeB,,4)='recap S1'!AH$3)*(OFFSET(ListeB,,1)='recap S1'!AH$2)),"")</f>
        <v/>
      </c>
      <c r="AI128" s="32" t="str">
        <f ca="1">IF(SUMPRODUCT((ListeB='recap S1'!$B128)*(OFFSET(ListeB,,4)='recap S1'!AI$3)*(OFFSET(ListeB,,1)='recap S1'!AI$2))&gt;0,SUMPRODUCT((ListeB='recap S1'!$B128)*(OFFSET(ListeB,,4)='recap S1'!AI$3)*(OFFSET(ListeB,,1)='recap S1'!AI$2)),"")</f>
        <v/>
      </c>
      <c r="AJ128" s="32" t="str">
        <f ca="1">IF(SUMPRODUCT((ListeB='recap S1'!$B128)*(OFFSET(ListeB,,4)='recap S1'!AJ$3)*(OFFSET(ListeB,,1)='recap S1'!AJ$2))&gt;0,SUMPRODUCT((ListeB='recap S1'!$B128)*(OFFSET(ListeB,,4)='recap S1'!AJ$3)*(OFFSET(ListeB,,1)='recap S1'!AJ$2)),"")</f>
        <v/>
      </c>
      <c r="AK128" s="32"/>
      <c r="AL128" s="32" t="str">
        <f ca="1">IF(SUMPRODUCT((ListeB='recap S1'!$B128)*(OFFSET(ListeB,,4)='recap S1'!AL$3)*(OFFSET(ListeB,,1)='recap S1'!AL$2))&gt;0,SUMPRODUCT((ListeB='recap S1'!$B128)*(OFFSET(ListeB,,4)='recap S1'!AL$3)*(OFFSET(ListeB,,1)='recap S1'!AL$2)),"")</f>
        <v/>
      </c>
      <c r="AM128" s="32"/>
      <c r="AN128" s="32" t="str">
        <f ca="1">IF(SUMPRODUCT((ListeB='recap S1'!$B128)*(OFFSET(ListeB,,4)='recap S1'!AN$3)*(OFFSET(ListeB,,1)='recap S1'!AN$2))&gt;0,SUMPRODUCT((ListeB='recap S1'!$B128)*(OFFSET(ListeB,,4)='recap S1'!AN$3)*(OFFSET(ListeB,,1)='recap S1'!AN$2)),"")</f>
        <v/>
      </c>
      <c r="AO128" s="32" t="str">
        <f ca="1">IF(SUMPRODUCT((ListeB='recap S1'!$B128)*(OFFSET(ListeB,,4)='recap S1'!AO$3)*(OFFSET(ListeB,,1)='recap S1'!AO$2))&gt;0,SUMPRODUCT((ListeB='recap S1'!$B128)*(OFFSET(ListeB,,4)='recap S1'!AO$3)*(OFFSET(ListeB,,1)='recap S1'!AO$2)),"")</f>
        <v/>
      </c>
      <c r="AP128" s="32"/>
      <c r="AQ128" s="32"/>
      <c r="AR128" s="32"/>
      <c r="AS128" s="32" t="str">
        <f ca="1">IF(SUMPRODUCT((ListeB='recap S1'!$B128)*(OFFSET(ListeB,,4)='recap S1'!AS$3)*(OFFSET(ListeB,,1)='recap S1'!AS$2))&gt;0,SUMPRODUCT((ListeB='recap S1'!$B128)*(OFFSET(ListeB,,4)='recap S1'!AS$3)*(OFFSET(ListeB,,1)='recap S1'!AS$2)),"")</f>
        <v/>
      </c>
      <c r="AT128" s="32" t="str">
        <f ca="1">IF(SUMPRODUCT((ListeB='recap S1'!$B128)*(OFFSET(ListeB,,4)='recap S1'!AT$3)*(OFFSET(ListeB,,1)='recap S1'!AT$2))&gt;0,SUMPRODUCT((ListeB='recap S1'!$B128)*(OFFSET(ListeB,,4)='recap S1'!AT$3)*(OFFSET(ListeB,,1)='recap S1'!AT$2)),"")</f>
        <v/>
      </c>
      <c r="AU128" s="32"/>
      <c r="AV128" s="32" t="str">
        <f ca="1">IF(SUMPRODUCT((ListeB='recap S1'!$B128)*(OFFSET(ListeB,,4)='recap S1'!AV$3)*(OFFSET(ListeB,,1)='recap S1'!AV$2))&gt;0,SUMPRODUCT((ListeB='recap S1'!$B128)*(OFFSET(ListeB,,4)='recap S1'!AV$3)*(OFFSET(ListeB,,1)='recap S1'!AV$2)),"")</f>
        <v/>
      </c>
      <c r="AW128" s="32" t="str">
        <f ca="1">IF(SUMPRODUCT((ListeB='recap S1'!$B128)*(OFFSET(ListeB,,4)='recap S1'!AW$3)*(OFFSET(ListeB,,1)='recap S1'!AW$2))&gt;0,SUMPRODUCT((ListeB='recap S1'!$B128)*(OFFSET(ListeB,,4)='recap S1'!AW$3)*(OFFSET(ListeB,,1)='recap S1'!AW$2)),"")</f>
        <v/>
      </c>
      <c r="AX128" s="32" t="str">
        <f ca="1">IF(SUMPRODUCT((ListeB='recap S1'!$B128)*(OFFSET(ListeB,,4)='recap S1'!AX$3)*(OFFSET(ListeB,,1)='recap S1'!AX$2))&gt;0,SUMPRODUCT((ListeB='recap S1'!$B128)*(OFFSET(ListeB,,4)='recap S1'!AX$3)*(OFFSET(ListeB,,1)='recap S1'!AX$2)),"")</f>
        <v/>
      </c>
      <c r="AY128" s="34"/>
      <c r="AZ128" s="32">
        <f t="shared" ca="1" si="3"/>
        <v>0</v>
      </c>
    </row>
    <row r="129" spans="1:52">
      <c r="A129" s="41" t="str">
        <f>IF('SEANCE 1'!$B127&lt;&gt;"",'SEANCE 1'!$A127,"")</f>
        <v/>
      </c>
      <c r="B129" s="41" t="str">
        <f t="array" aca="1" ref="B129" ca="1">IF(ISNA(INDEX(ListeB,MATCH(0,COUNTIF($B$3:B128,ListeB),0))),"",INDEX(ListeB,MATCH(0,COUNTIF($B$3:B128,ListeB),0)))</f>
        <v/>
      </c>
      <c r="C129" s="32" t="str">
        <f ca="1">IF(SUMPRODUCT((ListeB='recap S1'!$B129)*(OFFSET(ListeB,,4)='recap S1'!C$3)*(OFFSET(ListeB,,1)='recap S1'!C$2))&gt;0,SUMPRODUCT((ListeB='recap S1'!$B129)*(OFFSET(ListeB,,4)='recap S1'!C$3)*(OFFSET(ListeB,,1)='recap S1'!C$2)),"")</f>
        <v/>
      </c>
      <c r="D129" s="32" t="str">
        <f ca="1">IF(SUMPRODUCT((ListeB='recap S1'!$B129)*(OFFSET(ListeB,,4)='recap S1'!D$3)*(OFFSET(ListeB,,1)='recap S1'!D$2))&gt;0,SUMPRODUCT((ListeB='recap S1'!$B129)*(OFFSET(ListeB,,4)='recap S1'!D$3)*(OFFSET(ListeB,,1)='recap S1'!D$2)),"")</f>
        <v/>
      </c>
      <c r="E129" s="32"/>
      <c r="F129" s="32" t="str">
        <f ca="1">IF(SUMPRODUCT((ListeB='recap S1'!$B129)*(OFFSET(ListeB,,4)='recap S1'!F$3)*(OFFSET(ListeB,,1)='recap S1'!F$2))&gt;0,SUMPRODUCT((ListeB='recap S1'!$B129)*(OFFSET(ListeB,,4)='recap S1'!F$3)*(OFFSET(ListeB,,1)='recap S1'!F$2)),"")</f>
        <v/>
      </c>
      <c r="G129" s="32" t="str">
        <f ca="1">IF(SUMPRODUCT((ListeB='recap S1'!$B129)*(OFFSET(ListeB,,4)='recap S1'!G$3)*(OFFSET(ListeB,,1)='recap S1'!G$2))&gt;0,SUMPRODUCT((ListeB='recap S1'!$B129)*(OFFSET(ListeB,,4)='recap S1'!G$3)*(OFFSET(ListeB,,1)='recap S1'!G$2)),"")</f>
        <v/>
      </c>
      <c r="H129" s="32"/>
      <c r="I129" s="32" t="str">
        <f ca="1">IF(SUMPRODUCT((ListeB='recap S1'!$B129)*(OFFSET(ListeB,,4)='recap S1'!I$3)*(OFFSET(ListeB,,1)='recap S1'!I$2))&gt;0,SUMPRODUCT((ListeB='recap S1'!$B129)*(OFFSET(ListeB,,4)='recap S1'!I$3)*(OFFSET(ListeB,,1)='recap S1'!I$2)),"")</f>
        <v/>
      </c>
      <c r="J129" s="32" t="str">
        <f ca="1">IF(SUMPRODUCT((ListeB='recap S1'!$B129)*(OFFSET(ListeB,,4)='recap S1'!J$3)*(OFFSET(ListeB,,1)='recap S1'!J$2))&gt;0,SUMPRODUCT((ListeB='recap S1'!$B129)*(OFFSET(ListeB,,4)='recap S1'!J$3)*(OFFSET(ListeB,,1)='recap S1'!J$2)),"")</f>
        <v/>
      </c>
      <c r="K129" s="32" t="str">
        <f ca="1">IF(SUMPRODUCT((ListeB='recap S1'!$B129)*(OFFSET(ListeB,,4)='recap S1'!K$3)*(OFFSET(ListeB,,1)='recap S1'!K$2))&gt;0,SUMPRODUCT((ListeB='recap S1'!$B129)*(OFFSET(ListeB,,4)='recap S1'!K$3)*(OFFSET(ListeB,,1)='recap S1'!K$2)),"")</f>
        <v/>
      </c>
      <c r="L129" s="32"/>
      <c r="M129" s="32" t="str">
        <f ca="1">IF(SUMPRODUCT((ListeB='recap S1'!$B129)*(OFFSET(ListeB,,4)='recap S1'!M$3)*(OFFSET(ListeB,,1)='recap S1'!M$2))&gt;0,SUMPRODUCT((ListeB='recap S1'!$B129)*(OFFSET(ListeB,,4)='recap S1'!M$3)*(OFFSET(ListeB,,1)='recap S1'!M$2)),"")</f>
        <v/>
      </c>
      <c r="N129" s="32" t="str">
        <f ca="1">IF(SUMPRODUCT((ListeB='recap S1'!$B129)*(OFFSET(ListeB,,4)='recap S1'!N$3)*(OFFSET(ListeB,,1)='recap S1'!N$2))&gt;0,SUMPRODUCT((ListeB='recap S1'!$B129)*(OFFSET(ListeB,,4)='recap S1'!N$3)*(OFFSET(ListeB,,1)='recap S1'!N$2)),"")</f>
        <v/>
      </c>
      <c r="O129" s="32"/>
      <c r="P129" s="32" t="str">
        <f ca="1">IF(SUMPRODUCT((ListeB='recap S1'!$B129)*(OFFSET(ListeB,,4)='recap S1'!P$3)*(OFFSET(ListeB,,1)='recap S1'!P$2))&gt;0,SUMPRODUCT((ListeB='recap S1'!$B129)*(OFFSET(ListeB,,4)='recap S1'!P$3)*(OFFSET(ListeB,,1)='recap S1'!P$2)),"")</f>
        <v/>
      </c>
      <c r="Q129" s="32" t="str">
        <f ca="1">IF(SUMPRODUCT((ListeB='recap S1'!$B129)*(OFFSET(ListeB,,4)='recap S1'!Q$3)*(OFFSET(ListeB,,1)='recap S1'!Q$2))&gt;0,SUMPRODUCT((ListeB='recap S1'!$B129)*(OFFSET(ListeB,,4)='recap S1'!Q$3)*(OFFSET(ListeB,,1)='recap S1'!Q$2)),"")</f>
        <v/>
      </c>
      <c r="R129" s="32"/>
      <c r="S129" s="32" t="str">
        <f ca="1">IF(SUMPRODUCT((ListeB='recap S1'!$B129)*(OFFSET(ListeB,,4)='recap S1'!S$3)*(OFFSET(ListeB,,1)='recap S1'!S$2))&gt;0,SUMPRODUCT((ListeB='recap S1'!$B129)*(OFFSET(ListeB,,4)='recap S1'!S$3)*(OFFSET(ListeB,,1)='recap S1'!S$2)),"")</f>
        <v/>
      </c>
      <c r="T129" s="32" t="str">
        <f ca="1">IF(SUMPRODUCT((ListeB='recap S1'!$B129)*(OFFSET(ListeB,,4)='recap S1'!T$3)*(OFFSET(ListeB,,1)='recap S1'!T$2))&gt;0,SUMPRODUCT((ListeB='recap S1'!$B129)*(OFFSET(ListeB,,4)='recap S1'!T$3)*(OFFSET(ListeB,,1)='recap S1'!T$2)),"")</f>
        <v/>
      </c>
      <c r="U129" s="32" t="str">
        <f ca="1">IF(SUMPRODUCT((ListeB='recap S1'!$B129)*(OFFSET(ListeB,,4)='recap S1'!U$3)*(OFFSET(ListeB,,1)='recap S1'!U$2))&gt;0,SUMPRODUCT((ListeB='recap S1'!$B129)*(OFFSET(ListeB,,4)='recap S1'!U$3)*(OFFSET(ListeB,,1)='recap S1'!U$2)),"")</f>
        <v/>
      </c>
      <c r="V129" s="32"/>
      <c r="W129" s="32" t="str">
        <f ca="1">IF(SUMPRODUCT((ListeB='recap S1'!$B129)*(OFFSET(ListeB,,4)='recap S1'!W$3)*(OFFSET(ListeB,,1)='recap S1'!W$2))&gt;0,SUMPRODUCT((ListeB='recap S1'!$B129)*(OFFSET(ListeB,,4)='recap S1'!W$3)*(OFFSET(ListeB,,1)='recap S1'!W$2)),"")</f>
        <v/>
      </c>
      <c r="X129" s="32"/>
      <c r="Y129" s="32" t="str">
        <f ca="1">IF(SUMPRODUCT((ListeB='recap S1'!$B129)*(OFFSET(ListeB,,4)='recap S1'!Y$3)*(OFFSET(ListeB,,1)='recap S1'!Y$2))&gt;0,SUMPRODUCT((ListeB='recap S1'!$B129)*(OFFSET(ListeB,,4)='recap S1'!Y$3)*(OFFSET(ListeB,,1)='recap S1'!Y$2)),"")</f>
        <v/>
      </c>
      <c r="Z129" s="32" t="str">
        <f ca="1">IF(SUMPRODUCT((ListeB='recap S1'!$B129)*(OFFSET(ListeB,,4)='recap S1'!Z$3)*(OFFSET(ListeB,,1)='recap S1'!Z$2))&gt;0,SUMPRODUCT((ListeB='recap S1'!$B129)*(OFFSET(ListeB,,4)='recap S1'!Z$3)*(OFFSET(ListeB,,1)='recap S1'!Z$2)),"")</f>
        <v/>
      </c>
      <c r="AA129" s="32" t="str">
        <f ca="1">IF(SUMPRODUCT((ListeB='recap S1'!$B129)*(OFFSET(ListeB,,4)='recap S1'!AA$3)*(OFFSET(ListeB,,1)='recap S1'!AA$2))&gt;0,SUMPRODUCT((ListeB='recap S1'!$B129)*(OFFSET(ListeB,,4)='recap S1'!AA$3)*(OFFSET(ListeB,,1)='recap S1'!AA$2)),"")</f>
        <v/>
      </c>
      <c r="AB129" s="32"/>
      <c r="AC129" s="32" t="str">
        <f ca="1">IF(SUMPRODUCT((ListeB='recap S1'!$B129)*(OFFSET(ListeB,,4)='recap S1'!AC$3)*(OFFSET(ListeB,,1)='recap S1'!AC$2))&gt;0,SUMPRODUCT((ListeB='recap S1'!$B129)*(OFFSET(ListeB,,4)='recap S1'!AC$3)*(OFFSET(ListeB,,1)='recap S1'!AC$2)),"")</f>
        <v/>
      </c>
      <c r="AD129" s="32"/>
      <c r="AE129" s="32" t="str">
        <f ca="1">IF(SUMPRODUCT((ListeB='recap S1'!$B129)*(OFFSET(ListeB,,4)='recap S1'!AE$3)*(OFFSET(ListeB,,1)='recap S1'!AE$2))&gt;0,SUMPRODUCT((ListeB='recap S1'!$B129)*(OFFSET(ListeB,,4)='recap S1'!AE$3)*(OFFSET(ListeB,,1)='recap S1'!AE$2)),"")</f>
        <v/>
      </c>
      <c r="AF129" s="32" t="str">
        <f ca="1">IF(SUMPRODUCT((ListeB='recap S1'!$B129)*(OFFSET(ListeB,,4)='recap S1'!AF$3)*(OFFSET(ListeB,,1)='recap S1'!AF$2))&gt;0,SUMPRODUCT((ListeB='recap S1'!$B129)*(OFFSET(ListeB,,4)='recap S1'!AF$3)*(OFFSET(ListeB,,1)='recap S1'!AF$2)),"")</f>
        <v/>
      </c>
      <c r="AG129" s="32"/>
      <c r="AH129" s="32" t="str">
        <f ca="1">IF(SUMPRODUCT((ListeB='recap S1'!$B129)*(OFFSET(ListeB,,4)='recap S1'!AH$3)*(OFFSET(ListeB,,1)='recap S1'!AH$2))&gt;0,SUMPRODUCT((ListeB='recap S1'!$B129)*(OFFSET(ListeB,,4)='recap S1'!AH$3)*(OFFSET(ListeB,,1)='recap S1'!AH$2)),"")</f>
        <v/>
      </c>
      <c r="AI129" s="32" t="str">
        <f ca="1">IF(SUMPRODUCT((ListeB='recap S1'!$B129)*(OFFSET(ListeB,,4)='recap S1'!AI$3)*(OFFSET(ListeB,,1)='recap S1'!AI$2))&gt;0,SUMPRODUCT((ListeB='recap S1'!$B129)*(OFFSET(ListeB,,4)='recap S1'!AI$3)*(OFFSET(ListeB,,1)='recap S1'!AI$2)),"")</f>
        <v/>
      </c>
      <c r="AJ129" s="32" t="str">
        <f ca="1">IF(SUMPRODUCT((ListeB='recap S1'!$B129)*(OFFSET(ListeB,,4)='recap S1'!AJ$3)*(OFFSET(ListeB,,1)='recap S1'!AJ$2))&gt;0,SUMPRODUCT((ListeB='recap S1'!$B129)*(OFFSET(ListeB,,4)='recap S1'!AJ$3)*(OFFSET(ListeB,,1)='recap S1'!AJ$2)),"")</f>
        <v/>
      </c>
      <c r="AK129" s="32"/>
      <c r="AL129" s="32" t="str">
        <f ca="1">IF(SUMPRODUCT((ListeB='recap S1'!$B129)*(OFFSET(ListeB,,4)='recap S1'!AL$3)*(OFFSET(ListeB,,1)='recap S1'!AL$2))&gt;0,SUMPRODUCT((ListeB='recap S1'!$B129)*(OFFSET(ListeB,,4)='recap S1'!AL$3)*(OFFSET(ListeB,,1)='recap S1'!AL$2)),"")</f>
        <v/>
      </c>
      <c r="AM129" s="32"/>
      <c r="AN129" s="32" t="str">
        <f ca="1">IF(SUMPRODUCT((ListeB='recap S1'!$B129)*(OFFSET(ListeB,,4)='recap S1'!AN$3)*(OFFSET(ListeB,,1)='recap S1'!AN$2))&gt;0,SUMPRODUCT((ListeB='recap S1'!$B129)*(OFFSET(ListeB,,4)='recap S1'!AN$3)*(OFFSET(ListeB,,1)='recap S1'!AN$2)),"")</f>
        <v/>
      </c>
      <c r="AO129" s="32" t="str">
        <f ca="1">IF(SUMPRODUCT((ListeB='recap S1'!$B129)*(OFFSET(ListeB,,4)='recap S1'!AO$3)*(OFFSET(ListeB,,1)='recap S1'!AO$2))&gt;0,SUMPRODUCT((ListeB='recap S1'!$B129)*(OFFSET(ListeB,,4)='recap S1'!AO$3)*(OFFSET(ListeB,,1)='recap S1'!AO$2)),"")</f>
        <v/>
      </c>
      <c r="AP129" s="32"/>
      <c r="AQ129" s="32"/>
      <c r="AR129" s="32"/>
      <c r="AS129" s="32" t="str">
        <f ca="1">IF(SUMPRODUCT((ListeB='recap S1'!$B129)*(OFFSET(ListeB,,4)='recap S1'!AS$3)*(OFFSET(ListeB,,1)='recap S1'!AS$2))&gt;0,SUMPRODUCT((ListeB='recap S1'!$B129)*(OFFSET(ListeB,,4)='recap S1'!AS$3)*(OFFSET(ListeB,,1)='recap S1'!AS$2)),"")</f>
        <v/>
      </c>
      <c r="AT129" s="32" t="str">
        <f ca="1">IF(SUMPRODUCT((ListeB='recap S1'!$B129)*(OFFSET(ListeB,,4)='recap S1'!AT$3)*(OFFSET(ListeB,,1)='recap S1'!AT$2))&gt;0,SUMPRODUCT((ListeB='recap S1'!$B129)*(OFFSET(ListeB,,4)='recap S1'!AT$3)*(OFFSET(ListeB,,1)='recap S1'!AT$2)),"")</f>
        <v/>
      </c>
      <c r="AU129" s="32"/>
      <c r="AV129" s="32" t="str">
        <f ca="1">IF(SUMPRODUCT((ListeB='recap S1'!$B129)*(OFFSET(ListeB,,4)='recap S1'!AV$3)*(OFFSET(ListeB,,1)='recap S1'!AV$2))&gt;0,SUMPRODUCT((ListeB='recap S1'!$B129)*(OFFSET(ListeB,,4)='recap S1'!AV$3)*(OFFSET(ListeB,,1)='recap S1'!AV$2)),"")</f>
        <v/>
      </c>
      <c r="AW129" s="32" t="str">
        <f ca="1">IF(SUMPRODUCT((ListeB='recap S1'!$B129)*(OFFSET(ListeB,,4)='recap S1'!AW$3)*(OFFSET(ListeB,,1)='recap S1'!AW$2))&gt;0,SUMPRODUCT((ListeB='recap S1'!$B129)*(OFFSET(ListeB,,4)='recap S1'!AW$3)*(OFFSET(ListeB,,1)='recap S1'!AW$2)),"")</f>
        <v/>
      </c>
      <c r="AX129" s="32" t="str">
        <f ca="1">IF(SUMPRODUCT((ListeB='recap S1'!$B129)*(OFFSET(ListeB,,4)='recap S1'!AX$3)*(OFFSET(ListeB,,1)='recap S1'!AX$2))&gt;0,SUMPRODUCT((ListeB='recap S1'!$B129)*(OFFSET(ListeB,,4)='recap S1'!AX$3)*(OFFSET(ListeB,,1)='recap S1'!AX$2)),"")</f>
        <v/>
      </c>
      <c r="AY129" s="34"/>
      <c r="AZ129" s="32">
        <f t="shared" ca="1" si="3"/>
        <v>0</v>
      </c>
    </row>
    <row r="130" spans="1:52">
      <c r="A130" s="41" t="str">
        <f>IF('SEANCE 1'!$B128&lt;&gt;"",'SEANCE 1'!$A128,"")</f>
        <v/>
      </c>
      <c r="B130" s="41" t="str">
        <f t="array" aca="1" ref="B130" ca="1">IF(ISNA(INDEX(ListeB,MATCH(0,COUNTIF($B$3:B129,ListeB),0))),"",INDEX(ListeB,MATCH(0,COUNTIF($B$3:B129,ListeB),0)))</f>
        <v/>
      </c>
      <c r="C130" s="32" t="str">
        <f ca="1">IF(SUMPRODUCT((ListeB='recap S1'!$B130)*(OFFSET(ListeB,,4)='recap S1'!C$3)*(OFFSET(ListeB,,1)='recap S1'!C$2))&gt;0,SUMPRODUCT((ListeB='recap S1'!$B130)*(OFFSET(ListeB,,4)='recap S1'!C$3)*(OFFSET(ListeB,,1)='recap S1'!C$2)),"")</f>
        <v/>
      </c>
      <c r="D130" s="32" t="str">
        <f ca="1">IF(SUMPRODUCT((ListeB='recap S1'!$B130)*(OFFSET(ListeB,,4)='recap S1'!D$3)*(OFFSET(ListeB,,1)='recap S1'!D$2))&gt;0,SUMPRODUCT((ListeB='recap S1'!$B130)*(OFFSET(ListeB,,4)='recap S1'!D$3)*(OFFSET(ListeB,,1)='recap S1'!D$2)),"")</f>
        <v/>
      </c>
      <c r="E130" s="32"/>
      <c r="F130" s="32" t="str">
        <f ca="1">IF(SUMPRODUCT((ListeB='recap S1'!$B130)*(OFFSET(ListeB,,4)='recap S1'!F$3)*(OFFSET(ListeB,,1)='recap S1'!F$2))&gt;0,SUMPRODUCT((ListeB='recap S1'!$B130)*(OFFSET(ListeB,,4)='recap S1'!F$3)*(OFFSET(ListeB,,1)='recap S1'!F$2)),"")</f>
        <v/>
      </c>
      <c r="G130" s="32" t="str">
        <f ca="1">IF(SUMPRODUCT((ListeB='recap S1'!$B130)*(OFFSET(ListeB,,4)='recap S1'!G$3)*(OFFSET(ListeB,,1)='recap S1'!G$2))&gt;0,SUMPRODUCT((ListeB='recap S1'!$B130)*(OFFSET(ListeB,,4)='recap S1'!G$3)*(OFFSET(ListeB,,1)='recap S1'!G$2)),"")</f>
        <v/>
      </c>
      <c r="H130" s="32"/>
      <c r="I130" s="32" t="str">
        <f ca="1">IF(SUMPRODUCT((ListeB='recap S1'!$B130)*(OFFSET(ListeB,,4)='recap S1'!I$3)*(OFFSET(ListeB,,1)='recap S1'!I$2))&gt;0,SUMPRODUCT((ListeB='recap S1'!$B130)*(OFFSET(ListeB,,4)='recap S1'!I$3)*(OFFSET(ListeB,,1)='recap S1'!I$2)),"")</f>
        <v/>
      </c>
      <c r="J130" s="32" t="str">
        <f ca="1">IF(SUMPRODUCT((ListeB='recap S1'!$B130)*(OFFSET(ListeB,,4)='recap S1'!J$3)*(OFFSET(ListeB,,1)='recap S1'!J$2))&gt;0,SUMPRODUCT((ListeB='recap S1'!$B130)*(OFFSET(ListeB,,4)='recap S1'!J$3)*(OFFSET(ListeB,,1)='recap S1'!J$2)),"")</f>
        <v/>
      </c>
      <c r="K130" s="32" t="str">
        <f ca="1">IF(SUMPRODUCT((ListeB='recap S1'!$B130)*(OFFSET(ListeB,,4)='recap S1'!K$3)*(OFFSET(ListeB,,1)='recap S1'!K$2))&gt;0,SUMPRODUCT((ListeB='recap S1'!$B130)*(OFFSET(ListeB,,4)='recap S1'!K$3)*(OFFSET(ListeB,,1)='recap S1'!K$2)),"")</f>
        <v/>
      </c>
      <c r="L130" s="32"/>
      <c r="M130" s="32" t="str">
        <f ca="1">IF(SUMPRODUCT((ListeB='recap S1'!$B130)*(OFFSET(ListeB,,4)='recap S1'!M$3)*(OFFSET(ListeB,,1)='recap S1'!M$2))&gt;0,SUMPRODUCT((ListeB='recap S1'!$B130)*(OFFSET(ListeB,,4)='recap S1'!M$3)*(OFFSET(ListeB,,1)='recap S1'!M$2)),"")</f>
        <v/>
      </c>
      <c r="N130" s="32" t="str">
        <f ca="1">IF(SUMPRODUCT((ListeB='recap S1'!$B130)*(OFFSET(ListeB,,4)='recap S1'!N$3)*(OFFSET(ListeB,,1)='recap S1'!N$2))&gt;0,SUMPRODUCT((ListeB='recap S1'!$B130)*(OFFSET(ListeB,,4)='recap S1'!N$3)*(OFFSET(ListeB,,1)='recap S1'!N$2)),"")</f>
        <v/>
      </c>
      <c r="O130" s="32"/>
      <c r="P130" s="32" t="str">
        <f ca="1">IF(SUMPRODUCT((ListeB='recap S1'!$B130)*(OFFSET(ListeB,,4)='recap S1'!P$3)*(OFFSET(ListeB,,1)='recap S1'!P$2))&gt;0,SUMPRODUCT((ListeB='recap S1'!$B130)*(OFFSET(ListeB,,4)='recap S1'!P$3)*(OFFSET(ListeB,,1)='recap S1'!P$2)),"")</f>
        <v/>
      </c>
      <c r="Q130" s="32" t="str">
        <f ca="1">IF(SUMPRODUCT((ListeB='recap S1'!$B130)*(OFFSET(ListeB,,4)='recap S1'!Q$3)*(OFFSET(ListeB,,1)='recap S1'!Q$2))&gt;0,SUMPRODUCT((ListeB='recap S1'!$B130)*(OFFSET(ListeB,,4)='recap S1'!Q$3)*(OFFSET(ListeB,,1)='recap S1'!Q$2)),"")</f>
        <v/>
      </c>
      <c r="R130" s="32"/>
      <c r="S130" s="32" t="str">
        <f ca="1">IF(SUMPRODUCT((ListeB='recap S1'!$B130)*(OFFSET(ListeB,,4)='recap S1'!S$3)*(OFFSET(ListeB,,1)='recap S1'!S$2))&gt;0,SUMPRODUCT((ListeB='recap S1'!$B130)*(OFFSET(ListeB,,4)='recap S1'!S$3)*(OFFSET(ListeB,,1)='recap S1'!S$2)),"")</f>
        <v/>
      </c>
      <c r="T130" s="32" t="str">
        <f ca="1">IF(SUMPRODUCT((ListeB='recap S1'!$B130)*(OFFSET(ListeB,,4)='recap S1'!T$3)*(OFFSET(ListeB,,1)='recap S1'!T$2))&gt;0,SUMPRODUCT((ListeB='recap S1'!$B130)*(OFFSET(ListeB,,4)='recap S1'!T$3)*(OFFSET(ListeB,,1)='recap S1'!T$2)),"")</f>
        <v/>
      </c>
      <c r="U130" s="32" t="str">
        <f ca="1">IF(SUMPRODUCT((ListeB='recap S1'!$B130)*(OFFSET(ListeB,,4)='recap S1'!U$3)*(OFFSET(ListeB,,1)='recap S1'!U$2))&gt;0,SUMPRODUCT((ListeB='recap S1'!$B130)*(OFFSET(ListeB,,4)='recap S1'!U$3)*(OFFSET(ListeB,,1)='recap S1'!U$2)),"")</f>
        <v/>
      </c>
      <c r="V130" s="32"/>
      <c r="W130" s="32" t="str">
        <f ca="1">IF(SUMPRODUCT((ListeB='recap S1'!$B130)*(OFFSET(ListeB,,4)='recap S1'!W$3)*(OFFSET(ListeB,,1)='recap S1'!W$2))&gt;0,SUMPRODUCT((ListeB='recap S1'!$B130)*(OFFSET(ListeB,,4)='recap S1'!W$3)*(OFFSET(ListeB,,1)='recap S1'!W$2)),"")</f>
        <v/>
      </c>
      <c r="X130" s="32"/>
      <c r="Y130" s="32" t="str">
        <f ca="1">IF(SUMPRODUCT((ListeB='recap S1'!$B130)*(OFFSET(ListeB,,4)='recap S1'!Y$3)*(OFFSET(ListeB,,1)='recap S1'!Y$2))&gt;0,SUMPRODUCT((ListeB='recap S1'!$B130)*(OFFSET(ListeB,,4)='recap S1'!Y$3)*(OFFSET(ListeB,,1)='recap S1'!Y$2)),"")</f>
        <v/>
      </c>
      <c r="Z130" s="32" t="str">
        <f ca="1">IF(SUMPRODUCT((ListeB='recap S1'!$B130)*(OFFSET(ListeB,,4)='recap S1'!Z$3)*(OFFSET(ListeB,,1)='recap S1'!Z$2))&gt;0,SUMPRODUCT((ListeB='recap S1'!$B130)*(OFFSET(ListeB,,4)='recap S1'!Z$3)*(OFFSET(ListeB,,1)='recap S1'!Z$2)),"")</f>
        <v/>
      </c>
      <c r="AA130" s="32" t="str">
        <f ca="1">IF(SUMPRODUCT((ListeB='recap S1'!$B130)*(OFFSET(ListeB,,4)='recap S1'!AA$3)*(OFFSET(ListeB,,1)='recap S1'!AA$2))&gt;0,SUMPRODUCT((ListeB='recap S1'!$B130)*(OFFSET(ListeB,,4)='recap S1'!AA$3)*(OFFSET(ListeB,,1)='recap S1'!AA$2)),"")</f>
        <v/>
      </c>
      <c r="AB130" s="32"/>
      <c r="AC130" s="32" t="str">
        <f ca="1">IF(SUMPRODUCT((ListeB='recap S1'!$B130)*(OFFSET(ListeB,,4)='recap S1'!AC$3)*(OFFSET(ListeB,,1)='recap S1'!AC$2))&gt;0,SUMPRODUCT((ListeB='recap S1'!$B130)*(OFFSET(ListeB,,4)='recap S1'!AC$3)*(OFFSET(ListeB,,1)='recap S1'!AC$2)),"")</f>
        <v/>
      </c>
      <c r="AD130" s="32"/>
      <c r="AE130" s="32" t="str">
        <f ca="1">IF(SUMPRODUCT((ListeB='recap S1'!$B130)*(OFFSET(ListeB,,4)='recap S1'!AE$3)*(OFFSET(ListeB,,1)='recap S1'!AE$2))&gt;0,SUMPRODUCT((ListeB='recap S1'!$B130)*(OFFSET(ListeB,,4)='recap S1'!AE$3)*(OFFSET(ListeB,,1)='recap S1'!AE$2)),"")</f>
        <v/>
      </c>
      <c r="AF130" s="32" t="str">
        <f ca="1">IF(SUMPRODUCT((ListeB='recap S1'!$B130)*(OFFSET(ListeB,,4)='recap S1'!AF$3)*(OFFSET(ListeB,,1)='recap S1'!AF$2))&gt;0,SUMPRODUCT((ListeB='recap S1'!$B130)*(OFFSET(ListeB,,4)='recap S1'!AF$3)*(OFFSET(ListeB,,1)='recap S1'!AF$2)),"")</f>
        <v/>
      </c>
      <c r="AG130" s="32"/>
      <c r="AH130" s="32" t="str">
        <f ca="1">IF(SUMPRODUCT((ListeB='recap S1'!$B130)*(OFFSET(ListeB,,4)='recap S1'!AH$3)*(OFFSET(ListeB,,1)='recap S1'!AH$2))&gt;0,SUMPRODUCT((ListeB='recap S1'!$B130)*(OFFSET(ListeB,,4)='recap S1'!AH$3)*(OFFSET(ListeB,,1)='recap S1'!AH$2)),"")</f>
        <v/>
      </c>
      <c r="AI130" s="32" t="str">
        <f ca="1">IF(SUMPRODUCT((ListeB='recap S1'!$B130)*(OFFSET(ListeB,,4)='recap S1'!AI$3)*(OFFSET(ListeB,,1)='recap S1'!AI$2))&gt;0,SUMPRODUCT((ListeB='recap S1'!$B130)*(OFFSET(ListeB,,4)='recap S1'!AI$3)*(OFFSET(ListeB,,1)='recap S1'!AI$2)),"")</f>
        <v/>
      </c>
      <c r="AJ130" s="32" t="str">
        <f ca="1">IF(SUMPRODUCT((ListeB='recap S1'!$B130)*(OFFSET(ListeB,,4)='recap S1'!AJ$3)*(OFFSET(ListeB,,1)='recap S1'!AJ$2))&gt;0,SUMPRODUCT((ListeB='recap S1'!$B130)*(OFFSET(ListeB,,4)='recap S1'!AJ$3)*(OFFSET(ListeB,,1)='recap S1'!AJ$2)),"")</f>
        <v/>
      </c>
      <c r="AK130" s="32"/>
      <c r="AL130" s="32" t="str">
        <f ca="1">IF(SUMPRODUCT((ListeB='recap S1'!$B130)*(OFFSET(ListeB,,4)='recap S1'!AL$3)*(OFFSET(ListeB,,1)='recap S1'!AL$2))&gt;0,SUMPRODUCT((ListeB='recap S1'!$B130)*(OFFSET(ListeB,,4)='recap S1'!AL$3)*(OFFSET(ListeB,,1)='recap S1'!AL$2)),"")</f>
        <v/>
      </c>
      <c r="AM130" s="32"/>
      <c r="AN130" s="32" t="str">
        <f ca="1">IF(SUMPRODUCT((ListeB='recap S1'!$B130)*(OFFSET(ListeB,,4)='recap S1'!AN$3)*(OFFSET(ListeB,,1)='recap S1'!AN$2))&gt;0,SUMPRODUCT((ListeB='recap S1'!$B130)*(OFFSET(ListeB,,4)='recap S1'!AN$3)*(OFFSET(ListeB,,1)='recap S1'!AN$2)),"")</f>
        <v/>
      </c>
      <c r="AO130" s="32" t="str">
        <f ca="1">IF(SUMPRODUCT((ListeB='recap S1'!$B130)*(OFFSET(ListeB,,4)='recap S1'!AO$3)*(OFFSET(ListeB,,1)='recap S1'!AO$2))&gt;0,SUMPRODUCT((ListeB='recap S1'!$B130)*(OFFSET(ListeB,,4)='recap S1'!AO$3)*(OFFSET(ListeB,,1)='recap S1'!AO$2)),"")</f>
        <v/>
      </c>
      <c r="AP130" s="32"/>
      <c r="AQ130" s="32"/>
      <c r="AR130" s="32"/>
      <c r="AS130" s="32" t="str">
        <f ca="1">IF(SUMPRODUCT((ListeB='recap S1'!$B130)*(OFFSET(ListeB,,4)='recap S1'!AS$3)*(OFFSET(ListeB,,1)='recap S1'!AS$2))&gt;0,SUMPRODUCT((ListeB='recap S1'!$B130)*(OFFSET(ListeB,,4)='recap S1'!AS$3)*(OFFSET(ListeB,,1)='recap S1'!AS$2)),"")</f>
        <v/>
      </c>
      <c r="AT130" s="32" t="str">
        <f ca="1">IF(SUMPRODUCT((ListeB='recap S1'!$B130)*(OFFSET(ListeB,,4)='recap S1'!AT$3)*(OFFSET(ListeB,,1)='recap S1'!AT$2))&gt;0,SUMPRODUCT((ListeB='recap S1'!$B130)*(OFFSET(ListeB,,4)='recap S1'!AT$3)*(OFFSET(ListeB,,1)='recap S1'!AT$2)),"")</f>
        <v/>
      </c>
      <c r="AU130" s="32"/>
      <c r="AV130" s="32" t="str">
        <f ca="1">IF(SUMPRODUCT((ListeB='recap S1'!$B130)*(OFFSET(ListeB,,4)='recap S1'!AV$3)*(OFFSET(ListeB,,1)='recap S1'!AV$2))&gt;0,SUMPRODUCT((ListeB='recap S1'!$B130)*(OFFSET(ListeB,,4)='recap S1'!AV$3)*(OFFSET(ListeB,,1)='recap S1'!AV$2)),"")</f>
        <v/>
      </c>
      <c r="AW130" s="32" t="str">
        <f ca="1">IF(SUMPRODUCT((ListeB='recap S1'!$B130)*(OFFSET(ListeB,,4)='recap S1'!AW$3)*(OFFSET(ListeB,,1)='recap S1'!AW$2))&gt;0,SUMPRODUCT((ListeB='recap S1'!$B130)*(OFFSET(ListeB,,4)='recap S1'!AW$3)*(OFFSET(ListeB,,1)='recap S1'!AW$2)),"")</f>
        <v/>
      </c>
      <c r="AX130" s="32" t="str">
        <f ca="1">IF(SUMPRODUCT((ListeB='recap S1'!$B130)*(OFFSET(ListeB,,4)='recap S1'!AX$3)*(OFFSET(ListeB,,1)='recap S1'!AX$2))&gt;0,SUMPRODUCT((ListeB='recap S1'!$B130)*(OFFSET(ListeB,,4)='recap S1'!AX$3)*(OFFSET(ListeB,,1)='recap S1'!AX$2)),"")</f>
        <v/>
      </c>
      <c r="AY130" s="34"/>
      <c r="AZ130" s="32">
        <f t="shared" ca="1" si="3"/>
        <v>0</v>
      </c>
    </row>
    <row r="131" spans="1:52">
      <c r="A131" s="41" t="str">
        <f>IF('SEANCE 1'!$B129&lt;&gt;"",'SEANCE 1'!$A129,"")</f>
        <v/>
      </c>
      <c r="B131" s="41" t="str">
        <f t="array" aca="1" ref="B131" ca="1">IF(ISNA(INDEX(ListeB,MATCH(0,COUNTIF($B$3:B130,ListeB),0))),"",INDEX(ListeB,MATCH(0,COUNTIF($B$3:B130,ListeB),0)))</f>
        <v/>
      </c>
      <c r="C131" s="32" t="str">
        <f ca="1">IF(SUMPRODUCT((ListeB='recap S1'!$B131)*(OFFSET(ListeB,,4)='recap S1'!C$3)*(OFFSET(ListeB,,1)='recap S1'!C$2))&gt;0,SUMPRODUCT((ListeB='recap S1'!$B131)*(OFFSET(ListeB,,4)='recap S1'!C$3)*(OFFSET(ListeB,,1)='recap S1'!C$2)),"")</f>
        <v/>
      </c>
      <c r="D131" s="32" t="str">
        <f ca="1">IF(SUMPRODUCT((ListeB='recap S1'!$B131)*(OFFSET(ListeB,,4)='recap S1'!D$3)*(OFFSET(ListeB,,1)='recap S1'!D$2))&gt;0,SUMPRODUCT((ListeB='recap S1'!$B131)*(OFFSET(ListeB,,4)='recap S1'!D$3)*(OFFSET(ListeB,,1)='recap S1'!D$2)),"")</f>
        <v/>
      </c>
      <c r="E131" s="32"/>
      <c r="F131" s="32" t="str">
        <f ca="1">IF(SUMPRODUCT((ListeB='recap S1'!$B131)*(OFFSET(ListeB,,4)='recap S1'!F$3)*(OFFSET(ListeB,,1)='recap S1'!F$2))&gt;0,SUMPRODUCT((ListeB='recap S1'!$B131)*(OFFSET(ListeB,,4)='recap S1'!F$3)*(OFFSET(ListeB,,1)='recap S1'!F$2)),"")</f>
        <v/>
      </c>
      <c r="G131" s="32" t="str">
        <f ca="1">IF(SUMPRODUCT((ListeB='recap S1'!$B131)*(OFFSET(ListeB,,4)='recap S1'!G$3)*(OFFSET(ListeB,,1)='recap S1'!G$2))&gt;0,SUMPRODUCT((ListeB='recap S1'!$B131)*(OFFSET(ListeB,,4)='recap S1'!G$3)*(OFFSET(ListeB,,1)='recap S1'!G$2)),"")</f>
        <v/>
      </c>
      <c r="H131" s="32"/>
      <c r="I131" s="32" t="str">
        <f ca="1">IF(SUMPRODUCT((ListeB='recap S1'!$B131)*(OFFSET(ListeB,,4)='recap S1'!I$3)*(OFFSET(ListeB,,1)='recap S1'!I$2))&gt;0,SUMPRODUCT((ListeB='recap S1'!$B131)*(OFFSET(ListeB,,4)='recap S1'!I$3)*(OFFSET(ListeB,,1)='recap S1'!I$2)),"")</f>
        <v/>
      </c>
      <c r="J131" s="32" t="str">
        <f ca="1">IF(SUMPRODUCT((ListeB='recap S1'!$B131)*(OFFSET(ListeB,,4)='recap S1'!J$3)*(OFFSET(ListeB,,1)='recap S1'!J$2))&gt;0,SUMPRODUCT((ListeB='recap S1'!$B131)*(OFFSET(ListeB,,4)='recap S1'!J$3)*(OFFSET(ListeB,,1)='recap S1'!J$2)),"")</f>
        <v/>
      </c>
      <c r="K131" s="32" t="str">
        <f ca="1">IF(SUMPRODUCT((ListeB='recap S1'!$B131)*(OFFSET(ListeB,,4)='recap S1'!K$3)*(OFFSET(ListeB,,1)='recap S1'!K$2))&gt;0,SUMPRODUCT((ListeB='recap S1'!$B131)*(OFFSET(ListeB,,4)='recap S1'!K$3)*(OFFSET(ListeB,,1)='recap S1'!K$2)),"")</f>
        <v/>
      </c>
      <c r="L131" s="32"/>
      <c r="M131" s="32" t="str">
        <f ca="1">IF(SUMPRODUCT((ListeB='recap S1'!$B131)*(OFFSET(ListeB,,4)='recap S1'!M$3)*(OFFSET(ListeB,,1)='recap S1'!M$2))&gt;0,SUMPRODUCT((ListeB='recap S1'!$B131)*(OFFSET(ListeB,,4)='recap S1'!M$3)*(OFFSET(ListeB,,1)='recap S1'!M$2)),"")</f>
        <v/>
      </c>
      <c r="N131" s="32" t="str">
        <f ca="1">IF(SUMPRODUCT((ListeB='recap S1'!$B131)*(OFFSET(ListeB,,4)='recap S1'!N$3)*(OFFSET(ListeB,,1)='recap S1'!N$2))&gt;0,SUMPRODUCT((ListeB='recap S1'!$B131)*(OFFSET(ListeB,,4)='recap S1'!N$3)*(OFFSET(ListeB,,1)='recap S1'!N$2)),"")</f>
        <v/>
      </c>
      <c r="O131" s="32"/>
      <c r="P131" s="32" t="str">
        <f ca="1">IF(SUMPRODUCT((ListeB='recap S1'!$B131)*(OFFSET(ListeB,,4)='recap S1'!P$3)*(OFFSET(ListeB,,1)='recap S1'!P$2))&gt;0,SUMPRODUCT((ListeB='recap S1'!$B131)*(OFFSET(ListeB,,4)='recap S1'!P$3)*(OFFSET(ListeB,,1)='recap S1'!P$2)),"")</f>
        <v/>
      </c>
      <c r="Q131" s="32" t="str">
        <f ca="1">IF(SUMPRODUCT((ListeB='recap S1'!$B131)*(OFFSET(ListeB,,4)='recap S1'!Q$3)*(OFFSET(ListeB,,1)='recap S1'!Q$2))&gt;0,SUMPRODUCT((ListeB='recap S1'!$B131)*(OFFSET(ListeB,,4)='recap S1'!Q$3)*(OFFSET(ListeB,,1)='recap S1'!Q$2)),"")</f>
        <v/>
      </c>
      <c r="R131" s="32"/>
      <c r="S131" s="32" t="str">
        <f ca="1">IF(SUMPRODUCT((ListeB='recap S1'!$B131)*(OFFSET(ListeB,,4)='recap S1'!S$3)*(OFFSET(ListeB,,1)='recap S1'!S$2))&gt;0,SUMPRODUCT((ListeB='recap S1'!$B131)*(OFFSET(ListeB,,4)='recap S1'!S$3)*(OFFSET(ListeB,,1)='recap S1'!S$2)),"")</f>
        <v/>
      </c>
      <c r="T131" s="32" t="str">
        <f ca="1">IF(SUMPRODUCT((ListeB='recap S1'!$B131)*(OFFSET(ListeB,,4)='recap S1'!T$3)*(OFFSET(ListeB,,1)='recap S1'!T$2))&gt;0,SUMPRODUCT((ListeB='recap S1'!$B131)*(OFFSET(ListeB,,4)='recap S1'!T$3)*(OFFSET(ListeB,,1)='recap S1'!T$2)),"")</f>
        <v/>
      </c>
      <c r="U131" s="32" t="str">
        <f ca="1">IF(SUMPRODUCT((ListeB='recap S1'!$B131)*(OFFSET(ListeB,,4)='recap S1'!U$3)*(OFFSET(ListeB,,1)='recap S1'!U$2))&gt;0,SUMPRODUCT((ListeB='recap S1'!$B131)*(OFFSET(ListeB,,4)='recap S1'!U$3)*(OFFSET(ListeB,,1)='recap S1'!U$2)),"")</f>
        <v/>
      </c>
      <c r="V131" s="32"/>
      <c r="W131" s="32" t="str">
        <f ca="1">IF(SUMPRODUCT((ListeB='recap S1'!$B131)*(OFFSET(ListeB,,4)='recap S1'!W$3)*(OFFSET(ListeB,,1)='recap S1'!W$2))&gt;0,SUMPRODUCT((ListeB='recap S1'!$B131)*(OFFSET(ListeB,,4)='recap S1'!W$3)*(OFFSET(ListeB,,1)='recap S1'!W$2)),"")</f>
        <v/>
      </c>
      <c r="X131" s="32"/>
      <c r="Y131" s="32" t="str">
        <f ca="1">IF(SUMPRODUCT((ListeB='recap S1'!$B131)*(OFFSET(ListeB,,4)='recap S1'!Y$3)*(OFFSET(ListeB,,1)='recap S1'!Y$2))&gt;0,SUMPRODUCT((ListeB='recap S1'!$B131)*(OFFSET(ListeB,,4)='recap S1'!Y$3)*(OFFSET(ListeB,,1)='recap S1'!Y$2)),"")</f>
        <v/>
      </c>
      <c r="Z131" s="32" t="str">
        <f ca="1">IF(SUMPRODUCT((ListeB='recap S1'!$B131)*(OFFSET(ListeB,,4)='recap S1'!Z$3)*(OFFSET(ListeB,,1)='recap S1'!Z$2))&gt;0,SUMPRODUCT((ListeB='recap S1'!$B131)*(OFFSET(ListeB,,4)='recap S1'!Z$3)*(OFFSET(ListeB,,1)='recap S1'!Z$2)),"")</f>
        <v/>
      </c>
      <c r="AA131" s="32" t="str">
        <f ca="1">IF(SUMPRODUCT((ListeB='recap S1'!$B131)*(OFFSET(ListeB,,4)='recap S1'!AA$3)*(OFFSET(ListeB,,1)='recap S1'!AA$2))&gt;0,SUMPRODUCT((ListeB='recap S1'!$B131)*(OFFSET(ListeB,,4)='recap S1'!AA$3)*(OFFSET(ListeB,,1)='recap S1'!AA$2)),"")</f>
        <v/>
      </c>
      <c r="AB131" s="32"/>
      <c r="AC131" s="32" t="str">
        <f ca="1">IF(SUMPRODUCT((ListeB='recap S1'!$B131)*(OFFSET(ListeB,,4)='recap S1'!AC$3)*(OFFSET(ListeB,,1)='recap S1'!AC$2))&gt;0,SUMPRODUCT((ListeB='recap S1'!$B131)*(OFFSET(ListeB,,4)='recap S1'!AC$3)*(OFFSET(ListeB,,1)='recap S1'!AC$2)),"")</f>
        <v/>
      </c>
      <c r="AD131" s="32"/>
      <c r="AE131" s="32" t="str">
        <f ca="1">IF(SUMPRODUCT((ListeB='recap S1'!$B131)*(OFFSET(ListeB,,4)='recap S1'!AE$3)*(OFFSET(ListeB,,1)='recap S1'!AE$2))&gt;0,SUMPRODUCT((ListeB='recap S1'!$B131)*(OFFSET(ListeB,,4)='recap S1'!AE$3)*(OFFSET(ListeB,,1)='recap S1'!AE$2)),"")</f>
        <v/>
      </c>
      <c r="AF131" s="32" t="str">
        <f ca="1">IF(SUMPRODUCT((ListeB='recap S1'!$B131)*(OFFSET(ListeB,,4)='recap S1'!AF$3)*(OFFSET(ListeB,,1)='recap S1'!AF$2))&gt;0,SUMPRODUCT((ListeB='recap S1'!$B131)*(OFFSET(ListeB,,4)='recap S1'!AF$3)*(OFFSET(ListeB,,1)='recap S1'!AF$2)),"")</f>
        <v/>
      </c>
      <c r="AG131" s="32"/>
      <c r="AH131" s="32" t="str">
        <f ca="1">IF(SUMPRODUCT((ListeB='recap S1'!$B131)*(OFFSET(ListeB,,4)='recap S1'!AH$3)*(OFFSET(ListeB,,1)='recap S1'!AH$2))&gt;0,SUMPRODUCT((ListeB='recap S1'!$B131)*(OFFSET(ListeB,,4)='recap S1'!AH$3)*(OFFSET(ListeB,,1)='recap S1'!AH$2)),"")</f>
        <v/>
      </c>
      <c r="AI131" s="32" t="str">
        <f ca="1">IF(SUMPRODUCT((ListeB='recap S1'!$B131)*(OFFSET(ListeB,,4)='recap S1'!AI$3)*(OFFSET(ListeB,,1)='recap S1'!AI$2))&gt;0,SUMPRODUCT((ListeB='recap S1'!$B131)*(OFFSET(ListeB,,4)='recap S1'!AI$3)*(OFFSET(ListeB,,1)='recap S1'!AI$2)),"")</f>
        <v/>
      </c>
      <c r="AJ131" s="32" t="str">
        <f ca="1">IF(SUMPRODUCT((ListeB='recap S1'!$B131)*(OFFSET(ListeB,,4)='recap S1'!AJ$3)*(OFFSET(ListeB,,1)='recap S1'!AJ$2))&gt;0,SUMPRODUCT((ListeB='recap S1'!$B131)*(OFFSET(ListeB,,4)='recap S1'!AJ$3)*(OFFSET(ListeB,,1)='recap S1'!AJ$2)),"")</f>
        <v/>
      </c>
      <c r="AK131" s="32"/>
      <c r="AL131" s="32" t="str">
        <f ca="1">IF(SUMPRODUCT((ListeB='recap S1'!$B131)*(OFFSET(ListeB,,4)='recap S1'!AL$3)*(OFFSET(ListeB,,1)='recap S1'!AL$2))&gt;0,SUMPRODUCT((ListeB='recap S1'!$B131)*(OFFSET(ListeB,,4)='recap S1'!AL$3)*(OFFSET(ListeB,,1)='recap S1'!AL$2)),"")</f>
        <v/>
      </c>
      <c r="AM131" s="32"/>
      <c r="AN131" s="32" t="str">
        <f ca="1">IF(SUMPRODUCT((ListeB='recap S1'!$B131)*(OFFSET(ListeB,,4)='recap S1'!AN$3)*(OFFSET(ListeB,,1)='recap S1'!AN$2))&gt;0,SUMPRODUCT((ListeB='recap S1'!$B131)*(OFFSET(ListeB,,4)='recap S1'!AN$3)*(OFFSET(ListeB,,1)='recap S1'!AN$2)),"")</f>
        <v/>
      </c>
      <c r="AO131" s="32" t="str">
        <f ca="1">IF(SUMPRODUCT((ListeB='recap S1'!$B131)*(OFFSET(ListeB,,4)='recap S1'!AO$3)*(OFFSET(ListeB,,1)='recap S1'!AO$2))&gt;0,SUMPRODUCT((ListeB='recap S1'!$B131)*(OFFSET(ListeB,,4)='recap S1'!AO$3)*(OFFSET(ListeB,,1)='recap S1'!AO$2)),"")</f>
        <v/>
      </c>
      <c r="AP131" s="32"/>
      <c r="AQ131" s="32"/>
      <c r="AR131" s="32"/>
      <c r="AS131" s="32" t="str">
        <f ca="1">IF(SUMPRODUCT((ListeB='recap S1'!$B131)*(OFFSET(ListeB,,4)='recap S1'!AS$3)*(OFFSET(ListeB,,1)='recap S1'!AS$2))&gt;0,SUMPRODUCT((ListeB='recap S1'!$B131)*(OFFSET(ListeB,,4)='recap S1'!AS$3)*(OFFSET(ListeB,,1)='recap S1'!AS$2)),"")</f>
        <v/>
      </c>
      <c r="AT131" s="32" t="str">
        <f ca="1">IF(SUMPRODUCT((ListeB='recap S1'!$B131)*(OFFSET(ListeB,,4)='recap S1'!AT$3)*(OFFSET(ListeB,,1)='recap S1'!AT$2))&gt;0,SUMPRODUCT((ListeB='recap S1'!$B131)*(OFFSET(ListeB,,4)='recap S1'!AT$3)*(OFFSET(ListeB,,1)='recap S1'!AT$2)),"")</f>
        <v/>
      </c>
      <c r="AU131" s="32"/>
      <c r="AV131" s="32" t="str">
        <f ca="1">IF(SUMPRODUCT((ListeB='recap S1'!$B131)*(OFFSET(ListeB,,4)='recap S1'!AV$3)*(OFFSET(ListeB,,1)='recap S1'!AV$2))&gt;0,SUMPRODUCT((ListeB='recap S1'!$B131)*(OFFSET(ListeB,,4)='recap S1'!AV$3)*(OFFSET(ListeB,,1)='recap S1'!AV$2)),"")</f>
        <v/>
      </c>
      <c r="AW131" s="32" t="str">
        <f ca="1">IF(SUMPRODUCT((ListeB='recap S1'!$B131)*(OFFSET(ListeB,,4)='recap S1'!AW$3)*(OFFSET(ListeB,,1)='recap S1'!AW$2))&gt;0,SUMPRODUCT((ListeB='recap S1'!$B131)*(OFFSET(ListeB,,4)='recap S1'!AW$3)*(OFFSET(ListeB,,1)='recap S1'!AW$2)),"")</f>
        <v/>
      </c>
      <c r="AX131" s="32" t="str">
        <f ca="1">IF(SUMPRODUCT((ListeB='recap S1'!$B131)*(OFFSET(ListeB,,4)='recap S1'!AX$3)*(OFFSET(ListeB,,1)='recap S1'!AX$2))&gt;0,SUMPRODUCT((ListeB='recap S1'!$B131)*(OFFSET(ListeB,,4)='recap S1'!AX$3)*(OFFSET(ListeB,,1)='recap S1'!AX$2)),"")</f>
        <v/>
      </c>
      <c r="AY131" s="34"/>
      <c r="AZ131" s="32">
        <f t="shared" ca="1" si="3"/>
        <v>0</v>
      </c>
    </row>
    <row r="132" spans="1:52">
      <c r="A132" s="41" t="str">
        <f>IF('SEANCE 1'!$B130&lt;&gt;"",'SEANCE 1'!$A130,"")</f>
        <v/>
      </c>
      <c r="B132" s="41" t="str">
        <f t="array" aca="1" ref="B132" ca="1">IF(ISNA(INDEX(ListeB,MATCH(0,COUNTIF($B$3:B131,ListeB),0))),"",INDEX(ListeB,MATCH(0,COUNTIF($B$3:B131,ListeB),0)))</f>
        <v/>
      </c>
      <c r="C132" s="32" t="str">
        <f ca="1">IF(SUMPRODUCT((ListeB='recap S1'!$B132)*(OFFSET(ListeB,,4)='recap S1'!C$3)*(OFFSET(ListeB,,1)='recap S1'!C$2))&gt;0,SUMPRODUCT((ListeB='recap S1'!$B132)*(OFFSET(ListeB,,4)='recap S1'!C$3)*(OFFSET(ListeB,,1)='recap S1'!C$2)),"")</f>
        <v/>
      </c>
      <c r="D132" s="32" t="str">
        <f ca="1">IF(SUMPRODUCT((ListeB='recap S1'!$B132)*(OFFSET(ListeB,,4)='recap S1'!D$3)*(OFFSET(ListeB,,1)='recap S1'!D$2))&gt;0,SUMPRODUCT((ListeB='recap S1'!$B132)*(OFFSET(ListeB,,4)='recap S1'!D$3)*(OFFSET(ListeB,,1)='recap S1'!D$2)),"")</f>
        <v/>
      </c>
      <c r="E132" s="32"/>
      <c r="F132" s="32" t="str">
        <f ca="1">IF(SUMPRODUCT((ListeB='recap S1'!$B132)*(OFFSET(ListeB,,4)='recap S1'!F$3)*(OFFSET(ListeB,,1)='recap S1'!F$2))&gt;0,SUMPRODUCT((ListeB='recap S1'!$B132)*(OFFSET(ListeB,,4)='recap S1'!F$3)*(OFFSET(ListeB,,1)='recap S1'!F$2)),"")</f>
        <v/>
      </c>
      <c r="G132" s="32" t="str">
        <f ca="1">IF(SUMPRODUCT((ListeB='recap S1'!$B132)*(OFFSET(ListeB,,4)='recap S1'!G$3)*(OFFSET(ListeB,,1)='recap S1'!G$2))&gt;0,SUMPRODUCT((ListeB='recap S1'!$B132)*(OFFSET(ListeB,,4)='recap S1'!G$3)*(OFFSET(ListeB,,1)='recap S1'!G$2)),"")</f>
        <v/>
      </c>
      <c r="H132" s="32"/>
      <c r="I132" s="32" t="str">
        <f ca="1">IF(SUMPRODUCT((ListeB='recap S1'!$B132)*(OFFSET(ListeB,,4)='recap S1'!I$3)*(OFFSET(ListeB,,1)='recap S1'!I$2))&gt;0,SUMPRODUCT((ListeB='recap S1'!$B132)*(OFFSET(ListeB,,4)='recap S1'!I$3)*(OFFSET(ListeB,,1)='recap S1'!I$2)),"")</f>
        <v/>
      </c>
      <c r="J132" s="32" t="str">
        <f ca="1">IF(SUMPRODUCT((ListeB='recap S1'!$B132)*(OFFSET(ListeB,,4)='recap S1'!J$3)*(OFFSET(ListeB,,1)='recap S1'!J$2))&gt;0,SUMPRODUCT((ListeB='recap S1'!$B132)*(OFFSET(ListeB,,4)='recap S1'!J$3)*(OFFSET(ListeB,,1)='recap S1'!J$2)),"")</f>
        <v/>
      </c>
      <c r="K132" s="32" t="str">
        <f ca="1">IF(SUMPRODUCT((ListeB='recap S1'!$B132)*(OFFSET(ListeB,,4)='recap S1'!K$3)*(OFFSET(ListeB,,1)='recap S1'!K$2))&gt;0,SUMPRODUCT((ListeB='recap S1'!$B132)*(OFFSET(ListeB,,4)='recap S1'!K$3)*(OFFSET(ListeB,,1)='recap S1'!K$2)),"")</f>
        <v/>
      </c>
      <c r="L132" s="32"/>
      <c r="M132" s="32" t="str">
        <f ca="1">IF(SUMPRODUCT((ListeB='recap S1'!$B132)*(OFFSET(ListeB,,4)='recap S1'!M$3)*(OFFSET(ListeB,,1)='recap S1'!M$2))&gt;0,SUMPRODUCT((ListeB='recap S1'!$B132)*(OFFSET(ListeB,,4)='recap S1'!M$3)*(OFFSET(ListeB,,1)='recap S1'!M$2)),"")</f>
        <v/>
      </c>
      <c r="N132" s="32" t="str">
        <f ca="1">IF(SUMPRODUCT((ListeB='recap S1'!$B132)*(OFFSET(ListeB,,4)='recap S1'!N$3)*(OFFSET(ListeB,,1)='recap S1'!N$2))&gt;0,SUMPRODUCT((ListeB='recap S1'!$B132)*(OFFSET(ListeB,,4)='recap S1'!N$3)*(OFFSET(ListeB,,1)='recap S1'!N$2)),"")</f>
        <v/>
      </c>
      <c r="O132" s="32"/>
      <c r="P132" s="32" t="str">
        <f ca="1">IF(SUMPRODUCT((ListeB='recap S1'!$B132)*(OFFSET(ListeB,,4)='recap S1'!P$3)*(OFFSET(ListeB,,1)='recap S1'!P$2))&gt;0,SUMPRODUCT((ListeB='recap S1'!$B132)*(OFFSET(ListeB,,4)='recap S1'!P$3)*(OFFSET(ListeB,,1)='recap S1'!P$2)),"")</f>
        <v/>
      </c>
      <c r="Q132" s="32" t="str">
        <f ca="1">IF(SUMPRODUCT((ListeB='recap S1'!$B132)*(OFFSET(ListeB,,4)='recap S1'!Q$3)*(OFFSET(ListeB,,1)='recap S1'!Q$2))&gt;0,SUMPRODUCT((ListeB='recap S1'!$B132)*(OFFSET(ListeB,,4)='recap S1'!Q$3)*(OFFSET(ListeB,,1)='recap S1'!Q$2)),"")</f>
        <v/>
      </c>
      <c r="R132" s="32"/>
      <c r="S132" s="32" t="str">
        <f ca="1">IF(SUMPRODUCT((ListeB='recap S1'!$B132)*(OFFSET(ListeB,,4)='recap S1'!S$3)*(OFFSET(ListeB,,1)='recap S1'!S$2))&gt;0,SUMPRODUCT((ListeB='recap S1'!$B132)*(OFFSET(ListeB,,4)='recap S1'!S$3)*(OFFSET(ListeB,,1)='recap S1'!S$2)),"")</f>
        <v/>
      </c>
      <c r="T132" s="32" t="str">
        <f ca="1">IF(SUMPRODUCT((ListeB='recap S1'!$B132)*(OFFSET(ListeB,,4)='recap S1'!T$3)*(OFFSET(ListeB,,1)='recap S1'!T$2))&gt;0,SUMPRODUCT((ListeB='recap S1'!$B132)*(OFFSET(ListeB,,4)='recap S1'!T$3)*(OFFSET(ListeB,,1)='recap S1'!T$2)),"")</f>
        <v/>
      </c>
      <c r="U132" s="32" t="str">
        <f ca="1">IF(SUMPRODUCT((ListeB='recap S1'!$B132)*(OFFSET(ListeB,,4)='recap S1'!U$3)*(OFFSET(ListeB,,1)='recap S1'!U$2))&gt;0,SUMPRODUCT((ListeB='recap S1'!$B132)*(OFFSET(ListeB,,4)='recap S1'!U$3)*(OFFSET(ListeB,,1)='recap S1'!U$2)),"")</f>
        <v/>
      </c>
      <c r="V132" s="32"/>
      <c r="W132" s="32" t="str">
        <f ca="1">IF(SUMPRODUCT((ListeB='recap S1'!$B132)*(OFFSET(ListeB,,4)='recap S1'!W$3)*(OFFSET(ListeB,,1)='recap S1'!W$2))&gt;0,SUMPRODUCT((ListeB='recap S1'!$B132)*(OFFSET(ListeB,,4)='recap S1'!W$3)*(OFFSET(ListeB,,1)='recap S1'!W$2)),"")</f>
        <v/>
      </c>
      <c r="X132" s="32"/>
      <c r="Y132" s="32" t="str">
        <f ca="1">IF(SUMPRODUCT((ListeB='recap S1'!$B132)*(OFFSET(ListeB,,4)='recap S1'!Y$3)*(OFFSET(ListeB,,1)='recap S1'!Y$2))&gt;0,SUMPRODUCT((ListeB='recap S1'!$B132)*(OFFSET(ListeB,,4)='recap S1'!Y$3)*(OFFSET(ListeB,,1)='recap S1'!Y$2)),"")</f>
        <v/>
      </c>
      <c r="Z132" s="32" t="str">
        <f ca="1">IF(SUMPRODUCT((ListeB='recap S1'!$B132)*(OFFSET(ListeB,,4)='recap S1'!Z$3)*(OFFSET(ListeB,,1)='recap S1'!Z$2))&gt;0,SUMPRODUCT((ListeB='recap S1'!$B132)*(OFFSET(ListeB,,4)='recap S1'!Z$3)*(OFFSET(ListeB,,1)='recap S1'!Z$2)),"")</f>
        <v/>
      </c>
      <c r="AA132" s="32" t="str">
        <f ca="1">IF(SUMPRODUCT((ListeB='recap S1'!$B132)*(OFFSET(ListeB,,4)='recap S1'!AA$3)*(OFFSET(ListeB,,1)='recap S1'!AA$2))&gt;0,SUMPRODUCT((ListeB='recap S1'!$B132)*(OFFSET(ListeB,,4)='recap S1'!AA$3)*(OFFSET(ListeB,,1)='recap S1'!AA$2)),"")</f>
        <v/>
      </c>
      <c r="AB132" s="32"/>
      <c r="AC132" s="32" t="str">
        <f ca="1">IF(SUMPRODUCT((ListeB='recap S1'!$B132)*(OFFSET(ListeB,,4)='recap S1'!AC$3)*(OFFSET(ListeB,,1)='recap S1'!AC$2))&gt;0,SUMPRODUCT((ListeB='recap S1'!$B132)*(OFFSET(ListeB,,4)='recap S1'!AC$3)*(OFFSET(ListeB,,1)='recap S1'!AC$2)),"")</f>
        <v/>
      </c>
      <c r="AD132" s="32"/>
      <c r="AE132" s="32" t="str">
        <f ca="1">IF(SUMPRODUCT((ListeB='recap S1'!$B132)*(OFFSET(ListeB,,4)='recap S1'!AE$3)*(OFFSET(ListeB,,1)='recap S1'!AE$2))&gt;0,SUMPRODUCT((ListeB='recap S1'!$B132)*(OFFSET(ListeB,,4)='recap S1'!AE$3)*(OFFSET(ListeB,,1)='recap S1'!AE$2)),"")</f>
        <v/>
      </c>
      <c r="AF132" s="32" t="str">
        <f ca="1">IF(SUMPRODUCT((ListeB='recap S1'!$B132)*(OFFSET(ListeB,,4)='recap S1'!AF$3)*(OFFSET(ListeB,,1)='recap S1'!AF$2))&gt;0,SUMPRODUCT((ListeB='recap S1'!$B132)*(OFFSET(ListeB,,4)='recap S1'!AF$3)*(OFFSET(ListeB,,1)='recap S1'!AF$2)),"")</f>
        <v/>
      </c>
      <c r="AG132" s="32"/>
      <c r="AH132" s="32" t="str">
        <f ca="1">IF(SUMPRODUCT((ListeB='recap S1'!$B132)*(OFFSET(ListeB,,4)='recap S1'!AH$3)*(OFFSET(ListeB,,1)='recap S1'!AH$2))&gt;0,SUMPRODUCT((ListeB='recap S1'!$B132)*(OFFSET(ListeB,,4)='recap S1'!AH$3)*(OFFSET(ListeB,,1)='recap S1'!AH$2)),"")</f>
        <v/>
      </c>
      <c r="AI132" s="32" t="str">
        <f ca="1">IF(SUMPRODUCT((ListeB='recap S1'!$B132)*(OFFSET(ListeB,,4)='recap S1'!AI$3)*(OFFSET(ListeB,,1)='recap S1'!AI$2))&gt;0,SUMPRODUCT((ListeB='recap S1'!$B132)*(OFFSET(ListeB,,4)='recap S1'!AI$3)*(OFFSET(ListeB,,1)='recap S1'!AI$2)),"")</f>
        <v/>
      </c>
      <c r="AJ132" s="32" t="str">
        <f ca="1">IF(SUMPRODUCT((ListeB='recap S1'!$B132)*(OFFSET(ListeB,,4)='recap S1'!AJ$3)*(OFFSET(ListeB,,1)='recap S1'!AJ$2))&gt;0,SUMPRODUCT((ListeB='recap S1'!$B132)*(OFFSET(ListeB,,4)='recap S1'!AJ$3)*(OFFSET(ListeB,,1)='recap S1'!AJ$2)),"")</f>
        <v/>
      </c>
      <c r="AK132" s="32"/>
      <c r="AL132" s="32" t="str">
        <f ca="1">IF(SUMPRODUCT((ListeB='recap S1'!$B132)*(OFFSET(ListeB,,4)='recap S1'!AL$3)*(OFFSET(ListeB,,1)='recap S1'!AL$2))&gt;0,SUMPRODUCT((ListeB='recap S1'!$B132)*(OFFSET(ListeB,,4)='recap S1'!AL$3)*(OFFSET(ListeB,,1)='recap S1'!AL$2)),"")</f>
        <v/>
      </c>
      <c r="AM132" s="32"/>
      <c r="AN132" s="32" t="str">
        <f ca="1">IF(SUMPRODUCT((ListeB='recap S1'!$B132)*(OFFSET(ListeB,,4)='recap S1'!AN$3)*(OFFSET(ListeB,,1)='recap S1'!AN$2))&gt;0,SUMPRODUCT((ListeB='recap S1'!$B132)*(OFFSET(ListeB,,4)='recap S1'!AN$3)*(OFFSET(ListeB,,1)='recap S1'!AN$2)),"")</f>
        <v/>
      </c>
      <c r="AO132" s="32" t="str">
        <f ca="1">IF(SUMPRODUCT((ListeB='recap S1'!$B132)*(OFFSET(ListeB,,4)='recap S1'!AO$3)*(OFFSET(ListeB,,1)='recap S1'!AO$2))&gt;0,SUMPRODUCT((ListeB='recap S1'!$B132)*(OFFSET(ListeB,,4)='recap S1'!AO$3)*(OFFSET(ListeB,,1)='recap S1'!AO$2)),"")</f>
        <v/>
      </c>
      <c r="AP132" s="32"/>
      <c r="AQ132" s="32"/>
      <c r="AR132" s="32"/>
      <c r="AS132" s="32" t="str">
        <f ca="1">IF(SUMPRODUCT((ListeB='recap S1'!$B132)*(OFFSET(ListeB,,4)='recap S1'!AS$3)*(OFFSET(ListeB,,1)='recap S1'!AS$2))&gt;0,SUMPRODUCT((ListeB='recap S1'!$B132)*(OFFSET(ListeB,,4)='recap S1'!AS$3)*(OFFSET(ListeB,,1)='recap S1'!AS$2)),"")</f>
        <v/>
      </c>
      <c r="AT132" s="32" t="str">
        <f ca="1">IF(SUMPRODUCT((ListeB='recap S1'!$B132)*(OFFSET(ListeB,,4)='recap S1'!AT$3)*(OFFSET(ListeB,,1)='recap S1'!AT$2))&gt;0,SUMPRODUCT((ListeB='recap S1'!$B132)*(OFFSET(ListeB,,4)='recap S1'!AT$3)*(OFFSET(ListeB,,1)='recap S1'!AT$2)),"")</f>
        <v/>
      </c>
      <c r="AU132" s="32"/>
      <c r="AV132" s="32" t="str">
        <f ca="1">IF(SUMPRODUCT((ListeB='recap S1'!$B132)*(OFFSET(ListeB,,4)='recap S1'!AV$3)*(OFFSET(ListeB,,1)='recap S1'!AV$2))&gt;0,SUMPRODUCT((ListeB='recap S1'!$B132)*(OFFSET(ListeB,,4)='recap S1'!AV$3)*(OFFSET(ListeB,,1)='recap S1'!AV$2)),"")</f>
        <v/>
      </c>
      <c r="AW132" s="32" t="str">
        <f ca="1">IF(SUMPRODUCT((ListeB='recap S1'!$B132)*(OFFSET(ListeB,,4)='recap S1'!AW$3)*(OFFSET(ListeB,,1)='recap S1'!AW$2))&gt;0,SUMPRODUCT((ListeB='recap S1'!$B132)*(OFFSET(ListeB,,4)='recap S1'!AW$3)*(OFFSET(ListeB,,1)='recap S1'!AW$2)),"")</f>
        <v/>
      </c>
      <c r="AX132" s="32" t="str">
        <f ca="1">IF(SUMPRODUCT((ListeB='recap S1'!$B132)*(OFFSET(ListeB,,4)='recap S1'!AX$3)*(OFFSET(ListeB,,1)='recap S1'!AX$2))&gt;0,SUMPRODUCT((ListeB='recap S1'!$B132)*(OFFSET(ListeB,,4)='recap S1'!AX$3)*(OFFSET(ListeB,,1)='recap S1'!AX$2)),"")</f>
        <v/>
      </c>
      <c r="AY132" s="34"/>
      <c r="AZ132" s="32">
        <f t="shared" ca="1" si="3"/>
        <v>0</v>
      </c>
    </row>
    <row r="133" spans="1:52">
      <c r="A133" s="41" t="str">
        <f>IF('SEANCE 1'!$B131&lt;&gt;"",'SEANCE 1'!$A131,"")</f>
        <v/>
      </c>
      <c r="B133" s="41" t="str">
        <f t="array" aca="1" ref="B133" ca="1">IF(ISNA(INDEX(ListeB,MATCH(0,COUNTIF($B$3:B132,ListeB),0))),"",INDEX(ListeB,MATCH(0,COUNTIF($B$3:B132,ListeB),0)))</f>
        <v/>
      </c>
      <c r="C133" s="32" t="str">
        <f ca="1">IF(SUMPRODUCT((ListeB='recap S1'!$B133)*(OFFSET(ListeB,,4)='recap S1'!C$3)*(OFFSET(ListeB,,1)='recap S1'!C$2))&gt;0,SUMPRODUCT((ListeB='recap S1'!$B133)*(OFFSET(ListeB,,4)='recap S1'!C$3)*(OFFSET(ListeB,,1)='recap S1'!C$2)),"")</f>
        <v/>
      </c>
      <c r="D133" s="32" t="str">
        <f ca="1">IF(SUMPRODUCT((ListeB='recap S1'!$B133)*(OFFSET(ListeB,,4)='recap S1'!D$3)*(OFFSET(ListeB,,1)='recap S1'!D$2))&gt;0,SUMPRODUCT((ListeB='recap S1'!$B133)*(OFFSET(ListeB,,4)='recap S1'!D$3)*(OFFSET(ListeB,,1)='recap S1'!D$2)),"")</f>
        <v/>
      </c>
      <c r="E133" s="32"/>
      <c r="F133" s="32" t="str">
        <f ca="1">IF(SUMPRODUCT((ListeB='recap S1'!$B133)*(OFFSET(ListeB,,4)='recap S1'!F$3)*(OFFSET(ListeB,,1)='recap S1'!F$2))&gt;0,SUMPRODUCT((ListeB='recap S1'!$B133)*(OFFSET(ListeB,,4)='recap S1'!F$3)*(OFFSET(ListeB,,1)='recap S1'!F$2)),"")</f>
        <v/>
      </c>
      <c r="G133" s="32" t="str">
        <f ca="1">IF(SUMPRODUCT((ListeB='recap S1'!$B133)*(OFFSET(ListeB,,4)='recap S1'!G$3)*(OFFSET(ListeB,,1)='recap S1'!G$2))&gt;0,SUMPRODUCT((ListeB='recap S1'!$B133)*(OFFSET(ListeB,,4)='recap S1'!G$3)*(OFFSET(ListeB,,1)='recap S1'!G$2)),"")</f>
        <v/>
      </c>
      <c r="H133" s="32"/>
      <c r="I133" s="32" t="str">
        <f ca="1">IF(SUMPRODUCT((ListeB='recap S1'!$B133)*(OFFSET(ListeB,,4)='recap S1'!I$3)*(OFFSET(ListeB,,1)='recap S1'!I$2))&gt;0,SUMPRODUCT((ListeB='recap S1'!$B133)*(OFFSET(ListeB,,4)='recap S1'!I$3)*(OFFSET(ListeB,,1)='recap S1'!I$2)),"")</f>
        <v/>
      </c>
      <c r="J133" s="32" t="str">
        <f ca="1">IF(SUMPRODUCT((ListeB='recap S1'!$B133)*(OFFSET(ListeB,,4)='recap S1'!J$3)*(OFFSET(ListeB,,1)='recap S1'!J$2))&gt;0,SUMPRODUCT((ListeB='recap S1'!$B133)*(OFFSET(ListeB,,4)='recap S1'!J$3)*(OFFSET(ListeB,,1)='recap S1'!J$2)),"")</f>
        <v/>
      </c>
      <c r="K133" s="32" t="str">
        <f ca="1">IF(SUMPRODUCT((ListeB='recap S1'!$B133)*(OFFSET(ListeB,,4)='recap S1'!K$3)*(OFFSET(ListeB,,1)='recap S1'!K$2))&gt;0,SUMPRODUCT((ListeB='recap S1'!$B133)*(OFFSET(ListeB,,4)='recap S1'!K$3)*(OFFSET(ListeB,,1)='recap S1'!K$2)),"")</f>
        <v/>
      </c>
      <c r="L133" s="32"/>
      <c r="M133" s="32" t="str">
        <f ca="1">IF(SUMPRODUCT((ListeB='recap S1'!$B133)*(OFFSET(ListeB,,4)='recap S1'!M$3)*(OFFSET(ListeB,,1)='recap S1'!M$2))&gt;0,SUMPRODUCT((ListeB='recap S1'!$B133)*(OFFSET(ListeB,,4)='recap S1'!M$3)*(OFFSET(ListeB,,1)='recap S1'!M$2)),"")</f>
        <v/>
      </c>
      <c r="N133" s="32" t="str">
        <f ca="1">IF(SUMPRODUCT((ListeB='recap S1'!$B133)*(OFFSET(ListeB,,4)='recap S1'!N$3)*(OFFSET(ListeB,,1)='recap S1'!N$2))&gt;0,SUMPRODUCT((ListeB='recap S1'!$B133)*(OFFSET(ListeB,,4)='recap S1'!N$3)*(OFFSET(ListeB,,1)='recap S1'!N$2)),"")</f>
        <v/>
      </c>
      <c r="O133" s="32"/>
      <c r="P133" s="32" t="str">
        <f ca="1">IF(SUMPRODUCT((ListeB='recap S1'!$B133)*(OFFSET(ListeB,,4)='recap S1'!P$3)*(OFFSET(ListeB,,1)='recap S1'!P$2))&gt;0,SUMPRODUCT((ListeB='recap S1'!$B133)*(OFFSET(ListeB,,4)='recap S1'!P$3)*(OFFSET(ListeB,,1)='recap S1'!P$2)),"")</f>
        <v/>
      </c>
      <c r="Q133" s="32" t="str">
        <f ca="1">IF(SUMPRODUCT((ListeB='recap S1'!$B133)*(OFFSET(ListeB,,4)='recap S1'!Q$3)*(OFFSET(ListeB,,1)='recap S1'!Q$2))&gt;0,SUMPRODUCT((ListeB='recap S1'!$B133)*(OFFSET(ListeB,,4)='recap S1'!Q$3)*(OFFSET(ListeB,,1)='recap S1'!Q$2)),"")</f>
        <v/>
      </c>
      <c r="R133" s="32"/>
      <c r="S133" s="32" t="str">
        <f ca="1">IF(SUMPRODUCT((ListeB='recap S1'!$B133)*(OFFSET(ListeB,,4)='recap S1'!S$3)*(OFFSET(ListeB,,1)='recap S1'!S$2))&gt;0,SUMPRODUCT((ListeB='recap S1'!$B133)*(OFFSET(ListeB,,4)='recap S1'!S$3)*(OFFSET(ListeB,,1)='recap S1'!S$2)),"")</f>
        <v/>
      </c>
      <c r="T133" s="32" t="str">
        <f ca="1">IF(SUMPRODUCT((ListeB='recap S1'!$B133)*(OFFSET(ListeB,,4)='recap S1'!T$3)*(OFFSET(ListeB,,1)='recap S1'!T$2))&gt;0,SUMPRODUCT((ListeB='recap S1'!$B133)*(OFFSET(ListeB,,4)='recap S1'!T$3)*(OFFSET(ListeB,,1)='recap S1'!T$2)),"")</f>
        <v/>
      </c>
      <c r="U133" s="32" t="str">
        <f ca="1">IF(SUMPRODUCT((ListeB='recap S1'!$B133)*(OFFSET(ListeB,,4)='recap S1'!U$3)*(OFFSET(ListeB,,1)='recap S1'!U$2))&gt;0,SUMPRODUCT((ListeB='recap S1'!$B133)*(OFFSET(ListeB,,4)='recap S1'!U$3)*(OFFSET(ListeB,,1)='recap S1'!U$2)),"")</f>
        <v/>
      </c>
      <c r="V133" s="32"/>
      <c r="W133" s="32" t="str">
        <f ca="1">IF(SUMPRODUCT((ListeB='recap S1'!$B133)*(OFFSET(ListeB,,4)='recap S1'!W$3)*(OFFSET(ListeB,,1)='recap S1'!W$2))&gt;0,SUMPRODUCT((ListeB='recap S1'!$B133)*(OFFSET(ListeB,,4)='recap S1'!W$3)*(OFFSET(ListeB,,1)='recap S1'!W$2)),"")</f>
        <v/>
      </c>
      <c r="X133" s="32"/>
      <c r="Y133" s="32" t="str">
        <f ca="1">IF(SUMPRODUCT((ListeB='recap S1'!$B133)*(OFFSET(ListeB,,4)='recap S1'!Y$3)*(OFFSET(ListeB,,1)='recap S1'!Y$2))&gt;0,SUMPRODUCT((ListeB='recap S1'!$B133)*(OFFSET(ListeB,,4)='recap S1'!Y$3)*(OFFSET(ListeB,,1)='recap S1'!Y$2)),"")</f>
        <v/>
      </c>
      <c r="Z133" s="32" t="str">
        <f ca="1">IF(SUMPRODUCT((ListeB='recap S1'!$B133)*(OFFSET(ListeB,,4)='recap S1'!Z$3)*(OFFSET(ListeB,,1)='recap S1'!Z$2))&gt;0,SUMPRODUCT((ListeB='recap S1'!$B133)*(OFFSET(ListeB,,4)='recap S1'!Z$3)*(OFFSET(ListeB,,1)='recap S1'!Z$2)),"")</f>
        <v/>
      </c>
      <c r="AA133" s="32" t="str">
        <f ca="1">IF(SUMPRODUCT((ListeB='recap S1'!$B133)*(OFFSET(ListeB,,4)='recap S1'!AA$3)*(OFFSET(ListeB,,1)='recap S1'!AA$2))&gt;0,SUMPRODUCT((ListeB='recap S1'!$B133)*(OFFSET(ListeB,,4)='recap S1'!AA$3)*(OFFSET(ListeB,,1)='recap S1'!AA$2)),"")</f>
        <v/>
      </c>
      <c r="AB133" s="32"/>
      <c r="AC133" s="32" t="str">
        <f ca="1">IF(SUMPRODUCT((ListeB='recap S1'!$B133)*(OFFSET(ListeB,,4)='recap S1'!AC$3)*(OFFSET(ListeB,,1)='recap S1'!AC$2))&gt;0,SUMPRODUCT((ListeB='recap S1'!$B133)*(OFFSET(ListeB,,4)='recap S1'!AC$3)*(OFFSET(ListeB,,1)='recap S1'!AC$2)),"")</f>
        <v/>
      </c>
      <c r="AD133" s="32"/>
      <c r="AE133" s="32" t="str">
        <f ca="1">IF(SUMPRODUCT((ListeB='recap S1'!$B133)*(OFFSET(ListeB,,4)='recap S1'!AE$3)*(OFFSET(ListeB,,1)='recap S1'!AE$2))&gt;0,SUMPRODUCT((ListeB='recap S1'!$B133)*(OFFSET(ListeB,,4)='recap S1'!AE$3)*(OFFSET(ListeB,,1)='recap S1'!AE$2)),"")</f>
        <v/>
      </c>
      <c r="AF133" s="32" t="str">
        <f ca="1">IF(SUMPRODUCT((ListeB='recap S1'!$B133)*(OFFSET(ListeB,,4)='recap S1'!AF$3)*(OFFSET(ListeB,,1)='recap S1'!AF$2))&gt;0,SUMPRODUCT((ListeB='recap S1'!$B133)*(OFFSET(ListeB,,4)='recap S1'!AF$3)*(OFFSET(ListeB,,1)='recap S1'!AF$2)),"")</f>
        <v/>
      </c>
      <c r="AG133" s="32"/>
      <c r="AH133" s="32" t="str">
        <f ca="1">IF(SUMPRODUCT((ListeB='recap S1'!$B133)*(OFFSET(ListeB,,4)='recap S1'!AH$3)*(OFFSET(ListeB,,1)='recap S1'!AH$2))&gt;0,SUMPRODUCT((ListeB='recap S1'!$B133)*(OFFSET(ListeB,,4)='recap S1'!AH$3)*(OFFSET(ListeB,,1)='recap S1'!AH$2)),"")</f>
        <v/>
      </c>
      <c r="AI133" s="32" t="str">
        <f ca="1">IF(SUMPRODUCT((ListeB='recap S1'!$B133)*(OFFSET(ListeB,,4)='recap S1'!AI$3)*(OFFSET(ListeB,,1)='recap S1'!AI$2))&gt;0,SUMPRODUCT((ListeB='recap S1'!$B133)*(OFFSET(ListeB,,4)='recap S1'!AI$3)*(OFFSET(ListeB,,1)='recap S1'!AI$2)),"")</f>
        <v/>
      </c>
      <c r="AJ133" s="32" t="str">
        <f ca="1">IF(SUMPRODUCT((ListeB='recap S1'!$B133)*(OFFSET(ListeB,,4)='recap S1'!AJ$3)*(OFFSET(ListeB,,1)='recap S1'!AJ$2))&gt;0,SUMPRODUCT((ListeB='recap S1'!$B133)*(OFFSET(ListeB,,4)='recap S1'!AJ$3)*(OFFSET(ListeB,,1)='recap S1'!AJ$2)),"")</f>
        <v/>
      </c>
      <c r="AK133" s="32"/>
      <c r="AL133" s="32" t="str">
        <f ca="1">IF(SUMPRODUCT((ListeB='recap S1'!$B133)*(OFFSET(ListeB,,4)='recap S1'!AL$3)*(OFFSET(ListeB,,1)='recap S1'!AL$2))&gt;0,SUMPRODUCT((ListeB='recap S1'!$B133)*(OFFSET(ListeB,,4)='recap S1'!AL$3)*(OFFSET(ListeB,,1)='recap S1'!AL$2)),"")</f>
        <v/>
      </c>
      <c r="AM133" s="32"/>
      <c r="AN133" s="32" t="str">
        <f ca="1">IF(SUMPRODUCT((ListeB='recap S1'!$B133)*(OFFSET(ListeB,,4)='recap S1'!AN$3)*(OFFSET(ListeB,,1)='recap S1'!AN$2))&gt;0,SUMPRODUCT((ListeB='recap S1'!$B133)*(OFFSET(ListeB,,4)='recap S1'!AN$3)*(OFFSET(ListeB,,1)='recap S1'!AN$2)),"")</f>
        <v/>
      </c>
      <c r="AO133" s="32" t="str">
        <f ca="1">IF(SUMPRODUCT((ListeB='recap S1'!$B133)*(OFFSET(ListeB,,4)='recap S1'!AO$3)*(OFFSET(ListeB,,1)='recap S1'!AO$2))&gt;0,SUMPRODUCT((ListeB='recap S1'!$B133)*(OFFSET(ListeB,,4)='recap S1'!AO$3)*(OFFSET(ListeB,,1)='recap S1'!AO$2)),"")</f>
        <v/>
      </c>
      <c r="AP133" s="32"/>
      <c r="AQ133" s="32"/>
      <c r="AR133" s="32"/>
      <c r="AS133" s="32" t="str">
        <f ca="1">IF(SUMPRODUCT((ListeB='recap S1'!$B133)*(OFFSET(ListeB,,4)='recap S1'!AS$3)*(OFFSET(ListeB,,1)='recap S1'!AS$2))&gt;0,SUMPRODUCT((ListeB='recap S1'!$B133)*(OFFSET(ListeB,,4)='recap S1'!AS$3)*(OFFSET(ListeB,,1)='recap S1'!AS$2)),"")</f>
        <v/>
      </c>
      <c r="AT133" s="32" t="str">
        <f ca="1">IF(SUMPRODUCT((ListeB='recap S1'!$B133)*(OFFSET(ListeB,,4)='recap S1'!AT$3)*(OFFSET(ListeB,,1)='recap S1'!AT$2))&gt;0,SUMPRODUCT((ListeB='recap S1'!$B133)*(OFFSET(ListeB,,4)='recap S1'!AT$3)*(OFFSET(ListeB,,1)='recap S1'!AT$2)),"")</f>
        <v/>
      </c>
      <c r="AU133" s="32"/>
      <c r="AV133" s="32" t="str">
        <f ca="1">IF(SUMPRODUCT((ListeB='recap S1'!$B133)*(OFFSET(ListeB,,4)='recap S1'!AV$3)*(OFFSET(ListeB,,1)='recap S1'!AV$2))&gt;0,SUMPRODUCT((ListeB='recap S1'!$B133)*(OFFSET(ListeB,,4)='recap S1'!AV$3)*(OFFSET(ListeB,,1)='recap S1'!AV$2)),"")</f>
        <v/>
      </c>
      <c r="AW133" s="32" t="str">
        <f ca="1">IF(SUMPRODUCT((ListeB='recap S1'!$B133)*(OFFSET(ListeB,,4)='recap S1'!AW$3)*(OFFSET(ListeB,,1)='recap S1'!AW$2))&gt;0,SUMPRODUCT((ListeB='recap S1'!$B133)*(OFFSET(ListeB,,4)='recap S1'!AW$3)*(OFFSET(ListeB,,1)='recap S1'!AW$2)),"")</f>
        <v/>
      </c>
      <c r="AX133" s="32" t="str">
        <f ca="1">IF(SUMPRODUCT((ListeB='recap S1'!$B133)*(OFFSET(ListeB,,4)='recap S1'!AX$3)*(OFFSET(ListeB,,1)='recap S1'!AX$2))&gt;0,SUMPRODUCT((ListeB='recap S1'!$B133)*(OFFSET(ListeB,,4)='recap S1'!AX$3)*(OFFSET(ListeB,,1)='recap S1'!AX$2)),"")</f>
        <v/>
      </c>
      <c r="AY133" s="34"/>
      <c r="AZ133" s="32">
        <f t="shared" ref="AZ133:AZ143" ca="1" si="4">SUMPRODUCT(C133:AX133)</f>
        <v>0</v>
      </c>
    </row>
    <row r="134" spans="1:52">
      <c r="A134" s="41" t="str">
        <f>IF('SEANCE 1'!$B132&lt;&gt;"",'SEANCE 1'!$A132,"")</f>
        <v/>
      </c>
      <c r="B134" s="41" t="str">
        <f t="array" aca="1" ref="B134" ca="1">IF(ISNA(INDEX(ListeB,MATCH(0,COUNTIF($B$3:B133,ListeB),0))),"",INDEX(ListeB,MATCH(0,COUNTIF($B$3:B133,ListeB),0)))</f>
        <v/>
      </c>
      <c r="C134" s="32" t="str">
        <f ca="1">IF(SUMPRODUCT((ListeB='recap S1'!$B134)*(OFFSET(ListeB,,4)='recap S1'!C$3)*(OFFSET(ListeB,,1)='recap S1'!C$2))&gt;0,SUMPRODUCT((ListeB='recap S1'!$B134)*(OFFSET(ListeB,,4)='recap S1'!C$3)*(OFFSET(ListeB,,1)='recap S1'!C$2)),"")</f>
        <v/>
      </c>
      <c r="D134" s="32" t="str">
        <f ca="1">IF(SUMPRODUCT((ListeB='recap S1'!$B134)*(OFFSET(ListeB,,4)='recap S1'!D$3)*(OFFSET(ListeB,,1)='recap S1'!D$2))&gt;0,SUMPRODUCT((ListeB='recap S1'!$B134)*(OFFSET(ListeB,,4)='recap S1'!D$3)*(OFFSET(ListeB,,1)='recap S1'!D$2)),"")</f>
        <v/>
      </c>
      <c r="E134" s="32"/>
      <c r="F134" s="32" t="str">
        <f ca="1">IF(SUMPRODUCT((ListeB='recap S1'!$B134)*(OFFSET(ListeB,,4)='recap S1'!F$3)*(OFFSET(ListeB,,1)='recap S1'!F$2))&gt;0,SUMPRODUCT((ListeB='recap S1'!$B134)*(OFFSET(ListeB,,4)='recap S1'!F$3)*(OFFSET(ListeB,,1)='recap S1'!F$2)),"")</f>
        <v/>
      </c>
      <c r="G134" s="32" t="str">
        <f ca="1">IF(SUMPRODUCT((ListeB='recap S1'!$B134)*(OFFSET(ListeB,,4)='recap S1'!G$3)*(OFFSET(ListeB,,1)='recap S1'!G$2))&gt;0,SUMPRODUCT((ListeB='recap S1'!$B134)*(OFFSET(ListeB,,4)='recap S1'!G$3)*(OFFSET(ListeB,,1)='recap S1'!G$2)),"")</f>
        <v/>
      </c>
      <c r="H134" s="32"/>
      <c r="I134" s="32" t="str">
        <f ca="1">IF(SUMPRODUCT((ListeB='recap S1'!$B134)*(OFFSET(ListeB,,4)='recap S1'!I$3)*(OFFSET(ListeB,,1)='recap S1'!I$2))&gt;0,SUMPRODUCT((ListeB='recap S1'!$B134)*(OFFSET(ListeB,,4)='recap S1'!I$3)*(OFFSET(ListeB,,1)='recap S1'!I$2)),"")</f>
        <v/>
      </c>
      <c r="J134" s="32" t="str">
        <f ca="1">IF(SUMPRODUCT((ListeB='recap S1'!$B134)*(OFFSET(ListeB,,4)='recap S1'!J$3)*(OFFSET(ListeB,,1)='recap S1'!J$2))&gt;0,SUMPRODUCT((ListeB='recap S1'!$B134)*(OFFSET(ListeB,,4)='recap S1'!J$3)*(OFFSET(ListeB,,1)='recap S1'!J$2)),"")</f>
        <v/>
      </c>
      <c r="K134" s="32" t="str">
        <f ca="1">IF(SUMPRODUCT((ListeB='recap S1'!$B134)*(OFFSET(ListeB,,4)='recap S1'!K$3)*(OFFSET(ListeB,,1)='recap S1'!K$2))&gt;0,SUMPRODUCT((ListeB='recap S1'!$B134)*(OFFSET(ListeB,,4)='recap S1'!K$3)*(OFFSET(ListeB,,1)='recap S1'!K$2)),"")</f>
        <v/>
      </c>
      <c r="L134" s="32"/>
      <c r="M134" s="32" t="str">
        <f ca="1">IF(SUMPRODUCT((ListeB='recap S1'!$B134)*(OFFSET(ListeB,,4)='recap S1'!M$3)*(OFFSET(ListeB,,1)='recap S1'!M$2))&gt;0,SUMPRODUCT((ListeB='recap S1'!$B134)*(OFFSET(ListeB,,4)='recap S1'!M$3)*(OFFSET(ListeB,,1)='recap S1'!M$2)),"")</f>
        <v/>
      </c>
      <c r="N134" s="32" t="str">
        <f ca="1">IF(SUMPRODUCT((ListeB='recap S1'!$B134)*(OFFSET(ListeB,,4)='recap S1'!N$3)*(OFFSET(ListeB,,1)='recap S1'!N$2))&gt;0,SUMPRODUCT((ListeB='recap S1'!$B134)*(OFFSET(ListeB,,4)='recap S1'!N$3)*(OFFSET(ListeB,,1)='recap S1'!N$2)),"")</f>
        <v/>
      </c>
      <c r="O134" s="32"/>
      <c r="P134" s="32" t="str">
        <f ca="1">IF(SUMPRODUCT((ListeB='recap S1'!$B134)*(OFFSET(ListeB,,4)='recap S1'!P$3)*(OFFSET(ListeB,,1)='recap S1'!P$2))&gt;0,SUMPRODUCT((ListeB='recap S1'!$B134)*(OFFSET(ListeB,,4)='recap S1'!P$3)*(OFFSET(ListeB,,1)='recap S1'!P$2)),"")</f>
        <v/>
      </c>
      <c r="Q134" s="32" t="str">
        <f ca="1">IF(SUMPRODUCT((ListeB='recap S1'!$B134)*(OFFSET(ListeB,,4)='recap S1'!Q$3)*(OFFSET(ListeB,,1)='recap S1'!Q$2))&gt;0,SUMPRODUCT((ListeB='recap S1'!$B134)*(OFFSET(ListeB,,4)='recap S1'!Q$3)*(OFFSET(ListeB,,1)='recap S1'!Q$2)),"")</f>
        <v/>
      </c>
      <c r="R134" s="32"/>
      <c r="S134" s="32" t="str">
        <f ca="1">IF(SUMPRODUCT((ListeB='recap S1'!$B134)*(OFFSET(ListeB,,4)='recap S1'!S$3)*(OFFSET(ListeB,,1)='recap S1'!S$2))&gt;0,SUMPRODUCT((ListeB='recap S1'!$B134)*(OFFSET(ListeB,,4)='recap S1'!S$3)*(OFFSET(ListeB,,1)='recap S1'!S$2)),"")</f>
        <v/>
      </c>
      <c r="T134" s="32" t="str">
        <f ca="1">IF(SUMPRODUCT((ListeB='recap S1'!$B134)*(OFFSET(ListeB,,4)='recap S1'!T$3)*(OFFSET(ListeB,,1)='recap S1'!T$2))&gt;0,SUMPRODUCT((ListeB='recap S1'!$B134)*(OFFSET(ListeB,,4)='recap S1'!T$3)*(OFFSET(ListeB,,1)='recap S1'!T$2)),"")</f>
        <v/>
      </c>
      <c r="U134" s="32" t="str">
        <f ca="1">IF(SUMPRODUCT((ListeB='recap S1'!$B134)*(OFFSET(ListeB,,4)='recap S1'!U$3)*(OFFSET(ListeB,,1)='recap S1'!U$2))&gt;0,SUMPRODUCT((ListeB='recap S1'!$B134)*(OFFSET(ListeB,,4)='recap S1'!U$3)*(OFFSET(ListeB,,1)='recap S1'!U$2)),"")</f>
        <v/>
      </c>
      <c r="V134" s="32"/>
      <c r="W134" s="32" t="str">
        <f ca="1">IF(SUMPRODUCT((ListeB='recap S1'!$B134)*(OFFSET(ListeB,,4)='recap S1'!W$3)*(OFFSET(ListeB,,1)='recap S1'!W$2))&gt;0,SUMPRODUCT((ListeB='recap S1'!$B134)*(OFFSET(ListeB,,4)='recap S1'!W$3)*(OFFSET(ListeB,,1)='recap S1'!W$2)),"")</f>
        <v/>
      </c>
      <c r="X134" s="32"/>
      <c r="Y134" s="32" t="str">
        <f ca="1">IF(SUMPRODUCT((ListeB='recap S1'!$B134)*(OFFSET(ListeB,,4)='recap S1'!Y$3)*(OFFSET(ListeB,,1)='recap S1'!Y$2))&gt;0,SUMPRODUCT((ListeB='recap S1'!$B134)*(OFFSET(ListeB,,4)='recap S1'!Y$3)*(OFFSET(ListeB,,1)='recap S1'!Y$2)),"")</f>
        <v/>
      </c>
      <c r="Z134" s="32" t="str">
        <f ca="1">IF(SUMPRODUCT((ListeB='recap S1'!$B134)*(OFFSET(ListeB,,4)='recap S1'!Z$3)*(OFFSET(ListeB,,1)='recap S1'!Z$2))&gt;0,SUMPRODUCT((ListeB='recap S1'!$B134)*(OFFSET(ListeB,,4)='recap S1'!Z$3)*(OFFSET(ListeB,,1)='recap S1'!Z$2)),"")</f>
        <v/>
      </c>
      <c r="AA134" s="32" t="str">
        <f ca="1">IF(SUMPRODUCT((ListeB='recap S1'!$B134)*(OFFSET(ListeB,,4)='recap S1'!AA$3)*(OFFSET(ListeB,,1)='recap S1'!AA$2))&gt;0,SUMPRODUCT((ListeB='recap S1'!$B134)*(OFFSET(ListeB,,4)='recap S1'!AA$3)*(OFFSET(ListeB,,1)='recap S1'!AA$2)),"")</f>
        <v/>
      </c>
      <c r="AB134" s="32"/>
      <c r="AC134" s="32" t="str">
        <f ca="1">IF(SUMPRODUCT((ListeB='recap S1'!$B134)*(OFFSET(ListeB,,4)='recap S1'!AC$3)*(OFFSET(ListeB,,1)='recap S1'!AC$2))&gt;0,SUMPRODUCT((ListeB='recap S1'!$B134)*(OFFSET(ListeB,,4)='recap S1'!AC$3)*(OFFSET(ListeB,,1)='recap S1'!AC$2)),"")</f>
        <v/>
      </c>
      <c r="AD134" s="32"/>
      <c r="AE134" s="32" t="str">
        <f ca="1">IF(SUMPRODUCT((ListeB='recap S1'!$B134)*(OFFSET(ListeB,,4)='recap S1'!AE$3)*(OFFSET(ListeB,,1)='recap S1'!AE$2))&gt;0,SUMPRODUCT((ListeB='recap S1'!$B134)*(OFFSET(ListeB,,4)='recap S1'!AE$3)*(OFFSET(ListeB,,1)='recap S1'!AE$2)),"")</f>
        <v/>
      </c>
      <c r="AF134" s="32" t="str">
        <f ca="1">IF(SUMPRODUCT((ListeB='recap S1'!$B134)*(OFFSET(ListeB,,4)='recap S1'!AF$3)*(OFFSET(ListeB,,1)='recap S1'!AF$2))&gt;0,SUMPRODUCT((ListeB='recap S1'!$B134)*(OFFSET(ListeB,,4)='recap S1'!AF$3)*(OFFSET(ListeB,,1)='recap S1'!AF$2)),"")</f>
        <v/>
      </c>
      <c r="AG134" s="32"/>
      <c r="AH134" s="32" t="str">
        <f ca="1">IF(SUMPRODUCT((ListeB='recap S1'!$B134)*(OFFSET(ListeB,,4)='recap S1'!AH$3)*(OFFSET(ListeB,,1)='recap S1'!AH$2))&gt;0,SUMPRODUCT((ListeB='recap S1'!$B134)*(OFFSET(ListeB,,4)='recap S1'!AH$3)*(OFFSET(ListeB,,1)='recap S1'!AH$2)),"")</f>
        <v/>
      </c>
      <c r="AI134" s="32" t="str">
        <f ca="1">IF(SUMPRODUCT((ListeB='recap S1'!$B134)*(OFFSET(ListeB,,4)='recap S1'!AI$3)*(OFFSET(ListeB,,1)='recap S1'!AI$2))&gt;0,SUMPRODUCT((ListeB='recap S1'!$B134)*(OFFSET(ListeB,,4)='recap S1'!AI$3)*(OFFSET(ListeB,,1)='recap S1'!AI$2)),"")</f>
        <v/>
      </c>
      <c r="AJ134" s="32" t="str">
        <f ca="1">IF(SUMPRODUCT((ListeB='recap S1'!$B134)*(OFFSET(ListeB,,4)='recap S1'!AJ$3)*(OFFSET(ListeB,,1)='recap S1'!AJ$2))&gt;0,SUMPRODUCT((ListeB='recap S1'!$B134)*(OFFSET(ListeB,,4)='recap S1'!AJ$3)*(OFFSET(ListeB,,1)='recap S1'!AJ$2)),"")</f>
        <v/>
      </c>
      <c r="AK134" s="32"/>
      <c r="AL134" s="32" t="str">
        <f ca="1">IF(SUMPRODUCT((ListeB='recap S1'!$B134)*(OFFSET(ListeB,,4)='recap S1'!AL$3)*(OFFSET(ListeB,,1)='recap S1'!AL$2))&gt;0,SUMPRODUCT((ListeB='recap S1'!$B134)*(OFFSET(ListeB,,4)='recap S1'!AL$3)*(OFFSET(ListeB,,1)='recap S1'!AL$2)),"")</f>
        <v/>
      </c>
      <c r="AM134" s="32"/>
      <c r="AN134" s="32" t="str">
        <f ca="1">IF(SUMPRODUCT((ListeB='recap S1'!$B134)*(OFFSET(ListeB,,4)='recap S1'!AN$3)*(OFFSET(ListeB,,1)='recap S1'!AN$2))&gt;0,SUMPRODUCT((ListeB='recap S1'!$B134)*(OFFSET(ListeB,,4)='recap S1'!AN$3)*(OFFSET(ListeB,,1)='recap S1'!AN$2)),"")</f>
        <v/>
      </c>
      <c r="AO134" s="32" t="str">
        <f ca="1">IF(SUMPRODUCT((ListeB='recap S1'!$B134)*(OFFSET(ListeB,,4)='recap S1'!AO$3)*(OFFSET(ListeB,,1)='recap S1'!AO$2))&gt;0,SUMPRODUCT((ListeB='recap S1'!$B134)*(OFFSET(ListeB,,4)='recap S1'!AO$3)*(OFFSET(ListeB,,1)='recap S1'!AO$2)),"")</f>
        <v/>
      </c>
      <c r="AP134" s="32"/>
      <c r="AQ134" s="32"/>
      <c r="AR134" s="32"/>
      <c r="AS134" s="32" t="str">
        <f ca="1">IF(SUMPRODUCT((ListeB='recap S1'!$B134)*(OFFSET(ListeB,,4)='recap S1'!AS$3)*(OFFSET(ListeB,,1)='recap S1'!AS$2))&gt;0,SUMPRODUCT((ListeB='recap S1'!$B134)*(OFFSET(ListeB,,4)='recap S1'!AS$3)*(OFFSET(ListeB,,1)='recap S1'!AS$2)),"")</f>
        <v/>
      </c>
      <c r="AT134" s="32" t="str">
        <f ca="1">IF(SUMPRODUCT((ListeB='recap S1'!$B134)*(OFFSET(ListeB,,4)='recap S1'!AT$3)*(OFFSET(ListeB,,1)='recap S1'!AT$2))&gt;0,SUMPRODUCT((ListeB='recap S1'!$B134)*(OFFSET(ListeB,,4)='recap S1'!AT$3)*(OFFSET(ListeB,,1)='recap S1'!AT$2)),"")</f>
        <v/>
      </c>
      <c r="AU134" s="32"/>
      <c r="AV134" s="32" t="str">
        <f ca="1">IF(SUMPRODUCT((ListeB='recap S1'!$B134)*(OFFSET(ListeB,,4)='recap S1'!AV$3)*(OFFSET(ListeB,,1)='recap S1'!AV$2))&gt;0,SUMPRODUCT((ListeB='recap S1'!$B134)*(OFFSET(ListeB,,4)='recap S1'!AV$3)*(OFFSET(ListeB,,1)='recap S1'!AV$2)),"")</f>
        <v/>
      </c>
      <c r="AW134" s="32" t="str">
        <f ca="1">IF(SUMPRODUCT((ListeB='recap S1'!$B134)*(OFFSET(ListeB,,4)='recap S1'!AW$3)*(OFFSET(ListeB,,1)='recap S1'!AW$2))&gt;0,SUMPRODUCT((ListeB='recap S1'!$B134)*(OFFSET(ListeB,,4)='recap S1'!AW$3)*(OFFSET(ListeB,,1)='recap S1'!AW$2)),"")</f>
        <v/>
      </c>
      <c r="AX134" s="32" t="str">
        <f ca="1">IF(SUMPRODUCT((ListeB='recap S1'!$B134)*(OFFSET(ListeB,,4)='recap S1'!AX$3)*(OFFSET(ListeB,,1)='recap S1'!AX$2))&gt;0,SUMPRODUCT((ListeB='recap S1'!$B134)*(OFFSET(ListeB,,4)='recap S1'!AX$3)*(OFFSET(ListeB,,1)='recap S1'!AX$2)),"")</f>
        <v/>
      </c>
      <c r="AY134" s="34"/>
      <c r="AZ134" s="32">
        <f t="shared" ca="1" si="4"/>
        <v>0</v>
      </c>
    </row>
    <row r="135" spans="1:52">
      <c r="A135" s="41" t="str">
        <f>IF('SEANCE 1'!$B133&lt;&gt;"",'SEANCE 1'!$A133,"")</f>
        <v/>
      </c>
      <c r="B135" s="41" t="str">
        <f t="array" aca="1" ref="B135" ca="1">IF(ISNA(INDEX(ListeB,MATCH(0,COUNTIF($B$3:B134,ListeB),0))),"",INDEX(ListeB,MATCH(0,COUNTIF($B$3:B134,ListeB),0)))</f>
        <v/>
      </c>
      <c r="C135" s="32" t="str">
        <f ca="1">IF(SUMPRODUCT((ListeB='recap S1'!$B135)*(OFFSET(ListeB,,4)='recap S1'!C$3)*(OFFSET(ListeB,,1)='recap S1'!C$2))&gt;0,SUMPRODUCT((ListeB='recap S1'!$B135)*(OFFSET(ListeB,,4)='recap S1'!C$3)*(OFFSET(ListeB,,1)='recap S1'!C$2)),"")</f>
        <v/>
      </c>
      <c r="D135" s="32" t="str">
        <f ca="1">IF(SUMPRODUCT((ListeB='recap S1'!$B135)*(OFFSET(ListeB,,4)='recap S1'!D$3)*(OFFSET(ListeB,,1)='recap S1'!D$2))&gt;0,SUMPRODUCT((ListeB='recap S1'!$B135)*(OFFSET(ListeB,,4)='recap S1'!D$3)*(OFFSET(ListeB,,1)='recap S1'!D$2)),"")</f>
        <v/>
      </c>
      <c r="E135" s="32"/>
      <c r="F135" s="32" t="str">
        <f ca="1">IF(SUMPRODUCT((ListeB='recap S1'!$B135)*(OFFSET(ListeB,,4)='recap S1'!F$3)*(OFFSET(ListeB,,1)='recap S1'!F$2))&gt;0,SUMPRODUCT((ListeB='recap S1'!$B135)*(OFFSET(ListeB,,4)='recap S1'!F$3)*(OFFSET(ListeB,,1)='recap S1'!F$2)),"")</f>
        <v/>
      </c>
      <c r="G135" s="32" t="str">
        <f ca="1">IF(SUMPRODUCT((ListeB='recap S1'!$B135)*(OFFSET(ListeB,,4)='recap S1'!G$3)*(OFFSET(ListeB,,1)='recap S1'!G$2))&gt;0,SUMPRODUCT((ListeB='recap S1'!$B135)*(OFFSET(ListeB,,4)='recap S1'!G$3)*(OFFSET(ListeB,,1)='recap S1'!G$2)),"")</f>
        <v/>
      </c>
      <c r="H135" s="32"/>
      <c r="I135" s="32" t="str">
        <f ca="1">IF(SUMPRODUCT((ListeB='recap S1'!$B135)*(OFFSET(ListeB,,4)='recap S1'!I$3)*(OFFSET(ListeB,,1)='recap S1'!I$2))&gt;0,SUMPRODUCT((ListeB='recap S1'!$B135)*(OFFSET(ListeB,,4)='recap S1'!I$3)*(OFFSET(ListeB,,1)='recap S1'!I$2)),"")</f>
        <v/>
      </c>
      <c r="J135" s="32" t="str">
        <f ca="1">IF(SUMPRODUCT((ListeB='recap S1'!$B135)*(OFFSET(ListeB,,4)='recap S1'!J$3)*(OFFSET(ListeB,,1)='recap S1'!J$2))&gt;0,SUMPRODUCT((ListeB='recap S1'!$B135)*(OFFSET(ListeB,,4)='recap S1'!J$3)*(OFFSET(ListeB,,1)='recap S1'!J$2)),"")</f>
        <v/>
      </c>
      <c r="K135" s="32" t="str">
        <f ca="1">IF(SUMPRODUCT((ListeB='recap S1'!$B135)*(OFFSET(ListeB,,4)='recap S1'!K$3)*(OFFSET(ListeB,,1)='recap S1'!K$2))&gt;0,SUMPRODUCT((ListeB='recap S1'!$B135)*(OFFSET(ListeB,,4)='recap S1'!K$3)*(OFFSET(ListeB,,1)='recap S1'!K$2)),"")</f>
        <v/>
      </c>
      <c r="L135" s="32"/>
      <c r="M135" s="32" t="str">
        <f ca="1">IF(SUMPRODUCT((ListeB='recap S1'!$B135)*(OFFSET(ListeB,,4)='recap S1'!M$3)*(OFFSET(ListeB,,1)='recap S1'!M$2))&gt;0,SUMPRODUCT((ListeB='recap S1'!$B135)*(OFFSET(ListeB,,4)='recap S1'!M$3)*(OFFSET(ListeB,,1)='recap S1'!M$2)),"")</f>
        <v/>
      </c>
      <c r="N135" s="32" t="str">
        <f ca="1">IF(SUMPRODUCT((ListeB='recap S1'!$B135)*(OFFSET(ListeB,,4)='recap S1'!N$3)*(OFFSET(ListeB,,1)='recap S1'!N$2))&gt;0,SUMPRODUCT((ListeB='recap S1'!$B135)*(OFFSET(ListeB,,4)='recap S1'!N$3)*(OFFSET(ListeB,,1)='recap S1'!N$2)),"")</f>
        <v/>
      </c>
      <c r="O135" s="32"/>
      <c r="P135" s="32" t="str">
        <f ca="1">IF(SUMPRODUCT((ListeB='recap S1'!$B135)*(OFFSET(ListeB,,4)='recap S1'!P$3)*(OFFSET(ListeB,,1)='recap S1'!P$2))&gt;0,SUMPRODUCT((ListeB='recap S1'!$B135)*(OFFSET(ListeB,,4)='recap S1'!P$3)*(OFFSET(ListeB,,1)='recap S1'!P$2)),"")</f>
        <v/>
      </c>
      <c r="Q135" s="32" t="str">
        <f ca="1">IF(SUMPRODUCT((ListeB='recap S1'!$B135)*(OFFSET(ListeB,,4)='recap S1'!Q$3)*(OFFSET(ListeB,,1)='recap S1'!Q$2))&gt;0,SUMPRODUCT((ListeB='recap S1'!$B135)*(OFFSET(ListeB,,4)='recap S1'!Q$3)*(OFFSET(ListeB,,1)='recap S1'!Q$2)),"")</f>
        <v/>
      </c>
      <c r="R135" s="32"/>
      <c r="S135" s="32" t="str">
        <f ca="1">IF(SUMPRODUCT((ListeB='recap S1'!$B135)*(OFFSET(ListeB,,4)='recap S1'!S$3)*(OFFSET(ListeB,,1)='recap S1'!S$2))&gt;0,SUMPRODUCT((ListeB='recap S1'!$B135)*(OFFSET(ListeB,,4)='recap S1'!S$3)*(OFFSET(ListeB,,1)='recap S1'!S$2)),"")</f>
        <v/>
      </c>
      <c r="T135" s="32" t="str">
        <f ca="1">IF(SUMPRODUCT((ListeB='recap S1'!$B135)*(OFFSET(ListeB,,4)='recap S1'!T$3)*(OFFSET(ListeB,,1)='recap S1'!T$2))&gt;0,SUMPRODUCT((ListeB='recap S1'!$B135)*(OFFSET(ListeB,,4)='recap S1'!T$3)*(OFFSET(ListeB,,1)='recap S1'!T$2)),"")</f>
        <v/>
      </c>
      <c r="U135" s="32" t="str">
        <f ca="1">IF(SUMPRODUCT((ListeB='recap S1'!$B135)*(OFFSET(ListeB,,4)='recap S1'!U$3)*(OFFSET(ListeB,,1)='recap S1'!U$2))&gt;0,SUMPRODUCT((ListeB='recap S1'!$B135)*(OFFSET(ListeB,,4)='recap S1'!U$3)*(OFFSET(ListeB,,1)='recap S1'!U$2)),"")</f>
        <v/>
      </c>
      <c r="V135" s="32"/>
      <c r="W135" s="32" t="str">
        <f ca="1">IF(SUMPRODUCT((ListeB='recap S1'!$B135)*(OFFSET(ListeB,,4)='recap S1'!W$3)*(OFFSET(ListeB,,1)='recap S1'!W$2))&gt;0,SUMPRODUCT((ListeB='recap S1'!$B135)*(OFFSET(ListeB,,4)='recap S1'!W$3)*(OFFSET(ListeB,,1)='recap S1'!W$2)),"")</f>
        <v/>
      </c>
      <c r="X135" s="32"/>
      <c r="Y135" s="32" t="str">
        <f ca="1">IF(SUMPRODUCT((ListeB='recap S1'!$B135)*(OFFSET(ListeB,,4)='recap S1'!Y$3)*(OFFSET(ListeB,,1)='recap S1'!Y$2))&gt;0,SUMPRODUCT((ListeB='recap S1'!$B135)*(OFFSET(ListeB,,4)='recap S1'!Y$3)*(OFFSET(ListeB,,1)='recap S1'!Y$2)),"")</f>
        <v/>
      </c>
      <c r="Z135" s="32" t="str">
        <f ca="1">IF(SUMPRODUCT((ListeB='recap S1'!$B135)*(OFFSET(ListeB,,4)='recap S1'!Z$3)*(OFFSET(ListeB,,1)='recap S1'!Z$2))&gt;0,SUMPRODUCT((ListeB='recap S1'!$B135)*(OFFSET(ListeB,,4)='recap S1'!Z$3)*(OFFSET(ListeB,,1)='recap S1'!Z$2)),"")</f>
        <v/>
      </c>
      <c r="AA135" s="32" t="str">
        <f ca="1">IF(SUMPRODUCT((ListeB='recap S1'!$B135)*(OFFSET(ListeB,,4)='recap S1'!AA$3)*(OFFSET(ListeB,,1)='recap S1'!AA$2))&gt;0,SUMPRODUCT((ListeB='recap S1'!$B135)*(OFFSET(ListeB,,4)='recap S1'!AA$3)*(OFFSET(ListeB,,1)='recap S1'!AA$2)),"")</f>
        <v/>
      </c>
      <c r="AB135" s="32"/>
      <c r="AC135" s="32" t="str">
        <f ca="1">IF(SUMPRODUCT((ListeB='recap S1'!$B135)*(OFFSET(ListeB,,4)='recap S1'!AC$3)*(OFFSET(ListeB,,1)='recap S1'!AC$2))&gt;0,SUMPRODUCT((ListeB='recap S1'!$B135)*(OFFSET(ListeB,,4)='recap S1'!AC$3)*(OFFSET(ListeB,,1)='recap S1'!AC$2)),"")</f>
        <v/>
      </c>
      <c r="AD135" s="32"/>
      <c r="AE135" s="32" t="str">
        <f ca="1">IF(SUMPRODUCT((ListeB='recap S1'!$B135)*(OFFSET(ListeB,,4)='recap S1'!AE$3)*(OFFSET(ListeB,,1)='recap S1'!AE$2))&gt;0,SUMPRODUCT((ListeB='recap S1'!$B135)*(OFFSET(ListeB,,4)='recap S1'!AE$3)*(OFFSET(ListeB,,1)='recap S1'!AE$2)),"")</f>
        <v/>
      </c>
      <c r="AF135" s="32" t="str">
        <f ca="1">IF(SUMPRODUCT((ListeB='recap S1'!$B135)*(OFFSET(ListeB,,4)='recap S1'!AF$3)*(OFFSET(ListeB,,1)='recap S1'!AF$2))&gt;0,SUMPRODUCT((ListeB='recap S1'!$B135)*(OFFSET(ListeB,,4)='recap S1'!AF$3)*(OFFSET(ListeB,,1)='recap S1'!AF$2)),"")</f>
        <v/>
      </c>
      <c r="AG135" s="32"/>
      <c r="AH135" s="32" t="str">
        <f ca="1">IF(SUMPRODUCT((ListeB='recap S1'!$B135)*(OFFSET(ListeB,,4)='recap S1'!AH$3)*(OFFSET(ListeB,,1)='recap S1'!AH$2))&gt;0,SUMPRODUCT((ListeB='recap S1'!$B135)*(OFFSET(ListeB,,4)='recap S1'!AH$3)*(OFFSET(ListeB,,1)='recap S1'!AH$2)),"")</f>
        <v/>
      </c>
      <c r="AI135" s="32" t="str">
        <f ca="1">IF(SUMPRODUCT((ListeB='recap S1'!$B135)*(OFFSET(ListeB,,4)='recap S1'!AI$3)*(OFFSET(ListeB,,1)='recap S1'!AI$2))&gt;0,SUMPRODUCT((ListeB='recap S1'!$B135)*(OFFSET(ListeB,,4)='recap S1'!AI$3)*(OFFSET(ListeB,,1)='recap S1'!AI$2)),"")</f>
        <v/>
      </c>
      <c r="AJ135" s="32" t="str">
        <f ca="1">IF(SUMPRODUCT((ListeB='recap S1'!$B135)*(OFFSET(ListeB,,4)='recap S1'!AJ$3)*(OFFSET(ListeB,,1)='recap S1'!AJ$2))&gt;0,SUMPRODUCT((ListeB='recap S1'!$B135)*(OFFSET(ListeB,,4)='recap S1'!AJ$3)*(OFFSET(ListeB,,1)='recap S1'!AJ$2)),"")</f>
        <v/>
      </c>
      <c r="AK135" s="32"/>
      <c r="AL135" s="32" t="str">
        <f ca="1">IF(SUMPRODUCT((ListeB='recap S1'!$B135)*(OFFSET(ListeB,,4)='recap S1'!AL$3)*(OFFSET(ListeB,,1)='recap S1'!AL$2))&gt;0,SUMPRODUCT((ListeB='recap S1'!$B135)*(OFFSET(ListeB,,4)='recap S1'!AL$3)*(OFFSET(ListeB,,1)='recap S1'!AL$2)),"")</f>
        <v/>
      </c>
      <c r="AM135" s="32"/>
      <c r="AN135" s="32" t="str">
        <f ca="1">IF(SUMPRODUCT((ListeB='recap S1'!$B135)*(OFFSET(ListeB,,4)='recap S1'!AN$3)*(OFFSET(ListeB,,1)='recap S1'!AN$2))&gt;0,SUMPRODUCT((ListeB='recap S1'!$B135)*(OFFSET(ListeB,,4)='recap S1'!AN$3)*(OFFSET(ListeB,,1)='recap S1'!AN$2)),"")</f>
        <v/>
      </c>
      <c r="AO135" s="32" t="str">
        <f ca="1">IF(SUMPRODUCT((ListeB='recap S1'!$B135)*(OFFSET(ListeB,,4)='recap S1'!AO$3)*(OFFSET(ListeB,,1)='recap S1'!AO$2))&gt;0,SUMPRODUCT((ListeB='recap S1'!$B135)*(OFFSET(ListeB,,4)='recap S1'!AO$3)*(OFFSET(ListeB,,1)='recap S1'!AO$2)),"")</f>
        <v/>
      </c>
      <c r="AP135" s="32"/>
      <c r="AQ135" s="32"/>
      <c r="AR135" s="32"/>
      <c r="AS135" s="32" t="str">
        <f ca="1">IF(SUMPRODUCT((ListeB='recap S1'!$B135)*(OFFSET(ListeB,,4)='recap S1'!AS$3)*(OFFSET(ListeB,,1)='recap S1'!AS$2))&gt;0,SUMPRODUCT((ListeB='recap S1'!$B135)*(OFFSET(ListeB,,4)='recap S1'!AS$3)*(OFFSET(ListeB,,1)='recap S1'!AS$2)),"")</f>
        <v/>
      </c>
      <c r="AT135" s="32" t="str">
        <f ca="1">IF(SUMPRODUCT((ListeB='recap S1'!$B135)*(OFFSET(ListeB,,4)='recap S1'!AT$3)*(OFFSET(ListeB,,1)='recap S1'!AT$2))&gt;0,SUMPRODUCT((ListeB='recap S1'!$B135)*(OFFSET(ListeB,,4)='recap S1'!AT$3)*(OFFSET(ListeB,,1)='recap S1'!AT$2)),"")</f>
        <v/>
      </c>
      <c r="AU135" s="32"/>
      <c r="AV135" s="32" t="str">
        <f ca="1">IF(SUMPRODUCT((ListeB='recap S1'!$B135)*(OFFSET(ListeB,,4)='recap S1'!AV$3)*(OFFSET(ListeB,,1)='recap S1'!AV$2))&gt;0,SUMPRODUCT((ListeB='recap S1'!$B135)*(OFFSET(ListeB,,4)='recap S1'!AV$3)*(OFFSET(ListeB,,1)='recap S1'!AV$2)),"")</f>
        <v/>
      </c>
      <c r="AW135" s="32" t="str">
        <f ca="1">IF(SUMPRODUCT((ListeB='recap S1'!$B135)*(OFFSET(ListeB,,4)='recap S1'!AW$3)*(OFFSET(ListeB,,1)='recap S1'!AW$2))&gt;0,SUMPRODUCT((ListeB='recap S1'!$B135)*(OFFSET(ListeB,,4)='recap S1'!AW$3)*(OFFSET(ListeB,,1)='recap S1'!AW$2)),"")</f>
        <v/>
      </c>
      <c r="AX135" s="32" t="str">
        <f ca="1">IF(SUMPRODUCT((ListeB='recap S1'!$B135)*(OFFSET(ListeB,,4)='recap S1'!AX$3)*(OFFSET(ListeB,,1)='recap S1'!AX$2))&gt;0,SUMPRODUCT((ListeB='recap S1'!$B135)*(OFFSET(ListeB,,4)='recap S1'!AX$3)*(OFFSET(ListeB,,1)='recap S1'!AX$2)),"")</f>
        <v/>
      </c>
      <c r="AY135" s="34"/>
      <c r="AZ135" s="32">
        <f t="shared" ca="1" si="4"/>
        <v>0</v>
      </c>
    </row>
    <row r="136" spans="1:52">
      <c r="A136" s="41" t="str">
        <f>IF('SEANCE 1'!$B134&lt;&gt;"",'SEANCE 1'!$A134,"")</f>
        <v/>
      </c>
      <c r="B136" s="41" t="str">
        <f t="array" aca="1" ref="B136" ca="1">IF(ISNA(INDEX(ListeB,MATCH(0,COUNTIF($B$3:B135,ListeB),0))),"",INDEX(ListeB,MATCH(0,COUNTIF($B$3:B135,ListeB),0)))</f>
        <v/>
      </c>
      <c r="C136" s="32" t="str">
        <f ca="1">IF(SUMPRODUCT((ListeB='recap S1'!$B136)*(OFFSET(ListeB,,4)='recap S1'!C$3)*(OFFSET(ListeB,,1)='recap S1'!C$2))&gt;0,SUMPRODUCT((ListeB='recap S1'!$B136)*(OFFSET(ListeB,,4)='recap S1'!C$3)*(OFFSET(ListeB,,1)='recap S1'!C$2)),"")</f>
        <v/>
      </c>
      <c r="D136" s="32" t="str">
        <f ca="1">IF(SUMPRODUCT((ListeB='recap S1'!$B136)*(OFFSET(ListeB,,4)='recap S1'!D$3)*(OFFSET(ListeB,,1)='recap S1'!D$2))&gt;0,SUMPRODUCT((ListeB='recap S1'!$B136)*(OFFSET(ListeB,,4)='recap S1'!D$3)*(OFFSET(ListeB,,1)='recap S1'!D$2)),"")</f>
        <v/>
      </c>
      <c r="E136" s="32"/>
      <c r="F136" s="32" t="str">
        <f ca="1">IF(SUMPRODUCT((ListeB='recap S1'!$B136)*(OFFSET(ListeB,,4)='recap S1'!F$3)*(OFFSET(ListeB,,1)='recap S1'!F$2))&gt;0,SUMPRODUCT((ListeB='recap S1'!$B136)*(OFFSET(ListeB,,4)='recap S1'!F$3)*(OFFSET(ListeB,,1)='recap S1'!F$2)),"")</f>
        <v/>
      </c>
      <c r="G136" s="32" t="str">
        <f ca="1">IF(SUMPRODUCT((ListeB='recap S1'!$B136)*(OFFSET(ListeB,,4)='recap S1'!G$3)*(OFFSET(ListeB,,1)='recap S1'!G$2))&gt;0,SUMPRODUCT((ListeB='recap S1'!$B136)*(OFFSET(ListeB,,4)='recap S1'!G$3)*(OFFSET(ListeB,,1)='recap S1'!G$2)),"")</f>
        <v/>
      </c>
      <c r="H136" s="32"/>
      <c r="I136" s="32" t="str">
        <f ca="1">IF(SUMPRODUCT((ListeB='recap S1'!$B136)*(OFFSET(ListeB,,4)='recap S1'!I$3)*(OFFSET(ListeB,,1)='recap S1'!I$2))&gt;0,SUMPRODUCT((ListeB='recap S1'!$B136)*(OFFSET(ListeB,,4)='recap S1'!I$3)*(OFFSET(ListeB,,1)='recap S1'!I$2)),"")</f>
        <v/>
      </c>
      <c r="J136" s="32" t="str">
        <f ca="1">IF(SUMPRODUCT((ListeB='recap S1'!$B136)*(OFFSET(ListeB,,4)='recap S1'!J$3)*(OFFSET(ListeB,,1)='recap S1'!J$2))&gt;0,SUMPRODUCT((ListeB='recap S1'!$B136)*(OFFSET(ListeB,,4)='recap S1'!J$3)*(OFFSET(ListeB,,1)='recap S1'!J$2)),"")</f>
        <v/>
      </c>
      <c r="K136" s="32" t="str">
        <f ca="1">IF(SUMPRODUCT((ListeB='recap S1'!$B136)*(OFFSET(ListeB,,4)='recap S1'!K$3)*(OFFSET(ListeB,,1)='recap S1'!K$2))&gt;0,SUMPRODUCT((ListeB='recap S1'!$B136)*(OFFSET(ListeB,,4)='recap S1'!K$3)*(OFFSET(ListeB,,1)='recap S1'!K$2)),"")</f>
        <v/>
      </c>
      <c r="L136" s="32"/>
      <c r="M136" s="32" t="str">
        <f ca="1">IF(SUMPRODUCT((ListeB='recap S1'!$B136)*(OFFSET(ListeB,,4)='recap S1'!M$3)*(OFFSET(ListeB,,1)='recap S1'!M$2))&gt;0,SUMPRODUCT((ListeB='recap S1'!$B136)*(OFFSET(ListeB,,4)='recap S1'!M$3)*(OFFSET(ListeB,,1)='recap S1'!M$2)),"")</f>
        <v/>
      </c>
      <c r="N136" s="32" t="str">
        <f ca="1">IF(SUMPRODUCT((ListeB='recap S1'!$B136)*(OFFSET(ListeB,,4)='recap S1'!N$3)*(OFFSET(ListeB,,1)='recap S1'!N$2))&gt;0,SUMPRODUCT((ListeB='recap S1'!$B136)*(OFFSET(ListeB,,4)='recap S1'!N$3)*(OFFSET(ListeB,,1)='recap S1'!N$2)),"")</f>
        <v/>
      </c>
      <c r="O136" s="32"/>
      <c r="P136" s="32" t="str">
        <f ca="1">IF(SUMPRODUCT((ListeB='recap S1'!$B136)*(OFFSET(ListeB,,4)='recap S1'!P$3)*(OFFSET(ListeB,,1)='recap S1'!P$2))&gt;0,SUMPRODUCT((ListeB='recap S1'!$B136)*(OFFSET(ListeB,,4)='recap S1'!P$3)*(OFFSET(ListeB,,1)='recap S1'!P$2)),"")</f>
        <v/>
      </c>
      <c r="Q136" s="32" t="str">
        <f ca="1">IF(SUMPRODUCT((ListeB='recap S1'!$B136)*(OFFSET(ListeB,,4)='recap S1'!Q$3)*(OFFSET(ListeB,,1)='recap S1'!Q$2))&gt;0,SUMPRODUCT((ListeB='recap S1'!$B136)*(OFFSET(ListeB,,4)='recap S1'!Q$3)*(OFFSET(ListeB,,1)='recap S1'!Q$2)),"")</f>
        <v/>
      </c>
      <c r="R136" s="32"/>
      <c r="S136" s="32" t="str">
        <f ca="1">IF(SUMPRODUCT((ListeB='recap S1'!$B136)*(OFFSET(ListeB,,4)='recap S1'!S$3)*(OFFSET(ListeB,,1)='recap S1'!S$2))&gt;0,SUMPRODUCT((ListeB='recap S1'!$B136)*(OFFSET(ListeB,,4)='recap S1'!S$3)*(OFFSET(ListeB,,1)='recap S1'!S$2)),"")</f>
        <v/>
      </c>
      <c r="T136" s="32" t="str">
        <f ca="1">IF(SUMPRODUCT((ListeB='recap S1'!$B136)*(OFFSET(ListeB,,4)='recap S1'!T$3)*(OFFSET(ListeB,,1)='recap S1'!T$2))&gt;0,SUMPRODUCT((ListeB='recap S1'!$B136)*(OFFSET(ListeB,,4)='recap S1'!T$3)*(OFFSET(ListeB,,1)='recap S1'!T$2)),"")</f>
        <v/>
      </c>
      <c r="U136" s="32" t="str">
        <f ca="1">IF(SUMPRODUCT((ListeB='recap S1'!$B136)*(OFFSET(ListeB,,4)='recap S1'!U$3)*(OFFSET(ListeB,,1)='recap S1'!U$2))&gt;0,SUMPRODUCT((ListeB='recap S1'!$B136)*(OFFSET(ListeB,,4)='recap S1'!U$3)*(OFFSET(ListeB,,1)='recap S1'!U$2)),"")</f>
        <v/>
      </c>
      <c r="V136" s="32"/>
      <c r="W136" s="32" t="str">
        <f ca="1">IF(SUMPRODUCT((ListeB='recap S1'!$B136)*(OFFSET(ListeB,,4)='recap S1'!W$3)*(OFFSET(ListeB,,1)='recap S1'!W$2))&gt;0,SUMPRODUCT((ListeB='recap S1'!$B136)*(OFFSET(ListeB,,4)='recap S1'!W$3)*(OFFSET(ListeB,,1)='recap S1'!W$2)),"")</f>
        <v/>
      </c>
      <c r="X136" s="32"/>
      <c r="Y136" s="32" t="str">
        <f ca="1">IF(SUMPRODUCT((ListeB='recap S1'!$B136)*(OFFSET(ListeB,,4)='recap S1'!Y$3)*(OFFSET(ListeB,,1)='recap S1'!Y$2))&gt;0,SUMPRODUCT((ListeB='recap S1'!$B136)*(OFFSET(ListeB,,4)='recap S1'!Y$3)*(OFFSET(ListeB,,1)='recap S1'!Y$2)),"")</f>
        <v/>
      </c>
      <c r="Z136" s="32" t="str">
        <f ca="1">IF(SUMPRODUCT((ListeB='recap S1'!$B136)*(OFFSET(ListeB,,4)='recap S1'!Z$3)*(OFFSET(ListeB,,1)='recap S1'!Z$2))&gt;0,SUMPRODUCT((ListeB='recap S1'!$B136)*(OFFSET(ListeB,,4)='recap S1'!Z$3)*(OFFSET(ListeB,,1)='recap S1'!Z$2)),"")</f>
        <v/>
      </c>
      <c r="AA136" s="32" t="str">
        <f ca="1">IF(SUMPRODUCT((ListeB='recap S1'!$B136)*(OFFSET(ListeB,,4)='recap S1'!AA$3)*(OFFSET(ListeB,,1)='recap S1'!AA$2))&gt;0,SUMPRODUCT((ListeB='recap S1'!$B136)*(OFFSET(ListeB,,4)='recap S1'!AA$3)*(OFFSET(ListeB,,1)='recap S1'!AA$2)),"")</f>
        <v/>
      </c>
      <c r="AB136" s="32"/>
      <c r="AC136" s="32" t="str">
        <f ca="1">IF(SUMPRODUCT((ListeB='recap S1'!$B136)*(OFFSET(ListeB,,4)='recap S1'!AC$3)*(OFFSET(ListeB,,1)='recap S1'!AC$2))&gt;0,SUMPRODUCT((ListeB='recap S1'!$B136)*(OFFSET(ListeB,,4)='recap S1'!AC$3)*(OFFSET(ListeB,,1)='recap S1'!AC$2)),"")</f>
        <v/>
      </c>
      <c r="AD136" s="32"/>
      <c r="AE136" s="32" t="str">
        <f ca="1">IF(SUMPRODUCT((ListeB='recap S1'!$B136)*(OFFSET(ListeB,,4)='recap S1'!AE$3)*(OFFSET(ListeB,,1)='recap S1'!AE$2))&gt;0,SUMPRODUCT((ListeB='recap S1'!$B136)*(OFFSET(ListeB,,4)='recap S1'!AE$3)*(OFFSET(ListeB,,1)='recap S1'!AE$2)),"")</f>
        <v/>
      </c>
      <c r="AF136" s="32" t="str">
        <f ca="1">IF(SUMPRODUCT((ListeB='recap S1'!$B136)*(OFFSET(ListeB,,4)='recap S1'!AF$3)*(OFFSET(ListeB,,1)='recap S1'!AF$2))&gt;0,SUMPRODUCT((ListeB='recap S1'!$B136)*(OFFSET(ListeB,,4)='recap S1'!AF$3)*(OFFSET(ListeB,,1)='recap S1'!AF$2)),"")</f>
        <v/>
      </c>
      <c r="AG136" s="32"/>
      <c r="AH136" s="32" t="str">
        <f ca="1">IF(SUMPRODUCT((ListeB='recap S1'!$B136)*(OFFSET(ListeB,,4)='recap S1'!AH$3)*(OFFSET(ListeB,,1)='recap S1'!AH$2))&gt;0,SUMPRODUCT((ListeB='recap S1'!$B136)*(OFFSET(ListeB,,4)='recap S1'!AH$3)*(OFFSET(ListeB,,1)='recap S1'!AH$2)),"")</f>
        <v/>
      </c>
      <c r="AI136" s="32" t="str">
        <f ca="1">IF(SUMPRODUCT((ListeB='recap S1'!$B136)*(OFFSET(ListeB,,4)='recap S1'!AI$3)*(OFFSET(ListeB,,1)='recap S1'!AI$2))&gt;0,SUMPRODUCT((ListeB='recap S1'!$B136)*(OFFSET(ListeB,,4)='recap S1'!AI$3)*(OFFSET(ListeB,,1)='recap S1'!AI$2)),"")</f>
        <v/>
      </c>
      <c r="AJ136" s="32" t="str">
        <f ca="1">IF(SUMPRODUCT((ListeB='recap S1'!$B136)*(OFFSET(ListeB,,4)='recap S1'!AJ$3)*(OFFSET(ListeB,,1)='recap S1'!AJ$2))&gt;0,SUMPRODUCT((ListeB='recap S1'!$B136)*(OFFSET(ListeB,,4)='recap S1'!AJ$3)*(OFFSET(ListeB,,1)='recap S1'!AJ$2)),"")</f>
        <v/>
      </c>
      <c r="AK136" s="32"/>
      <c r="AL136" s="32" t="str">
        <f ca="1">IF(SUMPRODUCT((ListeB='recap S1'!$B136)*(OFFSET(ListeB,,4)='recap S1'!AL$3)*(OFFSET(ListeB,,1)='recap S1'!AL$2))&gt;0,SUMPRODUCT((ListeB='recap S1'!$B136)*(OFFSET(ListeB,,4)='recap S1'!AL$3)*(OFFSET(ListeB,,1)='recap S1'!AL$2)),"")</f>
        <v/>
      </c>
      <c r="AM136" s="32"/>
      <c r="AN136" s="32" t="str">
        <f ca="1">IF(SUMPRODUCT((ListeB='recap S1'!$B136)*(OFFSET(ListeB,,4)='recap S1'!AN$3)*(OFFSET(ListeB,,1)='recap S1'!AN$2))&gt;0,SUMPRODUCT((ListeB='recap S1'!$B136)*(OFFSET(ListeB,,4)='recap S1'!AN$3)*(OFFSET(ListeB,,1)='recap S1'!AN$2)),"")</f>
        <v/>
      </c>
      <c r="AO136" s="32" t="str">
        <f ca="1">IF(SUMPRODUCT((ListeB='recap S1'!$B136)*(OFFSET(ListeB,,4)='recap S1'!AO$3)*(OFFSET(ListeB,,1)='recap S1'!AO$2))&gt;0,SUMPRODUCT((ListeB='recap S1'!$B136)*(OFFSET(ListeB,,4)='recap S1'!AO$3)*(OFFSET(ListeB,,1)='recap S1'!AO$2)),"")</f>
        <v/>
      </c>
      <c r="AP136" s="32"/>
      <c r="AQ136" s="32"/>
      <c r="AR136" s="32"/>
      <c r="AS136" s="32" t="str">
        <f ca="1">IF(SUMPRODUCT((ListeB='recap S1'!$B136)*(OFFSET(ListeB,,4)='recap S1'!AS$3)*(OFFSET(ListeB,,1)='recap S1'!AS$2))&gt;0,SUMPRODUCT((ListeB='recap S1'!$B136)*(OFFSET(ListeB,,4)='recap S1'!AS$3)*(OFFSET(ListeB,,1)='recap S1'!AS$2)),"")</f>
        <v/>
      </c>
      <c r="AT136" s="32" t="str">
        <f ca="1">IF(SUMPRODUCT((ListeB='recap S1'!$B136)*(OFFSET(ListeB,,4)='recap S1'!AT$3)*(OFFSET(ListeB,,1)='recap S1'!AT$2))&gt;0,SUMPRODUCT((ListeB='recap S1'!$B136)*(OFFSET(ListeB,,4)='recap S1'!AT$3)*(OFFSET(ListeB,,1)='recap S1'!AT$2)),"")</f>
        <v/>
      </c>
      <c r="AU136" s="32"/>
      <c r="AV136" s="32" t="str">
        <f ca="1">IF(SUMPRODUCT((ListeB='recap S1'!$B136)*(OFFSET(ListeB,,4)='recap S1'!AV$3)*(OFFSET(ListeB,,1)='recap S1'!AV$2))&gt;0,SUMPRODUCT((ListeB='recap S1'!$B136)*(OFFSET(ListeB,,4)='recap S1'!AV$3)*(OFFSET(ListeB,,1)='recap S1'!AV$2)),"")</f>
        <v/>
      </c>
      <c r="AW136" s="32" t="str">
        <f ca="1">IF(SUMPRODUCT((ListeB='recap S1'!$B136)*(OFFSET(ListeB,,4)='recap S1'!AW$3)*(OFFSET(ListeB,,1)='recap S1'!AW$2))&gt;0,SUMPRODUCT((ListeB='recap S1'!$B136)*(OFFSET(ListeB,,4)='recap S1'!AW$3)*(OFFSET(ListeB,,1)='recap S1'!AW$2)),"")</f>
        <v/>
      </c>
      <c r="AX136" s="32" t="str">
        <f ca="1">IF(SUMPRODUCT((ListeB='recap S1'!$B136)*(OFFSET(ListeB,,4)='recap S1'!AX$3)*(OFFSET(ListeB,,1)='recap S1'!AX$2))&gt;0,SUMPRODUCT((ListeB='recap S1'!$B136)*(OFFSET(ListeB,,4)='recap S1'!AX$3)*(OFFSET(ListeB,,1)='recap S1'!AX$2)),"")</f>
        <v/>
      </c>
      <c r="AY136" s="34"/>
      <c r="AZ136" s="32">
        <f t="shared" ca="1" si="4"/>
        <v>0</v>
      </c>
    </row>
    <row r="137" spans="1:52">
      <c r="A137" s="41" t="str">
        <f>IF('SEANCE 1'!$B135&lt;&gt;"",'SEANCE 1'!$A135,"")</f>
        <v/>
      </c>
      <c r="B137" s="41" t="str">
        <f t="array" aca="1" ref="B137" ca="1">IF(ISNA(INDEX(ListeB,MATCH(0,COUNTIF($B$3:B136,ListeB),0))),"",INDEX(ListeB,MATCH(0,COUNTIF($B$3:B136,ListeB),0)))</f>
        <v/>
      </c>
      <c r="C137" s="32" t="str">
        <f ca="1">IF(SUMPRODUCT((ListeB='recap S1'!$B137)*(OFFSET(ListeB,,4)='recap S1'!C$3)*(OFFSET(ListeB,,1)='recap S1'!C$2))&gt;0,SUMPRODUCT((ListeB='recap S1'!$B137)*(OFFSET(ListeB,,4)='recap S1'!C$3)*(OFFSET(ListeB,,1)='recap S1'!C$2)),"")</f>
        <v/>
      </c>
      <c r="D137" s="32" t="str">
        <f ca="1">IF(SUMPRODUCT((ListeB='recap S1'!$B137)*(OFFSET(ListeB,,4)='recap S1'!D$3)*(OFFSET(ListeB,,1)='recap S1'!D$2))&gt;0,SUMPRODUCT((ListeB='recap S1'!$B137)*(OFFSET(ListeB,,4)='recap S1'!D$3)*(OFFSET(ListeB,,1)='recap S1'!D$2)),"")</f>
        <v/>
      </c>
      <c r="E137" s="32"/>
      <c r="F137" s="32" t="str">
        <f ca="1">IF(SUMPRODUCT((ListeB='recap S1'!$B137)*(OFFSET(ListeB,,4)='recap S1'!F$3)*(OFFSET(ListeB,,1)='recap S1'!F$2))&gt;0,SUMPRODUCT((ListeB='recap S1'!$B137)*(OFFSET(ListeB,,4)='recap S1'!F$3)*(OFFSET(ListeB,,1)='recap S1'!F$2)),"")</f>
        <v/>
      </c>
      <c r="G137" s="32" t="str">
        <f ca="1">IF(SUMPRODUCT((ListeB='recap S1'!$B137)*(OFFSET(ListeB,,4)='recap S1'!G$3)*(OFFSET(ListeB,,1)='recap S1'!G$2))&gt;0,SUMPRODUCT((ListeB='recap S1'!$B137)*(OFFSET(ListeB,,4)='recap S1'!G$3)*(OFFSET(ListeB,,1)='recap S1'!G$2)),"")</f>
        <v/>
      </c>
      <c r="H137" s="32"/>
      <c r="I137" s="32" t="str">
        <f ca="1">IF(SUMPRODUCT((ListeB='recap S1'!$B137)*(OFFSET(ListeB,,4)='recap S1'!I$3)*(OFFSET(ListeB,,1)='recap S1'!I$2))&gt;0,SUMPRODUCT((ListeB='recap S1'!$B137)*(OFFSET(ListeB,,4)='recap S1'!I$3)*(OFFSET(ListeB,,1)='recap S1'!I$2)),"")</f>
        <v/>
      </c>
      <c r="J137" s="32" t="str">
        <f ca="1">IF(SUMPRODUCT((ListeB='recap S1'!$B137)*(OFFSET(ListeB,,4)='recap S1'!J$3)*(OFFSET(ListeB,,1)='recap S1'!J$2))&gt;0,SUMPRODUCT((ListeB='recap S1'!$B137)*(OFFSET(ListeB,,4)='recap S1'!J$3)*(OFFSET(ListeB,,1)='recap S1'!J$2)),"")</f>
        <v/>
      </c>
      <c r="K137" s="32" t="str">
        <f ca="1">IF(SUMPRODUCT((ListeB='recap S1'!$B137)*(OFFSET(ListeB,,4)='recap S1'!K$3)*(OFFSET(ListeB,,1)='recap S1'!K$2))&gt;0,SUMPRODUCT((ListeB='recap S1'!$B137)*(OFFSET(ListeB,,4)='recap S1'!K$3)*(OFFSET(ListeB,,1)='recap S1'!K$2)),"")</f>
        <v/>
      </c>
      <c r="L137" s="32"/>
      <c r="M137" s="32" t="str">
        <f ca="1">IF(SUMPRODUCT((ListeB='recap S1'!$B137)*(OFFSET(ListeB,,4)='recap S1'!M$3)*(OFFSET(ListeB,,1)='recap S1'!M$2))&gt;0,SUMPRODUCT((ListeB='recap S1'!$B137)*(OFFSET(ListeB,,4)='recap S1'!M$3)*(OFFSET(ListeB,,1)='recap S1'!M$2)),"")</f>
        <v/>
      </c>
      <c r="N137" s="32" t="str">
        <f ca="1">IF(SUMPRODUCT((ListeB='recap S1'!$B137)*(OFFSET(ListeB,,4)='recap S1'!N$3)*(OFFSET(ListeB,,1)='recap S1'!N$2))&gt;0,SUMPRODUCT((ListeB='recap S1'!$B137)*(OFFSET(ListeB,,4)='recap S1'!N$3)*(OFFSET(ListeB,,1)='recap S1'!N$2)),"")</f>
        <v/>
      </c>
      <c r="O137" s="32"/>
      <c r="P137" s="32" t="str">
        <f ca="1">IF(SUMPRODUCT((ListeB='recap S1'!$B137)*(OFFSET(ListeB,,4)='recap S1'!P$3)*(OFFSET(ListeB,,1)='recap S1'!P$2))&gt;0,SUMPRODUCT((ListeB='recap S1'!$B137)*(OFFSET(ListeB,,4)='recap S1'!P$3)*(OFFSET(ListeB,,1)='recap S1'!P$2)),"")</f>
        <v/>
      </c>
      <c r="Q137" s="32" t="str">
        <f ca="1">IF(SUMPRODUCT((ListeB='recap S1'!$B137)*(OFFSET(ListeB,,4)='recap S1'!Q$3)*(OFFSET(ListeB,,1)='recap S1'!Q$2))&gt;0,SUMPRODUCT((ListeB='recap S1'!$B137)*(OFFSET(ListeB,,4)='recap S1'!Q$3)*(OFFSET(ListeB,,1)='recap S1'!Q$2)),"")</f>
        <v/>
      </c>
      <c r="R137" s="32"/>
      <c r="S137" s="32" t="str">
        <f ca="1">IF(SUMPRODUCT((ListeB='recap S1'!$B137)*(OFFSET(ListeB,,4)='recap S1'!S$3)*(OFFSET(ListeB,,1)='recap S1'!S$2))&gt;0,SUMPRODUCT((ListeB='recap S1'!$B137)*(OFFSET(ListeB,,4)='recap S1'!S$3)*(OFFSET(ListeB,,1)='recap S1'!S$2)),"")</f>
        <v/>
      </c>
      <c r="T137" s="32" t="str">
        <f ca="1">IF(SUMPRODUCT((ListeB='recap S1'!$B137)*(OFFSET(ListeB,,4)='recap S1'!T$3)*(OFFSET(ListeB,,1)='recap S1'!T$2))&gt;0,SUMPRODUCT((ListeB='recap S1'!$B137)*(OFFSET(ListeB,,4)='recap S1'!T$3)*(OFFSET(ListeB,,1)='recap S1'!T$2)),"")</f>
        <v/>
      </c>
      <c r="U137" s="32" t="str">
        <f ca="1">IF(SUMPRODUCT((ListeB='recap S1'!$B137)*(OFFSET(ListeB,,4)='recap S1'!U$3)*(OFFSET(ListeB,,1)='recap S1'!U$2))&gt;0,SUMPRODUCT((ListeB='recap S1'!$B137)*(OFFSET(ListeB,,4)='recap S1'!U$3)*(OFFSET(ListeB,,1)='recap S1'!U$2)),"")</f>
        <v/>
      </c>
      <c r="V137" s="32"/>
      <c r="W137" s="32" t="str">
        <f ca="1">IF(SUMPRODUCT((ListeB='recap S1'!$B137)*(OFFSET(ListeB,,4)='recap S1'!W$3)*(OFFSET(ListeB,,1)='recap S1'!W$2))&gt;0,SUMPRODUCT((ListeB='recap S1'!$B137)*(OFFSET(ListeB,,4)='recap S1'!W$3)*(OFFSET(ListeB,,1)='recap S1'!W$2)),"")</f>
        <v/>
      </c>
      <c r="X137" s="32"/>
      <c r="Y137" s="32" t="str">
        <f ca="1">IF(SUMPRODUCT((ListeB='recap S1'!$B137)*(OFFSET(ListeB,,4)='recap S1'!Y$3)*(OFFSET(ListeB,,1)='recap S1'!Y$2))&gt;0,SUMPRODUCT((ListeB='recap S1'!$B137)*(OFFSET(ListeB,,4)='recap S1'!Y$3)*(OFFSET(ListeB,,1)='recap S1'!Y$2)),"")</f>
        <v/>
      </c>
      <c r="Z137" s="32" t="str">
        <f ca="1">IF(SUMPRODUCT((ListeB='recap S1'!$B137)*(OFFSET(ListeB,,4)='recap S1'!Z$3)*(OFFSET(ListeB,,1)='recap S1'!Z$2))&gt;0,SUMPRODUCT((ListeB='recap S1'!$B137)*(OFFSET(ListeB,,4)='recap S1'!Z$3)*(OFFSET(ListeB,,1)='recap S1'!Z$2)),"")</f>
        <v/>
      </c>
      <c r="AA137" s="32" t="str">
        <f ca="1">IF(SUMPRODUCT((ListeB='recap S1'!$B137)*(OFFSET(ListeB,,4)='recap S1'!AA$3)*(OFFSET(ListeB,,1)='recap S1'!AA$2))&gt;0,SUMPRODUCT((ListeB='recap S1'!$B137)*(OFFSET(ListeB,,4)='recap S1'!AA$3)*(OFFSET(ListeB,,1)='recap S1'!AA$2)),"")</f>
        <v/>
      </c>
      <c r="AB137" s="32"/>
      <c r="AC137" s="32" t="str">
        <f ca="1">IF(SUMPRODUCT((ListeB='recap S1'!$B137)*(OFFSET(ListeB,,4)='recap S1'!AC$3)*(OFFSET(ListeB,,1)='recap S1'!AC$2))&gt;0,SUMPRODUCT((ListeB='recap S1'!$B137)*(OFFSET(ListeB,,4)='recap S1'!AC$3)*(OFFSET(ListeB,,1)='recap S1'!AC$2)),"")</f>
        <v/>
      </c>
      <c r="AD137" s="32"/>
      <c r="AE137" s="32" t="str">
        <f ca="1">IF(SUMPRODUCT((ListeB='recap S1'!$B137)*(OFFSET(ListeB,,4)='recap S1'!AE$3)*(OFFSET(ListeB,,1)='recap S1'!AE$2))&gt;0,SUMPRODUCT((ListeB='recap S1'!$B137)*(OFFSET(ListeB,,4)='recap S1'!AE$3)*(OFFSET(ListeB,,1)='recap S1'!AE$2)),"")</f>
        <v/>
      </c>
      <c r="AF137" s="32" t="str">
        <f ca="1">IF(SUMPRODUCT((ListeB='recap S1'!$B137)*(OFFSET(ListeB,,4)='recap S1'!AF$3)*(OFFSET(ListeB,,1)='recap S1'!AF$2))&gt;0,SUMPRODUCT((ListeB='recap S1'!$B137)*(OFFSET(ListeB,,4)='recap S1'!AF$3)*(OFFSET(ListeB,,1)='recap S1'!AF$2)),"")</f>
        <v/>
      </c>
      <c r="AG137" s="32"/>
      <c r="AH137" s="32" t="str">
        <f ca="1">IF(SUMPRODUCT((ListeB='recap S1'!$B137)*(OFFSET(ListeB,,4)='recap S1'!AH$3)*(OFFSET(ListeB,,1)='recap S1'!AH$2))&gt;0,SUMPRODUCT((ListeB='recap S1'!$B137)*(OFFSET(ListeB,,4)='recap S1'!AH$3)*(OFFSET(ListeB,,1)='recap S1'!AH$2)),"")</f>
        <v/>
      </c>
      <c r="AI137" s="32" t="str">
        <f ca="1">IF(SUMPRODUCT((ListeB='recap S1'!$B137)*(OFFSET(ListeB,,4)='recap S1'!AI$3)*(OFFSET(ListeB,,1)='recap S1'!AI$2))&gt;0,SUMPRODUCT((ListeB='recap S1'!$B137)*(OFFSET(ListeB,,4)='recap S1'!AI$3)*(OFFSET(ListeB,,1)='recap S1'!AI$2)),"")</f>
        <v/>
      </c>
      <c r="AJ137" s="32" t="str">
        <f ca="1">IF(SUMPRODUCT((ListeB='recap S1'!$B137)*(OFFSET(ListeB,,4)='recap S1'!AJ$3)*(OFFSET(ListeB,,1)='recap S1'!AJ$2))&gt;0,SUMPRODUCT((ListeB='recap S1'!$B137)*(OFFSET(ListeB,,4)='recap S1'!AJ$3)*(OFFSET(ListeB,,1)='recap S1'!AJ$2)),"")</f>
        <v/>
      </c>
      <c r="AK137" s="32"/>
      <c r="AL137" s="32" t="str">
        <f ca="1">IF(SUMPRODUCT((ListeB='recap S1'!$B137)*(OFFSET(ListeB,,4)='recap S1'!AL$3)*(OFFSET(ListeB,,1)='recap S1'!AL$2))&gt;0,SUMPRODUCT((ListeB='recap S1'!$B137)*(OFFSET(ListeB,,4)='recap S1'!AL$3)*(OFFSET(ListeB,,1)='recap S1'!AL$2)),"")</f>
        <v/>
      </c>
      <c r="AM137" s="32"/>
      <c r="AN137" s="32" t="str">
        <f ca="1">IF(SUMPRODUCT((ListeB='recap S1'!$B137)*(OFFSET(ListeB,,4)='recap S1'!AN$3)*(OFFSET(ListeB,,1)='recap S1'!AN$2))&gt;0,SUMPRODUCT((ListeB='recap S1'!$B137)*(OFFSET(ListeB,,4)='recap S1'!AN$3)*(OFFSET(ListeB,,1)='recap S1'!AN$2)),"")</f>
        <v/>
      </c>
      <c r="AO137" s="32" t="str">
        <f ca="1">IF(SUMPRODUCT((ListeB='recap S1'!$B137)*(OFFSET(ListeB,,4)='recap S1'!AO$3)*(OFFSET(ListeB,,1)='recap S1'!AO$2))&gt;0,SUMPRODUCT((ListeB='recap S1'!$B137)*(OFFSET(ListeB,,4)='recap S1'!AO$3)*(OFFSET(ListeB,,1)='recap S1'!AO$2)),"")</f>
        <v/>
      </c>
      <c r="AP137" s="32"/>
      <c r="AQ137" s="32"/>
      <c r="AR137" s="32"/>
      <c r="AS137" s="32" t="str">
        <f ca="1">IF(SUMPRODUCT((ListeB='recap S1'!$B137)*(OFFSET(ListeB,,4)='recap S1'!AS$3)*(OFFSET(ListeB,,1)='recap S1'!AS$2))&gt;0,SUMPRODUCT((ListeB='recap S1'!$B137)*(OFFSET(ListeB,,4)='recap S1'!AS$3)*(OFFSET(ListeB,,1)='recap S1'!AS$2)),"")</f>
        <v/>
      </c>
      <c r="AT137" s="32" t="str">
        <f ca="1">IF(SUMPRODUCT((ListeB='recap S1'!$B137)*(OFFSET(ListeB,,4)='recap S1'!AT$3)*(OFFSET(ListeB,,1)='recap S1'!AT$2))&gt;0,SUMPRODUCT((ListeB='recap S1'!$B137)*(OFFSET(ListeB,,4)='recap S1'!AT$3)*(OFFSET(ListeB,,1)='recap S1'!AT$2)),"")</f>
        <v/>
      </c>
      <c r="AU137" s="32"/>
      <c r="AV137" s="32" t="str">
        <f ca="1">IF(SUMPRODUCT((ListeB='recap S1'!$B137)*(OFFSET(ListeB,,4)='recap S1'!AV$3)*(OFFSET(ListeB,,1)='recap S1'!AV$2))&gt;0,SUMPRODUCT((ListeB='recap S1'!$B137)*(OFFSET(ListeB,,4)='recap S1'!AV$3)*(OFFSET(ListeB,,1)='recap S1'!AV$2)),"")</f>
        <v/>
      </c>
      <c r="AW137" s="32" t="str">
        <f ca="1">IF(SUMPRODUCT((ListeB='recap S1'!$B137)*(OFFSET(ListeB,,4)='recap S1'!AW$3)*(OFFSET(ListeB,,1)='recap S1'!AW$2))&gt;0,SUMPRODUCT((ListeB='recap S1'!$B137)*(OFFSET(ListeB,,4)='recap S1'!AW$3)*(OFFSET(ListeB,,1)='recap S1'!AW$2)),"")</f>
        <v/>
      </c>
      <c r="AX137" s="32" t="str">
        <f ca="1">IF(SUMPRODUCT((ListeB='recap S1'!$B137)*(OFFSET(ListeB,,4)='recap S1'!AX$3)*(OFFSET(ListeB,,1)='recap S1'!AX$2))&gt;0,SUMPRODUCT((ListeB='recap S1'!$B137)*(OFFSET(ListeB,,4)='recap S1'!AX$3)*(OFFSET(ListeB,,1)='recap S1'!AX$2)),"")</f>
        <v/>
      </c>
      <c r="AY137" s="34"/>
      <c r="AZ137" s="32">
        <f t="shared" ca="1" si="4"/>
        <v>0</v>
      </c>
    </row>
    <row r="138" spans="1:52">
      <c r="A138" s="41" t="str">
        <f>IF('SEANCE 1'!$B136&lt;&gt;"",'SEANCE 1'!$A136,"")</f>
        <v/>
      </c>
      <c r="B138" s="41" t="str">
        <f t="array" aca="1" ref="B138" ca="1">IF(ISNA(INDEX(ListeB,MATCH(0,COUNTIF($B$3:B137,ListeB),0))),"",INDEX(ListeB,MATCH(0,COUNTIF($B$3:B137,ListeB),0)))</f>
        <v/>
      </c>
      <c r="C138" s="32" t="str">
        <f ca="1">IF(SUMPRODUCT((ListeB='recap S1'!$B138)*(OFFSET(ListeB,,4)='recap S1'!C$3)*(OFFSET(ListeB,,1)='recap S1'!C$2))&gt;0,SUMPRODUCT((ListeB='recap S1'!$B138)*(OFFSET(ListeB,,4)='recap S1'!C$3)*(OFFSET(ListeB,,1)='recap S1'!C$2)),"")</f>
        <v/>
      </c>
      <c r="D138" s="32" t="str">
        <f ca="1">IF(SUMPRODUCT((ListeB='recap S1'!$B138)*(OFFSET(ListeB,,4)='recap S1'!D$3)*(OFFSET(ListeB,,1)='recap S1'!D$2))&gt;0,SUMPRODUCT((ListeB='recap S1'!$B138)*(OFFSET(ListeB,,4)='recap S1'!D$3)*(OFFSET(ListeB,,1)='recap S1'!D$2)),"")</f>
        <v/>
      </c>
      <c r="E138" s="32"/>
      <c r="F138" s="32" t="str">
        <f ca="1">IF(SUMPRODUCT((ListeB='recap S1'!$B138)*(OFFSET(ListeB,,4)='recap S1'!F$3)*(OFFSET(ListeB,,1)='recap S1'!F$2))&gt;0,SUMPRODUCT((ListeB='recap S1'!$B138)*(OFFSET(ListeB,,4)='recap S1'!F$3)*(OFFSET(ListeB,,1)='recap S1'!F$2)),"")</f>
        <v/>
      </c>
      <c r="G138" s="32" t="str">
        <f ca="1">IF(SUMPRODUCT((ListeB='recap S1'!$B138)*(OFFSET(ListeB,,4)='recap S1'!G$3)*(OFFSET(ListeB,,1)='recap S1'!G$2))&gt;0,SUMPRODUCT((ListeB='recap S1'!$B138)*(OFFSET(ListeB,,4)='recap S1'!G$3)*(OFFSET(ListeB,,1)='recap S1'!G$2)),"")</f>
        <v/>
      </c>
      <c r="H138" s="32"/>
      <c r="I138" s="32" t="str">
        <f ca="1">IF(SUMPRODUCT((ListeB='recap S1'!$B138)*(OFFSET(ListeB,,4)='recap S1'!I$3)*(OFFSET(ListeB,,1)='recap S1'!I$2))&gt;0,SUMPRODUCT((ListeB='recap S1'!$B138)*(OFFSET(ListeB,,4)='recap S1'!I$3)*(OFFSET(ListeB,,1)='recap S1'!I$2)),"")</f>
        <v/>
      </c>
      <c r="J138" s="32" t="str">
        <f ca="1">IF(SUMPRODUCT((ListeB='recap S1'!$B138)*(OFFSET(ListeB,,4)='recap S1'!J$3)*(OFFSET(ListeB,,1)='recap S1'!J$2))&gt;0,SUMPRODUCT((ListeB='recap S1'!$B138)*(OFFSET(ListeB,,4)='recap S1'!J$3)*(OFFSET(ListeB,,1)='recap S1'!J$2)),"")</f>
        <v/>
      </c>
      <c r="K138" s="32" t="str">
        <f ca="1">IF(SUMPRODUCT((ListeB='recap S1'!$B138)*(OFFSET(ListeB,,4)='recap S1'!K$3)*(OFFSET(ListeB,,1)='recap S1'!K$2))&gt;0,SUMPRODUCT((ListeB='recap S1'!$B138)*(OFFSET(ListeB,,4)='recap S1'!K$3)*(OFFSET(ListeB,,1)='recap S1'!K$2)),"")</f>
        <v/>
      </c>
      <c r="L138" s="32"/>
      <c r="M138" s="32" t="str">
        <f ca="1">IF(SUMPRODUCT((ListeB='recap S1'!$B138)*(OFFSET(ListeB,,4)='recap S1'!M$3)*(OFFSET(ListeB,,1)='recap S1'!M$2))&gt;0,SUMPRODUCT((ListeB='recap S1'!$B138)*(OFFSET(ListeB,,4)='recap S1'!M$3)*(OFFSET(ListeB,,1)='recap S1'!M$2)),"")</f>
        <v/>
      </c>
      <c r="N138" s="32" t="str">
        <f ca="1">IF(SUMPRODUCT((ListeB='recap S1'!$B138)*(OFFSET(ListeB,,4)='recap S1'!N$3)*(OFFSET(ListeB,,1)='recap S1'!N$2))&gt;0,SUMPRODUCT((ListeB='recap S1'!$B138)*(OFFSET(ListeB,,4)='recap S1'!N$3)*(OFFSET(ListeB,,1)='recap S1'!N$2)),"")</f>
        <v/>
      </c>
      <c r="O138" s="32"/>
      <c r="P138" s="32" t="str">
        <f ca="1">IF(SUMPRODUCT((ListeB='recap S1'!$B138)*(OFFSET(ListeB,,4)='recap S1'!P$3)*(OFFSET(ListeB,,1)='recap S1'!P$2))&gt;0,SUMPRODUCT((ListeB='recap S1'!$B138)*(OFFSET(ListeB,,4)='recap S1'!P$3)*(OFFSET(ListeB,,1)='recap S1'!P$2)),"")</f>
        <v/>
      </c>
      <c r="Q138" s="32" t="str">
        <f ca="1">IF(SUMPRODUCT((ListeB='recap S1'!$B138)*(OFFSET(ListeB,,4)='recap S1'!Q$3)*(OFFSET(ListeB,,1)='recap S1'!Q$2))&gt;0,SUMPRODUCT((ListeB='recap S1'!$B138)*(OFFSET(ListeB,,4)='recap S1'!Q$3)*(OFFSET(ListeB,,1)='recap S1'!Q$2)),"")</f>
        <v/>
      </c>
      <c r="R138" s="32"/>
      <c r="S138" s="32" t="str">
        <f ca="1">IF(SUMPRODUCT((ListeB='recap S1'!$B138)*(OFFSET(ListeB,,4)='recap S1'!S$3)*(OFFSET(ListeB,,1)='recap S1'!S$2))&gt;0,SUMPRODUCT((ListeB='recap S1'!$B138)*(OFFSET(ListeB,,4)='recap S1'!S$3)*(OFFSET(ListeB,,1)='recap S1'!S$2)),"")</f>
        <v/>
      </c>
      <c r="T138" s="32" t="str">
        <f ca="1">IF(SUMPRODUCT((ListeB='recap S1'!$B138)*(OFFSET(ListeB,,4)='recap S1'!T$3)*(OFFSET(ListeB,,1)='recap S1'!T$2))&gt;0,SUMPRODUCT((ListeB='recap S1'!$B138)*(OFFSET(ListeB,,4)='recap S1'!T$3)*(OFFSET(ListeB,,1)='recap S1'!T$2)),"")</f>
        <v/>
      </c>
      <c r="U138" s="32" t="str">
        <f ca="1">IF(SUMPRODUCT((ListeB='recap S1'!$B138)*(OFFSET(ListeB,,4)='recap S1'!U$3)*(OFFSET(ListeB,,1)='recap S1'!U$2))&gt;0,SUMPRODUCT((ListeB='recap S1'!$B138)*(OFFSET(ListeB,,4)='recap S1'!U$3)*(OFFSET(ListeB,,1)='recap S1'!U$2)),"")</f>
        <v/>
      </c>
      <c r="V138" s="32"/>
      <c r="W138" s="32" t="str">
        <f ca="1">IF(SUMPRODUCT((ListeB='recap S1'!$B138)*(OFFSET(ListeB,,4)='recap S1'!W$3)*(OFFSET(ListeB,,1)='recap S1'!W$2))&gt;0,SUMPRODUCT((ListeB='recap S1'!$B138)*(OFFSET(ListeB,,4)='recap S1'!W$3)*(OFFSET(ListeB,,1)='recap S1'!W$2)),"")</f>
        <v/>
      </c>
      <c r="X138" s="32"/>
      <c r="Y138" s="32" t="str">
        <f ca="1">IF(SUMPRODUCT((ListeB='recap S1'!$B138)*(OFFSET(ListeB,,4)='recap S1'!Y$3)*(OFFSET(ListeB,,1)='recap S1'!Y$2))&gt;0,SUMPRODUCT((ListeB='recap S1'!$B138)*(OFFSET(ListeB,,4)='recap S1'!Y$3)*(OFFSET(ListeB,,1)='recap S1'!Y$2)),"")</f>
        <v/>
      </c>
      <c r="Z138" s="32" t="str">
        <f ca="1">IF(SUMPRODUCT((ListeB='recap S1'!$B138)*(OFFSET(ListeB,,4)='recap S1'!Z$3)*(OFFSET(ListeB,,1)='recap S1'!Z$2))&gt;0,SUMPRODUCT((ListeB='recap S1'!$B138)*(OFFSET(ListeB,,4)='recap S1'!Z$3)*(OFFSET(ListeB,,1)='recap S1'!Z$2)),"")</f>
        <v/>
      </c>
      <c r="AA138" s="32" t="str">
        <f ca="1">IF(SUMPRODUCT((ListeB='recap S1'!$B138)*(OFFSET(ListeB,,4)='recap S1'!AA$3)*(OFFSET(ListeB,,1)='recap S1'!AA$2))&gt;0,SUMPRODUCT((ListeB='recap S1'!$B138)*(OFFSET(ListeB,,4)='recap S1'!AA$3)*(OFFSET(ListeB,,1)='recap S1'!AA$2)),"")</f>
        <v/>
      </c>
      <c r="AB138" s="32"/>
      <c r="AC138" s="32" t="str">
        <f ca="1">IF(SUMPRODUCT((ListeB='recap S1'!$B138)*(OFFSET(ListeB,,4)='recap S1'!AC$3)*(OFFSET(ListeB,,1)='recap S1'!AC$2))&gt;0,SUMPRODUCT((ListeB='recap S1'!$B138)*(OFFSET(ListeB,,4)='recap S1'!AC$3)*(OFFSET(ListeB,,1)='recap S1'!AC$2)),"")</f>
        <v/>
      </c>
      <c r="AD138" s="32"/>
      <c r="AE138" s="32" t="str">
        <f ca="1">IF(SUMPRODUCT((ListeB='recap S1'!$B138)*(OFFSET(ListeB,,4)='recap S1'!AE$3)*(OFFSET(ListeB,,1)='recap S1'!AE$2))&gt;0,SUMPRODUCT((ListeB='recap S1'!$B138)*(OFFSET(ListeB,,4)='recap S1'!AE$3)*(OFFSET(ListeB,,1)='recap S1'!AE$2)),"")</f>
        <v/>
      </c>
      <c r="AF138" s="32" t="str">
        <f ca="1">IF(SUMPRODUCT((ListeB='recap S1'!$B138)*(OFFSET(ListeB,,4)='recap S1'!AF$3)*(OFFSET(ListeB,,1)='recap S1'!AF$2))&gt;0,SUMPRODUCT((ListeB='recap S1'!$B138)*(OFFSET(ListeB,,4)='recap S1'!AF$3)*(OFFSET(ListeB,,1)='recap S1'!AF$2)),"")</f>
        <v/>
      </c>
      <c r="AG138" s="32"/>
      <c r="AH138" s="32" t="str">
        <f ca="1">IF(SUMPRODUCT((ListeB='recap S1'!$B138)*(OFFSET(ListeB,,4)='recap S1'!AH$3)*(OFFSET(ListeB,,1)='recap S1'!AH$2))&gt;0,SUMPRODUCT((ListeB='recap S1'!$B138)*(OFFSET(ListeB,,4)='recap S1'!AH$3)*(OFFSET(ListeB,,1)='recap S1'!AH$2)),"")</f>
        <v/>
      </c>
      <c r="AI138" s="32" t="str">
        <f ca="1">IF(SUMPRODUCT((ListeB='recap S1'!$B138)*(OFFSET(ListeB,,4)='recap S1'!AI$3)*(OFFSET(ListeB,,1)='recap S1'!AI$2))&gt;0,SUMPRODUCT((ListeB='recap S1'!$B138)*(OFFSET(ListeB,,4)='recap S1'!AI$3)*(OFFSET(ListeB,,1)='recap S1'!AI$2)),"")</f>
        <v/>
      </c>
      <c r="AJ138" s="32" t="str">
        <f ca="1">IF(SUMPRODUCT((ListeB='recap S1'!$B138)*(OFFSET(ListeB,,4)='recap S1'!AJ$3)*(OFFSET(ListeB,,1)='recap S1'!AJ$2))&gt;0,SUMPRODUCT((ListeB='recap S1'!$B138)*(OFFSET(ListeB,,4)='recap S1'!AJ$3)*(OFFSET(ListeB,,1)='recap S1'!AJ$2)),"")</f>
        <v/>
      </c>
      <c r="AK138" s="32"/>
      <c r="AL138" s="32" t="str">
        <f ca="1">IF(SUMPRODUCT((ListeB='recap S1'!$B138)*(OFFSET(ListeB,,4)='recap S1'!AL$3)*(OFFSET(ListeB,,1)='recap S1'!AL$2))&gt;0,SUMPRODUCT((ListeB='recap S1'!$B138)*(OFFSET(ListeB,,4)='recap S1'!AL$3)*(OFFSET(ListeB,,1)='recap S1'!AL$2)),"")</f>
        <v/>
      </c>
      <c r="AM138" s="32"/>
      <c r="AN138" s="32" t="str">
        <f ca="1">IF(SUMPRODUCT((ListeB='recap S1'!$B138)*(OFFSET(ListeB,,4)='recap S1'!AN$3)*(OFFSET(ListeB,,1)='recap S1'!AN$2))&gt;0,SUMPRODUCT((ListeB='recap S1'!$B138)*(OFFSET(ListeB,,4)='recap S1'!AN$3)*(OFFSET(ListeB,,1)='recap S1'!AN$2)),"")</f>
        <v/>
      </c>
      <c r="AO138" s="32" t="str">
        <f ca="1">IF(SUMPRODUCT((ListeB='recap S1'!$B138)*(OFFSET(ListeB,,4)='recap S1'!AO$3)*(OFFSET(ListeB,,1)='recap S1'!AO$2))&gt;0,SUMPRODUCT((ListeB='recap S1'!$B138)*(OFFSET(ListeB,,4)='recap S1'!AO$3)*(OFFSET(ListeB,,1)='recap S1'!AO$2)),"")</f>
        <v/>
      </c>
      <c r="AP138" s="32"/>
      <c r="AQ138" s="32"/>
      <c r="AR138" s="32"/>
      <c r="AS138" s="32" t="str">
        <f ca="1">IF(SUMPRODUCT((ListeB='recap S1'!$B138)*(OFFSET(ListeB,,4)='recap S1'!AS$3)*(OFFSET(ListeB,,1)='recap S1'!AS$2))&gt;0,SUMPRODUCT((ListeB='recap S1'!$B138)*(OFFSET(ListeB,,4)='recap S1'!AS$3)*(OFFSET(ListeB,,1)='recap S1'!AS$2)),"")</f>
        <v/>
      </c>
      <c r="AT138" s="32" t="str">
        <f ca="1">IF(SUMPRODUCT((ListeB='recap S1'!$B138)*(OFFSET(ListeB,,4)='recap S1'!AT$3)*(OFFSET(ListeB,,1)='recap S1'!AT$2))&gt;0,SUMPRODUCT((ListeB='recap S1'!$B138)*(OFFSET(ListeB,,4)='recap S1'!AT$3)*(OFFSET(ListeB,,1)='recap S1'!AT$2)),"")</f>
        <v/>
      </c>
      <c r="AU138" s="32"/>
      <c r="AV138" s="32" t="str">
        <f ca="1">IF(SUMPRODUCT((ListeB='recap S1'!$B138)*(OFFSET(ListeB,,4)='recap S1'!AV$3)*(OFFSET(ListeB,,1)='recap S1'!AV$2))&gt;0,SUMPRODUCT((ListeB='recap S1'!$B138)*(OFFSET(ListeB,,4)='recap S1'!AV$3)*(OFFSET(ListeB,,1)='recap S1'!AV$2)),"")</f>
        <v/>
      </c>
      <c r="AW138" s="32" t="str">
        <f ca="1">IF(SUMPRODUCT((ListeB='recap S1'!$B138)*(OFFSET(ListeB,,4)='recap S1'!AW$3)*(OFFSET(ListeB,,1)='recap S1'!AW$2))&gt;0,SUMPRODUCT((ListeB='recap S1'!$B138)*(OFFSET(ListeB,,4)='recap S1'!AW$3)*(OFFSET(ListeB,,1)='recap S1'!AW$2)),"")</f>
        <v/>
      </c>
      <c r="AX138" s="32" t="str">
        <f ca="1">IF(SUMPRODUCT((ListeB='recap S1'!$B138)*(OFFSET(ListeB,,4)='recap S1'!AX$3)*(OFFSET(ListeB,,1)='recap S1'!AX$2))&gt;0,SUMPRODUCT((ListeB='recap S1'!$B138)*(OFFSET(ListeB,,4)='recap S1'!AX$3)*(OFFSET(ListeB,,1)='recap S1'!AX$2)),"")</f>
        <v/>
      </c>
      <c r="AY138" s="34"/>
      <c r="AZ138" s="32">
        <f t="shared" ca="1" si="4"/>
        <v>0</v>
      </c>
    </row>
    <row r="139" spans="1:52">
      <c r="A139" s="41" t="str">
        <f>IF('SEANCE 1'!$B137&lt;&gt;"",'SEANCE 1'!$A137,"")</f>
        <v/>
      </c>
      <c r="B139" s="41" t="str">
        <f t="array" aca="1" ref="B139" ca="1">IF(ISNA(INDEX(ListeB,MATCH(0,COUNTIF($B$3:B138,ListeB),0))),"",INDEX(ListeB,MATCH(0,COUNTIF($B$3:B138,ListeB),0)))</f>
        <v/>
      </c>
      <c r="C139" s="32" t="str">
        <f ca="1">IF(SUMPRODUCT((ListeB='recap S1'!$B139)*(OFFSET(ListeB,,4)='recap S1'!C$3)*(OFFSET(ListeB,,1)='recap S1'!C$2))&gt;0,SUMPRODUCT((ListeB='recap S1'!$B139)*(OFFSET(ListeB,,4)='recap S1'!C$3)*(OFFSET(ListeB,,1)='recap S1'!C$2)),"")</f>
        <v/>
      </c>
      <c r="D139" s="32" t="str">
        <f ca="1">IF(SUMPRODUCT((ListeB='recap S1'!$B139)*(OFFSET(ListeB,,4)='recap S1'!D$3)*(OFFSET(ListeB,,1)='recap S1'!D$2))&gt;0,SUMPRODUCT((ListeB='recap S1'!$B139)*(OFFSET(ListeB,,4)='recap S1'!D$3)*(OFFSET(ListeB,,1)='recap S1'!D$2)),"")</f>
        <v/>
      </c>
      <c r="E139" s="32"/>
      <c r="F139" s="32" t="str">
        <f ca="1">IF(SUMPRODUCT((ListeB='recap S1'!$B139)*(OFFSET(ListeB,,4)='recap S1'!F$3)*(OFFSET(ListeB,,1)='recap S1'!F$2))&gt;0,SUMPRODUCT((ListeB='recap S1'!$B139)*(OFFSET(ListeB,,4)='recap S1'!F$3)*(OFFSET(ListeB,,1)='recap S1'!F$2)),"")</f>
        <v/>
      </c>
      <c r="G139" s="32" t="str">
        <f ca="1">IF(SUMPRODUCT((ListeB='recap S1'!$B139)*(OFFSET(ListeB,,4)='recap S1'!G$3)*(OFFSET(ListeB,,1)='recap S1'!G$2))&gt;0,SUMPRODUCT((ListeB='recap S1'!$B139)*(OFFSET(ListeB,,4)='recap S1'!G$3)*(OFFSET(ListeB,,1)='recap S1'!G$2)),"")</f>
        <v/>
      </c>
      <c r="H139" s="32"/>
      <c r="I139" s="32" t="str">
        <f ca="1">IF(SUMPRODUCT((ListeB='recap S1'!$B139)*(OFFSET(ListeB,,4)='recap S1'!I$3)*(OFFSET(ListeB,,1)='recap S1'!I$2))&gt;0,SUMPRODUCT((ListeB='recap S1'!$B139)*(OFFSET(ListeB,,4)='recap S1'!I$3)*(OFFSET(ListeB,,1)='recap S1'!I$2)),"")</f>
        <v/>
      </c>
      <c r="J139" s="32" t="str">
        <f ca="1">IF(SUMPRODUCT((ListeB='recap S1'!$B139)*(OFFSET(ListeB,,4)='recap S1'!J$3)*(OFFSET(ListeB,,1)='recap S1'!J$2))&gt;0,SUMPRODUCT((ListeB='recap S1'!$B139)*(OFFSET(ListeB,,4)='recap S1'!J$3)*(OFFSET(ListeB,,1)='recap S1'!J$2)),"")</f>
        <v/>
      </c>
      <c r="K139" s="32" t="str">
        <f ca="1">IF(SUMPRODUCT((ListeB='recap S1'!$B139)*(OFFSET(ListeB,,4)='recap S1'!K$3)*(OFFSET(ListeB,,1)='recap S1'!K$2))&gt;0,SUMPRODUCT((ListeB='recap S1'!$B139)*(OFFSET(ListeB,,4)='recap S1'!K$3)*(OFFSET(ListeB,,1)='recap S1'!K$2)),"")</f>
        <v/>
      </c>
      <c r="L139" s="32"/>
      <c r="M139" s="32" t="str">
        <f ca="1">IF(SUMPRODUCT((ListeB='recap S1'!$B139)*(OFFSET(ListeB,,4)='recap S1'!M$3)*(OFFSET(ListeB,,1)='recap S1'!M$2))&gt;0,SUMPRODUCT((ListeB='recap S1'!$B139)*(OFFSET(ListeB,,4)='recap S1'!M$3)*(OFFSET(ListeB,,1)='recap S1'!M$2)),"")</f>
        <v/>
      </c>
      <c r="N139" s="32" t="str">
        <f ca="1">IF(SUMPRODUCT((ListeB='recap S1'!$B139)*(OFFSET(ListeB,,4)='recap S1'!N$3)*(OFFSET(ListeB,,1)='recap S1'!N$2))&gt;0,SUMPRODUCT((ListeB='recap S1'!$B139)*(OFFSET(ListeB,,4)='recap S1'!N$3)*(OFFSET(ListeB,,1)='recap S1'!N$2)),"")</f>
        <v/>
      </c>
      <c r="O139" s="32"/>
      <c r="P139" s="32" t="str">
        <f ca="1">IF(SUMPRODUCT((ListeB='recap S1'!$B139)*(OFFSET(ListeB,,4)='recap S1'!P$3)*(OFFSET(ListeB,,1)='recap S1'!P$2))&gt;0,SUMPRODUCT((ListeB='recap S1'!$B139)*(OFFSET(ListeB,,4)='recap S1'!P$3)*(OFFSET(ListeB,,1)='recap S1'!P$2)),"")</f>
        <v/>
      </c>
      <c r="Q139" s="32" t="str">
        <f ca="1">IF(SUMPRODUCT((ListeB='recap S1'!$B139)*(OFFSET(ListeB,,4)='recap S1'!Q$3)*(OFFSET(ListeB,,1)='recap S1'!Q$2))&gt;0,SUMPRODUCT((ListeB='recap S1'!$B139)*(OFFSET(ListeB,,4)='recap S1'!Q$3)*(OFFSET(ListeB,,1)='recap S1'!Q$2)),"")</f>
        <v/>
      </c>
      <c r="R139" s="32"/>
      <c r="S139" s="32" t="str">
        <f ca="1">IF(SUMPRODUCT((ListeB='recap S1'!$B139)*(OFFSET(ListeB,,4)='recap S1'!S$3)*(OFFSET(ListeB,,1)='recap S1'!S$2))&gt;0,SUMPRODUCT((ListeB='recap S1'!$B139)*(OFFSET(ListeB,,4)='recap S1'!S$3)*(OFFSET(ListeB,,1)='recap S1'!S$2)),"")</f>
        <v/>
      </c>
      <c r="T139" s="32" t="str">
        <f ca="1">IF(SUMPRODUCT((ListeB='recap S1'!$B139)*(OFFSET(ListeB,,4)='recap S1'!T$3)*(OFFSET(ListeB,,1)='recap S1'!T$2))&gt;0,SUMPRODUCT((ListeB='recap S1'!$B139)*(OFFSET(ListeB,,4)='recap S1'!T$3)*(OFFSET(ListeB,,1)='recap S1'!T$2)),"")</f>
        <v/>
      </c>
      <c r="U139" s="32" t="str">
        <f ca="1">IF(SUMPRODUCT((ListeB='recap S1'!$B139)*(OFFSET(ListeB,,4)='recap S1'!U$3)*(OFFSET(ListeB,,1)='recap S1'!U$2))&gt;0,SUMPRODUCT((ListeB='recap S1'!$B139)*(OFFSET(ListeB,,4)='recap S1'!U$3)*(OFFSET(ListeB,,1)='recap S1'!U$2)),"")</f>
        <v/>
      </c>
      <c r="V139" s="32"/>
      <c r="W139" s="32" t="str">
        <f ca="1">IF(SUMPRODUCT((ListeB='recap S1'!$B139)*(OFFSET(ListeB,,4)='recap S1'!W$3)*(OFFSET(ListeB,,1)='recap S1'!W$2))&gt;0,SUMPRODUCT((ListeB='recap S1'!$B139)*(OFFSET(ListeB,,4)='recap S1'!W$3)*(OFFSET(ListeB,,1)='recap S1'!W$2)),"")</f>
        <v/>
      </c>
      <c r="X139" s="32"/>
      <c r="Y139" s="32" t="str">
        <f ca="1">IF(SUMPRODUCT((ListeB='recap S1'!$B139)*(OFFSET(ListeB,,4)='recap S1'!Y$3)*(OFFSET(ListeB,,1)='recap S1'!Y$2))&gt;0,SUMPRODUCT((ListeB='recap S1'!$B139)*(OFFSET(ListeB,,4)='recap S1'!Y$3)*(OFFSET(ListeB,,1)='recap S1'!Y$2)),"")</f>
        <v/>
      </c>
      <c r="Z139" s="32" t="str">
        <f ca="1">IF(SUMPRODUCT((ListeB='recap S1'!$B139)*(OFFSET(ListeB,,4)='recap S1'!Z$3)*(OFFSET(ListeB,,1)='recap S1'!Z$2))&gt;0,SUMPRODUCT((ListeB='recap S1'!$B139)*(OFFSET(ListeB,,4)='recap S1'!Z$3)*(OFFSET(ListeB,,1)='recap S1'!Z$2)),"")</f>
        <v/>
      </c>
      <c r="AA139" s="32" t="str">
        <f ca="1">IF(SUMPRODUCT((ListeB='recap S1'!$B139)*(OFFSET(ListeB,,4)='recap S1'!AA$3)*(OFFSET(ListeB,,1)='recap S1'!AA$2))&gt;0,SUMPRODUCT((ListeB='recap S1'!$B139)*(OFFSET(ListeB,,4)='recap S1'!AA$3)*(OFFSET(ListeB,,1)='recap S1'!AA$2)),"")</f>
        <v/>
      </c>
      <c r="AB139" s="32"/>
      <c r="AC139" s="32" t="str">
        <f ca="1">IF(SUMPRODUCT((ListeB='recap S1'!$B139)*(OFFSET(ListeB,,4)='recap S1'!AC$3)*(OFFSET(ListeB,,1)='recap S1'!AC$2))&gt;0,SUMPRODUCT((ListeB='recap S1'!$B139)*(OFFSET(ListeB,,4)='recap S1'!AC$3)*(OFFSET(ListeB,,1)='recap S1'!AC$2)),"")</f>
        <v/>
      </c>
      <c r="AD139" s="32"/>
      <c r="AE139" s="32" t="str">
        <f ca="1">IF(SUMPRODUCT((ListeB='recap S1'!$B139)*(OFFSET(ListeB,,4)='recap S1'!AE$3)*(OFFSET(ListeB,,1)='recap S1'!AE$2))&gt;0,SUMPRODUCT((ListeB='recap S1'!$B139)*(OFFSET(ListeB,,4)='recap S1'!AE$3)*(OFFSET(ListeB,,1)='recap S1'!AE$2)),"")</f>
        <v/>
      </c>
      <c r="AF139" s="32" t="str">
        <f ca="1">IF(SUMPRODUCT((ListeB='recap S1'!$B139)*(OFFSET(ListeB,,4)='recap S1'!AF$3)*(OFFSET(ListeB,,1)='recap S1'!AF$2))&gt;0,SUMPRODUCT((ListeB='recap S1'!$B139)*(OFFSET(ListeB,,4)='recap S1'!AF$3)*(OFFSET(ListeB,,1)='recap S1'!AF$2)),"")</f>
        <v/>
      </c>
      <c r="AG139" s="32"/>
      <c r="AH139" s="32" t="str">
        <f ca="1">IF(SUMPRODUCT((ListeB='recap S1'!$B139)*(OFFSET(ListeB,,4)='recap S1'!AH$3)*(OFFSET(ListeB,,1)='recap S1'!AH$2))&gt;0,SUMPRODUCT((ListeB='recap S1'!$B139)*(OFFSET(ListeB,,4)='recap S1'!AH$3)*(OFFSET(ListeB,,1)='recap S1'!AH$2)),"")</f>
        <v/>
      </c>
      <c r="AI139" s="32" t="str">
        <f ca="1">IF(SUMPRODUCT((ListeB='recap S1'!$B139)*(OFFSET(ListeB,,4)='recap S1'!AI$3)*(OFFSET(ListeB,,1)='recap S1'!AI$2))&gt;0,SUMPRODUCT((ListeB='recap S1'!$B139)*(OFFSET(ListeB,,4)='recap S1'!AI$3)*(OFFSET(ListeB,,1)='recap S1'!AI$2)),"")</f>
        <v/>
      </c>
      <c r="AJ139" s="32" t="str">
        <f ca="1">IF(SUMPRODUCT((ListeB='recap S1'!$B139)*(OFFSET(ListeB,,4)='recap S1'!AJ$3)*(OFFSET(ListeB,,1)='recap S1'!AJ$2))&gt;0,SUMPRODUCT((ListeB='recap S1'!$B139)*(OFFSET(ListeB,,4)='recap S1'!AJ$3)*(OFFSET(ListeB,,1)='recap S1'!AJ$2)),"")</f>
        <v/>
      </c>
      <c r="AK139" s="32"/>
      <c r="AL139" s="32" t="str">
        <f ca="1">IF(SUMPRODUCT((ListeB='recap S1'!$B139)*(OFFSET(ListeB,,4)='recap S1'!AL$3)*(OFFSET(ListeB,,1)='recap S1'!AL$2))&gt;0,SUMPRODUCT((ListeB='recap S1'!$B139)*(OFFSET(ListeB,,4)='recap S1'!AL$3)*(OFFSET(ListeB,,1)='recap S1'!AL$2)),"")</f>
        <v/>
      </c>
      <c r="AM139" s="32"/>
      <c r="AN139" s="32" t="str">
        <f ca="1">IF(SUMPRODUCT((ListeB='recap S1'!$B139)*(OFFSET(ListeB,,4)='recap S1'!AN$3)*(OFFSET(ListeB,,1)='recap S1'!AN$2))&gt;0,SUMPRODUCT((ListeB='recap S1'!$B139)*(OFFSET(ListeB,,4)='recap S1'!AN$3)*(OFFSET(ListeB,,1)='recap S1'!AN$2)),"")</f>
        <v/>
      </c>
      <c r="AO139" s="32" t="str">
        <f ca="1">IF(SUMPRODUCT((ListeB='recap S1'!$B139)*(OFFSET(ListeB,,4)='recap S1'!AO$3)*(OFFSET(ListeB,,1)='recap S1'!AO$2))&gt;0,SUMPRODUCT((ListeB='recap S1'!$B139)*(OFFSET(ListeB,,4)='recap S1'!AO$3)*(OFFSET(ListeB,,1)='recap S1'!AO$2)),"")</f>
        <v/>
      </c>
      <c r="AP139" s="32"/>
      <c r="AQ139" s="32"/>
      <c r="AR139" s="32"/>
      <c r="AS139" s="32" t="str">
        <f ca="1">IF(SUMPRODUCT((ListeB='recap S1'!$B139)*(OFFSET(ListeB,,4)='recap S1'!AS$3)*(OFFSET(ListeB,,1)='recap S1'!AS$2))&gt;0,SUMPRODUCT((ListeB='recap S1'!$B139)*(OFFSET(ListeB,,4)='recap S1'!AS$3)*(OFFSET(ListeB,,1)='recap S1'!AS$2)),"")</f>
        <v/>
      </c>
      <c r="AT139" s="32" t="str">
        <f ca="1">IF(SUMPRODUCT((ListeB='recap S1'!$B139)*(OFFSET(ListeB,,4)='recap S1'!AT$3)*(OFFSET(ListeB,,1)='recap S1'!AT$2))&gt;0,SUMPRODUCT((ListeB='recap S1'!$B139)*(OFFSET(ListeB,,4)='recap S1'!AT$3)*(OFFSET(ListeB,,1)='recap S1'!AT$2)),"")</f>
        <v/>
      </c>
      <c r="AU139" s="32"/>
      <c r="AV139" s="32" t="str">
        <f ca="1">IF(SUMPRODUCT((ListeB='recap S1'!$B139)*(OFFSET(ListeB,,4)='recap S1'!AV$3)*(OFFSET(ListeB,,1)='recap S1'!AV$2))&gt;0,SUMPRODUCT((ListeB='recap S1'!$B139)*(OFFSET(ListeB,,4)='recap S1'!AV$3)*(OFFSET(ListeB,,1)='recap S1'!AV$2)),"")</f>
        <v/>
      </c>
      <c r="AW139" s="32" t="str">
        <f ca="1">IF(SUMPRODUCT((ListeB='recap S1'!$B139)*(OFFSET(ListeB,,4)='recap S1'!AW$3)*(OFFSET(ListeB,,1)='recap S1'!AW$2))&gt;0,SUMPRODUCT((ListeB='recap S1'!$B139)*(OFFSET(ListeB,,4)='recap S1'!AW$3)*(OFFSET(ListeB,,1)='recap S1'!AW$2)),"")</f>
        <v/>
      </c>
      <c r="AX139" s="32" t="str">
        <f ca="1">IF(SUMPRODUCT((ListeB='recap S1'!$B139)*(OFFSET(ListeB,,4)='recap S1'!AX$3)*(OFFSET(ListeB,,1)='recap S1'!AX$2))&gt;0,SUMPRODUCT((ListeB='recap S1'!$B139)*(OFFSET(ListeB,,4)='recap S1'!AX$3)*(OFFSET(ListeB,,1)='recap S1'!AX$2)),"")</f>
        <v/>
      </c>
      <c r="AY139" s="34"/>
      <c r="AZ139" s="32">
        <f t="shared" ca="1" si="4"/>
        <v>0</v>
      </c>
    </row>
    <row r="140" spans="1:52">
      <c r="A140" s="41" t="str">
        <f>IF('SEANCE 1'!$B138&lt;&gt;"",'SEANCE 1'!$A138,"")</f>
        <v/>
      </c>
      <c r="B140" s="41" t="str">
        <f t="array" aca="1" ref="B140" ca="1">IF(ISNA(INDEX(ListeB,MATCH(0,COUNTIF($B$3:B139,ListeB),0))),"",INDEX(ListeB,MATCH(0,COUNTIF($B$3:B139,ListeB),0)))</f>
        <v/>
      </c>
      <c r="C140" s="32" t="str">
        <f ca="1">IF(SUMPRODUCT((ListeB='recap S1'!$B140)*(OFFSET(ListeB,,4)='recap S1'!C$3)*(OFFSET(ListeB,,1)='recap S1'!C$2))&gt;0,SUMPRODUCT((ListeB='recap S1'!$B140)*(OFFSET(ListeB,,4)='recap S1'!C$3)*(OFFSET(ListeB,,1)='recap S1'!C$2)),"")</f>
        <v/>
      </c>
      <c r="D140" s="32" t="str">
        <f ca="1">IF(SUMPRODUCT((ListeB='recap S1'!$B140)*(OFFSET(ListeB,,4)='recap S1'!D$3)*(OFFSET(ListeB,,1)='recap S1'!D$2))&gt;0,SUMPRODUCT((ListeB='recap S1'!$B140)*(OFFSET(ListeB,,4)='recap S1'!D$3)*(OFFSET(ListeB,,1)='recap S1'!D$2)),"")</f>
        <v/>
      </c>
      <c r="E140" s="32"/>
      <c r="F140" s="32" t="str">
        <f ca="1">IF(SUMPRODUCT((ListeB='recap S1'!$B140)*(OFFSET(ListeB,,4)='recap S1'!F$3)*(OFFSET(ListeB,,1)='recap S1'!F$2))&gt;0,SUMPRODUCT((ListeB='recap S1'!$B140)*(OFFSET(ListeB,,4)='recap S1'!F$3)*(OFFSET(ListeB,,1)='recap S1'!F$2)),"")</f>
        <v/>
      </c>
      <c r="G140" s="32" t="str">
        <f ca="1">IF(SUMPRODUCT((ListeB='recap S1'!$B140)*(OFFSET(ListeB,,4)='recap S1'!G$3)*(OFFSET(ListeB,,1)='recap S1'!G$2))&gt;0,SUMPRODUCT((ListeB='recap S1'!$B140)*(OFFSET(ListeB,,4)='recap S1'!G$3)*(OFFSET(ListeB,,1)='recap S1'!G$2)),"")</f>
        <v/>
      </c>
      <c r="H140" s="32"/>
      <c r="I140" s="32" t="str">
        <f ca="1">IF(SUMPRODUCT((ListeB='recap S1'!$B140)*(OFFSET(ListeB,,4)='recap S1'!I$3)*(OFFSET(ListeB,,1)='recap S1'!I$2))&gt;0,SUMPRODUCT((ListeB='recap S1'!$B140)*(OFFSET(ListeB,,4)='recap S1'!I$3)*(OFFSET(ListeB,,1)='recap S1'!I$2)),"")</f>
        <v/>
      </c>
      <c r="J140" s="32" t="str">
        <f ca="1">IF(SUMPRODUCT((ListeB='recap S1'!$B140)*(OFFSET(ListeB,,4)='recap S1'!J$3)*(OFFSET(ListeB,,1)='recap S1'!J$2))&gt;0,SUMPRODUCT((ListeB='recap S1'!$B140)*(OFFSET(ListeB,,4)='recap S1'!J$3)*(OFFSET(ListeB,,1)='recap S1'!J$2)),"")</f>
        <v/>
      </c>
      <c r="K140" s="32" t="str">
        <f ca="1">IF(SUMPRODUCT((ListeB='recap S1'!$B140)*(OFFSET(ListeB,,4)='recap S1'!K$3)*(OFFSET(ListeB,,1)='recap S1'!K$2))&gt;0,SUMPRODUCT((ListeB='recap S1'!$B140)*(OFFSET(ListeB,,4)='recap S1'!K$3)*(OFFSET(ListeB,,1)='recap S1'!K$2)),"")</f>
        <v/>
      </c>
      <c r="L140" s="32"/>
      <c r="M140" s="32" t="str">
        <f ca="1">IF(SUMPRODUCT((ListeB='recap S1'!$B140)*(OFFSET(ListeB,,4)='recap S1'!M$3)*(OFFSET(ListeB,,1)='recap S1'!M$2))&gt;0,SUMPRODUCT((ListeB='recap S1'!$B140)*(OFFSET(ListeB,,4)='recap S1'!M$3)*(OFFSET(ListeB,,1)='recap S1'!M$2)),"")</f>
        <v/>
      </c>
      <c r="N140" s="32" t="str">
        <f ca="1">IF(SUMPRODUCT((ListeB='recap S1'!$B140)*(OFFSET(ListeB,,4)='recap S1'!N$3)*(OFFSET(ListeB,,1)='recap S1'!N$2))&gt;0,SUMPRODUCT((ListeB='recap S1'!$B140)*(OFFSET(ListeB,,4)='recap S1'!N$3)*(OFFSET(ListeB,,1)='recap S1'!N$2)),"")</f>
        <v/>
      </c>
      <c r="O140" s="32"/>
      <c r="P140" s="32" t="str">
        <f ca="1">IF(SUMPRODUCT((ListeB='recap S1'!$B140)*(OFFSET(ListeB,,4)='recap S1'!P$3)*(OFFSET(ListeB,,1)='recap S1'!P$2))&gt;0,SUMPRODUCT((ListeB='recap S1'!$B140)*(OFFSET(ListeB,,4)='recap S1'!P$3)*(OFFSET(ListeB,,1)='recap S1'!P$2)),"")</f>
        <v/>
      </c>
      <c r="Q140" s="32" t="str">
        <f ca="1">IF(SUMPRODUCT((ListeB='recap S1'!$B140)*(OFFSET(ListeB,,4)='recap S1'!Q$3)*(OFFSET(ListeB,,1)='recap S1'!Q$2))&gt;0,SUMPRODUCT((ListeB='recap S1'!$B140)*(OFFSET(ListeB,,4)='recap S1'!Q$3)*(OFFSET(ListeB,,1)='recap S1'!Q$2)),"")</f>
        <v/>
      </c>
      <c r="R140" s="32"/>
      <c r="S140" s="32" t="str">
        <f ca="1">IF(SUMPRODUCT((ListeB='recap S1'!$B140)*(OFFSET(ListeB,,4)='recap S1'!S$3)*(OFFSET(ListeB,,1)='recap S1'!S$2))&gt;0,SUMPRODUCT((ListeB='recap S1'!$B140)*(OFFSET(ListeB,,4)='recap S1'!S$3)*(OFFSET(ListeB,,1)='recap S1'!S$2)),"")</f>
        <v/>
      </c>
      <c r="T140" s="32" t="str">
        <f ca="1">IF(SUMPRODUCT((ListeB='recap S1'!$B140)*(OFFSET(ListeB,,4)='recap S1'!T$3)*(OFFSET(ListeB,,1)='recap S1'!T$2))&gt;0,SUMPRODUCT((ListeB='recap S1'!$B140)*(OFFSET(ListeB,,4)='recap S1'!T$3)*(OFFSET(ListeB,,1)='recap S1'!T$2)),"")</f>
        <v/>
      </c>
      <c r="U140" s="32" t="str">
        <f ca="1">IF(SUMPRODUCT((ListeB='recap S1'!$B140)*(OFFSET(ListeB,,4)='recap S1'!U$3)*(OFFSET(ListeB,,1)='recap S1'!U$2))&gt;0,SUMPRODUCT((ListeB='recap S1'!$B140)*(OFFSET(ListeB,,4)='recap S1'!U$3)*(OFFSET(ListeB,,1)='recap S1'!U$2)),"")</f>
        <v/>
      </c>
      <c r="V140" s="32"/>
      <c r="W140" s="32" t="str">
        <f ca="1">IF(SUMPRODUCT((ListeB='recap S1'!$B140)*(OFFSET(ListeB,,4)='recap S1'!W$3)*(OFFSET(ListeB,,1)='recap S1'!W$2))&gt;0,SUMPRODUCT((ListeB='recap S1'!$B140)*(OFFSET(ListeB,,4)='recap S1'!W$3)*(OFFSET(ListeB,,1)='recap S1'!W$2)),"")</f>
        <v/>
      </c>
      <c r="X140" s="32"/>
      <c r="Y140" s="32" t="str">
        <f ca="1">IF(SUMPRODUCT((ListeB='recap S1'!$B140)*(OFFSET(ListeB,,4)='recap S1'!Y$3)*(OFFSET(ListeB,,1)='recap S1'!Y$2))&gt;0,SUMPRODUCT((ListeB='recap S1'!$B140)*(OFFSET(ListeB,,4)='recap S1'!Y$3)*(OFFSET(ListeB,,1)='recap S1'!Y$2)),"")</f>
        <v/>
      </c>
      <c r="Z140" s="32" t="str">
        <f ca="1">IF(SUMPRODUCT((ListeB='recap S1'!$B140)*(OFFSET(ListeB,,4)='recap S1'!Z$3)*(OFFSET(ListeB,,1)='recap S1'!Z$2))&gt;0,SUMPRODUCT((ListeB='recap S1'!$B140)*(OFFSET(ListeB,,4)='recap S1'!Z$3)*(OFFSET(ListeB,,1)='recap S1'!Z$2)),"")</f>
        <v/>
      </c>
      <c r="AA140" s="32" t="str">
        <f ca="1">IF(SUMPRODUCT((ListeB='recap S1'!$B140)*(OFFSET(ListeB,,4)='recap S1'!AA$3)*(OFFSET(ListeB,,1)='recap S1'!AA$2))&gt;0,SUMPRODUCT((ListeB='recap S1'!$B140)*(OFFSET(ListeB,,4)='recap S1'!AA$3)*(OFFSET(ListeB,,1)='recap S1'!AA$2)),"")</f>
        <v/>
      </c>
      <c r="AB140" s="32"/>
      <c r="AC140" s="32" t="str">
        <f ca="1">IF(SUMPRODUCT((ListeB='recap S1'!$B140)*(OFFSET(ListeB,,4)='recap S1'!AC$3)*(OFFSET(ListeB,,1)='recap S1'!AC$2))&gt;0,SUMPRODUCT((ListeB='recap S1'!$B140)*(OFFSET(ListeB,,4)='recap S1'!AC$3)*(OFFSET(ListeB,,1)='recap S1'!AC$2)),"")</f>
        <v/>
      </c>
      <c r="AD140" s="32"/>
      <c r="AE140" s="32" t="str">
        <f ca="1">IF(SUMPRODUCT((ListeB='recap S1'!$B140)*(OFFSET(ListeB,,4)='recap S1'!AE$3)*(OFFSET(ListeB,,1)='recap S1'!AE$2))&gt;0,SUMPRODUCT((ListeB='recap S1'!$B140)*(OFFSET(ListeB,,4)='recap S1'!AE$3)*(OFFSET(ListeB,,1)='recap S1'!AE$2)),"")</f>
        <v/>
      </c>
      <c r="AF140" s="32" t="str">
        <f ca="1">IF(SUMPRODUCT((ListeB='recap S1'!$B140)*(OFFSET(ListeB,,4)='recap S1'!AF$3)*(OFFSET(ListeB,,1)='recap S1'!AF$2))&gt;0,SUMPRODUCT((ListeB='recap S1'!$B140)*(OFFSET(ListeB,,4)='recap S1'!AF$3)*(OFFSET(ListeB,,1)='recap S1'!AF$2)),"")</f>
        <v/>
      </c>
      <c r="AG140" s="32"/>
      <c r="AH140" s="32" t="str">
        <f ca="1">IF(SUMPRODUCT((ListeB='recap S1'!$B140)*(OFFSET(ListeB,,4)='recap S1'!AH$3)*(OFFSET(ListeB,,1)='recap S1'!AH$2))&gt;0,SUMPRODUCT((ListeB='recap S1'!$B140)*(OFFSET(ListeB,,4)='recap S1'!AH$3)*(OFFSET(ListeB,,1)='recap S1'!AH$2)),"")</f>
        <v/>
      </c>
      <c r="AI140" s="32" t="str">
        <f ca="1">IF(SUMPRODUCT((ListeB='recap S1'!$B140)*(OFFSET(ListeB,,4)='recap S1'!AI$3)*(OFFSET(ListeB,,1)='recap S1'!AI$2))&gt;0,SUMPRODUCT((ListeB='recap S1'!$B140)*(OFFSET(ListeB,,4)='recap S1'!AI$3)*(OFFSET(ListeB,,1)='recap S1'!AI$2)),"")</f>
        <v/>
      </c>
      <c r="AJ140" s="32" t="str">
        <f ca="1">IF(SUMPRODUCT((ListeB='recap S1'!$B140)*(OFFSET(ListeB,,4)='recap S1'!AJ$3)*(OFFSET(ListeB,,1)='recap S1'!AJ$2))&gt;0,SUMPRODUCT((ListeB='recap S1'!$B140)*(OFFSET(ListeB,,4)='recap S1'!AJ$3)*(OFFSET(ListeB,,1)='recap S1'!AJ$2)),"")</f>
        <v/>
      </c>
      <c r="AK140" s="32"/>
      <c r="AL140" s="32" t="str">
        <f ca="1">IF(SUMPRODUCT((ListeB='recap S1'!$B140)*(OFFSET(ListeB,,4)='recap S1'!AL$3)*(OFFSET(ListeB,,1)='recap S1'!AL$2))&gt;0,SUMPRODUCT((ListeB='recap S1'!$B140)*(OFFSET(ListeB,,4)='recap S1'!AL$3)*(OFFSET(ListeB,,1)='recap S1'!AL$2)),"")</f>
        <v/>
      </c>
      <c r="AM140" s="32"/>
      <c r="AN140" s="32" t="str">
        <f ca="1">IF(SUMPRODUCT((ListeB='recap S1'!$B140)*(OFFSET(ListeB,,4)='recap S1'!AN$3)*(OFFSET(ListeB,,1)='recap S1'!AN$2))&gt;0,SUMPRODUCT((ListeB='recap S1'!$B140)*(OFFSET(ListeB,,4)='recap S1'!AN$3)*(OFFSET(ListeB,,1)='recap S1'!AN$2)),"")</f>
        <v/>
      </c>
      <c r="AO140" s="32" t="str">
        <f ca="1">IF(SUMPRODUCT((ListeB='recap S1'!$B140)*(OFFSET(ListeB,,4)='recap S1'!AO$3)*(OFFSET(ListeB,,1)='recap S1'!AO$2))&gt;0,SUMPRODUCT((ListeB='recap S1'!$B140)*(OFFSET(ListeB,,4)='recap S1'!AO$3)*(OFFSET(ListeB,,1)='recap S1'!AO$2)),"")</f>
        <v/>
      </c>
      <c r="AP140" s="32"/>
      <c r="AQ140" s="32"/>
      <c r="AR140" s="32"/>
      <c r="AS140" s="32" t="str">
        <f ca="1">IF(SUMPRODUCT((ListeB='recap S1'!$B140)*(OFFSET(ListeB,,4)='recap S1'!AS$3)*(OFFSET(ListeB,,1)='recap S1'!AS$2))&gt;0,SUMPRODUCT((ListeB='recap S1'!$B140)*(OFFSET(ListeB,,4)='recap S1'!AS$3)*(OFFSET(ListeB,,1)='recap S1'!AS$2)),"")</f>
        <v/>
      </c>
      <c r="AT140" s="32" t="str">
        <f ca="1">IF(SUMPRODUCT((ListeB='recap S1'!$B140)*(OFFSET(ListeB,,4)='recap S1'!AT$3)*(OFFSET(ListeB,,1)='recap S1'!AT$2))&gt;0,SUMPRODUCT((ListeB='recap S1'!$B140)*(OFFSET(ListeB,,4)='recap S1'!AT$3)*(OFFSET(ListeB,,1)='recap S1'!AT$2)),"")</f>
        <v/>
      </c>
      <c r="AU140" s="32"/>
      <c r="AV140" s="32" t="str">
        <f ca="1">IF(SUMPRODUCT((ListeB='recap S1'!$B140)*(OFFSET(ListeB,,4)='recap S1'!AV$3)*(OFFSET(ListeB,,1)='recap S1'!AV$2))&gt;0,SUMPRODUCT((ListeB='recap S1'!$B140)*(OFFSET(ListeB,,4)='recap S1'!AV$3)*(OFFSET(ListeB,,1)='recap S1'!AV$2)),"")</f>
        <v/>
      </c>
      <c r="AW140" s="32" t="str">
        <f ca="1">IF(SUMPRODUCT((ListeB='recap S1'!$B140)*(OFFSET(ListeB,,4)='recap S1'!AW$3)*(OFFSET(ListeB,,1)='recap S1'!AW$2))&gt;0,SUMPRODUCT((ListeB='recap S1'!$B140)*(OFFSET(ListeB,,4)='recap S1'!AW$3)*(OFFSET(ListeB,,1)='recap S1'!AW$2)),"")</f>
        <v/>
      </c>
      <c r="AX140" s="32" t="str">
        <f ca="1">IF(SUMPRODUCT((ListeB='recap S1'!$B140)*(OFFSET(ListeB,,4)='recap S1'!AX$3)*(OFFSET(ListeB,,1)='recap S1'!AX$2))&gt;0,SUMPRODUCT((ListeB='recap S1'!$B140)*(OFFSET(ListeB,,4)='recap S1'!AX$3)*(OFFSET(ListeB,,1)='recap S1'!AX$2)),"")</f>
        <v/>
      </c>
      <c r="AY140" s="34"/>
      <c r="AZ140" s="32">
        <f t="shared" ca="1" si="4"/>
        <v>0</v>
      </c>
    </row>
    <row r="141" spans="1:52">
      <c r="A141" s="41" t="str">
        <f>IF('SEANCE 1'!$B139&lt;&gt;"",'SEANCE 1'!$A139,"")</f>
        <v/>
      </c>
      <c r="B141" s="41" t="str">
        <f t="array" aca="1" ref="B141" ca="1">IF(ISNA(INDEX(ListeB,MATCH(0,COUNTIF($B$3:B140,ListeB),0))),"",INDEX(ListeB,MATCH(0,COUNTIF($B$3:B140,ListeB),0)))</f>
        <v/>
      </c>
      <c r="C141" s="32" t="str">
        <f ca="1">IF(SUMPRODUCT((ListeB='recap S1'!$B141)*(OFFSET(ListeB,,4)='recap S1'!C$3)*(OFFSET(ListeB,,1)='recap S1'!C$2))&gt;0,SUMPRODUCT((ListeB='recap S1'!$B141)*(OFFSET(ListeB,,4)='recap S1'!C$3)*(OFFSET(ListeB,,1)='recap S1'!C$2)),"")</f>
        <v/>
      </c>
      <c r="D141" s="32" t="str">
        <f ca="1">IF(SUMPRODUCT((ListeB='recap S1'!$B141)*(OFFSET(ListeB,,4)='recap S1'!D$3)*(OFFSET(ListeB,,1)='recap S1'!D$2))&gt;0,SUMPRODUCT((ListeB='recap S1'!$B141)*(OFFSET(ListeB,,4)='recap S1'!D$3)*(OFFSET(ListeB,,1)='recap S1'!D$2)),"")</f>
        <v/>
      </c>
      <c r="E141" s="32"/>
      <c r="F141" s="32" t="str">
        <f ca="1">IF(SUMPRODUCT((ListeB='recap S1'!$B141)*(OFFSET(ListeB,,4)='recap S1'!F$3)*(OFFSET(ListeB,,1)='recap S1'!F$2))&gt;0,SUMPRODUCT((ListeB='recap S1'!$B141)*(OFFSET(ListeB,,4)='recap S1'!F$3)*(OFFSET(ListeB,,1)='recap S1'!F$2)),"")</f>
        <v/>
      </c>
      <c r="G141" s="32" t="str">
        <f ca="1">IF(SUMPRODUCT((ListeB='recap S1'!$B141)*(OFFSET(ListeB,,4)='recap S1'!G$3)*(OFFSET(ListeB,,1)='recap S1'!G$2))&gt;0,SUMPRODUCT((ListeB='recap S1'!$B141)*(OFFSET(ListeB,,4)='recap S1'!G$3)*(OFFSET(ListeB,,1)='recap S1'!G$2)),"")</f>
        <v/>
      </c>
      <c r="H141" s="32"/>
      <c r="I141" s="32" t="str">
        <f ca="1">IF(SUMPRODUCT((ListeB='recap S1'!$B141)*(OFFSET(ListeB,,4)='recap S1'!I$3)*(OFFSET(ListeB,,1)='recap S1'!I$2))&gt;0,SUMPRODUCT((ListeB='recap S1'!$B141)*(OFFSET(ListeB,,4)='recap S1'!I$3)*(OFFSET(ListeB,,1)='recap S1'!I$2)),"")</f>
        <v/>
      </c>
      <c r="J141" s="32" t="str">
        <f ca="1">IF(SUMPRODUCT((ListeB='recap S1'!$B141)*(OFFSET(ListeB,,4)='recap S1'!J$3)*(OFFSET(ListeB,,1)='recap S1'!J$2))&gt;0,SUMPRODUCT((ListeB='recap S1'!$B141)*(OFFSET(ListeB,,4)='recap S1'!J$3)*(OFFSET(ListeB,,1)='recap S1'!J$2)),"")</f>
        <v/>
      </c>
      <c r="K141" s="32" t="str">
        <f ca="1">IF(SUMPRODUCT((ListeB='recap S1'!$B141)*(OFFSET(ListeB,,4)='recap S1'!K$3)*(OFFSET(ListeB,,1)='recap S1'!K$2))&gt;0,SUMPRODUCT((ListeB='recap S1'!$B141)*(OFFSET(ListeB,,4)='recap S1'!K$3)*(OFFSET(ListeB,,1)='recap S1'!K$2)),"")</f>
        <v/>
      </c>
      <c r="L141" s="32"/>
      <c r="M141" s="32" t="str">
        <f ca="1">IF(SUMPRODUCT((ListeB='recap S1'!$B141)*(OFFSET(ListeB,,4)='recap S1'!M$3)*(OFFSET(ListeB,,1)='recap S1'!M$2))&gt;0,SUMPRODUCT((ListeB='recap S1'!$B141)*(OFFSET(ListeB,,4)='recap S1'!M$3)*(OFFSET(ListeB,,1)='recap S1'!M$2)),"")</f>
        <v/>
      </c>
      <c r="N141" s="32" t="str">
        <f ca="1">IF(SUMPRODUCT((ListeB='recap S1'!$B141)*(OFFSET(ListeB,,4)='recap S1'!N$3)*(OFFSET(ListeB,,1)='recap S1'!N$2))&gt;0,SUMPRODUCT((ListeB='recap S1'!$B141)*(OFFSET(ListeB,,4)='recap S1'!N$3)*(OFFSET(ListeB,,1)='recap S1'!N$2)),"")</f>
        <v/>
      </c>
      <c r="O141" s="32"/>
      <c r="P141" s="32" t="str">
        <f ca="1">IF(SUMPRODUCT((ListeB='recap S1'!$B141)*(OFFSET(ListeB,,4)='recap S1'!P$3)*(OFFSET(ListeB,,1)='recap S1'!P$2))&gt;0,SUMPRODUCT((ListeB='recap S1'!$B141)*(OFFSET(ListeB,,4)='recap S1'!P$3)*(OFFSET(ListeB,,1)='recap S1'!P$2)),"")</f>
        <v/>
      </c>
      <c r="Q141" s="32" t="str">
        <f ca="1">IF(SUMPRODUCT((ListeB='recap S1'!$B141)*(OFFSET(ListeB,,4)='recap S1'!Q$3)*(OFFSET(ListeB,,1)='recap S1'!Q$2))&gt;0,SUMPRODUCT((ListeB='recap S1'!$B141)*(OFFSET(ListeB,,4)='recap S1'!Q$3)*(OFFSET(ListeB,,1)='recap S1'!Q$2)),"")</f>
        <v/>
      </c>
      <c r="R141" s="32"/>
      <c r="S141" s="32" t="str">
        <f ca="1">IF(SUMPRODUCT((ListeB='recap S1'!$B141)*(OFFSET(ListeB,,4)='recap S1'!S$3)*(OFFSET(ListeB,,1)='recap S1'!S$2))&gt;0,SUMPRODUCT((ListeB='recap S1'!$B141)*(OFFSET(ListeB,,4)='recap S1'!S$3)*(OFFSET(ListeB,,1)='recap S1'!S$2)),"")</f>
        <v/>
      </c>
      <c r="T141" s="32" t="str">
        <f ca="1">IF(SUMPRODUCT((ListeB='recap S1'!$B141)*(OFFSET(ListeB,,4)='recap S1'!T$3)*(OFFSET(ListeB,,1)='recap S1'!T$2))&gt;0,SUMPRODUCT((ListeB='recap S1'!$B141)*(OFFSET(ListeB,,4)='recap S1'!T$3)*(OFFSET(ListeB,,1)='recap S1'!T$2)),"")</f>
        <v/>
      </c>
      <c r="U141" s="32" t="str">
        <f ca="1">IF(SUMPRODUCT((ListeB='recap S1'!$B141)*(OFFSET(ListeB,,4)='recap S1'!U$3)*(OFFSET(ListeB,,1)='recap S1'!U$2))&gt;0,SUMPRODUCT((ListeB='recap S1'!$B141)*(OFFSET(ListeB,,4)='recap S1'!U$3)*(OFFSET(ListeB,,1)='recap S1'!U$2)),"")</f>
        <v/>
      </c>
      <c r="V141" s="32"/>
      <c r="W141" s="32" t="str">
        <f ca="1">IF(SUMPRODUCT((ListeB='recap S1'!$B141)*(OFFSET(ListeB,,4)='recap S1'!W$3)*(OFFSET(ListeB,,1)='recap S1'!W$2))&gt;0,SUMPRODUCT((ListeB='recap S1'!$B141)*(OFFSET(ListeB,,4)='recap S1'!W$3)*(OFFSET(ListeB,,1)='recap S1'!W$2)),"")</f>
        <v/>
      </c>
      <c r="X141" s="32"/>
      <c r="Y141" s="32" t="str">
        <f ca="1">IF(SUMPRODUCT((ListeB='recap S1'!$B141)*(OFFSET(ListeB,,4)='recap S1'!Y$3)*(OFFSET(ListeB,,1)='recap S1'!Y$2))&gt;0,SUMPRODUCT((ListeB='recap S1'!$B141)*(OFFSET(ListeB,,4)='recap S1'!Y$3)*(OFFSET(ListeB,,1)='recap S1'!Y$2)),"")</f>
        <v/>
      </c>
      <c r="Z141" s="32" t="str">
        <f ca="1">IF(SUMPRODUCT((ListeB='recap S1'!$B141)*(OFFSET(ListeB,,4)='recap S1'!Z$3)*(OFFSET(ListeB,,1)='recap S1'!Z$2))&gt;0,SUMPRODUCT((ListeB='recap S1'!$B141)*(OFFSET(ListeB,,4)='recap S1'!Z$3)*(OFFSET(ListeB,,1)='recap S1'!Z$2)),"")</f>
        <v/>
      </c>
      <c r="AA141" s="32" t="str">
        <f ca="1">IF(SUMPRODUCT((ListeB='recap S1'!$B141)*(OFFSET(ListeB,,4)='recap S1'!AA$3)*(OFFSET(ListeB,,1)='recap S1'!AA$2))&gt;0,SUMPRODUCT((ListeB='recap S1'!$B141)*(OFFSET(ListeB,,4)='recap S1'!AA$3)*(OFFSET(ListeB,,1)='recap S1'!AA$2)),"")</f>
        <v/>
      </c>
      <c r="AB141" s="32"/>
      <c r="AC141" s="32" t="str">
        <f ca="1">IF(SUMPRODUCT((ListeB='recap S1'!$B141)*(OFFSET(ListeB,,4)='recap S1'!AC$3)*(OFFSET(ListeB,,1)='recap S1'!AC$2))&gt;0,SUMPRODUCT((ListeB='recap S1'!$B141)*(OFFSET(ListeB,,4)='recap S1'!AC$3)*(OFFSET(ListeB,,1)='recap S1'!AC$2)),"")</f>
        <v/>
      </c>
      <c r="AD141" s="32"/>
      <c r="AE141" s="32" t="str">
        <f ca="1">IF(SUMPRODUCT((ListeB='recap S1'!$B141)*(OFFSET(ListeB,,4)='recap S1'!AE$3)*(OFFSET(ListeB,,1)='recap S1'!AE$2))&gt;0,SUMPRODUCT((ListeB='recap S1'!$B141)*(OFFSET(ListeB,,4)='recap S1'!AE$3)*(OFFSET(ListeB,,1)='recap S1'!AE$2)),"")</f>
        <v/>
      </c>
      <c r="AF141" s="32" t="str">
        <f ca="1">IF(SUMPRODUCT((ListeB='recap S1'!$B141)*(OFFSET(ListeB,,4)='recap S1'!AF$3)*(OFFSET(ListeB,,1)='recap S1'!AF$2))&gt;0,SUMPRODUCT((ListeB='recap S1'!$B141)*(OFFSET(ListeB,,4)='recap S1'!AF$3)*(OFFSET(ListeB,,1)='recap S1'!AF$2)),"")</f>
        <v/>
      </c>
      <c r="AG141" s="32"/>
      <c r="AH141" s="32" t="str">
        <f ca="1">IF(SUMPRODUCT((ListeB='recap S1'!$B141)*(OFFSET(ListeB,,4)='recap S1'!AH$3)*(OFFSET(ListeB,,1)='recap S1'!AH$2))&gt;0,SUMPRODUCT((ListeB='recap S1'!$B141)*(OFFSET(ListeB,,4)='recap S1'!AH$3)*(OFFSET(ListeB,,1)='recap S1'!AH$2)),"")</f>
        <v/>
      </c>
      <c r="AI141" s="32" t="str">
        <f ca="1">IF(SUMPRODUCT((ListeB='recap S1'!$B141)*(OFFSET(ListeB,,4)='recap S1'!AI$3)*(OFFSET(ListeB,,1)='recap S1'!AI$2))&gt;0,SUMPRODUCT((ListeB='recap S1'!$B141)*(OFFSET(ListeB,,4)='recap S1'!AI$3)*(OFFSET(ListeB,,1)='recap S1'!AI$2)),"")</f>
        <v/>
      </c>
      <c r="AJ141" s="32" t="str">
        <f ca="1">IF(SUMPRODUCT((ListeB='recap S1'!$B141)*(OFFSET(ListeB,,4)='recap S1'!AJ$3)*(OFFSET(ListeB,,1)='recap S1'!AJ$2))&gt;0,SUMPRODUCT((ListeB='recap S1'!$B141)*(OFFSET(ListeB,,4)='recap S1'!AJ$3)*(OFFSET(ListeB,,1)='recap S1'!AJ$2)),"")</f>
        <v/>
      </c>
      <c r="AK141" s="32"/>
      <c r="AL141" s="32" t="str">
        <f ca="1">IF(SUMPRODUCT((ListeB='recap S1'!$B141)*(OFFSET(ListeB,,4)='recap S1'!AL$3)*(OFFSET(ListeB,,1)='recap S1'!AL$2))&gt;0,SUMPRODUCT((ListeB='recap S1'!$B141)*(OFFSET(ListeB,,4)='recap S1'!AL$3)*(OFFSET(ListeB,,1)='recap S1'!AL$2)),"")</f>
        <v/>
      </c>
      <c r="AM141" s="32"/>
      <c r="AN141" s="32" t="str">
        <f ca="1">IF(SUMPRODUCT((ListeB='recap S1'!$B141)*(OFFSET(ListeB,,4)='recap S1'!AN$3)*(OFFSET(ListeB,,1)='recap S1'!AN$2))&gt;0,SUMPRODUCT((ListeB='recap S1'!$B141)*(OFFSET(ListeB,,4)='recap S1'!AN$3)*(OFFSET(ListeB,,1)='recap S1'!AN$2)),"")</f>
        <v/>
      </c>
      <c r="AO141" s="32" t="str">
        <f ca="1">IF(SUMPRODUCT((ListeB='recap S1'!$B141)*(OFFSET(ListeB,,4)='recap S1'!AO$3)*(OFFSET(ListeB,,1)='recap S1'!AO$2))&gt;0,SUMPRODUCT((ListeB='recap S1'!$B141)*(OFFSET(ListeB,,4)='recap S1'!AO$3)*(OFFSET(ListeB,,1)='recap S1'!AO$2)),"")</f>
        <v/>
      </c>
      <c r="AP141" s="32"/>
      <c r="AQ141" s="32"/>
      <c r="AR141" s="32"/>
      <c r="AS141" s="32" t="str">
        <f ca="1">IF(SUMPRODUCT((ListeB='recap S1'!$B141)*(OFFSET(ListeB,,4)='recap S1'!AS$3)*(OFFSET(ListeB,,1)='recap S1'!AS$2))&gt;0,SUMPRODUCT((ListeB='recap S1'!$B141)*(OFFSET(ListeB,,4)='recap S1'!AS$3)*(OFFSET(ListeB,,1)='recap S1'!AS$2)),"")</f>
        <v/>
      </c>
      <c r="AT141" s="32" t="str">
        <f ca="1">IF(SUMPRODUCT((ListeB='recap S1'!$B141)*(OFFSET(ListeB,,4)='recap S1'!AT$3)*(OFFSET(ListeB,,1)='recap S1'!AT$2))&gt;0,SUMPRODUCT((ListeB='recap S1'!$B141)*(OFFSET(ListeB,,4)='recap S1'!AT$3)*(OFFSET(ListeB,,1)='recap S1'!AT$2)),"")</f>
        <v/>
      </c>
      <c r="AU141" s="32"/>
      <c r="AV141" s="32" t="str">
        <f ca="1">IF(SUMPRODUCT((ListeB='recap S1'!$B141)*(OFFSET(ListeB,,4)='recap S1'!AV$3)*(OFFSET(ListeB,,1)='recap S1'!AV$2))&gt;0,SUMPRODUCT((ListeB='recap S1'!$B141)*(OFFSET(ListeB,,4)='recap S1'!AV$3)*(OFFSET(ListeB,,1)='recap S1'!AV$2)),"")</f>
        <v/>
      </c>
      <c r="AW141" s="32" t="str">
        <f ca="1">IF(SUMPRODUCT((ListeB='recap S1'!$B141)*(OFFSET(ListeB,,4)='recap S1'!AW$3)*(OFFSET(ListeB,,1)='recap S1'!AW$2))&gt;0,SUMPRODUCT((ListeB='recap S1'!$B141)*(OFFSET(ListeB,,4)='recap S1'!AW$3)*(OFFSET(ListeB,,1)='recap S1'!AW$2)),"")</f>
        <v/>
      </c>
      <c r="AX141" s="32" t="str">
        <f ca="1">IF(SUMPRODUCT((ListeB='recap S1'!$B141)*(OFFSET(ListeB,,4)='recap S1'!AX$3)*(OFFSET(ListeB,,1)='recap S1'!AX$2))&gt;0,SUMPRODUCT((ListeB='recap S1'!$B141)*(OFFSET(ListeB,,4)='recap S1'!AX$3)*(OFFSET(ListeB,,1)='recap S1'!AX$2)),"")</f>
        <v/>
      </c>
      <c r="AY141" s="34"/>
      <c r="AZ141" s="32">
        <f t="shared" ca="1" si="4"/>
        <v>0</v>
      </c>
    </row>
    <row r="142" spans="1:52">
      <c r="A142" s="41" t="str">
        <f>IF('SEANCE 1'!$B140&lt;&gt;"",'SEANCE 1'!$A140,"")</f>
        <v/>
      </c>
      <c r="B142" s="41" t="str">
        <f t="array" aca="1" ref="B142" ca="1">IF(ISNA(INDEX(ListeB,MATCH(0,COUNTIF($B$3:B141,ListeB),0))),"",INDEX(ListeB,MATCH(0,COUNTIF($B$3:B141,ListeB),0)))</f>
        <v/>
      </c>
      <c r="C142" s="32" t="str">
        <f ca="1">IF(SUMPRODUCT((ListeB='recap S1'!$B142)*(OFFSET(ListeB,,4)='recap S1'!C$3)*(OFFSET(ListeB,,1)='recap S1'!C$2))&gt;0,SUMPRODUCT((ListeB='recap S1'!$B142)*(OFFSET(ListeB,,4)='recap S1'!C$3)*(OFFSET(ListeB,,1)='recap S1'!C$2)),"")</f>
        <v/>
      </c>
      <c r="D142" s="32" t="str">
        <f ca="1">IF(SUMPRODUCT((ListeB='recap S1'!$B142)*(OFFSET(ListeB,,4)='recap S1'!D$3)*(OFFSET(ListeB,,1)='recap S1'!D$2))&gt;0,SUMPRODUCT((ListeB='recap S1'!$B142)*(OFFSET(ListeB,,4)='recap S1'!D$3)*(OFFSET(ListeB,,1)='recap S1'!D$2)),"")</f>
        <v/>
      </c>
      <c r="E142" s="32"/>
      <c r="F142" s="32" t="str">
        <f ca="1">IF(SUMPRODUCT((ListeB='recap S1'!$B142)*(OFFSET(ListeB,,4)='recap S1'!F$3)*(OFFSET(ListeB,,1)='recap S1'!F$2))&gt;0,SUMPRODUCT((ListeB='recap S1'!$B142)*(OFFSET(ListeB,,4)='recap S1'!F$3)*(OFFSET(ListeB,,1)='recap S1'!F$2)),"")</f>
        <v/>
      </c>
      <c r="G142" s="32" t="str">
        <f ca="1">IF(SUMPRODUCT((ListeB='recap S1'!$B142)*(OFFSET(ListeB,,4)='recap S1'!G$3)*(OFFSET(ListeB,,1)='recap S1'!G$2))&gt;0,SUMPRODUCT((ListeB='recap S1'!$B142)*(OFFSET(ListeB,,4)='recap S1'!G$3)*(OFFSET(ListeB,,1)='recap S1'!G$2)),"")</f>
        <v/>
      </c>
      <c r="H142" s="32"/>
      <c r="I142" s="32" t="str">
        <f ca="1">IF(SUMPRODUCT((ListeB='recap S1'!$B142)*(OFFSET(ListeB,,4)='recap S1'!I$3)*(OFFSET(ListeB,,1)='recap S1'!I$2))&gt;0,SUMPRODUCT((ListeB='recap S1'!$B142)*(OFFSET(ListeB,,4)='recap S1'!I$3)*(OFFSET(ListeB,,1)='recap S1'!I$2)),"")</f>
        <v/>
      </c>
      <c r="J142" s="32" t="str">
        <f ca="1">IF(SUMPRODUCT((ListeB='recap S1'!$B142)*(OFFSET(ListeB,,4)='recap S1'!J$3)*(OFFSET(ListeB,,1)='recap S1'!J$2))&gt;0,SUMPRODUCT((ListeB='recap S1'!$B142)*(OFFSET(ListeB,,4)='recap S1'!J$3)*(OFFSET(ListeB,,1)='recap S1'!J$2)),"")</f>
        <v/>
      </c>
      <c r="K142" s="32" t="str">
        <f ca="1">IF(SUMPRODUCT((ListeB='recap S1'!$B142)*(OFFSET(ListeB,,4)='recap S1'!K$3)*(OFFSET(ListeB,,1)='recap S1'!K$2))&gt;0,SUMPRODUCT((ListeB='recap S1'!$B142)*(OFFSET(ListeB,,4)='recap S1'!K$3)*(OFFSET(ListeB,,1)='recap S1'!K$2)),"")</f>
        <v/>
      </c>
      <c r="L142" s="32"/>
      <c r="M142" s="32" t="str">
        <f ca="1">IF(SUMPRODUCT((ListeB='recap S1'!$B142)*(OFFSET(ListeB,,4)='recap S1'!M$3)*(OFFSET(ListeB,,1)='recap S1'!M$2))&gt;0,SUMPRODUCT((ListeB='recap S1'!$B142)*(OFFSET(ListeB,,4)='recap S1'!M$3)*(OFFSET(ListeB,,1)='recap S1'!M$2)),"")</f>
        <v/>
      </c>
      <c r="N142" s="32" t="str">
        <f ca="1">IF(SUMPRODUCT((ListeB='recap S1'!$B142)*(OFFSET(ListeB,,4)='recap S1'!N$3)*(OFFSET(ListeB,,1)='recap S1'!N$2))&gt;0,SUMPRODUCT((ListeB='recap S1'!$B142)*(OFFSET(ListeB,,4)='recap S1'!N$3)*(OFFSET(ListeB,,1)='recap S1'!N$2)),"")</f>
        <v/>
      </c>
      <c r="O142" s="32"/>
      <c r="P142" s="32" t="str">
        <f ca="1">IF(SUMPRODUCT((ListeB='recap S1'!$B142)*(OFFSET(ListeB,,4)='recap S1'!P$3)*(OFFSET(ListeB,,1)='recap S1'!P$2))&gt;0,SUMPRODUCT((ListeB='recap S1'!$B142)*(OFFSET(ListeB,,4)='recap S1'!P$3)*(OFFSET(ListeB,,1)='recap S1'!P$2)),"")</f>
        <v/>
      </c>
      <c r="Q142" s="32" t="str">
        <f ca="1">IF(SUMPRODUCT((ListeB='recap S1'!$B142)*(OFFSET(ListeB,,4)='recap S1'!Q$3)*(OFFSET(ListeB,,1)='recap S1'!Q$2))&gt;0,SUMPRODUCT((ListeB='recap S1'!$B142)*(OFFSET(ListeB,,4)='recap S1'!Q$3)*(OFFSET(ListeB,,1)='recap S1'!Q$2)),"")</f>
        <v/>
      </c>
      <c r="R142" s="32"/>
      <c r="S142" s="32" t="str">
        <f ca="1">IF(SUMPRODUCT((ListeB='recap S1'!$B142)*(OFFSET(ListeB,,4)='recap S1'!S$3)*(OFFSET(ListeB,,1)='recap S1'!S$2))&gt;0,SUMPRODUCT((ListeB='recap S1'!$B142)*(OFFSET(ListeB,,4)='recap S1'!S$3)*(OFFSET(ListeB,,1)='recap S1'!S$2)),"")</f>
        <v/>
      </c>
      <c r="T142" s="32" t="str">
        <f ca="1">IF(SUMPRODUCT((ListeB='recap S1'!$B142)*(OFFSET(ListeB,,4)='recap S1'!T$3)*(OFFSET(ListeB,,1)='recap S1'!T$2))&gt;0,SUMPRODUCT((ListeB='recap S1'!$B142)*(OFFSET(ListeB,,4)='recap S1'!T$3)*(OFFSET(ListeB,,1)='recap S1'!T$2)),"")</f>
        <v/>
      </c>
      <c r="U142" s="32" t="str">
        <f ca="1">IF(SUMPRODUCT((ListeB='recap S1'!$B142)*(OFFSET(ListeB,,4)='recap S1'!U$3)*(OFFSET(ListeB,,1)='recap S1'!U$2))&gt;0,SUMPRODUCT((ListeB='recap S1'!$B142)*(OFFSET(ListeB,,4)='recap S1'!U$3)*(OFFSET(ListeB,,1)='recap S1'!U$2)),"")</f>
        <v/>
      </c>
      <c r="V142" s="32"/>
      <c r="W142" s="32" t="str">
        <f ca="1">IF(SUMPRODUCT((ListeB='recap S1'!$B142)*(OFFSET(ListeB,,4)='recap S1'!W$3)*(OFFSET(ListeB,,1)='recap S1'!W$2))&gt;0,SUMPRODUCT((ListeB='recap S1'!$B142)*(OFFSET(ListeB,,4)='recap S1'!W$3)*(OFFSET(ListeB,,1)='recap S1'!W$2)),"")</f>
        <v/>
      </c>
      <c r="X142" s="32"/>
      <c r="Y142" s="32" t="str">
        <f ca="1">IF(SUMPRODUCT((ListeB='recap S1'!$B142)*(OFFSET(ListeB,,4)='recap S1'!Y$3)*(OFFSET(ListeB,,1)='recap S1'!Y$2))&gt;0,SUMPRODUCT((ListeB='recap S1'!$B142)*(OFFSET(ListeB,,4)='recap S1'!Y$3)*(OFFSET(ListeB,,1)='recap S1'!Y$2)),"")</f>
        <v/>
      </c>
      <c r="Z142" s="32" t="str">
        <f ca="1">IF(SUMPRODUCT((ListeB='recap S1'!$B142)*(OFFSET(ListeB,,4)='recap S1'!Z$3)*(OFFSET(ListeB,,1)='recap S1'!Z$2))&gt;0,SUMPRODUCT((ListeB='recap S1'!$B142)*(OFFSET(ListeB,,4)='recap S1'!Z$3)*(OFFSET(ListeB,,1)='recap S1'!Z$2)),"")</f>
        <v/>
      </c>
      <c r="AA142" s="32" t="str">
        <f ca="1">IF(SUMPRODUCT((ListeB='recap S1'!$B142)*(OFFSET(ListeB,,4)='recap S1'!AA$3)*(OFFSET(ListeB,,1)='recap S1'!AA$2))&gt;0,SUMPRODUCT((ListeB='recap S1'!$B142)*(OFFSET(ListeB,,4)='recap S1'!AA$3)*(OFFSET(ListeB,,1)='recap S1'!AA$2)),"")</f>
        <v/>
      </c>
      <c r="AB142" s="32"/>
      <c r="AC142" s="32" t="str">
        <f ca="1">IF(SUMPRODUCT((ListeB='recap S1'!$B142)*(OFFSET(ListeB,,4)='recap S1'!AC$3)*(OFFSET(ListeB,,1)='recap S1'!AC$2))&gt;0,SUMPRODUCT((ListeB='recap S1'!$B142)*(OFFSET(ListeB,,4)='recap S1'!AC$3)*(OFFSET(ListeB,,1)='recap S1'!AC$2)),"")</f>
        <v/>
      </c>
      <c r="AD142" s="32"/>
      <c r="AE142" s="32" t="str">
        <f ca="1">IF(SUMPRODUCT((ListeB='recap S1'!$B142)*(OFFSET(ListeB,,4)='recap S1'!AE$3)*(OFFSET(ListeB,,1)='recap S1'!AE$2))&gt;0,SUMPRODUCT((ListeB='recap S1'!$B142)*(OFFSET(ListeB,,4)='recap S1'!AE$3)*(OFFSET(ListeB,,1)='recap S1'!AE$2)),"")</f>
        <v/>
      </c>
      <c r="AF142" s="32" t="str">
        <f ca="1">IF(SUMPRODUCT((ListeB='recap S1'!$B142)*(OFFSET(ListeB,,4)='recap S1'!AF$3)*(OFFSET(ListeB,,1)='recap S1'!AF$2))&gt;0,SUMPRODUCT((ListeB='recap S1'!$B142)*(OFFSET(ListeB,,4)='recap S1'!AF$3)*(OFFSET(ListeB,,1)='recap S1'!AF$2)),"")</f>
        <v/>
      </c>
      <c r="AG142" s="32"/>
      <c r="AH142" s="32" t="str">
        <f ca="1">IF(SUMPRODUCT((ListeB='recap S1'!$B142)*(OFFSET(ListeB,,4)='recap S1'!AH$3)*(OFFSET(ListeB,,1)='recap S1'!AH$2))&gt;0,SUMPRODUCT((ListeB='recap S1'!$B142)*(OFFSET(ListeB,,4)='recap S1'!AH$3)*(OFFSET(ListeB,,1)='recap S1'!AH$2)),"")</f>
        <v/>
      </c>
      <c r="AI142" s="32" t="str">
        <f ca="1">IF(SUMPRODUCT((ListeB='recap S1'!$B142)*(OFFSET(ListeB,,4)='recap S1'!AI$3)*(OFFSET(ListeB,,1)='recap S1'!AI$2))&gt;0,SUMPRODUCT((ListeB='recap S1'!$B142)*(OFFSET(ListeB,,4)='recap S1'!AI$3)*(OFFSET(ListeB,,1)='recap S1'!AI$2)),"")</f>
        <v/>
      </c>
      <c r="AJ142" s="32" t="str">
        <f ca="1">IF(SUMPRODUCT((ListeB='recap S1'!$B142)*(OFFSET(ListeB,,4)='recap S1'!AJ$3)*(OFFSET(ListeB,,1)='recap S1'!AJ$2))&gt;0,SUMPRODUCT((ListeB='recap S1'!$B142)*(OFFSET(ListeB,,4)='recap S1'!AJ$3)*(OFFSET(ListeB,,1)='recap S1'!AJ$2)),"")</f>
        <v/>
      </c>
      <c r="AK142" s="32"/>
      <c r="AL142" s="32" t="str">
        <f ca="1">IF(SUMPRODUCT((ListeB='recap S1'!$B142)*(OFFSET(ListeB,,4)='recap S1'!AL$3)*(OFFSET(ListeB,,1)='recap S1'!AL$2))&gt;0,SUMPRODUCT((ListeB='recap S1'!$B142)*(OFFSET(ListeB,,4)='recap S1'!AL$3)*(OFFSET(ListeB,,1)='recap S1'!AL$2)),"")</f>
        <v/>
      </c>
      <c r="AM142" s="32"/>
      <c r="AN142" s="32" t="str">
        <f ca="1">IF(SUMPRODUCT((ListeB='recap S1'!$B142)*(OFFSET(ListeB,,4)='recap S1'!AN$3)*(OFFSET(ListeB,,1)='recap S1'!AN$2))&gt;0,SUMPRODUCT((ListeB='recap S1'!$B142)*(OFFSET(ListeB,,4)='recap S1'!AN$3)*(OFFSET(ListeB,,1)='recap S1'!AN$2)),"")</f>
        <v/>
      </c>
      <c r="AO142" s="32" t="str">
        <f ca="1">IF(SUMPRODUCT((ListeB='recap S1'!$B142)*(OFFSET(ListeB,,4)='recap S1'!AO$3)*(OFFSET(ListeB,,1)='recap S1'!AO$2))&gt;0,SUMPRODUCT((ListeB='recap S1'!$B142)*(OFFSET(ListeB,,4)='recap S1'!AO$3)*(OFFSET(ListeB,,1)='recap S1'!AO$2)),"")</f>
        <v/>
      </c>
      <c r="AP142" s="32"/>
      <c r="AQ142" s="32"/>
      <c r="AR142" s="32"/>
      <c r="AS142" s="32" t="str">
        <f ca="1">IF(SUMPRODUCT((ListeB='recap S1'!$B142)*(OFFSET(ListeB,,4)='recap S1'!AS$3)*(OFFSET(ListeB,,1)='recap S1'!AS$2))&gt;0,SUMPRODUCT((ListeB='recap S1'!$B142)*(OFFSET(ListeB,,4)='recap S1'!AS$3)*(OFFSET(ListeB,,1)='recap S1'!AS$2)),"")</f>
        <v/>
      </c>
      <c r="AT142" s="32" t="str">
        <f ca="1">IF(SUMPRODUCT((ListeB='recap S1'!$B142)*(OFFSET(ListeB,,4)='recap S1'!AT$3)*(OFFSET(ListeB,,1)='recap S1'!AT$2))&gt;0,SUMPRODUCT((ListeB='recap S1'!$B142)*(OFFSET(ListeB,,4)='recap S1'!AT$3)*(OFFSET(ListeB,,1)='recap S1'!AT$2)),"")</f>
        <v/>
      </c>
      <c r="AU142" s="32"/>
      <c r="AV142" s="32" t="str">
        <f ca="1">IF(SUMPRODUCT((ListeB='recap S1'!$B142)*(OFFSET(ListeB,,4)='recap S1'!AV$3)*(OFFSET(ListeB,,1)='recap S1'!AV$2))&gt;0,SUMPRODUCT((ListeB='recap S1'!$B142)*(OFFSET(ListeB,,4)='recap S1'!AV$3)*(OFFSET(ListeB,,1)='recap S1'!AV$2)),"")</f>
        <v/>
      </c>
      <c r="AW142" s="32" t="str">
        <f ca="1">IF(SUMPRODUCT((ListeB='recap S1'!$B142)*(OFFSET(ListeB,,4)='recap S1'!AW$3)*(OFFSET(ListeB,,1)='recap S1'!AW$2))&gt;0,SUMPRODUCT((ListeB='recap S1'!$B142)*(OFFSET(ListeB,,4)='recap S1'!AW$3)*(OFFSET(ListeB,,1)='recap S1'!AW$2)),"")</f>
        <v/>
      </c>
      <c r="AX142" s="32" t="str">
        <f ca="1">IF(SUMPRODUCT((ListeB='recap S1'!$B142)*(OFFSET(ListeB,,4)='recap S1'!AX$3)*(OFFSET(ListeB,,1)='recap S1'!AX$2))&gt;0,SUMPRODUCT((ListeB='recap S1'!$B142)*(OFFSET(ListeB,,4)='recap S1'!AX$3)*(OFFSET(ListeB,,1)='recap S1'!AX$2)),"")</f>
        <v/>
      </c>
      <c r="AY142" s="34"/>
      <c r="AZ142" s="32">
        <f t="shared" ca="1" si="4"/>
        <v>0</v>
      </c>
    </row>
    <row r="143" spans="1:52">
      <c r="A143" s="41" t="str">
        <f>IF('SEANCE 1'!$B141&lt;&gt;"",'SEANCE 1'!$A141,"")</f>
        <v/>
      </c>
      <c r="B143" s="41" t="str">
        <f t="array" aca="1" ref="B143" ca="1">IF(ISNA(INDEX(ListeB,MATCH(0,COUNTIF($B$3:B142,ListeB),0))),"",INDEX(ListeB,MATCH(0,COUNTIF($B$3:B142,ListeB),0)))</f>
        <v/>
      </c>
      <c r="C143" s="32" t="str">
        <f ca="1">IF(SUMPRODUCT((ListeB='recap S1'!$B143)*(OFFSET(ListeB,,4)='recap S1'!C$3)*(OFFSET(ListeB,,1)='recap S1'!C$2))&gt;0,SUMPRODUCT((ListeB='recap S1'!$B143)*(OFFSET(ListeB,,4)='recap S1'!C$3)*(OFFSET(ListeB,,1)='recap S1'!C$2)),"")</f>
        <v/>
      </c>
      <c r="D143" s="32" t="str">
        <f ca="1">IF(SUMPRODUCT((ListeB='recap S1'!$B143)*(OFFSET(ListeB,,4)='recap S1'!D$3)*(OFFSET(ListeB,,1)='recap S1'!D$2))&gt;0,SUMPRODUCT((ListeB='recap S1'!$B143)*(OFFSET(ListeB,,4)='recap S1'!D$3)*(OFFSET(ListeB,,1)='recap S1'!D$2)),"")</f>
        <v/>
      </c>
      <c r="E143" s="32"/>
      <c r="F143" s="32" t="str">
        <f ca="1">IF(SUMPRODUCT((ListeB='recap S1'!$B143)*(OFFSET(ListeB,,4)='recap S1'!F$3)*(OFFSET(ListeB,,1)='recap S1'!F$2))&gt;0,SUMPRODUCT((ListeB='recap S1'!$B143)*(OFFSET(ListeB,,4)='recap S1'!F$3)*(OFFSET(ListeB,,1)='recap S1'!F$2)),"")</f>
        <v/>
      </c>
      <c r="G143" s="32" t="str">
        <f ca="1">IF(SUMPRODUCT((ListeB='recap S1'!$B143)*(OFFSET(ListeB,,4)='recap S1'!G$3)*(OFFSET(ListeB,,1)='recap S1'!G$2))&gt;0,SUMPRODUCT((ListeB='recap S1'!$B143)*(OFFSET(ListeB,,4)='recap S1'!G$3)*(OFFSET(ListeB,,1)='recap S1'!G$2)),"")</f>
        <v/>
      </c>
      <c r="H143" s="32"/>
      <c r="I143" s="32" t="str">
        <f ca="1">IF(SUMPRODUCT((ListeB='recap S1'!$B143)*(OFFSET(ListeB,,4)='recap S1'!I$3)*(OFFSET(ListeB,,1)='recap S1'!I$2))&gt;0,SUMPRODUCT((ListeB='recap S1'!$B143)*(OFFSET(ListeB,,4)='recap S1'!I$3)*(OFFSET(ListeB,,1)='recap S1'!I$2)),"")</f>
        <v/>
      </c>
      <c r="J143" s="32" t="str">
        <f ca="1">IF(SUMPRODUCT((ListeB='recap S1'!$B143)*(OFFSET(ListeB,,4)='recap S1'!J$3)*(OFFSET(ListeB,,1)='recap S1'!J$2))&gt;0,SUMPRODUCT((ListeB='recap S1'!$B143)*(OFFSET(ListeB,,4)='recap S1'!J$3)*(OFFSET(ListeB,,1)='recap S1'!J$2)),"")</f>
        <v/>
      </c>
      <c r="K143" s="32" t="str">
        <f ca="1">IF(SUMPRODUCT((ListeB='recap S1'!$B143)*(OFFSET(ListeB,,4)='recap S1'!K$3)*(OFFSET(ListeB,,1)='recap S1'!K$2))&gt;0,SUMPRODUCT((ListeB='recap S1'!$B143)*(OFFSET(ListeB,,4)='recap S1'!K$3)*(OFFSET(ListeB,,1)='recap S1'!K$2)),"")</f>
        <v/>
      </c>
      <c r="L143" s="32"/>
      <c r="M143" s="32" t="str">
        <f ca="1">IF(SUMPRODUCT((ListeB='recap S1'!$B143)*(OFFSET(ListeB,,4)='recap S1'!M$3)*(OFFSET(ListeB,,1)='recap S1'!M$2))&gt;0,SUMPRODUCT((ListeB='recap S1'!$B143)*(OFFSET(ListeB,,4)='recap S1'!M$3)*(OFFSET(ListeB,,1)='recap S1'!M$2)),"")</f>
        <v/>
      </c>
      <c r="N143" s="32" t="str">
        <f ca="1">IF(SUMPRODUCT((ListeB='recap S1'!$B143)*(OFFSET(ListeB,,4)='recap S1'!N$3)*(OFFSET(ListeB,,1)='recap S1'!N$2))&gt;0,SUMPRODUCT((ListeB='recap S1'!$B143)*(OFFSET(ListeB,,4)='recap S1'!N$3)*(OFFSET(ListeB,,1)='recap S1'!N$2)),"")</f>
        <v/>
      </c>
      <c r="O143" s="32"/>
      <c r="P143" s="32" t="str">
        <f ca="1">IF(SUMPRODUCT((ListeB='recap S1'!$B143)*(OFFSET(ListeB,,4)='recap S1'!P$3)*(OFFSET(ListeB,,1)='recap S1'!P$2))&gt;0,SUMPRODUCT((ListeB='recap S1'!$B143)*(OFFSET(ListeB,,4)='recap S1'!P$3)*(OFFSET(ListeB,,1)='recap S1'!P$2)),"")</f>
        <v/>
      </c>
      <c r="Q143" s="32" t="str">
        <f ca="1">IF(SUMPRODUCT((ListeB='recap S1'!$B143)*(OFFSET(ListeB,,4)='recap S1'!Q$3)*(OFFSET(ListeB,,1)='recap S1'!Q$2))&gt;0,SUMPRODUCT((ListeB='recap S1'!$B143)*(OFFSET(ListeB,,4)='recap S1'!Q$3)*(OFFSET(ListeB,,1)='recap S1'!Q$2)),"")</f>
        <v/>
      </c>
      <c r="R143" s="32"/>
      <c r="S143" s="32" t="str">
        <f ca="1">IF(SUMPRODUCT((ListeB='recap S1'!$B143)*(OFFSET(ListeB,,4)='recap S1'!S$3)*(OFFSET(ListeB,,1)='recap S1'!S$2))&gt;0,SUMPRODUCT((ListeB='recap S1'!$B143)*(OFFSET(ListeB,,4)='recap S1'!S$3)*(OFFSET(ListeB,,1)='recap S1'!S$2)),"")</f>
        <v/>
      </c>
      <c r="T143" s="32" t="str">
        <f ca="1">IF(SUMPRODUCT((ListeB='recap S1'!$B143)*(OFFSET(ListeB,,4)='recap S1'!T$3)*(OFFSET(ListeB,,1)='recap S1'!T$2))&gt;0,SUMPRODUCT((ListeB='recap S1'!$B143)*(OFFSET(ListeB,,4)='recap S1'!T$3)*(OFFSET(ListeB,,1)='recap S1'!T$2)),"")</f>
        <v/>
      </c>
      <c r="U143" s="32" t="str">
        <f ca="1">IF(SUMPRODUCT((ListeB='recap S1'!$B143)*(OFFSET(ListeB,,4)='recap S1'!U$3)*(OFFSET(ListeB,,1)='recap S1'!U$2))&gt;0,SUMPRODUCT((ListeB='recap S1'!$B143)*(OFFSET(ListeB,,4)='recap S1'!U$3)*(OFFSET(ListeB,,1)='recap S1'!U$2)),"")</f>
        <v/>
      </c>
      <c r="V143" s="32"/>
      <c r="W143" s="32" t="str">
        <f ca="1">IF(SUMPRODUCT((ListeB='recap S1'!$B143)*(OFFSET(ListeB,,4)='recap S1'!W$3)*(OFFSET(ListeB,,1)='recap S1'!W$2))&gt;0,SUMPRODUCT((ListeB='recap S1'!$B143)*(OFFSET(ListeB,,4)='recap S1'!W$3)*(OFFSET(ListeB,,1)='recap S1'!W$2)),"")</f>
        <v/>
      </c>
      <c r="X143" s="32"/>
      <c r="Y143" s="32" t="str">
        <f ca="1">IF(SUMPRODUCT((ListeB='recap S1'!$B143)*(OFFSET(ListeB,,4)='recap S1'!Y$3)*(OFFSET(ListeB,,1)='recap S1'!Y$2))&gt;0,SUMPRODUCT((ListeB='recap S1'!$B143)*(OFFSET(ListeB,,4)='recap S1'!Y$3)*(OFFSET(ListeB,,1)='recap S1'!Y$2)),"")</f>
        <v/>
      </c>
      <c r="Z143" s="32" t="str">
        <f ca="1">IF(SUMPRODUCT((ListeB='recap S1'!$B143)*(OFFSET(ListeB,,4)='recap S1'!Z$3)*(OFFSET(ListeB,,1)='recap S1'!Z$2))&gt;0,SUMPRODUCT((ListeB='recap S1'!$B143)*(OFFSET(ListeB,,4)='recap S1'!Z$3)*(OFFSET(ListeB,,1)='recap S1'!Z$2)),"")</f>
        <v/>
      </c>
      <c r="AA143" s="32" t="str">
        <f ca="1">IF(SUMPRODUCT((ListeB='recap S1'!$B143)*(OFFSET(ListeB,,4)='recap S1'!AA$3)*(OFFSET(ListeB,,1)='recap S1'!AA$2))&gt;0,SUMPRODUCT((ListeB='recap S1'!$B143)*(OFFSET(ListeB,,4)='recap S1'!AA$3)*(OFFSET(ListeB,,1)='recap S1'!AA$2)),"")</f>
        <v/>
      </c>
      <c r="AB143" s="32"/>
      <c r="AC143" s="32" t="str">
        <f ca="1">IF(SUMPRODUCT((ListeB='recap S1'!$B143)*(OFFSET(ListeB,,4)='recap S1'!AC$3)*(OFFSET(ListeB,,1)='recap S1'!AC$2))&gt;0,SUMPRODUCT((ListeB='recap S1'!$B143)*(OFFSET(ListeB,,4)='recap S1'!AC$3)*(OFFSET(ListeB,,1)='recap S1'!AC$2)),"")</f>
        <v/>
      </c>
      <c r="AD143" s="32"/>
      <c r="AE143" s="32" t="str">
        <f ca="1">IF(SUMPRODUCT((ListeB='recap S1'!$B143)*(OFFSET(ListeB,,4)='recap S1'!AE$3)*(OFFSET(ListeB,,1)='recap S1'!AE$2))&gt;0,SUMPRODUCT((ListeB='recap S1'!$B143)*(OFFSET(ListeB,,4)='recap S1'!AE$3)*(OFFSET(ListeB,,1)='recap S1'!AE$2)),"")</f>
        <v/>
      </c>
      <c r="AF143" s="32" t="str">
        <f ca="1">IF(SUMPRODUCT((ListeB='recap S1'!$B143)*(OFFSET(ListeB,,4)='recap S1'!AF$3)*(OFFSET(ListeB,,1)='recap S1'!AF$2))&gt;0,SUMPRODUCT((ListeB='recap S1'!$B143)*(OFFSET(ListeB,,4)='recap S1'!AF$3)*(OFFSET(ListeB,,1)='recap S1'!AF$2)),"")</f>
        <v/>
      </c>
      <c r="AG143" s="32"/>
      <c r="AH143" s="32" t="str">
        <f ca="1">IF(SUMPRODUCT((ListeB='recap S1'!$B143)*(OFFSET(ListeB,,4)='recap S1'!AH$3)*(OFFSET(ListeB,,1)='recap S1'!AH$2))&gt;0,SUMPRODUCT((ListeB='recap S1'!$B143)*(OFFSET(ListeB,,4)='recap S1'!AH$3)*(OFFSET(ListeB,,1)='recap S1'!AH$2)),"")</f>
        <v/>
      </c>
      <c r="AI143" s="32" t="str">
        <f ca="1">IF(SUMPRODUCT((ListeB='recap S1'!$B143)*(OFFSET(ListeB,,4)='recap S1'!AI$3)*(OFFSET(ListeB,,1)='recap S1'!AI$2))&gt;0,SUMPRODUCT((ListeB='recap S1'!$B143)*(OFFSET(ListeB,,4)='recap S1'!AI$3)*(OFFSET(ListeB,,1)='recap S1'!AI$2)),"")</f>
        <v/>
      </c>
      <c r="AJ143" s="32" t="str">
        <f ca="1">IF(SUMPRODUCT((ListeB='recap S1'!$B143)*(OFFSET(ListeB,,4)='recap S1'!AJ$3)*(OFFSET(ListeB,,1)='recap S1'!AJ$2))&gt;0,SUMPRODUCT((ListeB='recap S1'!$B143)*(OFFSET(ListeB,,4)='recap S1'!AJ$3)*(OFFSET(ListeB,,1)='recap S1'!AJ$2)),"")</f>
        <v/>
      </c>
      <c r="AK143" s="32"/>
      <c r="AL143" s="32" t="str">
        <f ca="1">IF(SUMPRODUCT((ListeB='recap S1'!$B143)*(OFFSET(ListeB,,4)='recap S1'!AL$3)*(OFFSET(ListeB,,1)='recap S1'!AL$2))&gt;0,SUMPRODUCT((ListeB='recap S1'!$B143)*(OFFSET(ListeB,,4)='recap S1'!AL$3)*(OFFSET(ListeB,,1)='recap S1'!AL$2)),"")</f>
        <v/>
      </c>
      <c r="AM143" s="32"/>
      <c r="AN143" s="32" t="str">
        <f ca="1">IF(SUMPRODUCT((ListeB='recap S1'!$B143)*(OFFSET(ListeB,,4)='recap S1'!AN$3)*(OFFSET(ListeB,,1)='recap S1'!AN$2))&gt;0,SUMPRODUCT((ListeB='recap S1'!$B143)*(OFFSET(ListeB,,4)='recap S1'!AN$3)*(OFFSET(ListeB,,1)='recap S1'!AN$2)),"")</f>
        <v/>
      </c>
      <c r="AO143" s="32" t="str">
        <f ca="1">IF(SUMPRODUCT((ListeB='recap S1'!$B143)*(OFFSET(ListeB,,4)='recap S1'!AO$3)*(OFFSET(ListeB,,1)='recap S1'!AO$2))&gt;0,SUMPRODUCT((ListeB='recap S1'!$B143)*(OFFSET(ListeB,,4)='recap S1'!AO$3)*(OFFSET(ListeB,,1)='recap S1'!AO$2)),"")</f>
        <v/>
      </c>
      <c r="AP143" s="32"/>
      <c r="AQ143" s="32"/>
      <c r="AR143" s="32"/>
      <c r="AS143" s="32" t="str">
        <f ca="1">IF(SUMPRODUCT((ListeB='recap S1'!$B143)*(OFFSET(ListeB,,4)='recap S1'!AS$3)*(OFFSET(ListeB,,1)='recap S1'!AS$2))&gt;0,SUMPRODUCT((ListeB='recap S1'!$B143)*(OFFSET(ListeB,,4)='recap S1'!AS$3)*(OFFSET(ListeB,,1)='recap S1'!AS$2)),"")</f>
        <v/>
      </c>
      <c r="AT143" s="32" t="str">
        <f ca="1">IF(SUMPRODUCT((ListeB='recap S1'!$B143)*(OFFSET(ListeB,,4)='recap S1'!AT$3)*(OFFSET(ListeB,,1)='recap S1'!AT$2))&gt;0,SUMPRODUCT((ListeB='recap S1'!$B143)*(OFFSET(ListeB,,4)='recap S1'!AT$3)*(OFFSET(ListeB,,1)='recap S1'!AT$2)),"")</f>
        <v/>
      </c>
      <c r="AU143" s="32"/>
      <c r="AV143" s="32" t="str">
        <f ca="1">IF(SUMPRODUCT((ListeB='recap S1'!$B143)*(OFFSET(ListeB,,4)='recap S1'!AV$3)*(OFFSET(ListeB,,1)='recap S1'!AV$2))&gt;0,SUMPRODUCT((ListeB='recap S1'!$B143)*(OFFSET(ListeB,,4)='recap S1'!AV$3)*(OFFSET(ListeB,,1)='recap S1'!AV$2)),"")</f>
        <v/>
      </c>
      <c r="AW143" s="32" t="str">
        <f ca="1">IF(SUMPRODUCT((ListeB='recap S1'!$B143)*(OFFSET(ListeB,,4)='recap S1'!AW$3)*(OFFSET(ListeB,,1)='recap S1'!AW$2))&gt;0,SUMPRODUCT((ListeB='recap S1'!$B143)*(OFFSET(ListeB,,4)='recap S1'!AW$3)*(OFFSET(ListeB,,1)='recap S1'!AW$2)),"")</f>
        <v/>
      </c>
      <c r="AX143" s="32" t="str">
        <f ca="1">IF(SUMPRODUCT((ListeB='recap S1'!$B143)*(OFFSET(ListeB,,4)='recap S1'!AX$3)*(OFFSET(ListeB,,1)='recap S1'!AX$2))&gt;0,SUMPRODUCT((ListeB='recap S1'!$B143)*(OFFSET(ListeB,,4)='recap S1'!AX$3)*(OFFSET(ListeB,,1)='recap S1'!AX$2)),"")</f>
        <v/>
      </c>
      <c r="AY143" s="34"/>
      <c r="AZ143" s="32">
        <f t="shared" ca="1" si="4"/>
        <v>0</v>
      </c>
    </row>
  </sheetData>
  <sheetProtection algorithmName="SHA-512" hashValue="gMlvgbXy7sV3NdOHdF/nk7Fqu9awvZxwdG8JGrqI+LsF04PGlplTIsEIQEwy0vC91/hPb/VP/kpOMfXo4YcQ+w==" saltValue="9kVYzrx2ziQqNcuthEdvCQ==" spinCount="100000" sheet="1" selectLockedCells="1" selectUnlockedCells="1"/>
  <mergeCells count="16">
    <mergeCell ref="AV1:AY1"/>
    <mergeCell ref="P1:R1"/>
    <mergeCell ref="S1:V1"/>
    <mergeCell ref="W1:X1"/>
    <mergeCell ref="Y1:AB1"/>
    <mergeCell ref="AC1:AD1"/>
    <mergeCell ref="AE1:AG1"/>
    <mergeCell ref="AH1:AK1"/>
    <mergeCell ref="AL1:AM1"/>
    <mergeCell ref="AN1:AP1"/>
    <mergeCell ref="AQ1:AR1"/>
    <mergeCell ref="C1:E1"/>
    <mergeCell ref="F1:H1"/>
    <mergeCell ref="I1:L1"/>
    <mergeCell ref="M1:O1"/>
    <mergeCell ref="AS1:AU1"/>
  </mergeCells>
  <conditionalFormatting sqref="C4:AY143">
    <cfRule type="notContainsBlanks" dxfId="0" priority="1">
      <formula>LEN(TRIM(C4))&gt;0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LISTE A SAISIR</vt:lpstr>
      <vt:lpstr>SEANCE 1</vt:lpstr>
      <vt:lpstr>Global seances</vt:lpstr>
      <vt:lpstr>Evaluation</vt:lpstr>
      <vt:lpstr>recap S1</vt:lpstr>
      <vt:lpstr>BaseVoies</vt:lpstr>
      <vt:lpstr>'SEANCE 1'!Criteres</vt:lpstr>
      <vt:lpstr>'SEANCE 1'!Extraire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thierry armant</cp:lastModifiedBy>
  <cp:lastPrinted>2019-03-03T07:11:57Z</cp:lastPrinted>
  <dcterms:created xsi:type="dcterms:W3CDTF">2019-02-01T08:15:33Z</dcterms:created>
  <dcterms:modified xsi:type="dcterms:W3CDTF">2026-09-20T12:33:03Z</dcterms:modified>
</cp:coreProperties>
</file>